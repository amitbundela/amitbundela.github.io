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DE5B" lockStructure="1"/>
  <bookViews>
    <workbookView xWindow="480" yWindow="60" windowWidth="18195" windowHeight="11835" activeTab="9"/>
  </bookViews>
  <sheets>
    <sheet name="Purchase Entry" sheetId="1" r:id="rId1"/>
    <sheet name="PLN 03" sheetId="4" r:id="rId2"/>
    <sheet name="NPN 05" sheetId="5" r:id="rId3"/>
    <sheet name="PLN 03F" sheetId="8" r:id="rId4"/>
    <sheet name="DDF" sheetId="11" state="hidden" r:id="rId5"/>
    <sheet name="PLN 05" sheetId="10" state="hidden" r:id="rId6"/>
    <sheet name="PDF" sheetId="7" state="hidden" r:id="rId7"/>
    <sheet name="PDA" sheetId="6" state="hidden" r:id="rId8"/>
    <sheet name="Master" sheetId="3" state="hidden" r:id="rId9"/>
    <sheet name="PLN 06R" sheetId="12" r:id="rId10"/>
  </sheets>
  <definedNames>
    <definedName name="ECODE">Master!$A$1:$B$12</definedName>
    <definedName name="_xlnm.Print_Area" localSheetId="2">'NPN 05'!$A$1:$J$14</definedName>
    <definedName name="_xlnm.Print_Area" localSheetId="1">'PLN 03'!$A$1:$J$14</definedName>
    <definedName name="_xlnm.Print_Area" localSheetId="3">'PLN 03F'!$A$1:$J$18</definedName>
    <definedName name="_xlnm.Print_Area" localSheetId="9">'PLN 06R'!$A$1:$J$18</definedName>
  </definedNames>
  <calcPr calcId="144525"/>
</workbook>
</file>

<file path=xl/calcChain.xml><?xml version="1.0" encoding="utf-8"?>
<calcChain xmlns="http://schemas.openxmlformats.org/spreadsheetml/2006/main">
  <c r="G18" i="12" l="1"/>
  <c r="F18" i="12"/>
  <c r="I17" i="12"/>
  <c r="G17" i="12"/>
  <c r="I4" i="12"/>
  <c r="F18" i="8" l="1"/>
  <c r="I4" i="8" l="1"/>
  <c r="I17" i="8"/>
  <c r="G17" i="8"/>
  <c r="I19" i="8" l="1"/>
  <c r="I20" i="8"/>
  <c r="I21" i="8"/>
  <c r="I22" i="8"/>
  <c r="I23" i="8"/>
  <c r="I24" i="8"/>
  <c r="G18" i="8"/>
  <c r="G19" i="8"/>
  <c r="G20" i="8"/>
  <c r="G21" i="8"/>
  <c r="G22" i="8"/>
  <c r="G23" i="8"/>
  <c r="G24" i="8"/>
  <c r="G25" i="8"/>
  <c r="G26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BI3" i="1" l="1"/>
  <c r="C14" i="4" l="1"/>
  <c r="C14" i="5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D172" i="1"/>
  <c r="BE172" i="1"/>
  <c r="BF172" i="1"/>
  <c r="BG172" i="1"/>
  <c r="BH172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AQ178" i="1"/>
  <c r="AR178" i="1"/>
  <c r="AS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AQ179" i="1"/>
  <c r="AR179" i="1"/>
  <c r="AS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AQ180" i="1"/>
  <c r="AR180" i="1"/>
  <c r="AS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BH180" i="1"/>
  <c r="AQ181" i="1"/>
  <c r="AR181" i="1"/>
  <c r="AS181" i="1"/>
  <c r="AT181" i="1"/>
  <c r="AU181" i="1"/>
  <c r="AV181" i="1"/>
  <c r="AW181" i="1"/>
  <c r="AX181" i="1"/>
  <c r="AY181" i="1"/>
  <c r="AZ181" i="1"/>
  <c r="BA181" i="1"/>
  <c r="BB181" i="1"/>
  <c r="BC181" i="1"/>
  <c r="BD181" i="1"/>
  <c r="BE181" i="1"/>
  <c r="BF181" i="1"/>
  <c r="BG181" i="1"/>
  <c r="BH181" i="1"/>
  <c r="AQ182" i="1"/>
  <c r="AR182" i="1"/>
  <c r="AS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AQ188" i="1"/>
  <c r="AR188" i="1"/>
  <c r="AS188" i="1"/>
  <c r="AT188" i="1"/>
  <c r="AU188" i="1"/>
  <c r="AV188" i="1"/>
  <c r="AW188" i="1"/>
  <c r="AX188" i="1"/>
  <c r="AY188" i="1"/>
  <c r="AZ188" i="1"/>
  <c r="BA188" i="1"/>
  <c r="BB188" i="1"/>
  <c r="BC188" i="1"/>
  <c r="BD188" i="1"/>
  <c r="BE188" i="1"/>
  <c r="BF188" i="1"/>
  <c r="BG188" i="1"/>
  <c r="BH188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AQ190" i="1"/>
  <c r="AR190" i="1"/>
  <c r="AS190" i="1"/>
  <c r="AT190" i="1"/>
  <c r="AU190" i="1"/>
  <c r="AV190" i="1"/>
  <c r="AW190" i="1"/>
  <c r="AX190" i="1"/>
  <c r="AY190" i="1"/>
  <c r="AZ190" i="1"/>
  <c r="BA190" i="1"/>
  <c r="BB190" i="1"/>
  <c r="BC190" i="1"/>
  <c r="BD190" i="1"/>
  <c r="BE190" i="1"/>
  <c r="BF190" i="1"/>
  <c r="BG190" i="1"/>
  <c r="BH190" i="1"/>
  <c r="AQ191" i="1"/>
  <c r="AR191" i="1"/>
  <c r="AS191" i="1"/>
  <c r="AT191" i="1"/>
  <c r="AU191" i="1"/>
  <c r="AV191" i="1"/>
  <c r="AW191" i="1"/>
  <c r="AX191" i="1"/>
  <c r="AY191" i="1"/>
  <c r="AZ191" i="1"/>
  <c r="BA191" i="1"/>
  <c r="BB191" i="1"/>
  <c r="BC191" i="1"/>
  <c r="BD191" i="1"/>
  <c r="BE191" i="1"/>
  <c r="BF191" i="1"/>
  <c r="BG191" i="1"/>
  <c r="BH191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AQ193" i="1"/>
  <c r="AR193" i="1"/>
  <c r="AS193" i="1"/>
  <c r="AT193" i="1"/>
  <c r="AU193" i="1"/>
  <c r="AV193" i="1"/>
  <c r="AW193" i="1"/>
  <c r="AX193" i="1"/>
  <c r="AY193" i="1"/>
  <c r="AZ193" i="1"/>
  <c r="BA193" i="1"/>
  <c r="BB193" i="1"/>
  <c r="BC193" i="1"/>
  <c r="BD193" i="1"/>
  <c r="BE193" i="1"/>
  <c r="BF193" i="1"/>
  <c r="BG193" i="1"/>
  <c r="BH193" i="1"/>
  <c r="AQ194" i="1"/>
  <c r="AR194" i="1"/>
  <c r="AS194" i="1"/>
  <c r="AT194" i="1"/>
  <c r="AU194" i="1"/>
  <c r="AV194" i="1"/>
  <c r="AW194" i="1"/>
  <c r="AX194" i="1"/>
  <c r="AY194" i="1"/>
  <c r="AZ194" i="1"/>
  <c r="BA194" i="1"/>
  <c r="BB194" i="1"/>
  <c r="BC194" i="1"/>
  <c r="BD194" i="1"/>
  <c r="BE194" i="1"/>
  <c r="BF194" i="1"/>
  <c r="BG194" i="1"/>
  <c r="BH194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AQ196" i="1"/>
  <c r="AR196" i="1"/>
  <c r="AS196" i="1"/>
  <c r="AT196" i="1"/>
  <c r="AU196" i="1"/>
  <c r="AV196" i="1"/>
  <c r="AW196" i="1"/>
  <c r="AX196" i="1"/>
  <c r="AY196" i="1"/>
  <c r="AZ196" i="1"/>
  <c r="BA196" i="1"/>
  <c r="BB196" i="1"/>
  <c r="BC196" i="1"/>
  <c r="BD196" i="1"/>
  <c r="BE196" i="1"/>
  <c r="BF196" i="1"/>
  <c r="BG196" i="1"/>
  <c r="BH196" i="1"/>
  <c r="AQ197" i="1"/>
  <c r="AR197" i="1"/>
  <c r="AS197" i="1"/>
  <c r="AT197" i="1"/>
  <c r="AU197" i="1"/>
  <c r="AV197" i="1"/>
  <c r="AW197" i="1"/>
  <c r="AX197" i="1"/>
  <c r="AY197" i="1"/>
  <c r="AZ197" i="1"/>
  <c r="BA197" i="1"/>
  <c r="BB197" i="1"/>
  <c r="BC197" i="1"/>
  <c r="BD197" i="1"/>
  <c r="BE197" i="1"/>
  <c r="BF197" i="1"/>
  <c r="BG197" i="1"/>
  <c r="BH197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AQ199" i="1"/>
  <c r="AR199" i="1"/>
  <c r="AS199" i="1"/>
  <c r="AT199" i="1"/>
  <c r="AU199" i="1"/>
  <c r="AV199" i="1"/>
  <c r="AW199" i="1"/>
  <c r="AX199" i="1"/>
  <c r="AY199" i="1"/>
  <c r="AZ199" i="1"/>
  <c r="BA199" i="1"/>
  <c r="BB199" i="1"/>
  <c r="BC199" i="1"/>
  <c r="BD199" i="1"/>
  <c r="BE199" i="1"/>
  <c r="BF199" i="1"/>
  <c r="BG199" i="1"/>
  <c r="BH199" i="1"/>
  <c r="AQ200" i="1"/>
  <c r="AR200" i="1"/>
  <c r="AS200" i="1"/>
  <c r="AT200" i="1"/>
  <c r="AU200" i="1"/>
  <c r="AV200" i="1"/>
  <c r="AW200" i="1"/>
  <c r="AX200" i="1"/>
  <c r="AY200" i="1"/>
  <c r="AZ200" i="1"/>
  <c r="BA200" i="1"/>
  <c r="BB200" i="1"/>
  <c r="BC200" i="1"/>
  <c r="BD200" i="1"/>
  <c r="BE200" i="1"/>
  <c r="BF200" i="1"/>
  <c r="BG200" i="1"/>
  <c r="BH200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AQ202" i="1"/>
  <c r="AR202" i="1"/>
  <c r="AS202" i="1"/>
  <c r="AT202" i="1"/>
  <c r="AU202" i="1"/>
  <c r="AV202" i="1"/>
  <c r="AW202" i="1"/>
  <c r="AX202" i="1"/>
  <c r="AY202" i="1"/>
  <c r="AZ202" i="1"/>
  <c r="BA202" i="1"/>
  <c r="BB202" i="1"/>
  <c r="BC202" i="1"/>
  <c r="BD202" i="1"/>
  <c r="BE202" i="1"/>
  <c r="BF202" i="1"/>
  <c r="BG202" i="1"/>
  <c r="BH202" i="1"/>
  <c r="AQ203" i="1"/>
  <c r="AR203" i="1"/>
  <c r="AS203" i="1"/>
  <c r="AT203" i="1"/>
  <c r="AU203" i="1"/>
  <c r="AV203" i="1"/>
  <c r="AW203" i="1"/>
  <c r="AX203" i="1"/>
  <c r="AY203" i="1"/>
  <c r="AZ203" i="1"/>
  <c r="BA203" i="1"/>
  <c r="BB203" i="1"/>
  <c r="BC203" i="1"/>
  <c r="BD203" i="1"/>
  <c r="BE203" i="1"/>
  <c r="BF203" i="1"/>
  <c r="BG203" i="1"/>
  <c r="BH203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AQ205" i="1"/>
  <c r="AR205" i="1"/>
  <c r="AS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BH205" i="1"/>
  <c r="AQ206" i="1"/>
  <c r="AR206" i="1"/>
  <c r="AS206" i="1"/>
  <c r="AT206" i="1"/>
  <c r="AU206" i="1"/>
  <c r="AV206" i="1"/>
  <c r="AW206" i="1"/>
  <c r="AX206" i="1"/>
  <c r="AY206" i="1"/>
  <c r="AZ206" i="1"/>
  <c r="BA206" i="1"/>
  <c r="BB206" i="1"/>
  <c r="BC206" i="1"/>
  <c r="BD206" i="1"/>
  <c r="BE206" i="1"/>
  <c r="BF206" i="1"/>
  <c r="BG206" i="1"/>
  <c r="BH206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AQ208" i="1"/>
  <c r="AR208" i="1"/>
  <c r="AS208" i="1"/>
  <c r="AT208" i="1"/>
  <c r="AU208" i="1"/>
  <c r="AV208" i="1"/>
  <c r="AW208" i="1"/>
  <c r="AX208" i="1"/>
  <c r="AY208" i="1"/>
  <c r="AZ208" i="1"/>
  <c r="BA208" i="1"/>
  <c r="BB208" i="1"/>
  <c r="BC208" i="1"/>
  <c r="BD208" i="1"/>
  <c r="BE208" i="1"/>
  <c r="BF208" i="1"/>
  <c r="BG208" i="1"/>
  <c r="BH208" i="1"/>
  <c r="AQ209" i="1"/>
  <c r="AR209" i="1"/>
  <c r="AS209" i="1"/>
  <c r="AT209" i="1"/>
  <c r="AU209" i="1"/>
  <c r="AV209" i="1"/>
  <c r="AW209" i="1"/>
  <c r="AX209" i="1"/>
  <c r="AY209" i="1"/>
  <c r="AZ209" i="1"/>
  <c r="BA209" i="1"/>
  <c r="BB209" i="1"/>
  <c r="BC209" i="1"/>
  <c r="BD209" i="1"/>
  <c r="BE209" i="1"/>
  <c r="BF209" i="1"/>
  <c r="BG209" i="1"/>
  <c r="BH209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AQ211" i="1"/>
  <c r="AR211" i="1"/>
  <c r="AS211" i="1"/>
  <c r="AT211" i="1"/>
  <c r="AU211" i="1"/>
  <c r="AV211" i="1"/>
  <c r="AW211" i="1"/>
  <c r="AX211" i="1"/>
  <c r="AY211" i="1"/>
  <c r="AZ211" i="1"/>
  <c r="BA211" i="1"/>
  <c r="BB211" i="1"/>
  <c r="BC211" i="1"/>
  <c r="BD211" i="1"/>
  <c r="BE211" i="1"/>
  <c r="BF211" i="1"/>
  <c r="BG211" i="1"/>
  <c r="BH211" i="1"/>
  <c r="AQ212" i="1"/>
  <c r="AR212" i="1"/>
  <c r="AS212" i="1"/>
  <c r="AT212" i="1"/>
  <c r="AU212" i="1"/>
  <c r="AV212" i="1"/>
  <c r="AW212" i="1"/>
  <c r="AX212" i="1"/>
  <c r="AY212" i="1"/>
  <c r="AZ212" i="1"/>
  <c r="BA212" i="1"/>
  <c r="BB212" i="1"/>
  <c r="BC212" i="1"/>
  <c r="BD212" i="1"/>
  <c r="BE212" i="1"/>
  <c r="BF212" i="1"/>
  <c r="BG212" i="1"/>
  <c r="BH212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AQ214" i="1"/>
  <c r="AR214" i="1"/>
  <c r="AS214" i="1"/>
  <c r="AT214" i="1"/>
  <c r="AU214" i="1"/>
  <c r="AV214" i="1"/>
  <c r="AW214" i="1"/>
  <c r="AX214" i="1"/>
  <c r="AY214" i="1"/>
  <c r="AZ214" i="1"/>
  <c r="BA214" i="1"/>
  <c r="BB214" i="1"/>
  <c r="BC214" i="1"/>
  <c r="BD214" i="1"/>
  <c r="BE214" i="1"/>
  <c r="BF214" i="1"/>
  <c r="BG214" i="1"/>
  <c r="BH214" i="1"/>
  <c r="AQ215" i="1"/>
  <c r="AR215" i="1"/>
  <c r="AS215" i="1"/>
  <c r="AT215" i="1"/>
  <c r="AU215" i="1"/>
  <c r="AV215" i="1"/>
  <c r="AW215" i="1"/>
  <c r="AX215" i="1"/>
  <c r="AY215" i="1"/>
  <c r="AZ215" i="1"/>
  <c r="BA215" i="1"/>
  <c r="BB215" i="1"/>
  <c r="BC215" i="1"/>
  <c r="BD215" i="1"/>
  <c r="BE215" i="1"/>
  <c r="BF215" i="1"/>
  <c r="BG215" i="1"/>
  <c r="BH215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AQ217" i="1"/>
  <c r="AR217" i="1"/>
  <c r="AS217" i="1"/>
  <c r="AT217" i="1"/>
  <c r="AU217" i="1"/>
  <c r="AV217" i="1"/>
  <c r="AW217" i="1"/>
  <c r="AX217" i="1"/>
  <c r="AY217" i="1"/>
  <c r="AZ217" i="1"/>
  <c r="BA217" i="1"/>
  <c r="BB217" i="1"/>
  <c r="BC217" i="1"/>
  <c r="BD217" i="1"/>
  <c r="BE217" i="1"/>
  <c r="BF217" i="1"/>
  <c r="BG217" i="1"/>
  <c r="BH217" i="1"/>
  <c r="AQ218" i="1"/>
  <c r="AR218" i="1"/>
  <c r="AS218" i="1"/>
  <c r="AT218" i="1"/>
  <c r="AU218" i="1"/>
  <c r="AV218" i="1"/>
  <c r="AW218" i="1"/>
  <c r="AX218" i="1"/>
  <c r="AY218" i="1"/>
  <c r="AZ218" i="1"/>
  <c r="BA218" i="1"/>
  <c r="BB218" i="1"/>
  <c r="BC218" i="1"/>
  <c r="BD218" i="1"/>
  <c r="BE218" i="1"/>
  <c r="BF218" i="1"/>
  <c r="BG218" i="1"/>
  <c r="BH218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AQ220" i="1"/>
  <c r="AR220" i="1"/>
  <c r="AS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BH220" i="1"/>
  <c r="AQ221" i="1"/>
  <c r="AR221" i="1"/>
  <c r="AS221" i="1"/>
  <c r="AT221" i="1"/>
  <c r="AU221" i="1"/>
  <c r="AV221" i="1"/>
  <c r="AW221" i="1"/>
  <c r="AX221" i="1"/>
  <c r="AY221" i="1"/>
  <c r="AZ221" i="1"/>
  <c r="BA221" i="1"/>
  <c r="BB221" i="1"/>
  <c r="BC221" i="1"/>
  <c r="BD221" i="1"/>
  <c r="BE221" i="1"/>
  <c r="BF221" i="1"/>
  <c r="BG221" i="1"/>
  <c r="BH221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AQ223" i="1"/>
  <c r="AR223" i="1"/>
  <c r="AS223" i="1"/>
  <c r="AT223" i="1"/>
  <c r="AU223" i="1"/>
  <c r="AV223" i="1"/>
  <c r="AW223" i="1"/>
  <c r="AX223" i="1"/>
  <c r="AY223" i="1"/>
  <c r="AZ223" i="1"/>
  <c r="BA223" i="1"/>
  <c r="BB223" i="1"/>
  <c r="BC223" i="1"/>
  <c r="BD223" i="1"/>
  <c r="BE223" i="1"/>
  <c r="BF223" i="1"/>
  <c r="BG223" i="1"/>
  <c r="BH223" i="1"/>
  <c r="AQ224" i="1"/>
  <c r="AR224" i="1"/>
  <c r="AS224" i="1"/>
  <c r="AT224" i="1"/>
  <c r="AU224" i="1"/>
  <c r="AV224" i="1"/>
  <c r="AW224" i="1"/>
  <c r="AX224" i="1"/>
  <c r="AY224" i="1"/>
  <c r="AZ224" i="1"/>
  <c r="BA224" i="1"/>
  <c r="BB224" i="1"/>
  <c r="BC224" i="1"/>
  <c r="BD224" i="1"/>
  <c r="BE224" i="1"/>
  <c r="BF224" i="1"/>
  <c r="BG224" i="1"/>
  <c r="BH224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AQ226" i="1"/>
  <c r="AR226" i="1"/>
  <c r="AS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6" i="1"/>
  <c r="BG226" i="1"/>
  <c r="BH226" i="1"/>
  <c r="AQ227" i="1"/>
  <c r="AR227" i="1"/>
  <c r="AS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F227" i="1"/>
  <c r="BG227" i="1"/>
  <c r="BH227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AQ229" i="1"/>
  <c r="AR229" i="1"/>
  <c r="AS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AQ232" i="1"/>
  <c r="AR232" i="1"/>
  <c r="AS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AQ233" i="1"/>
  <c r="AR233" i="1"/>
  <c r="AS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AQ236" i="1"/>
  <c r="AR236" i="1"/>
  <c r="AS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AQ238" i="1"/>
  <c r="AR238" i="1"/>
  <c r="AS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AQ239" i="1"/>
  <c r="AR239" i="1"/>
  <c r="AS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AQ241" i="1"/>
  <c r="AR241" i="1"/>
  <c r="AS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AQ242" i="1"/>
  <c r="AR242" i="1"/>
  <c r="AS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AQ244" i="1"/>
  <c r="AR244" i="1"/>
  <c r="AS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AQ247" i="1"/>
  <c r="AR247" i="1"/>
  <c r="AS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AQ248" i="1"/>
  <c r="AR248" i="1"/>
  <c r="AS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AQ251" i="1"/>
  <c r="AR251" i="1"/>
  <c r="AS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AQ253" i="1"/>
  <c r="AR253" i="1"/>
  <c r="AS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AQ254" i="1"/>
  <c r="AR254" i="1"/>
  <c r="AS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AQ256" i="1"/>
  <c r="AR256" i="1"/>
  <c r="AS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AQ257" i="1"/>
  <c r="AR257" i="1"/>
  <c r="AS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AQ259" i="1"/>
  <c r="AR259" i="1"/>
  <c r="AS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AQ266" i="1"/>
  <c r="AR266" i="1"/>
  <c r="AS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AQ268" i="1"/>
  <c r="AR268" i="1"/>
  <c r="AS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BF268" i="1"/>
  <c r="BG268" i="1"/>
  <c r="BH268" i="1"/>
  <c r="AQ269" i="1"/>
  <c r="AR269" i="1"/>
  <c r="AS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BF269" i="1"/>
  <c r="BG269" i="1"/>
  <c r="BH269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AQ271" i="1"/>
  <c r="AR271" i="1"/>
  <c r="AS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BF271" i="1"/>
  <c r="BG271" i="1"/>
  <c r="BH271" i="1"/>
  <c r="AQ272" i="1"/>
  <c r="AR272" i="1"/>
  <c r="AS272" i="1"/>
  <c r="AT272" i="1"/>
  <c r="AU272" i="1"/>
  <c r="AV272" i="1"/>
  <c r="AW272" i="1"/>
  <c r="AX272" i="1"/>
  <c r="AY272" i="1"/>
  <c r="AZ272" i="1"/>
  <c r="BA272" i="1"/>
  <c r="BB272" i="1"/>
  <c r="BC272" i="1"/>
  <c r="BD272" i="1"/>
  <c r="BE272" i="1"/>
  <c r="BF272" i="1"/>
  <c r="BG272" i="1"/>
  <c r="BH272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AQ274" i="1"/>
  <c r="AR274" i="1"/>
  <c r="AS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BF274" i="1"/>
  <c r="BG274" i="1"/>
  <c r="BH274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BH275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AQ277" i="1"/>
  <c r="AR277" i="1"/>
  <c r="AS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BF277" i="1"/>
  <c r="BG277" i="1"/>
  <c r="BH277" i="1"/>
  <c r="AQ278" i="1"/>
  <c r="AR278" i="1"/>
  <c r="AS278" i="1"/>
  <c r="AT278" i="1"/>
  <c r="AU278" i="1"/>
  <c r="AV278" i="1"/>
  <c r="AW278" i="1"/>
  <c r="AX278" i="1"/>
  <c r="AY278" i="1"/>
  <c r="AZ278" i="1"/>
  <c r="BA278" i="1"/>
  <c r="BB278" i="1"/>
  <c r="BC278" i="1"/>
  <c r="BD278" i="1"/>
  <c r="BE278" i="1"/>
  <c r="BF278" i="1"/>
  <c r="BG278" i="1"/>
  <c r="BH278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BH280" i="1"/>
  <c r="AQ281" i="1"/>
  <c r="AR281" i="1"/>
  <c r="AS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BG281" i="1"/>
  <c r="BH281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AQ283" i="1"/>
  <c r="AR283" i="1"/>
  <c r="AS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BF283" i="1"/>
  <c r="BG283" i="1"/>
  <c r="BH283" i="1"/>
  <c r="AQ284" i="1"/>
  <c r="AR284" i="1"/>
  <c r="AS284" i="1"/>
  <c r="AT284" i="1"/>
  <c r="AU284" i="1"/>
  <c r="AV284" i="1"/>
  <c r="AW284" i="1"/>
  <c r="AX284" i="1"/>
  <c r="AY284" i="1"/>
  <c r="AZ284" i="1"/>
  <c r="BA284" i="1"/>
  <c r="BB284" i="1"/>
  <c r="BC284" i="1"/>
  <c r="BD284" i="1"/>
  <c r="BE284" i="1"/>
  <c r="BF284" i="1"/>
  <c r="BG284" i="1"/>
  <c r="BH284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AQ286" i="1"/>
  <c r="AR286" i="1"/>
  <c r="AS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BF286" i="1"/>
  <c r="BG286" i="1"/>
  <c r="BH286" i="1"/>
  <c r="AQ287" i="1"/>
  <c r="AR287" i="1"/>
  <c r="AS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BF287" i="1"/>
  <c r="BG287" i="1"/>
  <c r="BH287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AQ289" i="1"/>
  <c r="AR289" i="1"/>
  <c r="AS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BF289" i="1"/>
  <c r="BG289" i="1"/>
  <c r="BH289" i="1"/>
  <c r="AQ290" i="1"/>
  <c r="AR290" i="1"/>
  <c r="AS290" i="1"/>
  <c r="AT290" i="1"/>
  <c r="AU290" i="1"/>
  <c r="AV290" i="1"/>
  <c r="AW290" i="1"/>
  <c r="AX290" i="1"/>
  <c r="AY290" i="1"/>
  <c r="AZ290" i="1"/>
  <c r="BA290" i="1"/>
  <c r="BB290" i="1"/>
  <c r="BC290" i="1"/>
  <c r="BD290" i="1"/>
  <c r="BE290" i="1"/>
  <c r="BF290" i="1"/>
  <c r="BG290" i="1"/>
  <c r="BH290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AQ292" i="1"/>
  <c r="AR292" i="1"/>
  <c r="AS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BF292" i="1"/>
  <c r="BG292" i="1"/>
  <c r="BH292" i="1"/>
  <c r="AQ293" i="1"/>
  <c r="AR293" i="1"/>
  <c r="AS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BF293" i="1"/>
  <c r="BG293" i="1"/>
  <c r="BH293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BH295" i="1"/>
  <c r="AQ296" i="1"/>
  <c r="AR296" i="1"/>
  <c r="AS296" i="1"/>
  <c r="AT296" i="1"/>
  <c r="AU296" i="1"/>
  <c r="AV296" i="1"/>
  <c r="AW296" i="1"/>
  <c r="AX296" i="1"/>
  <c r="AY296" i="1"/>
  <c r="AZ296" i="1"/>
  <c r="BA296" i="1"/>
  <c r="BB296" i="1"/>
  <c r="BC296" i="1"/>
  <c r="BD296" i="1"/>
  <c r="BE296" i="1"/>
  <c r="BF296" i="1"/>
  <c r="BG296" i="1"/>
  <c r="BH296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AQ298" i="1"/>
  <c r="AR298" i="1"/>
  <c r="AS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BF298" i="1"/>
  <c r="BG298" i="1"/>
  <c r="BH298" i="1"/>
  <c r="AQ299" i="1"/>
  <c r="AR299" i="1"/>
  <c r="AS299" i="1"/>
  <c r="AT299" i="1"/>
  <c r="AU299" i="1"/>
  <c r="AV299" i="1"/>
  <c r="AW299" i="1"/>
  <c r="AX299" i="1"/>
  <c r="AY299" i="1"/>
  <c r="AZ299" i="1"/>
  <c r="BA299" i="1"/>
  <c r="BB299" i="1"/>
  <c r="BC299" i="1"/>
  <c r="BD299" i="1"/>
  <c r="BE299" i="1"/>
  <c r="BF299" i="1"/>
  <c r="BG299" i="1"/>
  <c r="BH299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AQ301" i="1"/>
  <c r="AR301" i="1"/>
  <c r="AS301" i="1"/>
  <c r="AT301" i="1"/>
  <c r="AU301" i="1"/>
  <c r="AV301" i="1"/>
  <c r="AW301" i="1"/>
  <c r="AX301" i="1"/>
  <c r="AY301" i="1"/>
  <c r="AZ301" i="1"/>
  <c r="BA301" i="1"/>
  <c r="BB301" i="1"/>
  <c r="BC301" i="1"/>
  <c r="BD301" i="1"/>
  <c r="BE301" i="1"/>
  <c r="BF301" i="1"/>
  <c r="BG301" i="1"/>
  <c r="BH301" i="1"/>
  <c r="AQ302" i="1"/>
  <c r="AR302" i="1"/>
  <c r="AS302" i="1"/>
  <c r="AT302" i="1"/>
  <c r="AU302" i="1"/>
  <c r="AV302" i="1"/>
  <c r="AW302" i="1"/>
  <c r="AX302" i="1"/>
  <c r="AY302" i="1"/>
  <c r="AZ302" i="1"/>
  <c r="BA302" i="1"/>
  <c r="BB302" i="1"/>
  <c r="BC302" i="1"/>
  <c r="BD302" i="1"/>
  <c r="BE302" i="1"/>
  <c r="BF302" i="1"/>
  <c r="BG302" i="1"/>
  <c r="BH302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AQ304" i="1"/>
  <c r="AR304" i="1"/>
  <c r="AS304" i="1"/>
  <c r="AT304" i="1"/>
  <c r="AU304" i="1"/>
  <c r="AV304" i="1"/>
  <c r="AW304" i="1"/>
  <c r="AX304" i="1"/>
  <c r="AY304" i="1"/>
  <c r="AZ304" i="1"/>
  <c r="BA304" i="1"/>
  <c r="BB304" i="1"/>
  <c r="BC304" i="1"/>
  <c r="BD304" i="1"/>
  <c r="BE304" i="1"/>
  <c r="BF304" i="1"/>
  <c r="BG304" i="1"/>
  <c r="BH304" i="1"/>
  <c r="AQ305" i="1"/>
  <c r="AR305" i="1"/>
  <c r="AS305" i="1"/>
  <c r="AT305" i="1"/>
  <c r="AU305" i="1"/>
  <c r="AV305" i="1"/>
  <c r="AW305" i="1"/>
  <c r="AX305" i="1"/>
  <c r="AY305" i="1"/>
  <c r="AZ305" i="1"/>
  <c r="BA305" i="1"/>
  <c r="BB305" i="1"/>
  <c r="BC305" i="1"/>
  <c r="BD305" i="1"/>
  <c r="BE305" i="1"/>
  <c r="BF305" i="1"/>
  <c r="BG305" i="1"/>
  <c r="BH305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AQ307" i="1"/>
  <c r="AR307" i="1"/>
  <c r="AS307" i="1"/>
  <c r="AT307" i="1"/>
  <c r="AU307" i="1"/>
  <c r="AV307" i="1"/>
  <c r="AW307" i="1"/>
  <c r="AX307" i="1"/>
  <c r="AY307" i="1"/>
  <c r="AZ307" i="1"/>
  <c r="BA307" i="1"/>
  <c r="BB307" i="1"/>
  <c r="BC307" i="1"/>
  <c r="BD307" i="1"/>
  <c r="BE307" i="1"/>
  <c r="BF307" i="1"/>
  <c r="BG307" i="1"/>
  <c r="BH307" i="1"/>
  <c r="AQ308" i="1"/>
  <c r="AR308" i="1"/>
  <c r="AS308" i="1"/>
  <c r="AT308" i="1"/>
  <c r="AU308" i="1"/>
  <c r="AV308" i="1"/>
  <c r="AW308" i="1"/>
  <c r="AX308" i="1"/>
  <c r="AY308" i="1"/>
  <c r="AZ308" i="1"/>
  <c r="BA308" i="1"/>
  <c r="BB308" i="1"/>
  <c r="BC308" i="1"/>
  <c r="BD308" i="1"/>
  <c r="BE308" i="1"/>
  <c r="BF308" i="1"/>
  <c r="BG308" i="1"/>
  <c r="BH308" i="1"/>
  <c r="AQ309" i="1"/>
  <c r="AR309" i="1"/>
  <c r="AS309" i="1"/>
  <c r="AT309" i="1"/>
  <c r="AU309" i="1"/>
  <c r="AV309" i="1"/>
  <c r="AW309" i="1"/>
  <c r="AX309" i="1"/>
  <c r="AY309" i="1"/>
  <c r="AZ309" i="1"/>
  <c r="BA309" i="1"/>
  <c r="BB309" i="1"/>
  <c r="BC309" i="1"/>
  <c r="BD309" i="1"/>
  <c r="BE309" i="1"/>
  <c r="BF309" i="1"/>
  <c r="BG309" i="1"/>
  <c r="BH309" i="1"/>
  <c r="AQ310" i="1"/>
  <c r="AR310" i="1"/>
  <c r="AS310" i="1"/>
  <c r="AT310" i="1"/>
  <c r="AU310" i="1"/>
  <c r="AV310" i="1"/>
  <c r="AW310" i="1"/>
  <c r="AX310" i="1"/>
  <c r="AY310" i="1"/>
  <c r="AZ310" i="1"/>
  <c r="BA310" i="1"/>
  <c r="BB310" i="1"/>
  <c r="BC310" i="1"/>
  <c r="BD310" i="1"/>
  <c r="BE310" i="1"/>
  <c r="BF310" i="1"/>
  <c r="BG310" i="1"/>
  <c r="BH310" i="1"/>
  <c r="AQ311" i="1"/>
  <c r="AR311" i="1"/>
  <c r="AS311" i="1"/>
  <c r="AT311" i="1"/>
  <c r="AU311" i="1"/>
  <c r="AV311" i="1"/>
  <c r="AW311" i="1"/>
  <c r="AX311" i="1"/>
  <c r="AY311" i="1"/>
  <c r="AZ311" i="1"/>
  <c r="BA311" i="1"/>
  <c r="BB311" i="1"/>
  <c r="BC311" i="1"/>
  <c r="BD311" i="1"/>
  <c r="BE311" i="1"/>
  <c r="BF311" i="1"/>
  <c r="BG311" i="1"/>
  <c r="BH311" i="1"/>
  <c r="AQ312" i="1"/>
  <c r="AR312" i="1"/>
  <c r="AS312" i="1"/>
  <c r="AT312" i="1"/>
  <c r="AU312" i="1"/>
  <c r="AV312" i="1"/>
  <c r="AW312" i="1"/>
  <c r="AX312" i="1"/>
  <c r="AY312" i="1"/>
  <c r="AZ312" i="1"/>
  <c r="BA312" i="1"/>
  <c r="BB312" i="1"/>
  <c r="BC312" i="1"/>
  <c r="BD312" i="1"/>
  <c r="BE312" i="1"/>
  <c r="BF312" i="1"/>
  <c r="BG312" i="1"/>
  <c r="BH312" i="1"/>
  <c r="AQ313" i="1"/>
  <c r="AR313" i="1"/>
  <c r="AS313" i="1"/>
  <c r="AT313" i="1"/>
  <c r="AU313" i="1"/>
  <c r="AV313" i="1"/>
  <c r="AW313" i="1"/>
  <c r="AX313" i="1"/>
  <c r="AY313" i="1"/>
  <c r="AZ313" i="1"/>
  <c r="BA313" i="1"/>
  <c r="BB313" i="1"/>
  <c r="BC313" i="1"/>
  <c r="BD313" i="1"/>
  <c r="BE313" i="1"/>
  <c r="BF313" i="1"/>
  <c r="BG313" i="1"/>
  <c r="BH313" i="1"/>
  <c r="AQ314" i="1"/>
  <c r="AR314" i="1"/>
  <c r="AS314" i="1"/>
  <c r="AT314" i="1"/>
  <c r="AU314" i="1"/>
  <c r="AV314" i="1"/>
  <c r="AW314" i="1"/>
  <c r="AX314" i="1"/>
  <c r="AY314" i="1"/>
  <c r="AZ314" i="1"/>
  <c r="BA314" i="1"/>
  <c r="BB314" i="1"/>
  <c r="BC314" i="1"/>
  <c r="BD314" i="1"/>
  <c r="BE314" i="1"/>
  <c r="BF314" i="1"/>
  <c r="BG314" i="1"/>
  <c r="BH314" i="1"/>
  <c r="AQ315" i="1"/>
  <c r="AR315" i="1"/>
  <c r="AS315" i="1"/>
  <c r="AT315" i="1"/>
  <c r="AU315" i="1"/>
  <c r="AV315" i="1"/>
  <c r="AW315" i="1"/>
  <c r="AX315" i="1"/>
  <c r="AY315" i="1"/>
  <c r="AZ315" i="1"/>
  <c r="BA315" i="1"/>
  <c r="BB315" i="1"/>
  <c r="BC315" i="1"/>
  <c r="BD315" i="1"/>
  <c r="BE315" i="1"/>
  <c r="BF315" i="1"/>
  <c r="BG315" i="1"/>
  <c r="BH315" i="1"/>
  <c r="AQ316" i="1"/>
  <c r="AR316" i="1"/>
  <c r="AS316" i="1"/>
  <c r="AT316" i="1"/>
  <c r="AU316" i="1"/>
  <c r="AV316" i="1"/>
  <c r="AW316" i="1"/>
  <c r="AX316" i="1"/>
  <c r="AY316" i="1"/>
  <c r="AZ316" i="1"/>
  <c r="BA316" i="1"/>
  <c r="BB316" i="1"/>
  <c r="BC316" i="1"/>
  <c r="BD316" i="1"/>
  <c r="BE316" i="1"/>
  <c r="BF316" i="1"/>
  <c r="BG316" i="1"/>
  <c r="BH316" i="1"/>
  <c r="AQ317" i="1"/>
  <c r="AR317" i="1"/>
  <c r="AS317" i="1"/>
  <c r="AT317" i="1"/>
  <c r="AU317" i="1"/>
  <c r="AV317" i="1"/>
  <c r="AW317" i="1"/>
  <c r="AX317" i="1"/>
  <c r="AY317" i="1"/>
  <c r="AZ317" i="1"/>
  <c r="BA317" i="1"/>
  <c r="BB317" i="1"/>
  <c r="BC317" i="1"/>
  <c r="BD317" i="1"/>
  <c r="BE317" i="1"/>
  <c r="BF317" i="1"/>
  <c r="BG317" i="1"/>
  <c r="BH317" i="1"/>
  <c r="AQ318" i="1"/>
  <c r="AR318" i="1"/>
  <c r="AS318" i="1"/>
  <c r="AT318" i="1"/>
  <c r="AU318" i="1"/>
  <c r="AV318" i="1"/>
  <c r="AW318" i="1"/>
  <c r="AX318" i="1"/>
  <c r="AY318" i="1"/>
  <c r="AZ318" i="1"/>
  <c r="BA318" i="1"/>
  <c r="BB318" i="1"/>
  <c r="BC318" i="1"/>
  <c r="BD318" i="1"/>
  <c r="BE318" i="1"/>
  <c r="BF318" i="1"/>
  <c r="BG318" i="1"/>
  <c r="BH318" i="1"/>
  <c r="AQ319" i="1"/>
  <c r="AR319" i="1"/>
  <c r="AS319" i="1"/>
  <c r="AT319" i="1"/>
  <c r="AU319" i="1"/>
  <c r="AV319" i="1"/>
  <c r="AW319" i="1"/>
  <c r="AX319" i="1"/>
  <c r="AY319" i="1"/>
  <c r="AZ319" i="1"/>
  <c r="BA319" i="1"/>
  <c r="BB319" i="1"/>
  <c r="BC319" i="1"/>
  <c r="BD319" i="1"/>
  <c r="BE319" i="1"/>
  <c r="BF319" i="1"/>
  <c r="BG319" i="1"/>
  <c r="BH319" i="1"/>
  <c r="AQ320" i="1"/>
  <c r="AR320" i="1"/>
  <c r="AS320" i="1"/>
  <c r="AT320" i="1"/>
  <c r="AU320" i="1"/>
  <c r="AV320" i="1"/>
  <c r="AW320" i="1"/>
  <c r="AX320" i="1"/>
  <c r="AY320" i="1"/>
  <c r="AZ320" i="1"/>
  <c r="BA320" i="1"/>
  <c r="BB320" i="1"/>
  <c r="BC320" i="1"/>
  <c r="BD320" i="1"/>
  <c r="BE320" i="1"/>
  <c r="BF320" i="1"/>
  <c r="BG320" i="1"/>
  <c r="BH320" i="1"/>
  <c r="AQ321" i="1"/>
  <c r="AR321" i="1"/>
  <c r="AS321" i="1"/>
  <c r="AT321" i="1"/>
  <c r="AU321" i="1"/>
  <c r="AV321" i="1"/>
  <c r="AW321" i="1"/>
  <c r="AX321" i="1"/>
  <c r="AY321" i="1"/>
  <c r="AZ321" i="1"/>
  <c r="BA321" i="1"/>
  <c r="BB321" i="1"/>
  <c r="BC321" i="1"/>
  <c r="BD321" i="1"/>
  <c r="BE321" i="1"/>
  <c r="BF321" i="1"/>
  <c r="BG321" i="1"/>
  <c r="BH321" i="1"/>
  <c r="AQ322" i="1"/>
  <c r="AR322" i="1"/>
  <c r="AS322" i="1"/>
  <c r="AT322" i="1"/>
  <c r="AU322" i="1"/>
  <c r="AV322" i="1"/>
  <c r="AW322" i="1"/>
  <c r="AX322" i="1"/>
  <c r="AY322" i="1"/>
  <c r="AZ322" i="1"/>
  <c r="BA322" i="1"/>
  <c r="BB322" i="1"/>
  <c r="BC322" i="1"/>
  <c r="BD322" i="1"/>
  <c r="BE322" i="1"/>
  <c r="BF322" i="1"/>
  <c r="BG322" i="1"/>
  <c r="BH322" i="1"/>
  <c r="AQ323" i="1"/>
  <c r="AR323" i="1"/>
  <c r="AS323" i="1"/>
  <c r="AT323" i="1"/>
  <c r="AU323" i="1"/>
  <c r="AV323" i="1"/>
  <c r="AW323" i="1"/>
  <c r="AX323" i="1"/>
  <c r="AY323" i="1"/>
  <c r="AZ323" i="1"/>
  <c r="BA323" i="1"/>
  <c r="BB323" i="1"/>
  <c r="BC323" i="1"/>
  <c r="BD323" i="1"/>
  <c r="BE323" i="1"/>
  <c r="BF323" i="1"/>
  <c r="BG323" i="1"/>
  <c r="BH323" i="1"/>
  <c r="AQ324" i="1"/>
  <c r="AR324" i="1"/>
  <c r="AS324" i="1"/>
  <c r="AT324" i="1"/>
  <c r="AU324" i="1"/>
  <c r="AV324" i="1"/>
  <c r="AW324" i="1"/>
  <c r="AX324" i="1"/>
  <c r="AY324" i="1"/>
  <c r="AZ324" i="1"/>
  <c r="BA324" i="1"/>
  <c r="BB324" i="1"/>
  <c r="BC324" i="1"/>
  <c r="BD324" i="1"/>
  <c r="BE324" i="1"/>
  <c r="BF324" i="1"/>
  <c r="BG324" i="1"/>
  <c r="BH324" i="1"/>
  <c r="AQ325" i="1"/>
  <c r="AR325" i="1"/>
  <c r="AS325" i="1"/>
  <c r="AT325" i="1"/>
  <c r="AU325" i="1"/>
  <c r="AV325" i="1"/>
  <c r="AW325" i="1"/>
  <c r="AX325" i="1"/>
  <c r="AY325" i="1"/>
  <c r="AZ325" i="1"/>
  <c r="BA325" i="1"/>
  <c r="BB325" i="1"/>
  <c r="BC325" i="1"/>
  <c r="BD325" i="1"/>
  <c r="BE325" i="1"/>
  <c r="BF325" i="1"/>
  <c r="BG325" i="1"/>
  <c r="BH325" i="1"/>
  <c r="AQ326" i="1"/>
  <c r="AR326" i="1"/>
  <c r="AS326" i="1"/>
  <c r="AT326" i="1"/>
  <c r="AU326" i="1"/>
  <c r="AV326" i="1"/>
  <c r="AW326" i="1"/>
  <c r="AX326" i="1"/>
  <c r="AY326" i="1"/>
  <c r="AZ326" i="1"/>
  <c r="BA326" i="1"/>
  <c r="BB326" i="1"/>
  <c r="BC326" i="1"/>
  <c r="BD326" i="1"/>
  <c r="BE326" i="1"/>
  <c r="BF326" i="1"/>
  <c r="BG326" i="1"/>
  <c r="BH326" i="1"/>
  <c r="AQ327" i="1"/>
  <c r="AR327" i="1"/>
  <c r="AS327" i="1"/>
  <c r="AT327" i="1"/>
  <c r="AU327" i="1"/>
  <c r="AV327" i="1"/>
  <c r="AW327" i="1"/>
  <c r="AX327" i="1"/>
  <c r="AY327" i="1"/>
  <c r="AZ327" i="1"/>
  <c r="BA327" i="1"/>
  <c r="BB327" i="1"/>
  <c r="BC327" i="1"/>
  <c r="BD327" i="1"/>
  <c r="BE327" i="1"/>
  <c r="BF327" i="1"/>
  <c r="BG327" i="1"/>
  <c r="BH327" i="1"/>
  <c r="AQ328" i="1"/>
  <c r="AR328" i="1"/>
  <c r="AS328" i="1"/>
  <c r="AT328" i="1"/>
  <c r="AU328" i="1"/>
  <c r="AV328" i="1"/>
  <c r="AW328" i="1"/>
  <c r="AX328" i="1"/>
  <c r="AY328" i="1"/>
  <c r="AZ328" i="1"/>
  <c r="BA328" i="1"/>
  <c r="BB328" i="1"/>
  <c r="BC328" i="1"/>
  <c r="BD328" i="1"/>
  <c r="BE328" i="1"/>
  <c r="BF328" i="1"/>
  <c r="BG328" i="1"/>
  <c r="BH328" i="1"/>
  <c r="AQ329" i="1"/>
  <c r="AR329" i="1"/>
  <c r="AS329" i="1"/>
  <c r="AT329" i="1"/>
  <c r="AU329" i="1"/>
  <c r="AV329" i="1"/>
  <c r="AW329" i="1"/>
  <c r="AX329" i="1"/>
  <c r="AY329" i="1"/>
  <c r="AZ329" i="1"/>
  <c r="BA329" i="1"/>
  <c r="BB329" i="1"/>
  <c r="BC329" i="1"/>
  <c r="BD329" i="1"/>
  <c r="BE329" i="1"/>
  <c r="BF329" i="1"/>
  <c r="BG329" i="1"/>
  <c r="BH329" i="1"/>
  <c r="AQ330" i="1"/>
  <c r="AR330" i="1"/>
  <c r="AS330" i="1"/>
  <c r="AT330" i="1"/>
  <c r="AU330" i="1"/>
  <c r="AV330" i="1"/>
  <c r="AW330" i="1"/>
  <c r="AX330" i="1"/>
  <c r="AY330" i="1"/>
  <c r="AZ330" i="1"/>
  <c r="BA330" i="1"/>
  <c r="BB330" i="1"/>
  <c r="BC330" i="1"/>
  <c r="BD330" i="1"/>
  <c r="BE330" i="1"/>
  <c r="BF330" i="1"/>
  <c r="BG330" i="1"/>
  <c r="BH330" i="1"/>
  <c r="AQ331" i="1"/>
  <c r="AR331" i="1"/>
  <c r="AS331" i="1"/>
  <c r="AT331" i="1"/>
  <c r="AU331" i="1"/>
  <c r="AV331" i="1"/>
  <c r="AW331" i="1"/>
  <c r="AX331" i="1"/>
  <c r="AY331" i="1"/>
  <c r="AZ331" i="1"/>
  <c r="BA331" i="1"/>
  <c r="BB331" i="1"/>
  <c r="BC331" i="1"/>
  <c r="BD331" i="1"/>
  <c r="BE331" i="1"/>
  <c r="BF331" i="1"/>
  <c r="BG331" i="1"/>
  <c r="BH331" i="1"/>
  <c r="AQ332" i="1"/>
  <c r="AR332" i="1"/>
  <c r="AS332" i="1"/>
  <c r="AT332" i="1"/>
  <c r="AU332" i="1"/>
  <c r="AV332" i="1"/>
  <c r="AW332" i="1"/>
  <c r="AX332" i="1"/>
  <c r="AY332" i="1"/>
  <c r="AZ332" i="1"/>
  <c r="BA332" i="1"/>
  <c r="BB332" i="1"/>
  <c r="BC332" i="1"/>
  <c r="BD332" i="1"/>
  <c r="BE332" i="1"/>
  <c r="BF332" i="1"/>
  <c r="BG332" i="1"/>
  <c r="BH332" i="1"/>
  <c r="AQ333" i="1"/>
  <c r="AR333" i="1"/>
  <c r="AS333" i="1"/>
  <c r="AT333" i="1"/>
  <c r="AU333" i="1"/>
  <c r="AV333" i="1"/>
  <c r="AW333" i="1"/>
  <c r="AX333" i="1"/>
  <c r="AY333" i="1"/>
  <c r="AZ333" i="1"/>
  <c r="BA333" i="1"/>
  <c r="BB333" i="1"/>
  <c r="BC333" i="1"/>
  <c r="BD333" i="1"/>
  <c r="BE333" i="1"/>
  <c r="BF333" i="1"/>
  <c r="BG333" i="1"/>
  <c r="BH333" i="1"/>
  <c r="AQ334" i="1"/>
  <c r="AR334" i="1"/>
  <c r="AS334" i="1"/>
  <c r="AT334" i="1"/>
  <c r="AU334" i="1"/>
  <c r="AV334" i="1"/>
  <c r="AW334" i="1"/>
  <c r="AX334" i="1"/>
  <c r="AY334" i="1"/>
  <c r="AZ334" i="1"/>
  <c r="BA334" i="1"/>
  <c r="BB334" i="1"/>
  <c r="BC334" i="1"/>
  <c r="BD334" i="1"/>
  <c r="BE334" i="1"/>
  <c r="BF334" i="1"/>
  <c r="BG334" i="1"/>
  <c r="BH334" i="1"/>
  <c r="AQ335" i="1"/>
  <c r="AR335" i="1"/>
  <c r="AS335" i="1"/>
  <c r="AT335" i="1"/>
  <c r="AU335" i="1"/>
  <c r="AV335" i="1"/>
  <c r="AW335" i="1"/>
  <c r="AX335" i="1"/>
  <c r="AY335" i="1"/>
  <c r="AZ335" i="1"/>
  <c r="BA335" i="1"/>
  <c r="BB335" i="1"/>
  <c r="BC335" i="1"/>
  <c r="BD335" i="1"/>
  <c r="BE335" i="1"/>
  <c r="BF335" i="1"/>
  <c r="BG335" i="1"/>
  <c r="BH335" i="1"/>
  <c r="AQ336" i="1"/>
  <c r="AR336" i="1"/>
  <c r="AS336" i="1"/>
  <c r="AT336" i="1"/>
  <c r="AU336" i="1"/>
  <c r="AV336" i="1"/>
  <c r="AW336" i="1"/>
  <c r="AX336" i="1"/>
  <c r="AY336" i="1"/>
  <c r="AZ336" i="1"/>
  <c r="BA336" i="1"/>
  <c r="BB336" i="1"/>
  <c r="BC336" i="1"/>
  <c r="BD336" i="1"/>
  <c r="BE336" i="1"/>
  <c r="BF336" i="1"/>
  <c r="BG336" i="1"/>
  <c r="BH336" i="1"/>
  <c r="AQ337" i="1"/>
  <c r="AR337" i="1"/>
  <c r="AS337" i="1"/>
  <c r="AT337" i="1"/>
  <c r="AU337" i="1"/>
  <c r="AV337" i="1"/>
  <c r="AW337" i="1"/>
  <c r="AX337" i="1"/>
  <c r="AY337" i="1"/>
  <c r="AZ337" i="1"/>
  <c r="BA337" i="1"/>
  <c r="BB337" i="1"/>
  <c r="BC337" i="1"/>
  <c r="BD337" i="1"/>
  <c r="BE337" i="1"/>
  <c r="BF337" i="1"/>
  <c r="BG337" i="1"/>
  <c r="BH337" i="1"/>
  <c r="AQ338" i="1"/>
  <c r="AR338" i="1"/>
  <c r="AS338" i="1"/>
  <c r="AT338" i="1"/>
  <c r="AU338" i="1"/>
  <c r="AV338" i="1"/>
  <c r="AW338" i="1"/>
  <c r="AX338" i="1"/>
  <c r="AY338" i="1"/>
  <c r="AZ338" i="1"/>
  <c r="BA338" i="1"/>
  <c r="BB338" i="1"/>
  <c r="BC338" i="1"/>
  <c r="BD338" i="1"/>
  <c r="BE338" i="1"/>
  <c r="BF338" i="1"/>
  <c r="BG338" i="1"/>
  <c r="BH338" i="1"/>
  <c r="AQ339" i="1"/>
  <c r="AR339" i="1"/>
  <c r="AS339" i="1"/>
  <c r="AT339" i="1"/>
  <c r="AU339" i="1"/>
  <c r="AV339" i="1"/>
  <c r="AW339" i="1"/>
  <c r="AX339" i="1"/>
  <c r="AY339" i="1"/>
  <c r="AZ339" i="1"/>
  <c r="BA339" i="1"/>
  <c r="BB339" i="1"/>
  <c r="BC339" i="1"/>
  <c r="BD339" i="1"/>
  <c r="BE339" i="1"/>
  <c r="BF339" i="1"/>
  <c r="BG339" i="1"/>
  <c r="BH339" i="1"/>
  <c r="AQ340" i="1"/>
  <c r="AR340" i="1"/>
  <c r="AS340" i="1"/>
  <c r="AT340" i="1"/>
  <c r="AU340" i="1"/>
  <c r="AV340" i="1"/>
  <c r="AW340" i="1"/>
  <c r="AX340" i="1"/>
  <c r="AY340" i="1"/>
  <c r="AZ340" i="1"/>
  <c r="BA340" i="1"/>
  <c r="BB340" i="1"/>
  <c r="BC340" i="1"/>
  <c r="BD340" i="1"/>
  <c r="BE340" i="1"/>
  <c r="BF340" i="1"/>
  <c r="BG340" i="1"/>
  <c r="BH340" i="1"/>
  <c r="AQ341" i="1"/>
  <c r="AR341" i="1"/>
  <c r="AS341" i="1"/>
  <c r="AT341" i="1"/>
  <c r="AU341" i="1"/>
  <c r="AV341" i="1"/>
  <c r="AW341" i="1"/>
  <c r="AX341" i="1"/>
  <c r="AY341" i="1"/>
  <c r="AZ341" i="1"/>
  <c r="BA341" i="1"/>
  <c r="BB341" i="1"/>
  <c r="BC341" i="1"/>
  <c r="BD341" i="1"/>
  <c r="BE341" i="1"/>
  <c r="BF341" i="1"/>
  <c r="BG341" i="1"/>
  <c r="BH341" i="1"/>
  <c r="AQ342" i="1"/>
  <c r="AR342" i="1"/>
  <c r="AS342" i="1"/>
  <c r="AT342" i="1"/>
  <c r="AU342" i="1"/>
  <c r="AV342" i="1"/>
  <c r="AW342" i="1"/>
  <c r="AX342" i="1"/>
  <c r="AY342" i="1"/>
  <c r="AZ342" i="1"/>
  <c r="BA342" i="1"/>
  <c r="BB342" i="1"/>
  <c r="BC342" i="1"/>
  <c r="BD342" i="1"/>
  <c r="BE342" i="1"/>
  <c r="BF342" i="1"/>
  <c r="BG342" i="1"/>
  <c r="BH342" i="1"/>
  <c r="AQ343" i="1"/>
  <c r="AR343" i="1"/>
  <c r="AS343" i="1"/>
  <c r="AT343" i="1"/>
  <c r="AU343" i="1"/>
  <c r="AV343" i="1"/>
  <c r="AW343" i="1"/>
  <c r="AX343" i="1"/>
  <c r="AY343" i="1"/>
  <c r="AZ343" i="1"/>
  <c r="BA343" i="1"/>
  <c r="BB343" i="1"/>
  <c r="BC343" i="1"/>
  <c r="BD343" i="1"/>
  <c r="BE343" i="1"/>
  <c r="BF343" i="1"/>
  <c r="BG343" i="1"/>
  <c r="BH343" i="1"/>
  <c r="AQ344" i="1"/>
  <c r="AR344" i="1"/>
  <c r="AS344" i="1"/>
  <c r="AT344" i="1"/>
  <c r="AU344" i="1"/>
  <c r="AV344" i="1"/>
  <c r="AW344" i="1"/>
  <c r="AX344" i="1"/>
  <c r="AY344" i="1"/>
  <c r="AZ344" i="1"/>
  <c r="BA344" i="1"/>
  <c r="BB344" i="1"/>
  <c r="BC344" i="1"/>
  <c r="BD344" i="1"/>
  <c r="BE344" i="1"/>
  <c r="BF344" i="1"/>
  <c r="BG344" i="1"/>
  <c r="BH344" i="1"/>
  <c r="AQ345" i="1"/>
  <c r="AR345" i="1"/>
  <c r="AS345" i="1"/>
  <c r="AT345" i="1"/>
  <c r="AU345" i="1"/>
  <c r="AV345" i="1"/>
  <c r="AW345" i="1"/>
  <c r="AX345" i="1"/>
  <c r="AY345" i="1"/>
  <c r="AZ345" i="1"/>
  <c r="BA345" i="1"/>
  <c r="BB345" i="1"/>
  <c r="BC345" i="1"/>
  <c r="BD345" i="1"/>
  <c r="BE345" i="1"/>
  <c r="BF345" i="1"/>
  <c r="BG345" i="1"/>
  <c r="BH345" i="1"/>
  <c r="AQ346" i="1"/>
  <c r="AR346" i="1"/>
  <c r="AS346" i="1"/>
  <c r="AT346" i="1"/>
  <c r="AU346" i="1"/>
  <c r="AV346" i="1"/>
  <c r="AW346" i="1"/>
  <c r="AX346" i="1"/>
  <c r="AY346" i="1"/>
  <c r="AZ346" i="1"/>
  <c r="BA346" i="1"/>
  <c r="BB346" i="1"/>
  <c r="BC346" i="1"/>
  <c r="BD346" i="1"/>
  <c r="BE346" i="1"/>
  <c r="BF346" i="1"/>
  <c r="BG346" i="1"/>
  <c r="BH346" i="1"/>
  <c r="AQ347" i="1"/>
  <c r="AR347" i="1"/>
  <c r="AS347" i="1"/>
  <c r="AT347" i="1"/>
  <c r="AU347" i="1"/>
  <c r="AV347" i="1"/>
  <c r="AW347" i="1"/>
  <c r="AX347" i="1"/>
  <c r="AY347" i="1"/>
  <c r="AZ347" i="1"/>
  <c r="BA347" i="1"/>
  <c r="BB347" i="1"/>
  <c r="BC347" i="1"/>
  <c r="BD347" i="1"/>
  <c r="BE347" i="1"/>
  <c r="BF347" i="1"/>
  <c r="BG347" i="1"/>
  <c r="BH347" i="1"/>
  <c r="AQ348" i="1"/>
  <c r="AR348" i="1"/>
  <c r="AS348" i="1"/>
  <c r="AT348" i="1"/>
  <c r="AU348" i="1"/>
  <c r="AV348" i="1"/>
  <c r="AW348" i="1"/>
  <c r="AX348" i="1"/>
  <c r="AY348" i="1"/>
  <c r="AZ348" i="1"/>
  <c r="BA348" i="1"/>
  <c r="BB348" i="1"/>
  <c r="BC348" i="1"/>
  <c r="BD348" i="1"/>
  <c r="BE348" i="1"/>
  <c r="BF348" i="1"/>
  <c r="BG348" i="1"/>
  <c r="BH348" i="1"/>
  <c r="AQ349" i="1"/>
  <c r="AR349" i="1"/>
  <c r="AS349" i="1"/>
  <c r="AT349" i="1"/>
  <c r="AU349" i="1"/>
  <c r="AV349" i="1"/>
  <c r="AW349" i="1"/>
  <c r="AX349" i="1"/>
  <c r="AY349" i="1"/>
  <c r="AZ349" i="1"/>
  <c r="BA349" i="1"/>
  <c r="BB349" i="1"/>
  <c r="BC349" i="1"/>
  <c r="BD349" i="1"/>
  <c r="BE349" i="1"/>
  <c r="BF349" i="1"/>
  <c r="BG349" i="1"/>
  <c r="BH349" i="1"/>
  <c r="AQ350" i="1"/>
  <c r="AR350" i="1"/>
  <c r="AS350" i="1"/>
  <c r="AT350" i="1"/>
  <c r="AU350" i="1"/>
  <c r="AV350" i="1"/>
  <c r="AW350" i="1"/>
  <c r="AX350" i="1"/>
  <c r="AY350" i="1"/>
  <c r="AZ350" i="1"/>
  <c r="BA350" i="1"/>
  <c r="BB350" i="1"/>
  <c r="BC350" i="1"/>
  <c r="BD350" i="1"/>
  <c r="BE350" i="1"/>
  <c r="BF350" i="1"/>
  <c r="BG350" i="1"/>
  <c r="BH350" i="1"/>
  <c r="AQ351" i="1"/>
  <c r="AR351" i="1"/>
  <c r="AS351" i="1"/>
  <c r="AT351" i="1"/>
  <c r="AU351" i="1"/>
  <c r="AV351" i="1"/>
  <c r="AW351" i="1"/>
  <c r="AX351" i="1"/>
  <c r="AY351" i="1"/>
  <c r="AZ351" i="1"/>
  <c r="BA351" i="1"/>
  <c r="BB351" i="1"/>
  <c r="BC351" i="1"/>
  <c r="BD351" i="1"/>
  <c r="BE351" i="1"/>
  <c r="BF351" i="1"/>
  <c r="BG351" i="1"/>
  <c r="BH351" i="1"/>
  <c r="AQ352" i="1"/>
  <c r="AR352" i="1"/>
  <c r="AS352" i="1"/>
  <c r="AT352" i="1"/>
  <c r="AU352" i="1"/>
  <c r="AV352" i="1"/>
  <c r="AW352" i="1"/>
  <c r="AX352" i="1"/>
  <c r="AY352" i="1"/>
  <c r="AZ352" i="1"/>
  <c r="BA352" i="1"/>
  <c r="BB352" i="1"/>
  <c r="BC352" i="1"/>
  <c r="BD352" i="1"/>
  <c r="BE352" i="1"/>
  <c r="BF352" i="1"/>
  <c r="BG352" i="1"/>
  <c r="BH352" i="1"/>
  <c r="AQ353" i="1"/>
  <c r="AR353" i="1"/>
  <c r="AS353" i="1"/>
  <c r="AT353" i="1"/>
  <c r="AU353" i="1"/>
  <c r="AV353" i="1"/>
  <c r="AW353" i="1"/>
  <c r="AX353" i="1"/>
  <c r="AY353" i="1"/>
  <c r="AZ353" i="1"/>
  <c r="BA353" i="1"/>
  <c r="BB353" i="1"/>
  <c r="BC353" i="1"/>
  <c r="BD353" i="1"/>
  <c r="BE353" i="1"/>
  <c r="BF353" i="1"/>
  <c r="BG353" i="1"/>
  <c r="BH353" i="1"/>
  <c r="AQ354" i="1"/>
  <c r="AR354" i="1"/>
  <c r="AS354" i="1"/>
  <c r="AT354" i="1"/>
  <c r="AU354" i="1"/>
  <c r="AV354" i="1"/>
  <c r="AW354" i="1"/>
  <c r="AX354" i="1"/>
  <c r="AY354" i="1"/>
  <c r="AZ354" i="1"/>
  <c r="BA354" i="1"/>
  <c r="BB354" i="1"/>
  <c r="BC354" i="1"/>
  <c r="BD354" i="1"/>
  <c r="BE354" i="1"/>
  <c r="BF354" i="1"/>
  <c r="BG354" i="1"/>
  <c r="BH354" i="1"/>
  <c r="AQ355" i="1"/>
  <c r="AR355" i="1"/>
  <c r="AS355" i="1"/>
  <c r="AT355" i="1"/>
  <c r="AU355" i="1"/>
  <c r="AV355" i="1"/>
  <c r="AW355" i="1"/>
  <c r="AX355" i="1"/>
  <c r="AY355" i="1"/>
  <c r="AZ355" i="1"/>
  <c r="BA355" i="1"/>
  <c r="BB355" i="1"/>
  <c r="BC355" i="1"/>
  <c r="BD355" i="1"/>
  <c r="BE355" i="1"/>
  <c r="BF355" i="1"/>
  <c r="BG355" i="1"/>
  <c r="BH355" i="1"/>
  <c r="AQ356" i="1"/>
  <c r="AR356" i="1"/>
  <c r="AS356" i="1"/>
  <c r="AT356" i="1"/>
  <c r="AU356" i="1"/>
  <c r="AV356" i="1"/>
  <c r="AW356" i="1"/>
  <c r="AX356" i="1"/>
  <c r="AY356" i="1"/>
  <c r="AZ356" i="1"/>
  <c r="BA356" i="1"/>
  <c r="BB356" i="1"/>
  <c r="BC356" i="1"/>
  <c r="BD356" i="1"/>
  <c r="BE356" i="1"/>
  <c r="BF356" i="1"/>
  <c r="BG356" i="1"/>
  <c r="BH356" i="1"/>
  <c r="AQ357" i="1"/>
  <c r="AR357" i="1"/>
  <c r="AS357" i="1"/>
  <c r="AT357" i="1"/>
  <c r="AU357" i="1"/>
  <c r="AV357" i="1"/>
  <c r="AW357" i="1"/>
  <c r="AX357" i="1"/>
  <c r="AY357" i="1"/>
  <c r="AZ357" i="1"/>
  <c r="BA357" i="1"/>
  <c r="BB357" i="1"/>
  <c r="BC357" i="1"/>
  <c r="BD357" i="1"/>
  <c r="BE357" i="1"/>
  <c r="BF357" i="1"/>
  <c r="BG357" i="1"/>
  <c r="BH357" i="1"/>
  <c r="AQ358" i="1"/>
  <c r="AR358" i="1"/>
  <c r="AS358" i="1"/>
  <c r="AT358" i="1"/>
  <c r="AU358" i="1"/>
  <c r="AV358" i="1"/>
  <c r="AW358" i="1"/>
  <c r="AX358" i="1"/>
  <c r="AY358" i="1"/>
  <c r="AZ358" i="1"/>
  <c r="BA358" i="1"/>
  <c r="BB358" i="1"/>
  <c r="BC358" i="1"/>
  <c r="BD358" i="1"/>
  <c r="BE358" i="1"/>
  <c r="BF358" i="1"/>
  <c r="BG358" i="1"/>
  <c r="BH358" i="1"/>
  <c r="AQ359" i="1"/>
  <c r="AR359" i="1"/>
  <c r="AS359" i="1"/>
  <c r="AT359" i="1"/>
  <c r="AU359" i="1"/>
  <c r="AV359" i="1"/>
  <c r="AW359" i="1"/>
  <c r="AX359" i="1"/>
  <c r="AY359" i="1"/>
  <c r="AZ359" i="1"/>
  <c r="BA359" i="1"/>
  <c r="BB359" i="1"/>
  <c r="BC359" i="1"/>
  <c r="BD359" i="1"/>
  <c r="BE359" i="1"/>
  <c r="BF359" i="1"/>
  <c r="BG359" i="1"/>
  <c r="BH359" i="1"/>
  <c r="AQ360" i="1"/>
  <c r="AR360" i="1"/>
  <c r="AS360" i="1"/>
  <c r="AT360" i="1"/>
  <c r="AU360" i="1"/>
  <c r="AV360" i="1"/>
  <c r="AW360" i="1"/>
  <c r="AX360" i="1"/>
  <c r="AY360" i="1"/>
  <c r="AZ360" i="1"/>
  <c r="BA360" i="1"/>
  <c r="BB360" i="1"/>
  <c r="BC360" i="1"/>
  <c r="BD360" i="1"/>
  <c r="BE360" i="1"/>
  <c r="BF360" i="1"/>
  <c r="BG360" i="1"/>
  <c r="BH360" i="1"/>
  <c r="AQ361" i="1"/>
  <c r="AR361" i="1"/>
  <c r="AS361" i="1"/>
  <c r="AT361" i="1"/>
  <c r="AU361" i="1"/>
  <c r="AV361" i="1"/>
  <c r="AW361" i="1"/>
  <c r="AX361" i="1"/>
  <c r="AY361" i="1"/>
  <c r="AZ361" i="1"/>
  <c r="BA361" i="1"/>
  <c r="BB361" i="1"/>
  <c r="BC361" i="1"/>
  <c r="BD361" i="1"/>
  <c r="BE361" i="1"/>
  <c r="BF361" i="1"/>
  <c r="BG361" i="1"/>
  <c r="BH361" i="1"/>
  <c r="AQ362" i="1"/>
  <c r="AR362" i="1"/>
  <c r="AS362" i="1"/>
  <c r="AT362" i="1"/>
  <c r="AU362" i="1"/>
  <c r="AV362" i="1"/>
  <c r="AW362" i="1"/>
  <c r="AX362" i="1"/>
  <c r="AY362" i="1"/>
  <c r="AZ362" i="1"/>
  <c r="BA362" i="1"/>
  <c r="BB362" i="1"/>
  <c r="BC362" i="1"/>
  <c r="BD362" i="1"/>
  <c r="BE362" i="1"/>
  <c r="BF362" i="1"/>
  <c r="BG362" i="1"/>
  <c r="BH362" i="1"/>
  <c r="AQ363" i="1"/>
  <c r="AR363" i="1"/>
  <c r="AS363" i="1"/>
  <c r="AT363" i="1"/>
  <c r="AU363" i="1"/>
  <c r="AV363" i="1"/>
  <c r="AW363" i="1"/>
  <c r="AX363" i="1"/>
  <c r="AY363" i="1"/>
  <c r="AZ363" i="1"/>
  <c r="BA363" i="1"/>
  <c r="BB363" i="1"/>
  <c r="BC363" i="1"/>
  <c r="BD363" i="1"/>
  <c r="BE363" i="1"/>
  <c r="BF363" i="1"/>
  <c r="BG363" i="1"/>
  <c r="BH363" i="1"/>
  <c r="AQ364" i="1"/>
  <c r="AR364" i="1"/>
  <c r="AS364" i="1"/>
  <c r="AT364" i="1"/>
  <c r="AU364" i="1"/>
  <c r="AV364" i="1"/>
  <c r="AW364" i="1"/>
  <c r="AX364" i="1"/>
  <c r="AY364" i="1"/>
  <c r="AZ364" i="1"/>
  <c r="BA364" i="1"/>
  <c r="BB364" i="1"/>
  <c r="BC364" i="1"/>
  <c r="BD364" i="1"/>
  <c r="BE364" i="1"/>
  <c r="BF364" i="1"/>
  <c r="BG364" i="1"/>
  <c r="BH364" i="1"/>
  <c r="AQ365" i="1"/>
  <c r="AR365" i="1"/>
  <c r="AS365" i="1"/>
  <c r="AT365" i="1"/>
  <c r="AU365" i="1"/>
  <c r="AV365" i="1"/>
  <c r="AW365" i="1"/>
  <c r="AX365" i="1"/>
  <c r="AY365" i="1"/>
  <c r="AZ365" i="1"/>
  <c r="BA365" i="1"/>
  <c r="BB365" i="1"/>
  <c r="BC365" i="1"/>
  <c r="BD365" i="1"/>
  <c r="BE365" i="1"/>
  <c r="BF365" i="1"/>
  <c r="BG365" i="1"/>
  <c r="BH365" i="1"/>
  <c r="AQ366" i="1"/>
  <c r="AR366" i="1"/>
  <c r="AS366" i="1"/>
  <c r="AT366" i="1"/>
  <c r="AU366" i="1"/>
  <c r="AV366" i="1"/>
  <c r="AW366" i="1"/>
  <c r="AX366" i="1"/>
  <c r="AY366" i="1"/>
  <c r="AZ366" i="1"/>
  <c r="BA366" i="1"/>
  <c r="BB366" i="1"/>
  <c r="BC366" i="1"/>
  <c r="BD366" i="1"/>
  <c r="BE366" i="1"/>
  <c r="BF366" i="1"/>
  <c r="BG366" i="1"/>
  <c r="BH366" i="1"/>
  <c r="AQ367" i="1"/>
  <c r="AR367" i="1"/>
  <c r="AS367" i="1"/>
  <c r="AT367" i="1"/>
  <c r="AU367" i="1"/>
  <c r="AV367" i="1"/>
  <c r="AW367" i="1"/>
  <c r="AX367" i="1"/>
  <c r="AY367" i="1"/>
  <c r="AZ367" i="1"/>
  <c r="BA367" i="1"/>
  <c r="BB367" i="1"/>
  <c r="BC367" i="1"/>
  <c r="BD367" i="1"/>
  <c r="BE367" i="1"/>
  <c r="BF367" i="1"/>
  <c r="BG367" i="1"/>
  <c r="BH367" i="1"/>
  <c r="AQ368" i="1"/>
  <c r="AR368" i="1"/>
  <c r="AS368" i="1"/>
  <c r="AT368" i="1"/>
  <c r="AU368" i="1"/>
  <c r="AV368" i="1"/>
  <c r="AW368" i="1"/>
  <c r="AX368" i="1"/>
  <c r="AY368" i="1"/>
  <c r="AZ368" i="1"/>
  <c r="BA368" i="1"/>
  <c r="BB368" i="1"/>
  <c r="BC368" i="1"/>
  <c r="BD368" i="1"/>
  <c r="BE368" i="1"/>
  <c r="BF368" i="1"/>
  <c r="BG368" i="1"/>
  <c r="BH368" i="1"/>
  <c r="AQ369" i="1"/>
  <c r="AR369" i="1"/>
  <c r="AS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AQ370" i="1"/>
  <c r="AR370" i="1"/>
  <c r="AS370" i="1"/>
  <c r="AT370" i="1"/>
  <c r="AU370" i="1"/>
  <c r="AV370" i="1"/>
  <c r="AW370" i="1"/>
  <c r="AX370" i="1"/>
  <c r="AY370" i="1"/>
  <c r="AZ370" i="1"/>
  <c r="BA370" i="1"/>
  <c r="BB370" i="1"/>
  <c r="BC370" i="1"/>
  <c r="BD370" i="1"/>
  <c r="BE370" i="1"/>
  <c r="BF370" i="1"/>
  <c r="BG370" i="1"/>
  <c r="BH370" i="1"/>
  <c r="AQ371" i="1"/>
  <c r="AR371" i="1"/>
  <c r="AS371" i="1"/>
  <c r="AT371" i="1"/>
  <c r="AU371" i="1"/>
  <c r="AV371" i="1"/>
  <c r="AW371" i="1"/>
  <c r="AX371" i="1"/>
  <c r="AY371" i="1"/>
  <c r="AZ371" i="1"/>
  <c r="BA371" i="1"/>
  <c r="BB371" i="1"/>
  <c r="BC371" i="1"/>
  <c r="BD371" i="1"/>
  <c r="BE371" i="1"/>
  <c r="BF371" i="1"/>
  <c r="BG371" i="1"/>
  <c r="BH371" i="1"/>
  <c r="AQ372" i="1"/>
  <c r="AR372" i="1"/>
  <c r="AS372" i="1"/>
  <c r="AT372" i="1"/>
  <c r="AU372" i="1"/>
  <c r="AV372" i="1"/>
  <c r="AW372" i="1"/>
  <c r="AX372" i="1"/>
  <c r="AY372" i="1"/>
  <c r="AZ372" i="1"/>
  <c r="BA372" i="1"/>
  <c r="BB372" i="1"/>
  <c r="BC372" i="1"/>
  <c r="BD372" i="1"/>
  <c r="BE372" i="1"/>
  <c r="BF372" i="1"/>
  <c r="BG372" i="1"/>
  <c r="BH372" i="1"/>
  <c r="AQ373" i="1"/>
  <c r="AR373" i="1"/>
  <c r="AS373" i="1"/>
  <c r="AT373" i="1"/>
  <c r="AU373" i="1"/>
  <c r="AV373" i="1"/>
  <c r="AW373" i="1"/>
  <c r="AX373" i="1"/>
  <c r="AY373" i="1"/>
  <c r="AZ373" i="1"/>
  <c r="BA373" i="1"/>
  <c r="BB373" i="1"/>
  <c r="BC373" i="1"/>
  <c r="BD373" i="1"/>
  <c r="BE373" i="1"/>
  <c r="BF373" i="1"/>
  <c r="BG373" i="1"/>
  <c r="BH373" i="1"/>
  <c r="AQ374" i="1"/>
  <c r="AR374" i="1"/>
  <c r="AS374" i="1"/>
  <c r="AT374" i="1"/>
  <c r="AU374" i="1"/>
  <c r="AV374" i="1"/>
  <c r="AW374" i="1"/>
  <c r="AX374" i="1"/>
  <c r="AY374" i="1"/>
  <c r="AZ374" i="1"/>
  <c r="BA374" i="1"/>
  <c r="BB374" i="1"/>
  <c r="BC374" i="1"/>
  <c r="BD374" i="1"/>
  <c r="BE374" i="1"/>
  <c r="BF374" i="1"/>
  <c r="BG374" i="1"/>
  <c r="BH374" i="1"/>
  <c r="AQ375" i="1"/>
  <c r="AR375" i="1"/>
  <c r="AS375" i="1"/>
  <c r="AT375" i="1"/>
  <c r="AU375" i="1"/>
  <c r="AV375" i="1"/>
  <c r="AW375" i="1"/>
  <c r="AX375" i="1"/>
  <c r="AY375" i="1"/>
  <c r="AZ375" i="1"/>
  <c r="BA375" i="1"/>
  <c r="BB375" i="1"/>
  <c r="BC375" i="1"/>
  <c r="BD375" i="1"/>
  <c r="BE375" i="1"/>
  <c r="BF375" i="1"/>
  <c r="BG375" i="1"/>
  <c r="BH375" i="1"/>
  <c r="AQ376" i="1"/>
  <c r="AR376" i="1"/>
  <c r="AS376" i="1"/>
  <c r="AT376" i="1"/>
  <c r="AU376" i="1"/>
  <c r="AV376" i="1"/>
  <c r="AW376" i="1"/>
  <c r="AX376" i="1"/>
  <c r="AY376" i="1"/>
  <c r="AZ376" i="1"/>
  <c r="BA376" i="1"/>
  <c r="BB376" i="1"/>
  <c r="BC376" i="1"/>
  <c r="BD376" i="1"/>
  <c r="BE376" i="1"/>
  <c r="BF376" i="1"/>
  <c r="BG376" i="1"/>
  <c r="BH376" i="1"/>
  <c r="AQ377" i="1"/>
  <c r="AR377" i="1"/>
  <c r="AS377" i="1"/>
  <c r="AT377" i="1"/>
  <c r="AU377" i="1"/>
  <c r="AV377" i="1"/>
  <c r="AW377" i="1"/>
  <c r="AX377" i="1"/>
  <c r="AY377" i="1"/>
  <c r="AZ377" i="1"/>
  <c r="BA377" i="1"/>
  <c r="BB377" i="1"/>
  <c r="BC377" i="1"/>
  <c r="BD377" i="1"/>
  <c r="BE377" i="1"/>
  <c r="BF377" i="1"/>
  <c r="BG377" i="1"/>
  <c r="BH377" i="1"/>
  <c r="AQ378" i="1"/>
  <c r="AR378" i="1"/>
  <c r="AS378" i="1"/>
  <c r="AT378" i="1"/>
  <c r="AU378" i="1"/>
  <c r="AV378" i="1"/>
  <c r="AW378" i="1"/>
  <c r="AX378" i="1"/>
  <c r="AY378" i="1"/>
  <c r="AZ378" i="1"/>
  <c r="BA378" i="1"/>
  <c r="BB378" i="1"/>
  <c r="BC378" i="1"/>
  <c r="BD378" i="1"/>
  <c r="BE378" i="1"/>
  <c r="BF378" i="1"/>
  <c r="BG378" i="1"/>
  <c r="BH378" i="1"/>
  <c r="AQ379" i="1"/>
  <c r="AR379" i="1"/>
  <c r="AS379" i="1"/>
  <c r="AT379" i="1"/>
  <c r="AU379" i="1"/>
  <c r="AV379" i="1"/>
  <c r="AW379" i="1"/>
  <c r="AX379" i="1"/>
  <c r="AY379" i="1"/>
  <c r="AZ379" i="1"/>
  <c r="BA379" i="1"/>
  <c r="BB379" i="1"/>
  <c r="BC379" i="1"/>
  <c r="BD379" i="1"/>
  <c r="BE379" i="1"/>
  <c r="BF379" i="1"/>
  <c r="BG379" i="1"/>
  <c r="BH379" i="1"/>
  <c r="AQ380" i="1"/>
  <c r="AR380" i="1"/>
  <c r="AS380" i="1"/>
  <c r="AT380" i="1"/>
  <c r="AU380" i="1"/>
  <c r="AV380" i="1"/>
  <c r="AW380" i="1"/>
  <c r="AX380" i="1"/>
  <c r="AY380" i="1"/>
  <c r="AZ380" i="1"/>
  <c r="BA380" i="1"/>
  <c r="BB380" i="1"/>
  <c r="BC380" i="1"/>
  <c r="BD380" i="1"/>
  <c r="BE380" i="1"/>
  <c r="BF380" i="1"/>
  <c r="BG380" i="1"/>
  <c r="BH380" i="1"/>
  <c r="AQ381" i="1"/>
  <c r="AR381" i="1"/>
  <c r="AS381" i="1"/>
  <c r="AT381" i="1"/>
  <c r="AU381" i="1"/>
  <c r="AV381" i="1"/>
  <c r="AW381" i="1"/>
  <c r="AX381" i="1"/>
  <c r="AY381" i="1"/>
  <c r="AZ381" i="1"/>
  <c r="BA381" i="1"/>
  <c r="BB381" i="1"/>
  <c r="BC381" i="1"/>
  <c r="BD381" i="1"/>
  <c r="BE381" i="1"/>
  <c r="BF381" i="1"/>
  <c r="BG381" i="1"/>
  <c r="BH381" i="1"/>
  <c r="AQ382" i="1"/>
  <c r="AR382" i="1"/>
  <c r="AS382" i="1"/>
  <c r="AT382" i="1"/>
  <c r="AU382" i="1"/>
  <c r="AV382" i="1"/>
  <c r="AW382" i="1"/>
  <c r="AX382" i="1"/>
  <c r="AY382" i="1"/>
  <c r="AZ382" i="1"/>
  <c r="BA382" i="1"/>
  <c r="BB382" i="1"/>
  <c r="BC382" i="1"/>
  <c r="BD382" i="1"/>
  <c r="BE382" i="1"/>
  <c r="BF382" i="1"/>
  <c r="BG382" i="1"/>
  <c r="BH382" i="1"/>
  <c r="AQ383" i="1"/>
  <c r="AR383" i="1"/>
  <c r="AS383" i="1"/>
  <c r="AT383" i="1"/>
  <c r="AU383" i="1"/>
  <c r="AV383" i="1"/>
  <c r="AW383" i="1"/>
  <c r="AX383" i="1"/>
  <c r="AY383" i="1"/>
  <c r="AZ383" i="1"/>
  <c r="BA383" i="1"/>
  <c r="BB383" i="1"/>
  <c r="BC383" i="1"/>
  <c r="BD383" i="1"/>
  <c r="BE383" i="1"/>
  <c r="BF383" i="1"/>
  <c r="BG383" i="1"/>
  <c r="BH383" i="1"/>
  <c r="AQ384" i="1"/>
  <c r="AR384" i="1"/>
  <c r="AS384" i="1"/>
  <c r="AT384" i="1"/>
  <c r="AU384" i="1"/>
  <c r="AV384" i="1"/>
  <c r="AW384" i="1"/>
  <c r="AX384" i="1"/>
  <c r="AY384" i="1"/>
  <c r="AZ384" i="1"/>
  <c r="BA384" i="1"/>
  <c r="BB384" i="1"/>
  <c r="BC384" i="1"/>
  <c r="BD384" i="1"/>
  <c r="BE384" i="1"/>
  <c r="BF384" i="1"/>
  <c r="BG384" i="1"/>
  <c r="BH384" i="1"/>
  <c r="AQ385" i="1"/>
  <c r="AR385" i="1"/>
  <c r="AS385" i="1"/>
  <c r="AT385" i="1"/>
  <c r="AU385" i="1"/>
  <c r="AV385" i="1"/>
  <c r="AW385" i="1"/>
  <c r="AX385" i="1"/>
  <c r="AY385" i="1"/>
  <c r="AZ385" i="1"/>
  <c r="BA385" i="1"/>
  <c r="BB385" i="1"/>
  <c r="BC385" i="1"/>
  <c r="BD385" i="1"/>
  <c r="BE385" i="1"/>
  <c r="BF385" i="1"/>
  <c r="BG385" i="1"/>
  <c r="BH385" i="1"/>
  <c r="AQ386" i="1"/>
  <c r="AR386" i="1"/>
  <c r="AS386" i="1"/>
  <c r="AT386" i="1"/>
  <c r="AU386" i="1"/>
  <c r="AV386" i="1"/>
  <c r="AW386" i="1"/>
  <c r="AX386" i="1"/>
  <c r="AY386" i="1"/>
  <c r="AZ386" i="1"/>
  <c r="BA386" i="1"/>
  <c r="BB386" i="1"/>
  <c r="BC386" i="1"/>
  <c r="BD386" i="1"/>
  <c r="BE386" i="1"/>
  <c r="BF386" i="1"/>
  <c r="BG386" i="1"/>
  <c r="BH386" i="1"/>
  <c r="AQ387" i="1"/>
  <c r="AR387" i="1"/>
  <c r="AS387" i="1"/>
  <c r="AT387" i="1"/>
  <c r="AU387" i="1"/>
  <c r="AV387" i="1"/>
  <c r="AW387" i="1"/>
  <c r="AX387" i="1"/>
  <c r="AY387" i="1"/>
  <c r="AZ387" i="1"/>
  <c r="BA387" i="1"/>
  <c r="BB387" i="1"/>
  <c r="BC387" i="1"/>
  <c r="BD387" i="1"/>
  <c r="BE387" i="1"/>
  <c r="BF387" i="1"/>
  <c r="BG387" i="1"/>
  <c r="BH387" i="1"/>
  <c r="AQ388" i="1"/>
  <c r="AR388" i="1"/>
  <c r="AS388" i="1"/>
  <c r="AT388" i="1"/>
  <c r="AU388" i="1"/>
  <c r="AV388" i="1"/>
  <c r="AW388" i="1"/>
  <c r="AX388" i="1"/>
  <c r="AY388" i="1"/>
  <c r="AZ388" i="1"/>
  <c r="BA388" i="1"/>
  <c r="BB388" i="1"/>
  <c r="BC388" i="1"/>
  <c r="BD388" i="1"/>
  <c r="BE388" i="1"/>
  <c r="BF388" i="1"/>
  <c r="BG388" i="1"/>
  <c r="BH388" i="1"/>
  <c r="AQ389" i="1"/>
  <c r="AR389" i="1"/>
  <c r="AS389" i="1"/>
  <c r="AT389" i="1"/>
  <c r="AU389" i="1"/>
  <c r="AV389" i="1"/>
  <c r="AW389" i="1"/>
  <c r="AX389" i="1"/>
  <c r="AY389" i="1"/>
  <c r="AZ389" i="1"/>
  <c r="BA389" i="1"/>
  <c r="BB389" i="1"/>
  <c r="BC389" i="1"/>
  <c r="BD389" i="1"/>
  <c r="BE389" i="1"/>
  <c r="BF389" i="1"/>
  <c r="BG389" i="1"/>
  <c r="BH389" i="1"/>
  <c r="AQ390" i="1"/>
  <c r="AR390" i="1"/>
  <c r="AS390" i="1"/>
  <c r="AT390" i="1"/>
  <c r="AU390" i="1"/>
  <c r="AV390" i="1"/>
  <c r="AW390" i="1"/>
  <c r="AX390" i="1"/>
  <c r="AY390" i="1"/>
  <c r="AZ390" i="1"/>
  <c r="BA390" i="1"/>
  <c r="BB390" i="1"/>
  <c r="BC390" i="1"/>
  <c r="BD390" i="1"/>
  <c r="BE390" i="1"/>
  <c r="BF390" i="1"/>
  <c r="BG390" i="1"/>
  <c r="BH390" i="1"/>
  <c r="AQ391" i="1"/>
  <c r="AR391" i="1"/>
  <c r="AS391" i="1"/>
  <c r="AT391" i="1"/>
  <c r="AU391" i="1"/>
  <c r="AV391" i="1"/>
  <c r="AW391" i="1"/>
  <c r="AX391" i="1"/>
  <c r="AY391" i="1"/>
  <c r="AZ391" i="1"/>
  <c r="BA391" i="1"/>
  <c r="BB391" i="1"/>
  <c r="BC391" i="1"/>
  <c r="BD391" i="1"/>
  <c r="BE391" i="1"/>
  <c r="BF391" i="1"/>
  <c r="BG391" i="1"/>
  <c r="BH391" i="1"/>
  <c r="AQ392" i="1"/>
  <c r="AR392" i="1"/>
  <c r="AS392" i="1"/>
  <c r="AT392" i="1"/>
  <c r="AU392" i="1"/>
  <c r="AV392" i="1"/>
  <c r="AW392" i="1"/>
  <c r="AX392" i="1"/>
  <c r="AY392" i="1"/>
  <c r="AZ392" i="1"/>
  <c r="BA392" i="1"/>
  <c r="BB392" i="1"/>
  <c r="BC392" i="1"/>
  <c r="BD392" i="1"/>
  <c r="BE392" i="1"/>
  <c r="BF392" i="1"/>
  <c r="BG392" i="1"/>
  <c r="BH392" i="1"/>
  <c r="AQ393" i="1"/>
  <c r="AR393" i="1"/>
  <c r="AS393" i="1"/>
  <c r="AT393" i="1"/>
  <c r="AU393" i="1"/>
  <c r="AV393" i="1"/>
  <c r="AW393" i="1"/>
  <c r="AX393" i="1"/>
  <c r="AY393" i="1"/>
  <c r="AZ393" i="1"/>
  <c r="BA393" i="1"/>
  <c r="BB393" i="1"/>
  <c r="BC393" i="1"/>
  <c r="BD393" i="1"/>
  <c r="BE393" i="1"/>
  <c r="BF393" i="1"/>
  <c r="BG393" i="1"/>
  <c r="BH393" i="1"/>
  <c r="AQ394" i="1"/>
  <c r="AR394" i="1"/>
  <c r="AS394" i="1"/>
  <c r="AT394" i="1"/>
  <c r="AU394" i="1"/>
  <c r="AV394" i="1"/>
  <c r="AW394" i="1"/>
  <c r="AX394" i="1"/>
  <c r="AY394" i="1"/>
  <c r="AZ394" i="1"/>
  <c r="BA394" i="1"/>
  <c r="BB394" i="1"/>
  <c r="BC394" i="1"/>
  <c r="BD394" i="1"/>
  <c r="BE394" i="1"/>
  <c r="BF394" i="1"/>
  <c r="BG394" i="1"/>
  <c r="BH394" i="1"/>
  <c r="AQ395" i="1"/>
  <c r="AR395" i="1"/>
  <c r="AS395" i="1"/>
  <c r="AT395" i="1"/>
  <c r="AU395" i="1"/>
  <c r="AV395" i="1"/>
  <c r="AW395" i="1"/>
  <c r="AX395" i="1"/>
  <c r="AY395" i="1"/>
  <c r="AZ395" i="1"/>
  <c r="BA395" i="1"/>
  <c r="BB395" i="1"/>
  <c r="BC395" i="1"/>
  <c r="BD395" i="1"/>
  <c r="BE395" i="1"/>
  <c r="BF395" i="1"/>
  <c r="BG395" i="1"/>
  <c r="BH395" i="1"/>
  <c r="AQ396" i="1"/>
  <c r="AR396" i="1"/>
  <c r="AS396" i="1"/>
  <c r="AT396" i="1"/>
  <c r="AU396" i="1"/>
  <c r="AV396" i="1"/>
  <c r="AW396" i="1"/>
  <c r="AX396" i="1"/>
  <c r="AY396" i="1"/>
  <c r="AZ396" i="1"/>
  <c r="BA396" i="1"/>
  <c r="BB396" i="1"/>
  <c r="BC396" i="1"/>
  <c r="BD396" i="1"/>
  <c r="BE396" i="1"/>
  <c r="BF396" i="1"/>
  <c r="BG396" i="1"/>
  <c r="BH396" i="1"/>
  <c r="AQ397" i="1"/>
  <c r="AR397" i="1"/>
  <c r="AS397" i="1"/>
  <c r="AT397" i="1"/>
  <c r="AU397" i="1"/>
  <c r="AV397" i="1"/>
  <c r="AW397" i="1"/>
  <c r="AX397" i="1"/>
  <c r="AY397" i="1"/>
  <c r="AZ397" i="1"/>
  <c r="BA397" i="1"/>
  <c r="BB397" i="1"/>
  <c r="BC397" i="1"/>
  <c r="BD397" i="1"/>
  <c r="BE397" i="1"/>
  <c r="BF397" i="1"/>
  <c r="BG397" i="1"/>
  <c r="BH397" i="1"/>
  <c r="AQ398" i="1"/>
  <c r="AR398" i="1"/>
  <c r="AS398" i="1"/>
  <c r="AT398" i="1"/>
  <c r="AU398" i="1"/>
  <c r="AV398" i="1"/>
  <c r="AW398" i="1"/>
  <c r="AX398" i="1"/>
  <c r="AY398" i="1"/>
  <c r="AZ398" i="1"/>
  <c r="BA398" i="1"/>
  <c r="BB398" i="1"/>
  <c r="BC398" i="1"/>
  <c r="BD398" i="1"/>
  <c r="BE398" i="1"/>
  <c r="BF398" i="1"/>
  <c r="BG398" i="1"/>
  <c r="BH398" i="1"/>
  <c r="AQ399" i="1"/>
  <c r="AR399" i="1"/>
  <c r="AS399" i="1"/>
  <c r="AT399" i="1"/>
  <c r="AU399" i="1"/>
  <c r="AV399" i="1"/>
  <c r="AW399" i="1"/>
  <c r="AX399" i="1"/>
  <c r="AY399" i="1"/>
  <c r="AZ399" i="1"/>
  <c r="BA399" i="1"/>
  <c r="BB399" i="1"/>
  <c r="BC399" i="1"/>
  <c r="BD399" i="1"/>
  <c r="BE399" i="1"/>
  <c r="BF399" i="1"/>
  <c r="BG399" i="1"/>
  <c r="BH399" i="1"/>
  <c r="AQ400" i="1"/>
  <c r="AR400" i="1"/>
  <c r="AS400" i="1"/>
  <c r="AT400" i="1"/>
  <c r="AU400" i="1"/>
  <c r="AV400" i="1"/>
  <c r="AW400" i="1"/>
  <c r="AX400" i="1"/>
  <c r="AY400" i="1"/>
  <c r="AZ400" i="1"/>
  <c r="BA400" i="1"/>
  <c r="BB400" i="1"/>
  <c r="BC400" i="1"/>
  <c r="BD400" i="1"/>
  <c r="BE400" i="1"/>
  <c r="BF400" i="1"/>
  <c r="BG400" i="1"/>
  <c r="BH400" i="1"/>
  <c r="AQ401" i="1"/>
  <c r="AR401" i="1"/>
  <c r="AS401" i="1"/>
  <c r="AT401" i="1"/>
  <c r="AU401" i="1"/>
  <c r="AV401" i="1"/>
  <c r="AW401" i="1"/>
  <c r="AX401" i="1"/>
  <c r="AY401" i="1"/>
  <c r="AZ401" i="1"/>
  <c r="BA401" i="1"/>
  <c r="BB401" i="1"/>
  <c r="BC401" i="1"/>
  <c r="BD401" i="1"/>
  <c r="BE401" i="1"/>
  <c r="BF401" i="1"/>
  <c r="BG401" i="1"/>
  <c r="BH401" i="1"/>
  <c r="AQ402" i="1"/>
  <c r="AR402" i="1"/>
  <c r="AS402" i="1"/>
  <c r="AT402" i="1"/>
  <c r="AU402" i="1"/>
  <c r="AV402" i="1"/>
  <c r="AW402" i="1"/>
  <c r="AX402" i="1"/>
  <c r="AY402" i="1"/>
  <c r="AZ402" i="1"/>
  <c r="BA402" i="1"/>
  <c r="BB402" i="1"/>
  <c r="BC402" i="1"/>
  <c r="BD402" i="1"/>
  <c r="BE402" i="1"/>
  <c r="BF402" i="1"/>
  <c r="BG402" i="1"/>
  <c r="BH402" i="1"/>
  <c r="AQ403" i="1"/>
  <c r="AR403" i="1"/>
  <c r="AS403" i="1"/>
  <c r="AT403" i="1"/>
  <c r="AU403" i="1"/>
  <c r="AV403" i="1"/>
  <c r="AW403" i="1"/>
  <c r="AX403" i="1"/>
  <c r="AY403" i="1"/>
  <c r="AZ403" i="1"/>
  <c r="BA403" i="1"/>
  <c r="BB403" i="1"/>
  <c r="BC403" i="1"/>
  <c r="BD403" i="1"/>
  <c r="BE403" i="1"/>
  <c r="BF403" i="1"/>
  <c r="BG403" i="1"/>
  <c r="BH403" i="1"/>
  <c r="AQ404" i="1"/>
  <c r="AR404" i="1"/>
  <c r="AS404" i="1"/>
  <c r="AT404" i="1"/>
  <c r="AU404" i="1"/>
  <c r="AV404" i="1"/>
  <c r="AW404" i="1"/>
  <c r="AX404" i="1"/>
  <c r="AY404" i="1"/>
  <c r="AZ404" i="1"/>
  <c r="BA404" i="1"/>
  <c r="BB404" i="1"/>
  <c r="BC404" i="1"/>
  <c r="BD404" i="1"/>
  <c r="BE404" i="1"/>
  <c r="BF404" i="1"/>
  <c r="BG404" i="1"/>
  <c r="BH404" i="1"/>
  <c r="AQ405" i="1"/>
  <c r="AR405" i="1"/>
  <c r="AS405" i="1"/>
  <c r="AT405" i="1"/>
  <c r="AU405" i="1"/>
  <c r="AV405" i="1"/>
  <c r="AW405" i="1"/>
  <c r="AX405" i="1"/>
  <c r="AY405" i="1"/>
  <c r="AZ405" i="1"/>
  <c r="BA405" i="1"/>
  <c r="BB405" i="1"/>
  <c r="BC405" i="1"/>
  <c r="BD405" i="1"/>
  <c r="BE405" i="1"/>
  <c r="BF405" i="1"/>
  <c r="BG405" i="1"/>
  <c r="BH405" i="1"/>
  <c r="AQ406" i="1"/>
  <c r="AR406" i="1"/>
  <c r="AS406" i="1"/>
  <c r="AT406" i="1"/>
  <c r="AU406" i="1"/>
  <c r="AV406" i="1"/>
  <c r="AW406" i="1"/>
  <c r="AX406" i="1"/>
  <c r="AY406" i="1"/>
  <c r="AZ406" i="1"/>
  <c r="BA406" i="1"/>
  <c r="BB406" i="1"/>
  <c r="BC406" i="1"/>
  <c r="BD406" i="1"/>
  <c r="BE406" i="1"/>
  <c r="BF406" i="1"/>
  <c r="BG406" i="1"/>
  <c r="BH406" i="1"/>
  <c r="AQ407" i="1"/>
  <c r="AR407" i="1"/>
  <c r="AS407" i="1"/>
  <c r="AT407" i="1"/>
  <c r="AU407" i="1"/>
  <c r="AV407" i="1"/>
  <c r="AW407" i="1"/>
  <c r="AX407" i="1"/>
  <c r="AY407" i="1"/>
  <c r="AZ407" i="1"/>
  <c r="BA407" i="1"/>
  <c r="BB407" i="1"/>
  <c r="BC407" i="1"/>
  <c r="BD407" i="1"/>
  <c r="BE407" i="1"/>
  <c r="BF407" i="1"/>
  <c r="BG407" i="1"/>
  <c r="BH407" i="1"/>
  <c r="AQ408" i="1"/>
  <c r="AR408" i="1"/>
  <c r="AS408" i="1"/>
  <c r="AT408" i="1"/>
  <c r="AU408" i="1"/>
  <c r="AV408" i="1"/>
  <c r="AW408" i="1"/>
  <c r="AX408" i="1"/>
  <c r="AY408" i="1"/>
  <c r="AZ408" i="1"/>
  <c r="BA408" i="1"/>
  <c r="BB408" i="1"/>
  <c r="BC408" i="1"/>
  <c r="BD408" i="1"/>
  <c r="BE408" i="1"/>
  <c r="BF408" i="1"/>
  <c r="BG408" i="1"/>
  <c r="BH408" i="1"/>
  <c r="AQ409" i="1"/>
  <c r="AR409" i="1"/>
  <c r="AS409" i="1"/>
  <c r="AT409" i="1"/>
  <c r="AU409" i="1"/>
  <c r="AV409" i="1"/>
  <c r="AW409" i="1"/>
  <c r="AX409" i="1"/>
  <c r="AY409" i="1"/>
  <c r="AZ409" i="1"/>
  <c r="BA409" i="1"/>
  <c r="BB409" i="1"/>
  <c r="BC409" i="1"/>
  <c r="BD409" i="1"/>
  <c r="BE409" i="1"/>
  <c r="BF409" i="1"/>
  <c r="BG409" i="1"/>
  <c r="BH409" i="1"/>
  <c r="AQ410" i="1"/>
  <c r="AR410" i="1"/>
  <c r="AS410" i="1"/>
  <c r="AT410" i="1"/>
  <c r="AU410" i="1"/>
  <c r="AV410" i="1"/>
  <c r="AW410" i="1"/>
  <c r="AX410" i="1"/>
  <c r="AY410" i="1"/>
  <c r="AZ410" i="1"/>
  <c r="BA410" i="1"/>
  <c r="BB410" i="1"/>
  <c r="BC410" i="1"/>
  <c r="BD410" i="1"/>
  <c r="BE410" i="1"/>
  <c r="BF410" i="1"/>
  <c r="BG410" i="1"/>
  <c r="BH410" i="1"/>
  <c r="AQ411" i="1"/>
  <c r="AR411" i="1"/>
  <c r="AS411" i="1"/>
  <c r="AT411" i="1"/>
  <c r="AU411" i="1"/>
  <c r="AV411" i="1"/>
  <c r="AW411" i="1"/>
  <c r="AX411" i="1"/>
  <c r="AY411" i="1"/>
  <c r="AZ411" i="1"/>
  <c r="BA411" i="1"/>
  <c r="BB411" i="1"/>
  <c r="BC411" i="1"/>
  <c r="BD411" i="1"/>
  <c r="BE411" i="1"/>
  <c r="BF411" i="1"/>
  <c r="BG411" i="1"/>
  <c r="BH411" i="1"/>
  <c r="AQ412" i="1"/>
  <c r="AR412" i="1"/>
  <c r="AS412" i="1"/>
  <c r="AT412" i="1"/>
  <c r="AU412" i="1"/>
  <c r="AV412" i="1"/>
  <c r="AW412" i="1"/>
  <c r="AX412" i="1"/>
  <c r="AY412" i="1"/>
  <c r="AZ412" i="1"/>
  <c r="BA412" i="1"/>
  <c r="BB412" i="1"/>
  <c r="BC412" i="1"/>
  <c r="BD412" i="1"/>
  <c r="BE412" i="1"/>
  <c r="BF412" i="1"/>
  <c r="BG412" i="1"/>
  <c r="BH412" i="1"/>
  <c r="AQ413" i="1"/>
  <c r="AR413" i="1"/>
  <c r="AS413" i="1"/>
  <c r="AT413" i="1"/>
  <c r="AU413" i="1"/>
  <c r="AV413" i="1"/>
  <c r="AW413" i="1"/>
  <c r="AX413" i="1"/>
  <c r="AY413" i="1"/>
  <c r="AZ413" i="1"/>
  <c r="BA413" i="1"/>
  <c r="BB413" i="1"/>
  <c r="BC413" i="1"/>
  <c r="BD413" i="1"/>
  <c r="BE413" i="1"/>
  <c r="BF413" i="1"/>
  <c r="BG413" i="1"/>
  <c r="BH413" i="1"/>
  <c r="AQ414" i="1"/>
  <c r="AR414" i="1"/>
  <c r="AS414" i="1"/>
  <c r="AT414" i="1"/>
  <c r="AU414" i="1"/>
  <c r="AV414" i="1"/>
  <c r="AW414" i="1"/>
  <c r="AX414" i="1"/>
  <c r="AY414" i="1"/>
  <c r="AZ414" i="1"/>
  <c r="BA414" i="1"/>
  <c r="BB414" i="1"/>
  <c r="BC414" i="1"/>
  <c r="BD414" i="1"/>
  <c r="BE414" i="1"/>
  <c r="BF414" i="1"/>
  <c r="BG414" i="1"/>
  <c r="BH414" i="1"/>
  <c r="AQ415" i="1"/>
  <c r="AR415" i="1"/>
  <c r="AS415" i="1"/>
  <c r="AT415" i="1"/>
  <c r="AU415" i="1"/>
  <c r="AV415" i="1"/>
  <c r="AW415" i="1"/>
  <c r="AX415" i="1"/>
  <c r="AY415" i="1"/>
  <c r="AZ415" i="1"/>
  <c r="BA415" i="1"/>
  <c r="BB415" i="1"/>
  <c r="BC415" i="1"/>
  <c r="BD415" i="1"/>
  <c r="BE415" i="1"/>
  <c r="BF415" i="1"/>
  <c r="BG415" i="1"/>
  <c r="BH415" i="1"/>
  <c r="AQ416" i="1"/>
  <c r="AR416" i="1"/>
  <c r="AS416" i="1"/>
  <c r="AT416" i="1"/>
  <c r="AU416" i="1"/>
  <c r="AV416" i="1"/>
  <c r="AW416" i="1"/>
  <c r="AX416" i="1"/>
  <c r="AY416" i="1"/>
  <c r="AZ416" i="1"/>
  <c r="BA416" i="1"/>
  <c r="BB416" i="1"/>
  <c r="BC416" i="1"/>
  <c r="BD416" i="1"/>
  <c r="BE416" i="1"/>
  <c r="BF416" i="1"/>
  <c r="BG416" i="1"/>
  <c r="BH416" i="1"/>
  <c r="AQ417" i="1"/>
  <c r="AR417" i="1"/>
  <c r="AS417" i="1"/>
  <c r="AT417" i="1"/>
  <c r="AU417" i="1"/>
  <c r="AV417" i="1"/>
  <c r="AW417" i="1"/>
  <c r="AX417" i="1"/>
  <c r="AY417" i="1"/>
  <c r="AZ417" i="1"/>
  <c r="BA417" i="1"/>
  <c r="BB417" i="1"/>
  <c r="BC417" i="1"/>
  <c r="BD417" i="1"/>
  <c r="BE417" i="1"/>
  <c r="BF417" i="1"/>
  <c r="BG417" i="1"/>
  <c r="BH417" i="1"/>
  <c r="AQ418" i="1"/>
  <c r="AR418" i="1"/>
  <c r="AS418" i="1"/>
  <c r="AT418" i="1"/>
  <c r="AU418" i="1"/>
  <c r="AV418" i="1"/>
  <c r="AW418" i="1"/>
  <c r="AX418" i="1"/>
  <c r="AY418" i="1"/>
  <c r="AZ418" i="1"/>
  <c r="BA418" i="1"/>
  <c r="BB418" i="1"/>
  <c r="BC418" i="1"/>
  <c r="BD418" i="1"/>
  <c r="BE418" i="1"/>
  <c r="BF418" i="1"/>
  <c r="BG418" i="1"/>
  <c r="BH418" i="1"/>
  <c r="AQ419" i="1"/>
  <c r="AR419" i="1"/>
  <c r="AS419" i="1"/>
  <c r="AT419" i="1"/>
  <c r="AU419" i="1"/>
  <c r="AV419" i="1"/>
  <c r="AW419" i="1"/>
  <c r="AX419" i="1"/>
  <c r="AY419" i="1"/>
  <c r="AZ419" i="1"/>
  <c r="BA419" i="1"/>
  <c r="BB419" i="1"/>
  <c r="BC419" i="1"/>
  <c r="BD419" i="1"/>
  <c r="BE419" i="1"/>
  <c r="BF419" i="1"/>
  <c r="BG419" i="1"/>
  <c r="BH419" i="1"/>
  <c r="AQ420" i="1"/>
  <c r="AR420" i="1"/>
  <c r="AS420" i="1"/>
  <c r="AT420" i="1"/>
  <c r="AU420" i="1"/>
  <c r="AV420" i="1"/>
  <c r="AW420" i="1"/>
  <c r="AX420" i="1"/>
  <c r="AY420" i="1"/>
  <c r="AZ420" i="1"/>
  <c r="BA420" i="1"/>
  <c r="BB420" i="1"/>
  <c r="BC420" i="1"/>
  <c r="BD420" i="1"/>
  <c r="BE420" i="1"/>
  <c r="BF420" i="1"/>
  <c r="BG420" i="1"/>
  <c r="BH420" i="1"/>
  <c r="AQ421" i="1"/>
  <c r="AR421" i="1"/>
  <c r="AS421" i="1"/>
  <c r="AT421" i="1"/>
  <c r="AU421" i="1"/>
  <c r="AV421" i="1"/>
  <c r="AW421" i="1"/>
  <c r="AX421" i="1"/>
  <c r="AY421" i="1"/>
  <c r="AZ421" i="1"/>
  <c r="BA421" i="1"/>
  <c r="BB421" i="1"/>
  <c r="BC421" i="1"/>
  <c r="BD421" i="1"/>
  <c r="BE421" i="1"/>
  <c r="BF421" i="1"/>
  <c r="BG421" i="1"/>
  <c r="BH421" i="1"/>
  <c r="AQ422" i="1"/>
  <c r="AR422" i="1"/>
  <c r="AS422" i="1"/>
  <c r="AT422" i="1"/>
  <c r="AU422" i="1"/>
  <c r="AV422" i="1"/>
  <c r="AW422" i="1"/>
  <c r="AX422" i="1"/>
  <c r="AY422" i="1"/>
  <c r="AZ422" i="1"/>
  <c r="BA422" i="1"/>
  <c r="BB422" i="1"/>
  <c r="BC422" i="1"/>
  <c r="BD422" i="1"/>
  <c r="BE422" i="1"/>
  <c r="BF422" i="1"/>
  <c r="BG422" i="1"/>
  <c r="BH422" i="1"/>
  <c r="AQ423" i="1"/>
  <c r="AR423" i="1"/>
  <c r="AS423" i="1"/>
  <c r="AT423" i="1"/>
  <c r="AU423" i="1"/>
  <c r="AV423" i="1"/>
  <c r="AW423" i="1"/>
  <c r="AX423" i="1"/>
  <c r="AY423" i="1"/>
  <c r="AZ423" i="1"/>
  <c r="BA423" i="1"/>
  <c r="BB423" i="1"/>
  <c r="BC423" i="1"/>
  <c r="BD423" i="1"/>
  <c r="BE423" i="1"/>
  <c r="BF423" i="1"/>
  <c r="BG423" i="1"/>
  <c r="BH423" i="1"/>
  <c r="AQ424" i="1"/>
  <c r="AR424" i="1"/>
  <c r="AS424" i="1"/>
  <c r="AT424" i="1"/>
  <c r="AU424" i="1"/>
  <c r="AV424" i="1"/>
  <c r="AW424" i="1"/>
  <c r="AX424" i="1"/>
  <c r="AY424" i="1"/>
  <c r="AZ424" i="1"/>
  <c r="BA424" i="1"/>
  <c r="BB424" i="1"/>
  <c r="BC424" i="1"/>
  <c r="BD424" i="1"/>
  <c r="BE424" i="1"/>
  <c r="BF424" i="1"/>
  <c r="BG424" i="1"/>
  <c r="BH424" i="1"/>
  <c r="AQ425" i="1"/>
  <c r="AR425" i="1"/>
  <c r="AS425" i="1"/>
  <c r="AT425" i="1"/>
  <c r="AU425" i="1"/>
  <c r="AV425" i="1"/>
  <c r="AW425" i="1"/>
  <c r="AX425" i="1"/>
  <c r="AY425" i="1"/>
  <c r="AZ425" i="1"/>
  <c r="BA425" i="1"/>
  <c r="BB425" i="1"/>
  <c r="BC425" i="1"/>
  <c r="BD425" i="1"/>
  <c r="BE425" i="1"/>
  <c r="BF425" i="1"/>
  <c r="BG425" i="1"/>
  <c r="BH425" i="1"/>
  <c r="AQ426" i="1"/>
  <c r="AR426" i="1"/>
  <c r="AS426" i="1"/>
  <c r="AT426" i="1"/>
  <c r="AU426" i="1"/>
  <c r="AV426" i="1"/>
  <c r="AW426" i="1"/>
  <c r="AX426" i="1"/>
  <c r="AY426" i="1"/>
  <c r="AZ426" i="1"/>
  <c r="BA426" i="1"/>
  <c r="BB426" i="1"/>
  <c r="BC426" i="1"/>
  <c r="BD426" i="1"/>
  <c r="BE426" i="1"/>
  <c r="BF426" i="1"/>
  <c r="BG426" i="1"/>
  <c r="BH426" i="1"/>
  <c r="AQ427" i="1"/>
  <c r="AR427" i="1"/>
  <c r="AS427" i="1"/>
  <c r="AT427" i="1"/>
  <c r="AU427" i="1"/>
  <c r="AV427" i="1"/>
  <c r="AW427" i="1"/>
  <c r="AX427" i="1"/>
  <c r="AY427" i="1"/>
  <c r="AZ427" i="1"/>
  <c r="BA427" i="1"/>
  <c r="BB427" i="1"/>
  <c r="BC427" i="1"/>
  <c r="BD427" i="1"/>
  <c r="BE427" i="1"/>
  <c r="BF427" i="1"/>
  <c r="BG427" i="1"/>
  <c r="BH427" i="1"/>
  <c r="AQ428" i="1"/>
  <c r="AR428" i="1"/>
  <c r="AS428" i="1"/>
  <c r="AT428" i="1"/>
  <c r="AU428" i="1"/>
  <c r="AV428" i="1"/>
  <c r="AW428" i="1"/>
  <c r="AX428" i="1"/>
  <c r="AY428" i="1"/>
  <c r="AZ428" i="1"/>
  <c r="BA428" i="1"/>
  <c r="BB428" i="1"/>
  <c r="BC428" i="1"/>
  <c r="BD428" i="1"/>
  <c r="BE428" i="1"/>
  <c r="BF428" i="1"/>
  <c r="BG428" i="1"/>
  <c r="BH428" i="1"/>
  <c r="AQ429" i="1"/>
  <c r="AR429" i="1"/>
  <c r="AS429" i="1"/>
  <c r="AT429" i="1"/>
  <c r="AU429" i="1"/>
  <c r="AV429" i="1"/>
  <c r="AW429" i="1"/>
  <c r="AX429" i="1"/>
  <c r="AY429" i="1"/>
  <c r="AZ429" i="1"/>
  <c r="BA429" i="1"/>
  <c r="BB429" i="1"/>
  <c r="BC429" i="1"/>
  <c r="BD429" i="1"/>
  <c r="BE429" i="1"/>
  <c r="BF429" i="1"/>
  <c r="BG429" i="1"/>
  <c r="BH429" i="1"/>
  <c r="AQ430" i="1"/>
  <c r="AR430" i="1"/>
  <c r="AS430" i="1"/>
  <c r="AT430" i="1"/>
  <c r="AU430" i="1"/>
  <c r="AV430" i="1"/>
  <c r="AW430" i="1"/>
  <c r="AX430" i="1"/>
  <c r="AY430" i="1"/>
  <c r="AZ430" i="1"/>
  <c r="BA430" i="1"/>
  <c r="BB430" i="1"/>
  <c r="BC430" i="1"/>
  <c r="BD430" i="1"/>
  <c r="BE430" i="1"/>
  <c r="BF430" i="1"/>
  <c r="BG430" i="1"/>
  <c r="BH430" i="1"/>
  <c r="AQ431" i="1"/>
  <c r="AR431" i="1"/>
  <c r="AS431" i="1"/>
  <c r="AT431" i="1"/>
  <c r="AU431" i="1"/>
  <c r="AV431" i="1"/>
  <c r="AW431" i="1"/>
  <c r="AX431" i="1"/>
  <c r="AY431" i="1"/>
  <c r="AZ431" i="1"/>
  <c r="BA431" i="1"/>
  <c r="BB431" i="1"/>
  <c r="BC431" i="1"/>
  <c r="BD431" i="1"/>
  <c r="BE431" i="1"/>
  <c r="BF431" i="1"/>
  <c r="BG431" i="1"/>
  <c r="BH431" i="1"/>
  <c r="AQ432" i="1"/>
  <c r="AR432" i="1"/>
  <c r="AS432" i="1"/>
  <c r="AT432" i="1"/>
  <c r="AU432" i="1"/>
  <c r="AV432" i="1"/>
  <c r="AW432" i="1"/>
  <c r="AX432" i="1"/>
  <c r="AY432" i="1"/>
  <c r="AZ432" i="1"/>
  <c r="BA432" i="1"/>
  <c r="BB432" i="1"/>
  <c r="BC432" i="1"/>
  <c r="BD432" i="1"/>
  <c r="BE432" i="1"/>
  <c r="BF432" i="1"/>
  <c r="BG432" i="1"/>
  <c r="BH432" i="1"/>
  <c r="AQ433" i="1"/>
  <c r="AR433" i="1"/>
  <c r="AS433" i="1"/>
  <c r="AT433" i="1"/>
  <c r="AU433" i="1"/>
  <c r="AV433" i="1"/>
  <c r="AW433" i="1"/>
  <c r="AX433" i="1"/>
  <c r="AY433" i="1"/>
  <c r="AZ433" i="1"/>
  <c r="BA433" i="1"/>
  <c r="BB433" i="1"/>
  <c r="BC433" i="1"/>
  <c r="BD433" i="1"/>
  <c r="BE433" i="1"/>
  <c r="BF433" i="1"/>
  <c r="BG433" i="1"/>
  <c r="BH433" i="1"/>
  <c r="AQ434" i="1"/>
  <c r="AR434" i="1"/>
  <c r="AS434" i="1"/>
  <c r="AT434" i="1"/>
  <c r="AU434" i="1"/>
  <c r="AV434" i="1"/>
  <c r="AW434" i="1"/>
  <c r="AX434" i="1"/>
  <c r="AY434" i="1"/>
  <c r="AZ434" i="1"/>
  <c r="BA434" i="1"/>
  <c r="BB434" i="1"/>
  <c r="BC434" i="1"/>
  <c r="BD434" i="1"/>
  <c r="BE434" i="1"/>
  <c r="BF434" i="1"/>
  <c r="BG434" i="1"/>
  <c r="BH434" i="1"/>
  <c r="AQ435" i="1"/>
  <c r="AR435" i="1"/>
  <c r="AS435" i="1"/>
  <c r="AT435" i="1"/>
  <c r="AU435" i="1"/>
  <c r="AV435" i="1"/>
  <c r="AW435" i="1"/>
  <c r="AX435" i="1"/>
  <c r="AY435" i="1"/>
  <c r="AZ435" i="1"/>
  <c r="BA435" i="1"/>
  <c r="BB435" i="1"/>
  <c r="BC435" i="1"/>
  <c r="BD435" i="1"/>
  <c r="BE435" i="1"/>
  <c r="BF435" i="1"/>
  <c r="BG435" i="1"/>
  <c r="BH435" i="1"/>
  <c r="AQ436" i="1"/>
  <c r="AR436" i="1"/>
  <c r="AS436" i="1"/>
  <c r="AT436" i="1"/>
  <c r="AU436" i="1"/>
  <c r="AV436" i="1"/>
  <c r="AW436" i="1"/>
  <c r="AX436" i="1"/>
  <c r="AY436" i="1"/>
  <c r="AZ436" i="1"/>
  <c r="BA436" i="1"/>
  <c r="BB436" i="1"/>
  <c r="BC436" i="1"/>
  <c r="BD436" i="1"/>
  <c r="BE436" i="1"/>
  <c r="BF436" i="1"/>
  <c r="BG436" i="1"/>
  <c r="BH436" i="1"/>
  <c r="AQ437" i="1"/>
  <c r="AR437" i="1"/>
  <c r="AS437" i="1"/>
  <c r="AT437" i="1"/>
  <c r="AU437" i="1"/>
  <c r="AV437" i="1"/>
  <c r="AW437" i="1"/>
  <c r="AX437" i="1"/>
  <c r="AY437" i="1"/>
  <c r="AZ437" i="1"/>
  <c r="BA437" i="1"/>
  <c r="BB437" i="1"/>
  <c r="BC437" i="1"/>
  <c r="BD437" i="1"/>
  <c r="BE437" i="1"/>
  <c r="BF437" i="1"/>
  <c r="BG437" i="1"/>
  <c r="BH437" i="1"/>
  <c r="AQ438" i="1"/>
  <c r="AR438" i="1"/>
  <c r="AS438" i="1"/>
  <c r="AT438" i="1"/>
  <c r="AU438" i="1"/>
  <c r="AV438" i="1"/>
  <c r="AW438" i="1"/>
  <c r="AX438" i="1"/>
  <c r="AY438" i="1"/>
  <c r="AZ438" i="1"/>
  <c r="BA438" i="1"/>
  <c r="BB438" i="1"/>
  <c r="BC438" i="1"/>
  <c r="BD438" i="1"/>
  <c r="BE438" i="1"/>
  <c r="BF438" i="1"/>
  <c r="BG438" i="1"/>
  <c r="BH438" i="1"/>
  <c r="AQ439" i="1"/>
  <c r="AR439" i="1"/>
  <c r="AS439" i="1"/>
  <c r="AT439" i="1"/>
  <c r="AU439" i="1"/>
  <c r="AV439" i="1"/>
  <c r="AW439" i="1"/>
  <c r="AX439" i="1"/>
  <c r="AY439" i="1"/>
  <c r="AZ439" i="1"/>
  <c r="BA439" i="1"/>
  <c r="BB439" i="1"/>
  <c r="BC439" i="1"/>
  <c r="BD439" i="1"/>
  <c r="BE439" i="1"/>
  <c r="BF439" i="1"/>
  <c r="BG439" i="1"/>
  <c r="BH439" i="1"/>
  <c r="AQ440" i="1"/>
  <c r="AR440" i="1"/>
  <c r="AS440" i="1"/>
  <c r="AT440" i="1"/>
  <c r="AU440" i="1"/>
  <c r="AV440" i="1"/>
  <c r="AW440" i="1"/>
  <c r="AX440" i="1"/>
  <c r="AY440" i="1"/>
  <c r="AZ440" i="1"/>
  <c r="BA440" i="1"/>
  <c r="BB440" i="1"/>
  <c r="BC440" i="1"/>
  <c r="BD440" i="1"/>
  <c r="BE440" i="1"/>
  <c r="BF440" i="1"/>
  <c r="BG440" i="1"/>
  <c r="BH440" i="1"/>
  <c r="AQ441" i="1"/>
  <c r="AR441" i="1"/>
  <c r="AS441" i="1"/>
  <c r="AT441" i="1"/>
  <c r="AU441" i="1"/>
  <c r="AV441" i="1"/>
  <c r="AW441" i="1"/>
  <c r="AX441" i="1"/>
  <c r="AY441" i="1"/>
  <c r="AZ441" i="1"/>
  <c r="BA441" i="1"/>
  <c r="BB441" i="1"/>
  <c r="BC441" i="1"/>
  <c r="BD441" i="1"/>
  <c r="BE441" i="1"/>
  <c r="BF441" i="1"/>
  <c r="BG441" i="1"/>
  <c r="BH441" i="1"/>
  <c r="AQ442" i="1"/>
  <c r="AR442" i="1"/>
  <c r="AS442" i="1"/>
  <c r="AT442" i="1"/>
  <c r="AU442" i="1"/>
  <c r="AV442" i="1"/>
  <c r="AW442" i="1"/>
  <c r="AX442" i="1"/>
  <c r="AY442" i="1"/>
  <c r="AZ442" i="1"/>
  <c r="BA442" i="1"/>
  <c r="BB442" i="1"/>
  <c r="BC442" i="1"/>
  <c r="BD442" i="1"/>
  <c r="BE442" i="1"/>
  <c r="BF442" i="1"/>
  <c r="BG442" i="1"/>
  <c r="BH442" i="1"/>
  <c r="AQ443" i="1"/>
  <c r="AR443" i="1"/>
  <c r="AS443" i="1"/>
  <c r="AT443" i="1"/>
  <c r="AU443" i="1"/>
  <c r="AV443" i="1"/>
  <c r="AW443" i="1"/>
  <c r="AX443" i="1"/>
  <c r="AY443" i="1"/>
  <c r="AZ443" i="1"/>
  <c r="BA443" i="1"/>
  <c r="BB443" i="1"/>
  <c r="BC443" i="1"/>
  <c r="BD443" i="1"/>
  <c r="BE443" i="1"/>
  <c r="BF443" i="1"/>
  <c r="BG443" i="1"/>
  <c r="BH443" i="1"/>
  <c r="AQ444" i="1"/>
  <c r="AR444" i="1"/>
  <c r="AS444" i="1"/>
  <c r="AT444" i="1"/>
  <c r="AU444" i="1"/>
  <c r="AV444" i="1"/>
  <c r="AW444" i="1"/>
  <c r="AX444" i="1"/>
  <c r="AY444" i="1"/>
  <c r="AZ444" i="1"/>
  <c r="BA444" i="1"/>
  <c r="BB444" i="1"/>
  <c r="BC444" i="1"/>
  <c r="BD444" i="1"/>
  <c r="BE444" i="1"/>
  <c r="BF444" i="1"/>
  <c r="BG444" i="1"/>
  <c r="BH444" i="1"/>
  <c r="AQ445" i="1"/>
  <c r="AR445" i="1"/>
  <c r="AS445" i="1"/>
  <c r="AT445" i="1"/>
  <c r="AU445" i="1"/>
  <c r="AV445" i="1"/>
  <c r="AW445" i="1"/>
  <c r="AX445" i="1"/>
  <c r="AY445" i="1"/>
  <c r="AZ445" i="1"/>
  <c r="BA445" i="1"/>
  <c r="BB445" i="1"/>
  <c r="BC445" i="1"/>
  <c r="BD445" i="1"/>
  <c r="BE445" i="1"/>
  <c r="BF445" i="1"/>
  <c r="BG445" i="1"/>
  <c r="BH445" i="1"/>
  <c r="AQ446" i="1"/>
  <c r="AR446" i="1"/>
  <c r="AS446" i="1"/>
  <c r="AT446" i="1"/>
  <c r="AU446" i="1"/>
  <c r="AV446" i="1"/>
  <c r="AW446" i="1"/>
  <c r="AX446" i="1"/>
  <c r="AY446" i="1"/>
  <c r="AZ446" i="1"/>
  <c r="BA446" i="1"/>
  <c r="BB446" i="1"/>
  <c r="BC446" i="1"/>
  <c r="BD446" i="1"/>
  <c r="BE446" i="1"/>
  <c r="BF446" i="1"/>
  <c r="BG446" i="1"/>
  <c r="BH446" i="1"/>
  <c r="AQ447" i="1"/>
  <c r="AR447" i="1"/>
  <c r="AS447" i="1"/>
  <c r="AT447" i="1"/>
  <c r="AU447" i="1"/>
  <c r="AV447" i="1"/>
  <c r="AW447" i="1"/>
  <c r="AX447" i="1"/>
  <c r="AY447" i="1"/>
  <c r="AZ447" i="1"/>
  <c r="BA447" i="1"/>
  <c r="BB447" i="1"/>
  <c r="BC447" i="1"/>
  <c r="BD447" i="1"/>
  <c r="BE447" i="1"/>
  <c r="BF447" i="1"/>
  <c r="BG447" i="1"/>
  <c r="BH447" i="1"/>
  <c r="AQ448" i="1"/>
  <c r="AR448" i="1"/>
  <c r="AS448" i="1"/>
  <c r="AT448" i="1"/>
  <c r="AU448" i="1"/>
  <c r="AV448" i="1"/>
  <c r="AW448" i="1"/>
  <c r="AX448" i="1"/>
  <c r="AY448" i="1"/>
  <c r="AZ448" i="1"/>
  <c r="BA448" i="1"/>
  <c r="BB448" i="1"/>
  <c r="BC448" i="1"/>
  <c r="BD448" i="1"/>
  <c r="BE448" i="1"/>
  <c r="BF448" i="1"/>
  <c r="BG448" i="1"/>
  <c r="BH448" i="1"/>
  <c r="AQ449" i="1"/>
  <c r="AR449" i="1"/>
  <c r="AS449" i="1"/>
  <c r="AT449" i="1"/>
  <c r="AU449" i="1"/>
  <c r="AV449" i="1"/>
  <c r="AW449" i="1"/>
  <c r="AX449" i="1"/>
  <c r="AY449" i="1"/>
  <c r="AZ449" i="1"/>
  <c r="BA449" i="1"/>
  <c r="BB449" i="1"/>
  <c r="BC449" i="1"/>
  <c r="BD449" i="1"/>
  <c r="BE449" i="1"/>
  <c r="BF449" i="1"/>
  <c r="BG449" i="1"/>
  <c r="BH449" i="1"/>
  <c r="AQ450" i="1"/>
  <c r="AR450" i="1"/>
  <c r="AS450" i="1"/>
  <c r="AT450" i="1"/>
  <c r="AU450" i="1"/>
  <c r="AV450" i="1"/>
  <c r="AW450" i="1"/>
  <c r="AX450" i="1"/>
  <c r="AY450" i="1"/>
  <c r="AZ450" i="1"/>
  <c r="BA450" i="1"/>
  <c r="BB450" i="1"/>
  <c r="BC450" i="1"/>
  <c r="BD450" i="1"/>
  <c r="BE450" i="1"/>
  <c r="BF450" i="1"/>
  <c r="BG450" i="1"/>
  <c r="BH450" i="1"/>
  <c r="AQ451" i="1"/>
  <c r="AR451" i="1"/>
  <c r="AS451" i="1"/>
  <c r="AT451" i="1"/>
  <c r="AU451" i="1"/>
  <c r="AV451" i="1"/>
  <c r="AW451" i="1"/>
  <c r="AX451" i="1"/>
  <c r="AY451" i="1"/>
  <c r="AZ451" i="1"/>
  <c r="BA451" i="1"/>
  <c r="BB451" i="1"/>
  <c r="BC451" i="1"/>
  <c r="BD451" i="1"/>
  <c r="BE451" i="1"/>
  <c r="BF451" i="1"/>
  <c r="BG451" i="1"/>
  <c r="BH451" i="1"/>
  <c r="AQ452" i="1"/>
  <c r="AR452" i="1"/>
  <c r="AS452" i="1"/>
  <c r="AT452" i="1"/>
  <c r="AU452" i="1"/>
  <c r="AV452" i="1"/>
  <c r="AW452" i="1"/>
  <c r="AX452" i="1"/>
  <c r="AY452" i="1"/>
  <c r="AZ452" i="1"/>
  <c r="BA452" i="1"/>
  <c r="BB452" i="1"/>
  <c r="BC452" i="1"/>
  <c r="BD452" i="1"/>
  <c r="BE452" i="1"/>
  <c r="BF452" i="1"/>
  <c r="BG452" i="1"/>
  <c r="BH452" i="1"/>
  <c r="AQ453" i="1"/>
  <c r="AR453" i="1"/>
  <c r="AS453" i="1"/>
  <c r="AT453" i="1"/>
  <c r="AU453" i="1"/>
  <c r="AV453" i="1"/>
  <c r="AW453" i="1"/>
  <c r="AX453" i="1"/>
  <c r="AY453" i="1"/>
  <c r="AZ453" i="1"/>
  <c r="BA453" i="1"/>
  <c r="BB453" i="1"/>
  <c r="BC453" i="1"/>
  <c r="BD453" i="1"/>
  <c r="BE453" i="1"/>
  <c r="BF453" i="1"/>
  <c r="BG453" i="1"/>
  <c r="BH453" i="1"/>
  <c r="AQ454" i="1"/>
  <c r="AR454" i="1"/>
  <c r="AS454" i="1"/>
  <c r="AT454" i="1"/>
  <c r="AU454" i="1"/>
  <c r="AV454" i="1"/>
  <c r="AW454" i="1"/>
  <c r="AX454" i="1"/>
  <c r="AY454" i="1"/>
  <c r="AZ454" i="1"/>
  <c r="BA454" i="1"/>
  <c r="BB454" i="1"/>
  <c r="BC454" i="1"/>
  <c r="BD454" i="1"/>
  <c r="BE454" i="1"/>
  <c r="BF454" i="1"/>
  <c r="BG454" i="1"/>
  <c r="BH454" i="1"/>
  <c r="AQ455" i="1"/>
  <c r="AR455" i="1"/>
  <c r="AS455" i="1"/>
  <c r="AT455" i="1"/>
  <c r="AU455" i="1"/>
  <c r="AV455" i="1"/>
  <c r="AW455" i="1"/>
  <c r="AX455" i="1"/>
  <c r="AY455" i="1"/>
  <c r="AZ455" i="1"/>
  <c r="BA455" i="1"/>
  <c r="BB455" i="1"/>
  <c r="BC455" i="1"/>
  <c r="BD455" i="1"/>
  <c r="BE455" i="1"/>
  <c r="BF455" i="1"/>
  <c r="BG455" i="1"/>
  <c r="BH455" i="1"/>
  <c r="AQ456" i="1"/>
  <c r="AR456" i="1"/>
  <c r="AS456" i="1"/>
  <c r="AT456" i="1"/>
  <c r="AU456" i="1"/>
  <c r="AV456" i="1"/>
  <c r="AW456" i="1"/>
  <c r="AX456" i="1"/>
  <c r="AY456" i="1"/>
  <c r="AZ456" i="1"/>
  <c r="BA456" i="1"/>
  <c r="BB456" i="1"/>
  <c r="BC456" i="1"/>
  <c r="BD456" i="1"/>
  <c r="BE456" i="1"/>
  <c r="BF456" i="1"/>
  <c r="BG456" i="1"/>
  <c r="BH456" i="1"/>
  <c r="AQ457" i="1"/>
  <c r="AR457" i="1"/>
  <c r="AS457" i="1"/>
  <c r="AT457" i="1"/>
  <c r="AU457" i="1"/>
  <c r="AV457" i="1"/>
  <c r="AW457" i="1"/>
  <c r="AX457" i="1"/>
  <c r="AY457" i="1"/>
  <c r="AZ457" i="1"/>
  <c r="BA457" i="1"/>
  <c r="BB457" i="1"/>
  <c r="BC457" i="1"/>
  <c r="BD457" i="1"/>
  <c r="BE457" i="1"/>
  <c r="BF457" i="1"/>
  <c r="BG457" i="1"/>
  <c r="BH457" i="1"/>
  <c r="AQ458" i="1"/>
  <c r="AR458" i="1"/>
  <c r="AS458" i="1"/>
  <c r="AT458" i="1"/>
  <c r="AU458" i="1"/>
  <c r="AV458" i="1"/>
  <c r="AW458" i="1"/>
  <c r="AX458" i="1"/>
  <c r="AY458" i="1"/>
  <c r="AZ458" i="1"/>
  <c r="BA458" i="1"/>
  <c r="BB458" i="1"/>
  <c r="BC458" i="1"/>
  <c r="BD458" i="1"/>
  <c r="BE458" i="1"/>
  <c r="BF458" i="1"/>
  <c r="BG458" i="1"/>
  <c r="BH458" i="1"/>
  <c r="AQ459" i="1"/>
  <c r="AR459" i="1"/>
  <c r="AS459" i="1"/>
  <c r="AT459" i="1"/>
  <c r="AU459" i="1"/>
  <c r="AV459" i="1"/>
  <c r="AW459" i="1"/>
  <c r="AX459" i="1"/>
  <c r="AY459" i="1"/>
  <c r="AZ459" i="1"/>
  <c r="BA459" i="1"/>
  <c r="BB459" i="1"/>
  <c r="BC459" i="1"/>
  <c r="BD459" i="1"/>
  <c r="BE459" i="1"/>
  <c r="BF459" i="1"/>
  <c r="BG459" i="1"/>
  <c r="BH459" i="1"/>
  <c r="AQ460" i="1"/>
  <c r="AR460" i="1"/>
  <c r="AS460" i="1"/>
  <c r="AT460" i="1"/>
  <c r="AU460" i="1"/>
  <c r="AV460" i="1"/>
  <c r="AW460" i="1"/>
  <c r="AX460" i="1"/>
  <c r="AY460" i="1"/>
  <c r="AZ460" i="1"/>
  <c r="BA460" i="1"/>
  <c r="BB460" i="1"/>
  <c r="BC460" i="1"/>
  <c r="BD460" i="1"/>
  <c r="BE460" i="1"/>
  <c r="BF460" i="1"/>
  <c r="BG460" i="1"/>
  <c r="BH460" i="1"/>
  <c r="AQ461" i="1"/>
  <c r="AR461" i="1"/>
  <c r="AS461" i="1"/>
  <c r="AT461" i="1"/>
  <c r="AU461" i="1"/>
  <c r="AV461" i="1"/>
  <c r="AW461" i="1"/>
  <c r="AX461" i="1"/>
  <c r="AY461" i="1"/>
  <c r="AZ461" i="1"/>
  <c r="BA461" i="1"/>
  <c r="BB461" i="1"/>
  <c r="BC461" i="1"/>
  <c r="BD461" i="1"/>
  <c r="BE461" i="1"/>
  <c r="BF461" i="1"/>
  <c r="BG461" i="1"/>
  <c r="BH461" i="1"/>
  <c r="AQ462" i="1"/>
  <c r="AR462" i="1"/>
  <c r="AS462" i="1"/>
  <c r="AT462" i="1"/>
  <c r="AU462" i="1"/>
  <c r="AV462" i="1"/>
  <c r="AW462" i="1"/>
  <c r="AX462" i="1"/>
  <c r="AY462" i="1"/>
  <c r="AZ462" i="1"/>
  <c r="BA462" i="1"/>
  <c r="BB462" i="1"/>
  <c r="BC462" i="1"/>
  <c r="BD462" i="1"/>
  <c r="BE462" i="1"/>
  <c r="BF462" i="1"/>
  <c r="BG462" i="1"/>
  <c r="BH462" i="1"/>
  <c r="AQ463" i="1"/>
  <c r="AR463" i="1"/>
  <c r="AS463" i="1"/>
  <c r="AT463" i="1"/>
  <c r="AU463" i="1"/>
  <c r="AV463" i="1"/>
  <c r="AW463" i="1"/>
  <c r="AX463" i="1"/>
  <c r="AY463" i="1"/>
  <c r="AZ463" i="1"/>
  <c r="BA463" i="1"/>
  <c r="BB463" i="1"/>
  <c r="BC463" i="1"/>
  <c r="BD463" i="1"/>
  <c r="BE463" i="1"/>
  <c r="BF463" i="1"/>
  <c r="BG463" i="1"/>
  <c r="BH463" i="1"/>
  <c r="AQ464" i="1"/>
  <c r="AR464" i="1"/>
  <c r="AS464" i="1"/>
  <c r="AT464" i="1"/>
  <c r="AU464" i="1"/>
  <c r="AV464" i="1"/>
  <c r="AW464" i="1"/>
  <c r="AX464" i="1"/>
  <c r="AY464" i="1"/>
  <c r="AZ464" i="1"/>
  <c r="BA464" i="1"/>
  <c r="BB464" i="1"/>
  <c r="BC464" i="1"/>
  <c r="BD464" i="1"/>
  <c r="BE464" i="1"/>
  <c r="BF464" i="1"/>
  <c r="BG464" i="1"/>
  <c r="BH464" i="1"/>
  <c r="AQ465" i="1"/>
  <c r="AR465" i="1"/>
  <c r="AS465" i="1"/>
  <c r="AT465" i="1"/>
  <c r="AU465" i="1"/>
  <c r="AV465" i="1"/>
  <c r="AW465" i="1"/>
  <c r="AX465" i="1"/>
  <c r="AY465" i="1"/>
  <c r="AZ465" i="1"/>
  <c r="BA465" i="1"/>
  <c r="BB465" i="1"/>
  <c r="BC465" i="1"/>
  <c r="BD465" i="1"/>
  <c r="BE465" i="1"/>
  <c r="BF465" i="1"/>
  <c r="BG465" i="1"/>
  <c r="BH465" i="1"/>
  <c r="AQ466" i="1"/>
  <c r="AR466" i="1"/>
  <c r="AS466" i="1"/>
  <c r="AT466" i="1"/>
  <c r="AU466" i="1"/>
  <c r="AV466" i="1"/>
  <c r="AW466" i="1"/>
  <c r="AX466" i="1"/>
  <c r="AY466" i="1"/>
  <c r="AZ466" i="1"/>
  <c r="BA466" i="1"/>
  <c r="BB466" i="1"/>
  <c r="BC466" i="1"/>
  <c r="BD466" i="1"/>
  <c r="BE466" i="1"/>
  <c r="BF466" i="1"/>
  <c r="BG466" i="1"/>
  <c r="BH466" i="1"/>
  <c r="AQ467" i="1"/>
  <c r="AR467" i="1"/>
  <c r="AS467" i="1"/>
  <c r="AT467" i="1"/>
  <c r="AU467" i="1"/>
  <c r="AV467" i="1"/>
  <c r="AW467" i="1"/>
  <c r="AX467" i="1"/>
  <c r="AY467" i="1"/>
  <c r="AZ467" i="1"/>
  <c r="BA467" i="1"/>
  <c r="BB467" i="1"/>
  <c r="BC467" i="1"/>
  <c r="BD467" i="1"/>
  <c r="BE467" i="1"/>
  <c r="BF467" i="1"/>
  <c r="BG467" i="1"/>
  <c r="BH467" i="1"/>
  <c r="AQ468" i="1"/>
  <c r="AR468" i="1"/>
  <c r="AS468" i="1"/>
  <c r="AT468" i="1"/>
  <c r="AU468" i="1"/>
  <c r="AV468" i="1"/>
  <c r="AW468" i="1"/>
  <c r="AX468" i="1"/>
  <c r="AY468" i="1"/>
  <c r="AZ468" i="1"/>
  <c r="BA468" i="1"/>
  <c r="BB468" i="1"/>
  <c r="BC468" i="1"/>
  <c r="BD468" i="1"/>
  <c r="BE468" i="1"/>
  <c r="BF468" i="1"/>
  <c r="BG468" i="1"/>
  <c r="BH468" i="1"/>
  <c r="AQ469" i="1"/>
  <c r="AR469" i="1"/>
  <c r="AS469" i="1"/>
  <c r="AT469" i="1"/>
  <c r="AU469" i="1"/>
  <c r="AV469" i="1"/>
  <c r="AW469" i="1"/>
  <c r="AX469" i="1"/>
  <c r="AY469" i="1"/>
  <c r="AZ469" i="1"/>
  <c r="BA469" i="1"/>
  <c r="BB469" i="1"/>
  <c r="BC469" i="1"/>
  <c r="BD469" i="1"/>
  <c r="BE469" i="1"/>
  <c r="BF469" i="1"/>
  <c r="BG469" i="1"/>
  <c r="BH469" i="1"/>
  <c r="AQ470" i="1"/>
  <c r="AR470" i="1"/>
  <c r="AS470" i="1"/>
  <c r="AT470" i="1"/>
  <c r="AU470" i="1"/>
  <c r="AV470" i="1"/>
  <c r="AW470" i="1"/>
  <c r="AX470" i="1"/>
  <c r="AY470" i="1"/>
  <c r="AZ470" i="1"/>
  <c r="BA470" i="1"/>
  <c r="BB470" i="1"/>
  <c r="BC470" i="1"/>
  <c r="BD470" i="1"/>
  <c r="BE470" i="1"/>
  <c r="BF470" i="1"/>
  <c r="BG470" i="1"/>
  <c r="BH470" i="1"/>
  <c r="AQ471" i="1"/>
  <c r="AR471" i="1"/>
  <c r="AS471" i="1"/>
  <c r="AT471" i="1"/>
  <c r="AU471" i="1"/>
  <c r="AV471" i="1"/>
  <c r="AW471" i="1"/>
  <c r="AX471" i="1"/>
  <c r="AY471" i="1"/>
  <c r="AZ471" i="1"/>
  <c r="BA471" i="1"/>
  <c r="BB471" i="1"/>
  <c r="BC471" i="1"/>
  <c r="BD471" i="1"/>
  <c r="BE471" i="1"/>
  <c r="BF471" i="1"/>
  <c r="BG471" i="1"/>
  <c r="BH471" i="1"/>
  <c r="AQ472" i="1"/>
  <c r="AR472" i="1"/>
  <c r="AS472" i="1"/>
  <c r="AT472" i="1"/>
  <c r="AU472" i="1"/>
  <c r="AV472" i="1"/>
  <c r="AW472" i="1"/>
  <c r="AX472" i="1"/>
  <c r="AY472" i="1"/>
  <c r="AZ472" i="1"/>
  <c r="BA472" i="1"/>
  <c r="BB472" i="1"/>
  <c r="BC472" i="1"/>
  <c r="BD472" i="1"/>
  <c r="BE472" i="1"/>
  <c r="BF472" i="1"/>
  <c r="BG472" i="1"/>
  <c r="BH472" i="1"/>
  <c r="AQ473" i="1"/>
  <c r="AR473" i="1"/>
  <c r="AS473" i="1"/>
  <c r="AT473" i="1"/>
  <c r="AU473" i="1"/>
  <c r="AV473" i="1"/>
  <c r="AW473" i="1"/>
  <c r="AX473" i="1"/>
  <c r="AY473" i="1"/>
  <c r="AZ473" i="1"/>
  <c r="BA473" i="1"/>
  <c r="BB473" i="1"/>
  <c r="BC473" i="1"/>
  <c r="BD473" i="1"/>
  <c r="BE473" i="1"/>
  <c r="BF473" i="1"/>
  <c r="BG473" i="1"/>
  <c r="BH473" i="1"/>
  <c r="AQ474" i="1"/>
  <c r="AR474" i="1"/>
  <c r="AS474" i="1"/>
  <c r="AT474" i="1"/>
  <c r="AU474" i="1"/>
  <c r="AV474" i="1"/>
  <c r="AW474" i="1"/>
  <c r="AX474" i="1"/>
  <c r="AY474" i="1"/>
  <c r="AZ474" i="1"/>
  <c r="BA474" i="1"/>
  <c r="BB474" i="1"/>
  <c r="BC474" i="1"/>
  <c r="BD474" i="1"/>
  <c r="BE474" i="1"/>
  <c r="BF474" i="1"/>
  <c r="BG474" i="1"/>
  <c r="BH474" i="1"/>
  <c r="AQ475" i="1"/>
  <c r="AR475" i="1"/>
  <c r="AS475" i="1"/>
  <c r="AT475" i="1"/>
  <c r="AU475" i="1"/>
  <c r="AV475" i="1"/>
  <c r="AW475" i="1"/>
  <c r="AX475" i="1"/>
  <c r="AY475" i="1"/>
  <c r="AZ475" i="1"/>
  <c r="BA475" i="1"/>
  <c r="BB475" i="1"/>
  <c r="BC475" i="1"/>
  <c r="BD475" i="1"/>
  <c r="BE475" i="1"/>
  <c r="BF475" i="1"/>
  <c r="BG475" i="1"/>
  <c r="BH475" i="1"/>
  <c r="AQ476" i="1"/>
  <c r="AR476" i="1"/>
  <c r="AS476" i="1"/>
  <c r="AT476" i="1"/>
  <c r="AU476" i="1"/>
  <c r="AV476" i="1"/>
  <c r="AW476" i="1"/>
  <c r="AX476" i="1"/>
  <c r="AY476" i="1"/>
  <c r="AZ476" i="1"/>
  <c r="BA476" i="1"/>
  <c r="BB476" i="1"/>
  <c r="BC476" i="1"/>
  <c r="BD476" i="1"/>
  <c r="BE476" i="1"/>
  <c r="BF476" i="1"/>
  <c r="BG476" i="1"/>
  <c r="BH476" i="1"/>
  <c r="AQ477" i="1"/>
  <c r="AR477" i="1"/>
  <c r="AS477" i="1"/>
  <c r="AT477" i="1"/>
  <c r="AU477" i="1"/>
  <c r="AV477" i="1"/>
  <c r="AW477" i="1"/>
  <c r="AX477" i="1"/>
  <c r="AY477" i="1"/>
  <c r="AZ477" i="1"/>
  <c r="BA477" i="1"/>
  <c r="BB477" i="1"/>
  <c r="BC477" i="1"/>
  <c r="BD477" i="1"/>
  <c r="BE477" i="1"/>
  <c r="BF477" i="1"/>
  <c r="BG477" i="1"/>
  <c r="BH477" i="1"/>
  <c r="AQ478" i="1"/>
  <c r="AR478" i="1"/>
  <c r="AS478" i="1"/>
  <c r="AT478" i="1"/>
  <c r="AU478" i="1"/>
  <c r="AV478" i="1"/>
  <c r="AW478" i="1"/>
  <c r="AX478" i="1"/>
  <c r="AY478" i="1"/>
  <c r="AZ478" i="1"/>
  <c r="BA478" i="1"/>
  <c r="BB478" i="1"/>
  <c r="BC478" i="1"/>
  <c r="BD478" i="1"/>
  <c r="BE478" i="1"/>
  <c r="BF478" i="1"/>
  <c r="BG478" i="1"/>
  <c r="BH478" i="1"/>
  <c r="AQ479" i="1"/>
  <c r="AR479" i="1"/>
  <c r="AS479" i="1"/>
  <c r="AT479" i="1"/>
  <c r="AU479" i="1"/>
  <c r="AV479" i="1"/>
  <c r="AW479" i="1"/>
  <c r="AX479" i="1"/>
  <c r="AY479" i="1"/>
  <c r="AZ479" i="1"/>
  <c r="BA479" i="1"/>
  <c r="BB479" i="1"/>
  <c r="BC479" i="1"/>
  <c r="BD479" i="1"/>
  <c r="BE479" i="1"/>
  <c r="BF479" i="1"/>
  <c r="BG479" i="1"/>
  <c r="BH479" i="1"/>
  <c r="AQ480" i="1"/>
  <c r="AR480" i="1"/>
  <c r="AS480" i="1"/>
  <c r="AT480" i="1"/>
  <c r="AU480" i="1"/>
  <c r="AV480" i="1"/>
  <c r="AW480" i="1"/>
  <c r="AX480" i="1"/>
  <c r="AY480" i="1"/>
  <c r="AZ480" i="1"/>
  <c r="BA480" i="1"/>
  <c r="BB480" i="1"/>
  <c r="BC480" i="1"/>
  <c r="BD480" i="1"/>
  <c r="BE480" i="1"/>
  <c r="BF480" i="1"/>
  <c r="BG480" i="1"/>
  <c r="BH480" i="1"/>
  <c r="AQ481" i="1"/>
  <c r="AR481" i="1"/>
  <c r="AS481" i="1"/>
  <c r="AT481" i="1"/>
  <c r="AU481" i="1"/>
  <c r="AV481" i="1"/>
  <c r="AW481" i="1"/>
  <c r="AX481" i="1"/>
  <c r="AY481" i="1"/>
  <c r="AZ481" i="1"/>
  <c r="BA481" i="1"/>
  <c r="BB481" i="1"/>
  <c r="BC481" i="1"/>
  <c r="BD481" i="1"/>
  <c r="BE481" i="1"/>
  <c r="BF481" i="1"/>
  <c r="BG481" i="1"/>
  <c r="BH481" i="1"/>
  <c r="AQ482" i="1"/>
  <c r="AR482" i="1"/>
  <c r="AS482" i="1"/>
  <c r="AT482" i="1"/>
  <c r="AU482" i="1"/>
  <c r="AV482" i="1"/>
  <c r="AW482" i="1"/>
  <c r="AX482" i="1"/>
  <c r="AY482" i="1"/>
  <c r="AZ482" i="1"/>
  <c r="BA482" i="1"/>
  <c r="BB482" i="1"/>
  <c r="BC482" i="1"/>
  <c r="BD482" i="1"/>
  <c r="BE482" i="1"/>
  <c r="BF482" i="1"/>
  <c r="BG482" i="1"/>
  <c r="BH482" i="1"/>
  <c r="AQ483" i="1"/>
  <c r="AR483" i="1"/>
  <c r="AS483" i="1"/>
  <c r="AT483" i="1"/>
  <c r="AU483" i="1"/>
  <c r="AV483" i="1"/>
  <c r="AW483" i="1"/>
  <c r="AX483" i="1"/>
  <c r="AY483" i="1"/>
  <c r="AZ483" i="1"/>
  <c r="BA483" i="1"/>
  <c r="BB483" i="1"/>
  <c r="BC483" i="1"/>
  <c r="BD483" i="1"/>
  <c r="BE483" i="1"/>
  <c r="BF483" i="1"/>
  <c r="BG483" i="1"/>
  <c r="BH483" i="1"/>
  <c r="AQ484" i="1"/>
  <c r="AR484" i="1"/>
  <c r="AS484" i="1"/>
  <c r="AT484" i="1"/>
  <c r="AU484" i="1"/>
  <c r="AV484" i="1"/>
  <c r="AW484" i="1"/>
  <c r="AX484" i="1"/>
  <c r="AY484" i="1"/>
  <c r="AZ484" i="1"/>
  <c r="BA484" i="1"/>
  <c r="BB484" i="1"/>
  <c r="BC484" i="1"/>
  <c r="BD484" i="1"/>
  <c r="BE484" i="1"/>
  <c r="BF484" i="1"/>
  <c r="BG484" i="1"/>
  <c r="BH484" i="1"/>
  <c r="AQ485" i="1"/>
  <c r="AR485" i="1"/>
  <c r="AS485" i="1"/>
  <c r="AT485" i="1"/>
  <c r="AU485" i="1"/>
  <c r="AV485" i="1"/>
  <c r="AW485" i="1"/>
  <c r="AX485" i="1"/>
  <c r="AY485" i="1"/>
  <c r="AZ485" i="1"/>
  <c r="BA485" i="1"/>
  <c r="BB485" i="1"/>
  <c r="BC485" i="1"/>
  <c r="BD485" i="1"/>
  <c r="BE485" i="1"/>
  <c r="BF485" i="1"/>
  <c r="BG485" i="1"/>
  <c r="BH485" i="1"/>
  <c r="AQ486" i="1"/>
  <c r="AR486" i="1"/>
  <c r="AS486" i="1"/>
  <c r="AT486" i="1"/>
  <c r="AU486" i="1"/>
  <c r="AV486" i="1"/>
  <c r="AW486" i="1"/>
  <c r="AX486" i="1"/>
  <c r="AY486" i="1"/>
  <c r="AZ486" i="1"/>
  <c r="BA486" i="1"/>
  <c r="BB486" i="1"/>
  <c r="BC486" i="1"/>
  <c r="BD486" i="1"/>
  <c r="BE486" i="1"/>
  <c r="BF486" i="1"/>
  <c r="BG486" i="1"/>
  <c r="BH486" i="1"/>
  <c r="AQ487" i="1"/>
  <c r="AR487" i="1"/>
  <c r="AS487" i="1"/>
  <c r="AT487" i="1"/>
  <c r="AU487" i="1"/>
  <c r="AV487" i="1"/>
  <c r="AW487" i="1"/>
  <c r="AX487" i="1"/>
  <c r="AY487" i="1"/>
  <c r="AZ487" i="1"/>
  <c r="BA487" i="1"/>
  <c r="BB487" i="1"/>
  <c r="BC487" i="1"/>
  <c r="BD487" i="1"/>
  <c r="BE487" i="1"/>
  <c r="BF487" i="1"/>
  <c r="BG487" i="1"/>
  <c r="BH487" i="1"/>
  <c r="AQ488" i="1"/>
  <c r="AR488" i="1"/>
  <c r="AS488" i="1"/>
  <c r="AT488" i="1"/>
  <c r="AU488" i="1"/>
  <c r="AV488" i="1"/>
  <c r="AW488" i="1"/>
  <c r="AX488" i="1"/>
  <c r="AY488" i="1"/>
  <c r="AZ488" i="1"/>
  <c r="BA488" i="1"/>
  <c r="BB488" i="1"/>
  <c r="BC488" i="1"/>
  <c r="BD488" i="1"/>
  <c r="BE488" i="1"/>
  <c r="BF488" i="1"/>
  <c r="BG488" i="1"/>
  <c r="BH488" i="1"/>
  <c r="AQ489" i="1"/>
  <c r="AR489" i="1"/>
  <c r="AS489" i="1"/>
  <c r="AT489" i="1"/>
  <c r="AU489" i="1"/>
  <c r="AV489" i="1"/>
  <c r="AW489" i="1"/>
  <c r="AX489" i="1"/>
  <c r="AY489" i="1"/>
  <c r="AZ489" i="1"/>
  <c r="BA489" i="1"/>
  <c r="BB489" i="1"/>
  <c r="BC489" i="1"/>
  <c r="BD489" i="1"/>
  <c r="BE489" i="1"/>
  <c r="BF489" i="1"/>
  <c r="BG489" i="1"/>
  <c r="BH489" i="1"/>
  <c r="AQ490" i="1"/>
  <c r="AR490" i="1"/>
  <c r="AS490" i="1"/>
  <c r="AT490" i="1"/>
  <c r="AU490" i="1"/>
  <c r="AV490" i="1"/>
  <c r="AW490" i="1"/>
  <c r="AX490" i="1"/>
  <c r="AY490" i="1"/>
  <c r="AZ490" i="1"/>
  <c r="BA490" i="1"/>
  <c r="BB490" i="1"/>
  <c r="BC490" i="1"/>
  <c r="BD490" i="1"/>
  <c r="BE490" i="1"/>
  <c r="BF490" i="1"/>
  <c r="BG490" i="1"/>
  <c r="BH490" i="1"/>
  <c r="AQ491" i="1"/>
  <c r="AR491" i="1"/>
  <c r="AS491" i="1"/>
  <c r="AT491" i="1"/>
  <c r="AU491" i="1"/>
  <c r="AV491" i="1"/>
  <c r="AW491" i="1"/>
  <c r="AX491" i="1"/>
  <c r="AY491" i="1"/>
  <c r="AZ491" i="1"/>
  <c r="BA491" i="1"/>
  <c r="BB491" i="1"/>
  <c r="BC491" i="1"/>
  <c r="BD491" i="1"/>
  <c r="BE491" i="1"/>
  <c r="BF491" i="1"/>
  <c r="BG491" i="1"/>
  <c r="BH491" i="1"/>
  <c r="AQ492" i="1"/>
  <c r="AR492" i="1"/>
  <c r="AS492" i="1"/>
  <c r="AT492" i="1"/>
  <c r="AU492" i="1"/>
  <c r="AV492" i="1"/>
  <c r="AW492" i="1"/>
  <c r="AX492" i="1"/>
  <c r="AY492" i="1"/>
  <c r="AZ492" i="1"/>
  <c r="BA492" i="1"/>
  <c r="BB492" i="1"/>
  <c r="BC492" i="1"/>
  <c r="BD492" i="1"/>
  <c r="BE492" i="1"/>
  <c r="BF492" i="1"/>
  <c r="BG492" i="1"/>
  <c r="BH492" i="1"/>
  <c r="AQ493" i="1"/>
  <c r="AR493" i="1"/>
  <c r="AS493" i="1"/>
  <c r="AT493" i="1"/>
  <c r="AU493" i="1"/>
  <c r="AV493" i="1"/>
  <c r="AW493" i="1"/>
  <c r="AX493" i="1"/>
  <c r="AY493" i="1"/>
  <c r="AZ493" i="1"/>
  <c r="BA493" i="1"/>
  <c r="BB493" i="1"/>
  <c r="BC493" i="1"/>
  <c r="BD493" i="1"/>
  <c r="BE493" i="1"/>
  <c r="BF493" i="1"/>
  <c r="BG493" i="1"/>
  <c r="BH493" i="1"/>
  <c r="AQ494" i="1"/>
  <c r="AR494" i="1"/>
  <c r="AS494" i="1"/>
  <c r="AT494" i="1"/>
  <c r="AU494" i="1"/>
  <c r="AV494" i="1"/>
  <c r="AW494" i="1"/>
  <c r="AX494" i="1"/>
  <c r="AY494" i="1"/>
  <c r="AZ494" i="1"/>
  <c r="BA494" i="1"/>
  <c r="BB494" i="1"/>
  <c r="BC494" i="1"/>
  <c r="BD494" i="1"/>
  <c r="BE494" i="1"/>
  <c r="BF494" i="1"/>
  <c r="BG494" i="1"/>
  <c r="BH494" i="1"/>
  <c r="AQ495" i="1"/>
  <c r="AR495" i="1"/>
  <c r="AS495" i="1"/>
  <c r="AT495" i="1"/>
  <c r="AU495" i="1"/>
  <c r="AV495" i="1"/>
  <c r="AW495" i="1"/>
  <c r="AX495" i="1"/>
  <c r="AY495" i="1"/>
  <c r="AZ495" i="1"/>
  <c r="BA495" i="1"/>
  <c r="BB495" i="1"/>
  <c r="BC495" i="1"/>
  <c r="BD495" i="1"/>
  <c r="BE495" i="1"/>
  <c r="BF495" i="1"/>
  <c r="BG495" i="1"/>
  <c r="BH495" i="1"/>
  <c r="AQ496" i="1"/>
  <c r="AR496" i="1"/>
  <c r="AS496" i="1"/>
  <c r="AT496" i="1"/>
  <c r="AU496" i="1"/>
  <c r="AV496" i="1"/>
  <c r="AW496" i="1"/>
  <c r="AX496" i="1"/>
  <c r="AY496" i="1"/>
  <c r="AZ496" i="1"/>
  <c r="BA496" i="1"/>
  <c r="BB496" i="1"/>
  <c r="BC496" i="1"/>
  <c r="BD496" i="1"/>
  <c r="BE496" i="1"/>
  <c r="BF496" i="1"/>
  <c r="BG496" i="1"/>
  <c r="BH496" i="1"/>
  <c r="AQ497" i="1"/>
  <c r="AR497" i="1"/>
  <c r="AS497" i="1"/>
  <c r="AT497" i="1"/>
  <c r="AU497" i="1"/>
  <c r="AV497" i="1"/>
  <c r="AW497" i="1"/>
  <c r="AX497" i="1"/>
  <c r="AY497" i="1"/>
  <c r="AZ497" i="1"/>
  <c r="BA497" i="1"/>
  <c r="BB497" i="1"/>
  <c r="BC497" i="1"/>
  <c r="BD497" i="1"/>
  <c r="BE497" i="1"/>
  <c r="BF497" i="1"/>
  <c r="BG497" i="1"/>
  <c r="BH497" i="1"/>
  <c r="AQ498" i="1"/>
  <c r="AR498" i="1"/>
  <c r="AS498" i="1"/>
  <c r="AT498" i="1"/>
  <c r="AU498" i="1"/>
  <c r="AV498" i="1"/>
  <c r="AW498" i="1"/>
  <c r="AX498" i="1"/>
  <c r="AY498" i="1"/>
  <c r="AZ498" i="1"/>
  <c r="BA498" i="1"/>
  <c r="BB498" i="1"/>
  <c r="BC498" i="1"/>
  <c r="BD498" i="1"/>
  <c r="BE498" i="1"/>
  <c r="BF498" i="1"/>
  <c r="BG498" i="1"/>
  <c r="BH498" i="1"/>
  <c r="AQ499" i="1"/>
  <c r="AR499" i="1"/>
  <c r="AS499" i="1"/>
  <c r="AT499" i="1"/>
  <c r="AU499" i="1"/>
  <c r="AV499" i="1"/>
  <c r="AW499" i="1"/>
  <c r="AX499" i="1"/>
  <c r="AY499" i="1"/>
  <c r="AZ499" i="1"/>
  <c r="BA499" i="1"/>
  <c r="BB499" i="1"/>
  <c r="BC499" i="1"/>
  <c r="BD499" i="1"/>
  <c r="BE499" i="1"/>
  <c r="BF499" i="1"/>
  <c r="BG499" i="1"/>
  <c r="BH499" i="1"/>
  <c r="AQ500" i="1"/>
  <c r="AR500" i="1"/>
  <c r="AS500" i="1"/>
  <c r="AT500" i="1"/>
  <c r="AU500" i="1"/>
  <c r="AV500" i="1"/>
  <c r="AW500" i="1"/>
  <c r="AX500" i="1"/>
  <c r="AY500" i="1"/>
  <c r="AZ500" i="1"/>
  <c r="BA500" i="1"/>
  <c r="BB500" i="1"/>
  <c r="BC500" i="1"/>
  <c r="BD500" i="1"/>
  <c r="BE500" i="1"/>
  <c r="BF500" i="1"/>
  <c r="BG500" i="1"/>
  <c r="BH500" i="1"/>
  <c r="AQ501" i="1"/>
  <c r="AR501" i="1"/>
  <c r="AS501" i="1"/>
  <c r="AT501" i="1"/>
  <c r="AU501" i="1"/>
  <c r="AV501" i="1"/>
  <c r="AW501" i="1"/>
  <c r="AX501" i="1"/>
  <c r="AY501" i="1"/>
  <c r="AZ501" i="1"/>
  <c r="BA501" i="1"/>
  <c r="BB501" i="1"/>
  <c r="BC501" i="1"/>
  <c r="BD501" i="1"/>
  <c r="BE501" i="1"/>
  <c r="BF501" i="1"/>
  <c r="BG501" i="1"/>
  <c r="BH501" i="1"/>
  <c r="AQ502" i="1"/>
  <c r="AR502" i="1"/>
  <c r="AS502" i="1"/>
  <c r="AT502" i="1"/>
  <c r="AU502" i="1"/>
  <c r="AV502" i="1"/>
  <c r="AW502" i="1"/>
  <c r="AX502" i="1"/>
  <c r="AY502" i="1"/>
  <c r="AZ502" i="1"/>
  <c r="BA502" i="1"/>
  <c r="BB502" i="1"/>
  <c r="BC502" i="1"/>
  <c r="BD502" i="1"/>
  <c r="BE502" i="1"/>
  <c r="BF502" i="1"/>
  <c r="BG502" i="1"/>
  <c r="BH502" i="1"/>
  <c r="AQ503" i="1"/>
  <c r="AR503" i="1"/>
  <c r="AS503" i="1"/>
  <c r="AT503" i="1"/>
  <c r="AU503" i="1"/>
  <c r="AV503" i="1"/>
  <c r="AW503" i="1"/>
  <c r="AX503" i="1"/>
  <c r="AY503" i="1"/>
  <c r="AZ503" i="1"/>
  <c r="BA503" i="1"/>
  <c r="BB503" i="1"/>
  <c r="BC503" i="1"/>
  <c r="BD503" i="1"/>
  <c r="BE503" i="1"/>
  <c r="BF503" i="1"/>
  <c r="BG503" i="1"/>
  <c r="BH503" i="1"/>
  <c r="AQ504" i="1"/>
  <c r="AR504" i="1"/>
  <c r="AS504" i="1"/>
  <c r="AT504" i="1"/>
  <c r="AU504" i="1"/>
  <c r="AV504" i="1"/>
  <c r="AW504" i="1"/>
  <c r="AX504" i="1"/>
  <c r="AY504" i="1"/>
  <c r="AZ504" i="1"/>
  <c r="BA504" i="1"/>
  <c r="BB504" i="1"/>
  <c r="BC504" i="1"/>
  <c r="BD504" i="1"/>
  <c r="BE504" i="1"/>
  <c r="BF504" i="1"/>
  <c r="BG504" i="1"/>
  <c r="BH504" i="1"/>
  <c r="AQ505" i="1"/>
  <c r="AR505" i="1"/>
  <c r="AS505" i="1"/>
  <c r="AT505" i="1"/>
  <c r="AU505" i="1"/>
  <c r="AV505" i="1"/>
  <c r="AW505" i="1"/>
  <c r="AX505" i="1"/>
  <c r="AY505" i="1"/>
  <c r="AZ505" i="1"/>
  <c r="BA505" i="1"/>
  <c r="BB505" i="1"/>
  <c r="BC505" i="1"/>
  <c r="BD505" i="1"/>
  <c r="BE505" i="1"/>
  <c r="BF505" i="1"/>
  <c r="BG505" i="1"/>
  <c r="BH505" i="1"/>
  <c r="AQ506" i="1"/>
  <c r="AR506" i="1"/>
  <c r="AS506" i="1"/>
  <c r="AT506" i="1"/>
  <c r="AU506" i="1"/>
  <c r="AV506" i="1"/>
  <c r="AW506" i="1"/>
  <c r="AX506" i="1"/>
  <c r="AY506" i="1"/>
  <c r="AZ506" i="1"/>
  <c r="BA506" i="1"/>
  <c r="BB506" i="1"/>
  <c r="BC506" i="1"/>
  <c r="BD506" i="1"/>
  <c r="BE506" i="1"/>
  <c r="BF506" i="1"/>
  <c r="BG506" i="1"/>
  <c r="BH506" i="1"/>
  <c r="AQ507" i="1"/>
  <c r="AR507" i="1"/>
  <c r="AS507" i="1"/>
  <c r="AT507" i="1"/>
  <c r="AU507" i="1"/>
  <c r="AV507" i="1"/>
  <c r="AW507" i="1"/>
  <c r="AX507" i="1"/>
  <c r="AY507" i="1"/>
  <c r="AZ507" i="1"/>
  <c r="BA507" i="1"/>
  <c r="BB507" i="1"/>
  <c r="BC507" i="1"/>
  <c r="BD507" i="1"/>
  <c r="BE507" i="1"/>
  <c r="BF507" i="1"/>
  <c r="BG507" i="1"/>
  <c r="BH507" i="1"/>
  <c r="AQ508" i="1"/>
  <c r="AR508" i="1"/>
  <c r="AS508" i="1"/>
  <c r="AT508" i="1"/>
  <c r="AU508" i="1"/>
  <c r="AV508" i="1"/>
  <c r="AW508" i="1"/>
  <c r="AX508" i="1"/>
  <c r="AY508" i="1"/>
  <c r="AZ508" i="1"/>
  <c r="BA508" i="1"/>
  <c r="BB508" i="1"/>
  <c r="BC508" i="1"/>
  <c r="BD508" i="1"/>
  <c r="BE508" i="1"/>
  <c r="BF508" i="1"/>
  <c r="BG508" i="1"/>
  <c r="BH508" i="1"/>
  <c r="AQ509" i="1"/>
  <c r="AR509" i="1"/>
  <c r="AS509" i="1"/>
  <c r="AT509" i="1"/>
  <c r="AU509" i="1"/>
  <c r="AV509" i="1"/>
  <c r="AW509" i="1"/>
  <c r="AX509" i="1"/>
  <c r="AY509" i="1"/>
  <c r="AZ509" i="1"/>
  <c r="BA509" i="1"/>
  <c r="BB509" i="1"/>
  <c r="BC509" i="1"/>
  <c r="BD509" i="1"/>
  <c r="BE509" i="1"/>
  <c r="BF509" i="1"/>
  <c r="BG509" i="1"/>
  <c r="BH509" i="1"/>
  <c r="AQ510" i="1"/>
  <c r="AR510" i="1"/>
  <c r="AS510" i="1"/>
  <c r="AT510" i="1"/>
  <c r="AU510" i="1"/>
  <c r="AV510" i="1"/>
  <c r="AW510" i="1"/>
  <c r="AX510" i="1"/>
  <c r="AY510" i="1"/>
  <c r="AZ510" i="1"/>
  <c r="BA510" i="1"/>
  <c r="BB510" i="1"/>
  <c r="BC510" i="1"/>
  <c r="BD510" i="1"/>
  <c r="BE510" i="1"/>
  <c r="BF510" i="1"/>
  <c r="BG510" i="1"/>
  <c r="BH510" i="1"/>
  <c r="AQ511" i="1"/>
  <c r="AR511" i="1"/>
  <c r="AS511" i="1"/>
  <c r="AT511" i="1"/>
  <c r="AU511" i="1"/>
  <c r="AV511" i="1"/>
  <c r="AW511" i="1"/>
  <c r="AX511" i="1"/>
  <c r="AY511" i="1"/>
  <c r="AZ511" i="1"/>
  <c r="BA511" i="1"/>
  <c r="BB511" i="1"/>
  <c r="BC511" i="1"/>
  <c r="BD511" i="1"/>
  <c r="BE511" i="1"/>
  <c r="BF511" i="1"/>
  <c r="BG511" i="1"/>
  <c r="BH511" i="1"/>
  <c r="AQ512" i="1"/>
  <c r="AR512" i="1"/>
  <c r="AS512" i="1"/>
  <c r="AT512" i="1"/>
  <c r="AU512" i="1"/>
  <c r="AV512" i="1"/>
  <c r="AW512" i="1"/>
  <c r="AX512" i="1"/>
  <c r="AY512" i="1"/>
  <c r="AZ512" i="1"/>
  <c r="BA512" i="1"/>
  <c r="BB512" i="1"/>
  <c r="BC512" i="1"/>
  <c r="BD512" i="1"/>
  <c r="BE512" i="1"/>
  <c r="BF512" i="1"/>
  <c r="BG512" i="1"/>
  <c r="BH512" i="1"/>
  <c r="AQ513" i="1"/>
  <c r="AR513" i="1"/>
  <c r="AS513" i="1"/>
  <c r="AT513" i="1"/>
  <c r="AU513" i="1"/>
  <c r="AV513" i="1"/>
  <c r="AW513" i="1"/>
  <c r="AX513" i="1"/>
  <c r="AY513" i="1"/>
  <c r="AZ513" i="1"/>
  <c r="BA513" i="1"/>
  <c r="BB513" i="1"/>
  <c r="BC513" i="1"/>
  <c r="BD513" i="1"/>
  <c r="BE513" i="1"/>
  <c r="BF513" i="1"/>
  <c r="BG513" i="1"/>
  <c r="BH513" i="1"/>
  <c r="AQ514" i="1"/>
  <c r="AR514" i="1"/>
  <c r="AS514" i="1"/>
  <c r="AT514" i="1"/>
  <c r="AU514" i="1"/>
  <c r="AV514" i="1"/>
  <c r="AW514" i="1"/>
  <c r="AX514" i="1"/>
  <c r="AY514" i="1"/>
  <c r="AZ514" i="1"/>
  <c r="BA514" i="1"/>
  <c r="BB514" i="1"/>
  <c r="BC514" i="1"/>
  <c r="BD514" i="1"/>
  <c r="BE514" i="1"/>
  <c r="BF514" i="1"/>
  <c r="BG514" i="1"/>
  <c r="BH514" i="1"/>
  <c r="AQ515" i="1"/>
  <c r="AR515" i="1"/>
  <c r="AS515" i="1"/>
  <c r="AT515" i="1"/>
  <c r="AU515" i="1"/>
  <c r="AV515" i="1"/>
  <c r="AW515" i="1"/>
  <c r="AX515" i="1"/>
  <c r="AY515" i="1"/>
  <c r="AZ515" i="1"/>
  <c r="BA515" i="1"/>
  <c r="BB515" i="1"/>
  <c r="BC515" i="1"/>
  <c r="BD515" i="1"/>
  <c r="BE515" i="1"/>
  <c r="BF515" i="1"/>
  <c r="BG515" i="1"/>
  <c r="BH515" i="1"/>
  <c r="AQ516" i="1"/>
  <c r="AR516" i="1"/>
  <c r="AS516" i="1"/>
  <c r="AT516" i="1"/>
  <c r="AU516" i="1"/>
  <c r="AV516" i="1"/>
  <c r="AW516" i="1"/>
  <c r="AX516" i="1"/>
  <c r="AY516" i="1"/>
  <c r="AZ516" i="1"/>
  <c r="BA516" i="1"/>
  <c r="BB516" i="1"/>
  <c r="BC516" i="1"/>
  <c r="BD516" i="1"/>
  <c r="BE516" i="1"/>
  <c r="BF516" i="1"/>
  <c r="BG516" i="1"/>
  <c r="BH516" i="1"/>
  <c r="AQ517" i="1"/>
  <c r="AR517" i="1"/>
  <c r="AS517" i="1"/>
  <c r="AT517" i="1"/>
  <c r="AU517" i="1"/>
  <c r="AV517" i="1"/>
  <c r="AW517" i="1"/>
  <c r="AX517" i="1"/>
  <c r="AY517" i="1"/>
  <c r="AZ517" i="1"/>
  <c r="BA517" i="1"/>
  <c r="BB517" i="1"/>
  <c r="BC517" i="1"/>
  <c r="BD517" i="1"/>
  <c r="BE517" i="1"/>
  <c r="BF517" i="1"/>
  <c r="BG517" i="1"/>
  <c r="BH517" i="1"/>
  <c r="AQ518" i="1"/>
  <c r="AR518" i="1"/>
  <c r="AS518" i="1"/>
  <c r="AT518" i="1"/>
  <c r="AU518" i="1"/>
  <c r="AV518" i="1"/>
  <c r="AW518" i="1"/>
  <c r="AX518" i="1"/>
  <c r="AY518" i="1"/>
  <c r="AZ518" i="1"/>
  <c r="BA518" i="1"/>
  <c r="BB518" i="1"/>
  <c r="BC518" i="1"/>
  <c r="BD518" i="1"/>
  <c r="BE518" i="1"/>
  <c r="BF518" i="1"/>
  <c r="BG518" i="1"/>
  <c r="BH518" i="1"/>
  <c r="AQ519" i="1"/>
  <c r="AR519" i="1"/>
  <c r="AS519" i="1"/>
  <c r="AT519" i="1"/>
  <c r="AU519" i="1"/>
  <c r="AV519" i="1"/>
  <c r="AW519" i="1"/>
  <c r="AX519" i="1"/>
  <c r="AY519" i="1"/>
  <c r="AZ519" i="1"/>
  <c r="BA519" i="1"/>
  <c r="BB519" i="1"/>
  <c r="BC519" i="1"/>
  <c r="BD519" i="1"/>
  <c r="BE519" i="1"/>
  <c r="BF519" i="1"/>
  <c r="BG519" i="1"/>
  <c r="BH519" i="1"/>
  <c r="AQ520" i="1"/>
  <c r="AR520" i="1"/>
  <c r="AS520" i="1"/>
  <c r="AT520" i="1"/>
  <c r="AU520" i="1"/>
  <c r="AV520" i="1"/>
  <c r="AW520" i="1"/>
  <c r="AX520" i="1"/>
  <c r="AY520" i="1"/>
  <c r="AZ520" i="1"/>
  <c r="BA520" i="1"/>
  <c r="BB520" i="1"/>
  <c r="BC520" i="1"/>
  <c r="BD520" i="1"/>
  <c r="BE520" i="1"/>
  <c r="BF520" i="1"/>
  <c r="BG520" i="1"/>
  <c r="BH520" i="1"/>
  <c r="AQ521" i="1"/>
  <c r="AR521" i="1"/>
  <c r="AS521" i="1"/>
  <c r="AT521" i="1"/>
  <c r="AU521" i="1"/>
  <c r="AV521" i="1"/>
  <c r="AW521" i="1"/>
  <c r="AX521" i="1"/>
  <c r="AY521" i="1"/>
  <c r="AZ521" i="1"/>
  <c r="BA521" i="1"/>
  <c r="BB521" i="1"/>
  <c r="BC521" i="1"/>
  <c r="BD521" i="1"/>
  <c r="BE521" i="1"/>
  <c r="BF521" i="1"/>
  <c r="BG521" i="1"/>
  <c r="BH521" i="1"/>
  <c r="AQ522" i="1"/>
  <c r="AR522" i="1"/>
  <c r="AS522" i="1"/>
  <c r="AT522" i="1"/>
  <c r="AU522" i="1"/>
  <c r="AV522" i="1"/>
  <c r="AW522" i="1"/>
  <c r="AX522" i="1"/>
  <c r="AY522" i="1"/>
  <c r="AZ522" i="1"/>
  <c r="BA522" i="1"/>
  <c r="BB522" i="1"/>
  <c r="BC522" i="1"/>
  <c r="BD522" i="1"/>
  <c r="BE522" i="1"/>
  <c r="BF522" i="1"/>
  <c r="BG522" i="1"/>
  <c r="BH522" i="1"/>
  <c r="AQ523" i="1"/>
  <c r="AR523" i="1"/>
  <c r="AS523" i="1"/>
  <c r="AT523" i="1"/>
  <c r="AU523" i="1"/>
  <c r="AV523" i="1"/>
  <c r="AW523" i="1"/>
  <c r="AX523" i="1"/>
  <c r="AY523" i="1"/>
  <c r="AZ523" i="1"/>
  <c r="BA523" i="1"/>
  <c r="BB523" i="1"/>
  <c r="BC523" i="1"/>
  <c r="BD523" i="1"/>
  <c r="BE523" i="1"/>
  <c r="BF523" i="1"/>
  <c r="BG523" i="1"/>
  <c r="BH523" i="1"/>
  <c r="AQ524" i="1"/>
  <c r="AR524" i="1"/>
  <c r="AS524" i="1"/>
  <c r="AT524" i="1"/>
  <c r="AU524" i="1"/>
  <c r="AV524" i="1"/>
  <c r="AW524" i="1"/>
  <c r="AX524" i="1"/>
  <c r="AY524" i="1"/>
  <c r="AZ524" i="1"/>
  <c r="BA524" i="1"/>
  <c r="BB524" i="1"/>
  <c r="BC524" i="1"/>
  <c r="BD524" i="1"/>
  <c r="BE524" i="1"/>
  <c r="BF524" i="1"/>
  <c r="BG524" i="1"/>
  <c r="BH524" i="1"/>
  <c r="AQ525" i="1"/>
  <c r="AR525" i="1"/>
  <c r="AS525" i="1"/>
  <c r="AT525" i="1"/>
  <c r="AU525" i="1"/>
  <c r="AV525" i="1"/>
  <c r="AW525" i="1"/>
  <c r="AX525" i="1"/>
  <c r="AY525" i="1"/>
  <c r="AZ525" i="1"/>
  <c r="BA525" i="1"/>
  <c r="BB525" i="1"/>
  <c r="BC525" i="1"/>
  <c r="BD525" i="1"/>
  <c r="BE525" i="1"/>
  <c r="BF525" i="1"/>
  <c r="BG525" i="1"/>
  <c r="BH525" i="1"/>
  <c r="AQ526" i="1"/>
  <c r="AR526" i="1"/>
  <c r="AS526" i="1"/>
  <c r="AT526" i="1"/>
  <c r="AU526" i="1"/>
  <c r="AV526" i="1"/>
  <c r="AW526" i="1"/>
  <c r="AX526" i="1"/>
  <c r="AY526" i="1"/>
  <c r="AZ526" i="1"/>
  <c r="BA526" i="1"/>
  <c r="BB526" i="1"/>
  <c r="BC526" i="1"/>
  <c r="BD526" i="1"/>
  <c r="BE526" i="1"/>
  <c r="BF526" i="1"/>
  <c r="BG526" i="1"/>
  <c r="BH526" i="1"/>
  <c r="AQ527" i="1"/>
  <c r="AR527" i="1"/>
  <c r="AS527" i="1"/>
  <c r="AT527" i="1"/>
  <c r="AU527" i="1"/>
  <c r="AV527" i="1"/>
  <c r="AW527" i="1"/>
  <c r="AX527" i="1"/>
  <c r="AY527" i="1"/>
  <c r="AZ527" i="1"/>
  <c r="BA527" i="1"/>
  <c r="BB527" i="1"/>
  <c r="BC527" i="1"/>
  <c r="BD527" i="1"/>
  <c r="BE527" i="1"/>
  <c r="BF527" i="1"/>
  <c r="BG527" i="1"/>
  <c r="BH527" i="1"/>
  <c r="AQ528" i="1"/>
  <c r="AR528" i="1"/>
  <c r="AS528" i="1"/>
  <c r="AT528" i="1"/>
  <c r="AU528" i="1"/>
  <c r="AV528" i="1"/>
  <c r="AW528" i="1"/>
  <c r="AX528" i="1"/>
  <c r="AY528" i="1"/>
  <c r="AZ528" i="1"/>
  <c r="BA528" i="1"/>
  <c r="BB528" i="1"/>
  <c r="BC528" i="1"/>
  <c r="BD528" i="1"/>
  <c r="BE528" i="1"/>
  <c r="BF528" i="1"/>
  <c r="BG528" i="1"/>
  <c r="BH528" i="1"/>
  <c r="AQ529" i="1"/>
  <c r="AR529" i="1"/>
  <c r="AS529" i="1"/>
  <c r="AT529" i="1"/>
  <c r="AU529" i="1"/>
  <c r="AV529" i="1"/>
  <c r="AW529" i="1"/>
  <c r="AX529" i="1"/>
  <c r="AY529" i="1"/>
  <c r="AZ529" i="1"/>
  <c r="BA529" i="1"/>
  <c r="BB529" i="1"/>
  <c r="BC529" i="1"/>
  <c r="BD529" i="1"/>
  <c r="BE529" i="1"/>
  <c r="BF529" i="1"/>
  <c r="BG529" i="1"/>
  <c r="BH529" i="1"/>
  <c r="AQ530" i="1"/>
  <c r="AR530" i="1"/>
  <c r="AS530" i="1"/>
  <c r="AT530" i="1"/>
  <c r="AU530" i="1"/>
  <c r="AV530" i="1"/>
  <c r="AW530" i="1"/>
  <c r="AX530" i="1"/>
  <c r="AY530" i="1"/>
  <c r="AZ530" i="1"/>
  <c r="BA530" i="1"/>
  <c r="BB530" i="1"/>
  <c r="BC530" i="1"/>
  <c r="BD530" i="1"/>
  <c r="BE530" i="1"/>
  <c r="BF530" i="1"/>
  <c r="BG530" i="1"/>
  <c r="BH530" i="1"/>
  <c r="AQ531" i="1"/>
  <c r="AR531" i="1"/>
  <c r="AS531" i="1"/>
  <c r="AT531" i="1"/>
  <c r="AU531" i="1"/>
  <c r="AV531" i="1"/>
  <c r="AW531" i="1"/>
  <c r="AX531" i="1"/>
  <c r="AY531" i="1"/>
  <c r="AZ531" i="1"/>
  <c r="BA531" i="1"/>
  <c r="BB531" i="1"/>
  <c r="BC531" i="1"/>
  <c r="BD531" i="1"/>
  <c r="BE531" i="1"/>
  <c r="BF531" i="1"/>
  <c r="BG531" i="1"/>
  <c r="BH531" i="1"/>
  <c r="AQ532" i="1"/>
  <c r="AR532" i="1"/>
  <c r="AS532" i="1"/>
  <c r="AT532" i="1"/>
  <c r="AU532" i="1"/>
  <c r="AV532" i="1"/>
  <c r="AW532" i="1"/>
  <c r="AX532" i="1"/>
  <c r="AY532" i="1"/>
  <c r="AZ532" i="1"/>
  <c r="BA532" i="1"/>
  <c r="BB532" i="1"/>
  <c r="BC532" i="1"/>
  <c r="BD532" i="1"/>
  <c r="BE532" i="1"/>
  <c r="BF532" i="1"/>
  <c r="BG532" i="1"/>
  <c r="BH532" i="1"/>
  <c r="AQ533" i="1"/>
  <c r="AR533" i="1"/>
  <c r="AS533" i="1"/>
  <c r="AT533" i="1"/>
  <c r="AU533" i="1"/>
  <c r="AV533" i="1"/>
  <c r="AW533" i="1"/>
  <c r="AX533" i="1"/>
  <c r="AY533" i="1"/>
  <c r="AZ533" i="1"/>
  <c r="BA533" i="1"/>
  <c r="BB533" i="1"/>
  <c r="BC533" i="1"/>
  <c r="BD533" i="1"/>
  <c r="BE533" i="1"/>
  <c r="BF533" i="1"/>
  <c r="BG533" i="1"/>
  <c r="BH533" i="1"/>
  <c r="AQ534" i="1"/>
  <c r="AR534" i="1"/>
  <c r="AS534" i="1"/>
  <c r="AT534" i="1"/>
  <c r="AU534" i="1"/>
  <c r="AV534" i="1"/>
  <c r="AW534" i="1"/>
  <c r="AX534" i="1"/>
  <c r="AY534" i="1"/>
  <c r="AZ534" i="1"/>
  <c r="BA534" i="1"/>
  <c r="BB534" i="1"/>
  <c r="BC534" i="1"/>
  <c r="BD534" i="1"/>
  <c r="BE534" i="1"/>
  <c r="BF534" i="1"/>
  <c r="BG534" i="1"/>
  <c r="BH534" i="1"/>
  <c r="AQ535" i="1"/>
  <c r="AR535" i="1"/>
  <c r="AS535" i="1"/>
  <c r="AT535" i="1"/>
  <c r="AU535" i="1"/>
  <c r="AV535" i="1"/>
  <c r="AW535" i="1"/>
  <c r="AX535" i="1"/>
  <c r="AY535" i="1"/>
  <c r="AZ535" i="1"/>
  <c r="BA535" i="1"/>
  <c r="BB535" i="1"/>
  <c r="BC535" i="1"/>
  <c r="BD535" i="1"/>
  <c r="BE535" i="1"/>
  <c r="BF535" i="1"/>
  <c r="BG535" i="1"/>
  <c r="BH535" i="1"/>
  <c r="AQ536" i="1"/>
  <c r="AR536" i="1"/>
  <c r="AS536" i="1"/>
  <c r="AT536" i="1"/>
  <c r="AU536" i="1"/>
  <c r="AV536" i="1"/>
  <c r="AW536" i="1"/>
  <c r="AX536" i="1"/>
  <c r="AY536" i="1"/>
  <c r="AZ536" i="1"/>
  <c r="BA536" i="1"/>
  <c r="BB536" i="1"/>
  <c r="BC536" i="1"/>
  <c r="BD536" i="1"/>
  <c r="BE536" i="1"/>
  <c r="BF536" i="1"/>
  <c r="BG536" i="1"/>
  <c r="BH536" i="1"/>
  <c r="AQ537" i="1"/>
  <c r="AR537" i="1"/>
  <c r="AS537" i="1"/>
  <c r="AT537" i="1"/>
  <c r="AU537" i="1"/>
  <c r="AV537" i="1"/>
  <c r="AW537" i="1"/>
  <c r="AX537" i="1"/>
  <c r="AY537" i="1"/>
  <c r="AZ537" i="1"/>
  <c r="BA537" i="1"/>
  <c r="BB537" i="1"/>
  <c r="BC537" i="1"/>
  <c r="BD537" i="1"/>
  <c r="BE537" i="1"/>
  <c r="BF537" i="1"/>
  <c r="BG537" i="1"/>
  <c r="BH537" i="1"/>
  <c r="AQ538" i="1"/>
  <c r="AR538" i="1"/>
  <c r="AS538" i="1"/>
  <c r="AT538" i="1"/>
  <c r="AU538" i="1"/>
  <c r="AV538" i="1"/>
  <c r="AW538" i="1"/>
  <c r="AX538" i="1"/>
  <c r="AY538" i="1"/>
  <c r="AZ538" i="1"/>
  <c r="BA538" i="1"/>
  <c r="BB538" i="1"/>
  <c r="BC538" i="1"/>
  <c r="BD538" i="1"/>
  <c r="BE538" i="1"/>
  <c r="BF538" i="1"/>
  <c r="BG538" i="1"/>
  <c r="BH538" i="1"/>
  <c r="AQ539" i="1"/>
  <c r="AR539" i="1"/>
  <c r="AS539" i="1"/>
  <c r="AT539" i="1"/>
  <c r="AU539" i="1"/>
  <c r="AV539" i="1"/>
  <c r="AW539" i="1"/>
  <c r="AX539" i="1"/>
  <c r="AY539" i="1"/>
  <c r="AZ539" i="1"/>
  <c r="BA539" i="1"/>
  <c r="BB539" i="1"/>
  <c r="BC539" i="1"/>
  <c r="BD539" i="1"/>
  <c r="BE539" i="1"/>
  <c r="BF539" i="1"/>
  <c r="BG539" i="1"/>
  <c r="BH539" i="1"/>
  <c r="AQ540" i="1"/>
  <c r="AR540" i="1"/>
  <c r="AS540" i="1"/>
  <c r="AT540" i="1"/>
  <c r="AU540" i="1"/>
  <c r="AV540" i="1"/>
  <c r="AW540" i="1"/>
  <c r="AX540" i="1"/>
  <c r="AY540" i="1"/>
  <c r="AZ540" i="1"/>
  <c r="BA540" i="1"/>
  <c r="BB540" i="1"/>
  <c r="BC540" i="1"/>
  <c r="BD540" i="1"/>
  <c r="BE540" i="1"/>
  <c r="BF540" i="1"/>
  <c r="BG540" i="1"/>
  <c r="BH540" i="1"/>
  <c r="AQ541" i="1"/>
  <c r="AR541" i="1"/>
  <c r="AS541" i="1"/>
  <c r="AT541" i="1"/>
  <c r="AU541" i="1"/>
  <c r="AV541" i="1"/>
  <c r="AW541" i="1"/>
  <c r="AX541" i="1"/>
  <c r="AY541" i="1"/>
  <c r="AZ541" i="1"/>
  <c r="BA541" i="1"/>
  <c r="BB541" i="1"/>
  <c r="BC541" i="1"/>
  <c r="BD541" i="1"/>
  <c r="BE541" i="1"/>
  <c r="BF541" i="1"/>
  <c r="BG541" i="1"/>
  <c r="BH541" i="1"/>
  <c r="AQ542" i="1"/>
  <c r="AR542" i="1"/>
  <c r="AS542" i="1"/>
  <c r="AT542" i="1"/>
  <c r="AU542" i="1"/>
  <c r="AV542" i="1"/>
  <c r="AW542" i="1"/>
  <c r="AX542" i="1"/>
  <c r="AY542" i="1"/>
  <c r="AZ542" i="1"/>
  <c r="BA542" i="1"/>
  <c r="BB542" i="1"/>
  <c r="BC542" i="1"/>
  <c r="BD542" i="1"/>
  <c r="BE542" i="1"/>
  <c r="BF542" i="1"/>
  <c r="BG542" i="1"/>
  <c r="BH542" i="1"/>
  <c r="AQ543" i="1"/>
  <c r="AR543" i="1"/>
  <c r="AS543" i="1"/>
  <c r="AT543" i="1"/>
  <c r="AU543" i="1"/>
  <c r="AV543" i="1"/>
  <c r="AW543" i="1"/>
  <c r="AX543" i="1"/>
  <c r="AY543" i="1"/>
  <c r="AZ543" i="1"/>
  <c r="BA543" i="1"/>
  <c r="BB543" i="1"/>
  <c r="BC543" i="1"/>
  <c r="BD543" i="1"/>
  <c r="BE543" i="1"/>
  <c r="BF543" i="1"/>
  <c r="BG543" i="1"/>
  <c r="BH543" i="1"/>
  <c r="AQ544" i="1"/>
  <c r="AR544" i="1"/>
  <c r="AS544" i="1"/>
  <c r="AT544" i="1"/>
  <c r="AU544" i="1"/>
  <c r="AV544" i="1"/>
  <c r="AW544" i="1"/>
  <c r="AX544" i="1"/>
  <c r="AY544" i="1"/>
  <c r="AZ544" i="1"/>
  <c r="BA544" i="1"/>
  <c r="BB544" i="1"/>
  <c r="BC544" i="1"/>
  <c r="BD544" i="1"/>
  <c r="BE544" i="1"/>
  <c r="BF544" i="1"/>
  <c r="BG544" i="1"/>
  <c r="BH544" i="1"/>
  <c r="AQ545" i="1"/>
  <c r="AR545" i="1"/>
  <c r="AS545" i="1"/>
  <c r="AT545" i="1"/>
  <c r="AU545" i="1"/>
  <c r="AV545" i="1"/>
  <c r="AW545" i="1"/>
  <c r="AX545" i="1"/>
  <c r="AY545" i="1"/>
  <c r="AZ545" i="1"/>
  <c r="BA545" i="1"/>
  <c r="BB545" i="1"/>
  <c r="BC545" i="1"/>
  <c r="BD545" i="1"/>
  <c r="BE545" i="1"/>
  <c r="BF545" i="1"/>
  <c r="BG545" i="1"/>
  <c r="BH545" i="1"/>
  <c r="AQ546" i="1"/>
  <c r="AR546" i="1"/>
  <c r="AS546" i="1"/>
  <c r="AT546" i="1"/>
  <c r="AU546" i="1"/>
  <c r="AV546" i="1"/>
  <c r="AW546" i="1"/>
  <c r="AX546" i="1"/>
  <c r="AY546" i="1"/>
  <c r="AZ546" i="1"/>
  <c r="BA546" i="1"/>
  <c r="BB546" i="1"/>
  <c r="BC546" i="1"/>
  <c r="BD546" i="1"/>
  <c r="BE546" i="1"/>
  <c r="BF546" i="1"/>
  <c r="BG546" i="1"/>
  <c r="BH546" i="1"/>
  <c r="AQ547" i="1"/>
  <c r="AR547" i="1"/>
  <c r="AS547" i="1"/>
  <c r="AT547" i="1"/>
  <c r="AU547" i="1"/>
  <c r="AV547" i="1"/>
  <c r="AW547" i="1"/>
  <c r="AX547" i="1"/>
  <c r="AY547" i="1"/>
  <c r="AZ547" i="1"/>
  <c r="BA547" i="1"/>
  <c r="BB547" i="1"/>
  <c r="BC547" i="1"/>
  <c r="BD547" i="1"/>
  <c r="BE547" i="1"/>
  <c r="BF547" i="1"/>
  <c r="BG547" i="1"/>
  <c r="BH547" i="1"/>
  <c r="AQ548" i="1"/>
  <c r="AR548" i="1"/>
  <c r="AS548" i="1"/>
  <c r="AT548" i="1"/>
  <c r="AU548" i="1"/>
  <c r="AV548" i="1"/>
  <c r="AW548" i="1"/>
  <c r="AX548" i="1"/>
  <c r="AY548" i="1"/>
  <c r="AZ548" i="1"/>
  <c r="BA548" i="1"/>
  <c r="BB548" i="1"/>
  <c r="BC548" i="1"/>
  <c r="BD548" i="1"/>
  <c r="BE548" i="1"/>
  <c r="BF548" i="1"/>
  <c r="BG548" i="1"/>
  <c r="BH548" i="1"/>
  <c r="AQ549" i="1"/>
  <c r="AR549" i="1"/>
  <c r="AS549" i="1"/>
  <c r="AT549" i="1"/>
  <c r="AU549" i="1"/>
  <c r="AV549" i="1"/>
  <c r="AW549" i="1"/>
  <c r="AX549" i="1"/>
  <c r="AY549" i="1"/>
  <c r="AZ549" i="1"/>
  <c r="BA549" i="1"/>
  <c r="BB549" i="1"/>
  <c r="BC549" i="1"/>
  <c r="BD549" i="1"/>
  <c r="BE549" i="1"/>
  <c r="BF549" i="1"/>
  <c r="BG549" i="1"/>
  <c r="BH549" i="1"/>
  <c r="AQ550" i="1"/>
  <c r="AR550" i="1"/>
  <c r="AS550" i="1"/>
  <c r="AT550" i="1"/>
  <c r="AU550" i="1"/>
  <c r="AV550" i="1"/>
  <c r="AW550" i="1"/>
  <c r="AX550" i="1"/>
  <c r="AY550" i="1"/>
  <c r="AZ550" i="1"/>
  <c r="BA550" i="1"/>
  <c r="BB550" i="1"/>
  <c r="BC550" i="1"/>
  <c r="BD550" i="1"/>
  <c r="BE550" i="1"/>
  <c r="BF550" i="1"/>
  <c r="BG550" i="1"/>
  <c r="BH550" i="1"/>
  <c r="AQ551" i="1"/>
  <c r="AR551" i="1"/>
  <c r="AS551" i="1"/>
  <c r="AT551" i="1"/>
  <c r="AU551" i="1"/>
  <c r="AV551" i="1"/>
  <c r="AW551" i="1"/>
  <c r="AX551" i="1"/>
  <c r="AY551" i="1"/>
  <c r="AZ551" i="1"/>
  <c r="BA551" i="1"/>
  <c r="BB551" i="1"/>
  <c r="BC551" i="1"/>
  <c r="BD551" i="1"/>
  <c r="BE551" i="1"/>
  <c r="BF551" i="1"/>
  <c r="BG551" i="1"/>
  <c r="BH551" i="1"/>
  <c r="AQ552" i="1"/>
  <c r="AR552" i="1"/>
  <c r="AS552" i="1"/>
  <c r="AT552" i="1"/>
  <c r="AU552" i="1"/>
  <c r="AV552" i="1"/>
  <c r="AW552" i="1"/>
  <c r="AX552" i="1"/>
  <c r="AY552" i="1"/>
  <c r="AZ552" i="1"/>
  <c r="BA552" i="1"/>
  <c r="BB552" i="1"/>
  <c r="BC552" i="1"/>
  <c r="BD552" i="1"/>
  <c r="BE552" i="1"/>
  <c r="BF552" i="1"/>
  <c r="BG552" i="1"/>
  <c r="BH552" i="1"/>
  <c r="AQ553" i="1"/>
  <c r="AR553" i="1"/>
  <c r="AS553" i="1"/>
  <c r="AT553" i="1"/>
  <c r="AU553" i="1"/>
  <c r="AV553" i="1"/>
  <c r="AW553" i="1"/>
  <c r="AX553" i="1"/>
  <c r="AY553" i="1"/>
  <c r="AZ553" i="1"/>
  <c r="BA553" i="1"/>
  <c r="BB553" i="1"/>
  <c r="BC553" i="1"/>
  <c r="BD553" i="1"/>
  <c r="BE553" i="1"/>
  <c r="BF553" i="1"/>
  <c r="BG553" i="1"/>
  <c r="BH553" i="1"/>
  <c r="AQ554" i="1"/>
  <c r="AR554" i="1"/>
  <c r="AS554" i="1"/>
  <c r="AT554" i="1"/>
  <c r="AU554" i="1"/>
  <c r="AV554" i="1"/>
  <c r="AW554" i="1"/>
  <c r="AX554" i="1"/>
  <c r="AY554" i="1"/>
  <c r="AZ554" i="1"/>
  <c r="BA554" i="1"/>
  <c r="BB554" i="1"/>
  <c r="BC554" i="1"/>
  <c r="BD554" i="1"/>
  <c r="BE554" i="1"/>
  <c r="BF554" i="1"/>
  <c r="BG554" i="1"/>
  <c r="BH554" i="1"/>
  <c r="AQ555" i="1"/>
  <c r="AR555" i="1"/>
  <c r="AS555" i="1"/>
  <c r="AT555" i="1"/>
  <c r="AU555" i="1"/>
  <c r="AV555" i="1"/>
  <c r="AW555" i="1"/>
  <c r="AX555" i="1"/>
  <c r="AY555" i="1"/>
  <c r="AZ555" i="1"/>
  <c r="BA555" i="1"/>
  <c r="BB555" i="1"/>
  <c r="BC555" i="1"/>
  <c r="BD555" i="1"/>
  <c r="BE555" i="1"/>
  <c r="BF555" i="1"/>
  <c r="BG555" i="1"/>
  <c r="BH555" i="1"/>
  <c r="AQ556" i="1"/>
  <c r="AR556" i="1"/>
  <c r="AS556" i="1"/>
  <c r="AT556" i="1"/>
  <c r="AU556" i="1"/>
  <c r="AV556" i="1"/>
  <c r="AW556" i="1"/>
  <c r="AX556" i="1"/>
  <c r="AY556" i="1"/>
  <c r="AZ556" i="1"/>
  <c r="BA556" i="1"/>
  <c r="BB556" i="1"/>
  <c r="BC556" i="1"/>
  <c r="BD556" i="1"/>
  <c r="BE556" i="1"/>
  <c r="BF556" i="1"/>
  <c r="BG556" i="1"/>
  <c r="BH556" i="1"/>
  <c r="AQ557" i="1"/>
  <c r="AR557" i="1"/>
  <c r="AS557" i="1"/>
  <c r="AT557" i="1"/>
  <c r="AU557" i="1"/>
  <c r="AV557" i="1"/>
  <c r="AW557" i="1"/>
  <c r="AX557" i="1"/>
  <c r="AY557" i="1"/>
  <c r="AZ557" i="1"/>
  <c r="BA557" i="1"/>
  <c r="BB557" i="1"/>
  <c r="BC557" i="1"/>
  <c r="BD557" i="1"/>
  <c r="BE557" i="1"/>
  <c r="BF557" i="1"/>
  <c r="BG557" i="1"/>
  <c r="BH557" i="1"/>
  <c r="AQ558" i="1"/>
  <c r="AR558" i="1"/>
  <c r="AS558" i="1"/>
  <c r="AT558" i="1"/>
  <c r="AU558" i="1"/>
  <c r="AV558" i="1"/>
  <c r="AW558" i="1"/>
  <c r="AX558" i="1"/>
  <c r="AY558" i="1"/>
  <c r="AZ558" i="1"/>
  <c r="BA558" i="1"/>
  <c r="BB558" i="1"/>
  <c r="BC558" i="1"/>
  <c r="BD558" i="1"/>
  <c r="BE558" i="1"/>
  <c r="BF558" i="1"/>
  <c r="BG558" i="1"/>
  <c r="BH558" i="1"/>
  <c r="AQ559" i="1"/>
  <c r="AR559" i="1"/>
  <c r="AS559" i="1"/>
  <c r="AT559" i="1"/>
  <c r="AU559" i="1"/>
  <c r="AV559" i="1"/>
  <c r="AW559" i="1"/>
  <c r="AX559" i="1"/>
  <c r="AY559" i="1"/>
  <c r="AZ559" i="1"/>
  <c r="BA559" i="1"/>
  <c r="BB559" i="1"/>
  <c r="BC559" i="1"/>
  <c r="BD559" i="1"/>
  <c r="BE559" i="1"/>
  <c r="BF559" i="1"/>
  <c r="BG559" i="1"/>
  <c r="BH559" i="1"/>
  <c r="AQ560" i="1"/>
  <c r="AR560" i="1"/>
  <c r="AS560" i="1"/>
  <c r="AT560" i="1"/>
  <c r="AU560" i="1"/>
  <c r="AV560" i="1"/>
  <c r="AW560" i="1"/>
  <c r="AX560" i="1"/>
  <c r="AY560" i="1"/>
  <c r="AZ560" i="1"/>
  <c r="BA560" i="1"/>
  <c r="BB560" i="1"/>
  <c r="BC560" i="1"/>
  <c r="BD560" i="1"/>
  <c r="BE560" i="1"/>
  <c r="BF560" i="1"/>
  <c r="BG560" i="1"/>
  <c r="BH560" i="1"/>
  <c r="AQ561" i="1"/>
  <c r="AR561" i="1"/>
  <c r="AS561" i="1"/>
  <c r="AT561" i="1"/>
  <c r="AU561" i="1"/>
  <c r="AV561" i="1"/>
  <c r="AW561" i="1"/>
  <c r="AX561" i="1"/>
  <c r="AY561" i="1"/>
  <c r="AZ561" i="1"/>
  <c r="BA561" i="1"/>
  <c r="BB561" i="1"/>
  <c r="BC561" i="1"/>
  <c r="BD561" i="1"/>
  <c r="BE561" i="1"/>
  <c r="BF561" i="1"/>
  <c r="BG561" i="1"/>
  <c r="BH561" i="1"/>
  <c r="AQ562" i="1"/>
  <c r="AR562" i="1"/>
  <c r="AS562" i="1"/>
  <c r="AT562" i="1"/>
  <c r="AU562" i="1"/>
  <c r="AV562" i="1"/>
  <c r="AW562" i="1"/>
  <c r="AX562" i="1"/>
  <c r="AY562" i="1"/>
  <c r="AZ562" i="1"/>
  <c r="BA562" i="1"/>
  <c r="BB562" i="1"/>
  <c r="BC562" i="1"/>
  <c r="BD562" i="1"/>
  <c r="BE562" i="1"/>
  <c r="BF562" i="1"/>
  <c r="BG562" i="1"/>
  <c r="BH562" i="1"/>
  <c r="AQ563" i="1"/>
  <c r="AR563" i="1"/>
  <c r="AS563" i="1"/>
  <c r="AT563" i="1"/>
  <c r="AU563" i="1"/>
  <c r="AV563" i="1"/>
  <c r="AW563" i="1"/>
  <c r="AX563" i="1"/>
  <c r="AY563" i="1"/>
  <c r="AZ563" i="1"/>
  <c r="BA563" i="1"/>
  <c r="BB563" i="1"/>
  <c r="BC563" i="1"/>
  <c r="BD563" i="1"/>
  <c r="BE563" i="1"/>
  <c r="BF563" i="1"/>
  <c r="BG563" i="1"/>
  <c r="BH563" i="1"/>
  <c r="AQ564" i="1"/>
  <c r="AR564" i="1"/>
  <c r="AS564" i="1"/>
  <c r="AT564" i="1"/>
  <c r="AU564" i="1"/>
  <c r="AV564" i="1"/>
  <c r="AW564" i="1"/>
  <c r="AX564" i="1"/>
  <c r="AY564" i="1"/>
  <c r="AZ564" i="1"/>
  <c r="BA564" i="1"/>
  <c r="BB564" i="1"/>
  <c r="BC564" i="1"/>
  <c r="BD564" i="1"/>
  <c r="BE564" i="1"/>
  <c r="BF564" i="1"/>
  <c r="BG564" i="1"/>
  <c r="BH564" i="1"/>
  <c r="AQ565" i="1"/>
  <c r="AR565" i="1"/>
  <c r="AS565" i="1"/>
  <c r="AT565" i="1"/>
  <c r="AU565" i="1"/>
  <c r="AV565" i="1"/>
  <c r="AW565" i="1"/>
  <c r="AX565" i="1"/>
  <c r="AY565" i="1"/>
  <c r="AZ565" i="1"/>
  <c r="BA565" i="1"/>
  <c r="BB565" i="1"/>
  <c r="BC565" i="1"/>
  <c r="BD565" i="1"/>
  <c r="BE565" i="1"/>
  <c r="BF565" i="1"/>
  <c r="BG565" i="1"/>
  <c r="BH565" i="1"/>
  <c r="AQ566" i="1"/>
  <c r="AR566" i="1"/>
  <c r="AS566" i="1"/>
  <c r="AT566" i="1"/>
  <c r="AU566" i="1"/>
  <c r="AV566" i="1"/>
  <c r="AW566" i="1"/>
  <c r="AX566" i="1"/>
  <c r="AY566" i="1"/>
  <c r="AZ566" i="1"/>
  <c r="BA566" i="1"/>
  <c r="BB566" i="1"/>
  <c r="BC566" i="1"/>
  <c r="BD566" i="1"/>
  <c r="BE566" i="1"/>
  <c r="BF566" i="1"/>
  <c r="BG566" i="1"/>
  <c r="BH566" i="1"/>
  <c r="AQ567" i="1"/>
  <c r="AR567" i="1"/>
  <c r="AS567" i="1"/>
  <c r="AT567" i="1"/>
  <c r="AU567" i="1"/>
  <c r="AV567" i="1"/>
  <c r="AW567" i="1"/>
  <c r="AX567" i="1"/>
  <c r="AY567" i="1"/>
  <c r="AZ567" i="1"/>
  <c r="BA567" i="1"/>
  <c r="BB567" i="1"/>
  <c r="BC567" i="1"/>
  <c r="BD567" i="1"/>
  <c r="BE567" i="1"/>
  <c r="BF567" i="1"/>
  <c r="BG567" i="1"/>
  <c r="BH567" i="1"/>
  <c r="AQ568" i="1"/>
  <c r="AR568" i="1"/>
  <c r="AS568" i="1"/>
  <c r="AT568" i="1"/>
  <c r="AU568" i="1"/>
  <c r="AV568" i="1"/>
  <c r="AW568" i="1"/>
  <c r="AX568" i="1"/>
  <c r="AY568" i="1"/>
  <c r="AZ568" i="1"/>
  <c r="BA568" i="1"/>
  <c r="BB568" i="1"/>
  <c r="BC568" i="1"/>
  <c r="BD568" i="1"/>
  <c r="BE568" i="1"/>
  <c r="BF568" i="1"/>
  <c r="BG568" i="1"/>
  <c r="BH568" i="1"/>
  <c r="AQ569" i="1"/>
  <c r="AR569" i="1"/>
  <c r="AS569" i="1"/>
  <c r="AT569" i="1"/>
  <c r="AU569" i="1"/>
  <c r="AV569" i="1"/>
  <c r="AW569" i="1"/>
  <c r="AX569" i="1"/>
  <c r="AY569" i="1"/>
  <c r="AZ569" i="1"/>
  <c r="BA569" i="1"/>
  <c r="BB569" i="1"/>
  <c r="BC569" i="1"/>
  <c r="BD569" i="1"/>
  <c r="BE569" i="1"/>
  <c r="BF569" i="1"/>
  <c r="BG569" i="1"/>
  <c r="BH569" i="1"/>
  <c r="AQ570" i="1"/>
  <c r="AR570" i="1"/>
  <c r="AS570" i="1"/>
  <c r="AT570" i="1"/>
  <c r="AU570" i="1"/>
  <c r="AV570" i="1"/>
  <c r="AW570" i="1"/>
  <c r="AX570" i="1"/>
  <c r="AY570" i="1"/>
  <c r="AZ570" i="1"/>
  <c r="BA570" i="1"/>
  <c r="BB570" i="1"/>
  <c r="BC570" i="1"/>
  <c r="BD570" i="1"/>
  <c r="BE570" i="1"/>
  <c r="BF570" i="1"/>
  <c r="BG570" i="1"/>
  <c r="BH570" i="1"/>
  <c r="AQ571" i="1"/>
  <c r="AR571" i="1"/>
  <c r="AS571" i="1"/>
  <c r="AT571" i="1"/>
  <c r="AU571" i="1"/>
  <c r="AV571" i="1"/>
  <c r="AW571" i="1"/>
  <c r="AX571" i="1"/>
  <c r="AY571" i="1"/>
  <c r="AZ571" i="1"/>
  <c r="BA571" i="1"/>
  <c r="BB571" i="1"/>
  <c r="BC571" i="1"/>
  <c r="BD571" i="1"/>
  <c r="BE571" i="1"/>
  <c r="BF571" i="1"/>
  <c r="BG571" i="1"/>
  <c r="BH571" i="1"/>
  <c r="AQ572" i="1"/>
  <c r="AR572" i="1"/>
  <c r="AS572" i="1"/>
  <c r="AT572" i="1"/>
  <c r="AU572" i="1"/>
  <c r="AV572" i="1"/>
  <c r="AW572" i="1"/>
  <c r="AX572" i="1"/>
  <c r="AY572" i="1"/>
  <c r="AZ572" i="1"/>
  <c r="BA572" i="1"/>
  <c r="BB572" i="1"/>
  <c r="BC572" i="1"/>
  <c r="BD572" i="1"/>
  <c r="BE572" i="1"/>
  <c r="BF572" i="1"/>
  <c r="BG572" i="1"/>
  <c r="BH572" i="1"/>
  <c r="AQ573" i="1"/>
  <c r="AR573" i="1"/>
  <c r="AS573" i="1"/>
  <c r="AT573" i="1"/>
  <c r="AU573" i="1"/>
  <c r="AV573" i="1"/>
  <c r="AW573" i="1"/>
  <c r="AX573" i="1"/>
  <c r="AY573" i="1"/>
  <c r="AZ573" i="1"/>
  <c r="BA573" i="1"/>
  <c r="BB573" i="1"/>
  <c r="BC573" i="1"/>
  <c r="BD573" i="1"/>
  <c r="BE573" i="1"/>
  <c r="BF573" i="1"/>
  <c r="BG573" i="1"/>
  <c r="BH573" i="1"/>
  <c r="AQ574" i="1"/>
  <c r="AR574" i="1"/>
  <c r="AS574" i="1"/>
  <c r="AT574" i="1"/>
  <c r="AU574" i="1"/>
  <c r="AV574" i="1"/>
  <c r="AW574" i="1"/>
  <c r="AX574" i="1"/>
  <c r="AY574" i="1"/>
  <c r="AZ574" i="1"/>
  <c r="BA574" i="1"/>
  <c r="BB574" i="1"/>
  <c r="BC574" i="1"/>
  <c r="BD574" i="1"/>
  <c r="BE574" i="1"/>
  <c r="BF574" i="1"/>
  <c r="BG574" i="1"/>
  <c r="BH574" i="1"/>
  <c r="AQ575" i="1"/>
  <c r="AR575" i="1"/>
  <c r="AS575" i="1"/>
  <c r="AT575" i="1"/>
  <c r="AU575" i="1"/>
  <c r="AV575" i="1"/>
  <c r="AW575" i="1"/>
  <c r="AX575" i="1"/>
  <c r="AY575" i="1"/>
  <c r="AZ575" i="1"/>
  <c r="BA575" i="1"/>
  <c r="BB575" i="1"/>
  <c r="BC575" i="1"/>
  <c r="BD575" i="1"/>
  <c r="BE575" i="1"/>
  <c r="BF575" i="1"/>
  <c r="BG575" i="1"/>
  <c r="BH575" i="1"/>
  <c r="AQ576" i="1"/>
  <c r="AR576" i="1"/>
  <c r="AS576" i="1"/>
  <c r="AT576" i="1"/>
  <c r="AU576" i="1"/>
  <c r="AV576" i="1"/>
  <c r="AW576" i="1"/>
  <c r="AX576" i="1"/>
  <c r="AY576" i="1"/>
  <c r="AZ576" i="1"/>
  <c r="BA576" i="1"/>
  <c r="BB576" i="1"/>
  <c r="BC576" i="1"/>
  <c r="BD576" i="1"/>
  <c r="BE576" i="1"/>
  <c r="BF576" i="1"/>
  <c r="BG576" i="1"/>
  <c r="BH576" i="1"/>
  <c r="AQ577" i="1"/>
  <c r="AR577" i="1"/>
  <c r="AS577" i="1"/>
  <c r="AT577" i="1"/>
  <c r="AU577" i="1"/>
  <c r="AV577" i="1"/>
  <c r="AW577" i="1"/>
  <c r="AX577" i="1"/>
  <c r="AY577" i="1"/>
  <c r="AZ577" i="1"/>
  <c r="BA577" i="1"/>
  <c r="BB577" i="1"/>
  <c r="BC577" i="1"/>
  <c r="BD577" i="1"/>
  <c r="BE577" i="1"/>
  <c r="BF577" i="1"/>
  <c r="BG577" i="1"/>
  <c r="BH577" i="1"/>
  <c r="AQ578" i="1"/>
  <c r="AR578" i="1"/>
  <c r="AS578" i="1"/>
  <c r="AT578" i="1"/>
  <c r="AU578" i="1"/>
  <c r="AV578" i="1"/>
  <c r="AW578" i="1"/>
  <c r="AX578" i="1"/>
  <c r="AY578" i="1"/>
  <c r="AZ578" i="1"/>
  <c r="BA578" i="1"/>
  <c r="BB578" i="1"/>
  <c r="BC578" i="1"/>
  <c r="BD578" i="1"/>
  <c r="BE578" i="1"/>
  <c r="BF578" i="1"/>
  <c r="BG578" i="1"/>
  <c r="BH578" i="1"/>
  <c r="AQ579" i="1"/>
  <c r="AR579" i="1"/>
  <c r="AS579" i="1"/>
  <c r="AT579" i="1"/>
  <c r="AU579" i="1"/>
  <c r="AV579" i="1"/>
  <c r="AW579" i="1"/>
  <c r="AX579" i="1"/>
  <c r="AY579" i="1"/>
  <c r="AZ579" i="1"/>
  <c r="BA579" i="1"/>
  <c r="BB579" i="1"/>
  <c r="BC579" i="1"/>
  <c r="BD579" i="1"/>
  <c r="BE579" i="1"/>
  <c r="BF579" i="1"/>
  <c r="BG579" i="1"/>
  <c r="BH579" i="1"/>
  <c r="AQ580" i="1"/>
  <c r="AR580" i="1"/>
  <c r="AS580" i="1"/>
  <c r="AT580" i="1"/>
  <c r="AU580" i="1"/>
  <c r="AV580" i="1"/>
  <c r="AW580" i="1"/>
  <c r="AX580" i="1"/>
  <c r="AY580" i="1"/>
  <c r="AZ580" i="1"/>
  <c r="BA580" i="1"/>
  <c r="BB580" i="1"/>
  <c r="BC580" i="1"/>
  <c r="BD580" i="1"/>
  <c r="BE580" i="1"/>
  <c r="BF580" i="1"/>
  <c r="BG580" i="1"/>
  <c r="BH580" i="1"/>
  <c r="AQ581" i="1"/>
  <c r="AR581" i="1"/>
  <c r="AS581" i="1"/>
  <c r="AT581" i="1"/>
  <c r="AU581" i="1"/>
  <c r="AV581" i="1"/>
  <c r="AW581" i="1"/>
  <c r="AX581" i="1"/>
  <c r="AY581" i="1"/>
  <c r="AZ581" i="1"/>
  <c r="BA581" i="1"/>
  <c r="BB581" i="1"/>
  <c r="BC581" i="1"/>
  <c r="BD581" i="1"/>
  <c r="BE581" i="1"/>
  <c r="BF581" i="1"/>
  <c r="BG581" i="1"/>
  <c r="BH581" i="1"/>
  <c r="AQ582" i="1"/>
  <c r="AR582" i="1"/>
  <c r="AS582" i="1"/>
  <c r="AT582" i="1"/>
  <c r="AU582" i="1"/>
  <c r="AV582" i="1"/>
  <c r="AW582" i="1"/>
  <c r="AX582" i="1"/>
  <c r="AY582" i="1"/>
  <c r="AZ582" i="1"/>
  <c r="BA582" i="1"/>
  <c r="BB582" i="1"/>
  <c r="BC582" i="1"/>
  <c r="BD582" i="1"/>
  <c r="BE582" i="1"/>
  <c r="BF582" i="1"/>
  <c r="BG582" i="1"/>
  <c r="BH582" i="1"/>
  <c r="AQ583" i="1"/>
  <c r="AR583" i="1"/>
  <c r="AS583" i="1"/>
  <c r="AT583" i="1"/>
  <c r="AU583" i="1"/>
  <c r="AV583" i="1"/>
  <c r="AW583" i="1"/>
  <c r="AX583" i="1"/>
  <c r="AY583" i="1"/>
  <c r="AZ583" i="1"/>
  <c r="BA583" i="1"/>
  <c r="BB583" i="1"/>
  <c r="BC583" i="1"/>
  <c r="BD583" i="1"/>
  <c r="BE583" i="1"/>
  <c r="BF583" i="1"/>
  <c r="BG583" i="1"/>
  <c r="BH583" i="1"/>
  <c r="AQ584" i="1"/>
  <c r="AR584" i="1"/>
  <c r="AS584" i="1"/>
  <c r="AT584" i="1"/>
  <c r="AU584" i="1"/>
  <c r="AV584" i="1"/>
  <c r="AW584" i="1"/>
  <c r="AX584" i="1"/>
  <c r="AY584" i="1"/>
  <c r="AZ584" i="1"/>
  <c r="BA584" i="1"/>
  <c r="BB584" i="1"/>
  <c r="BC584" i="1"/>
  <c r="BD584" i="1"/>
  <c r="BE584" i="1"/>
  <c r="BF584" i="1"/>
  <c r="BG584" i="1"/>
  <c r="BH584" i="1"/>
  <c r="AQ585" i="1"/>
  <c r="AR585" i="1"/>
  <c r="AS585" i="1"/>
  <c r="AT585" i="1"/>
  <c r="AU585" i="1"/>
  <c r="AV585" i="1"/>
  <c r="AW585" i="1"/>
  <c r="AX585" i="1"/>
  <c r="AY585" i="1"/>
  <c r="AZ585" i="1"/>
  <c r="BA585" i="1"/>
  <c r="BB585" i="1"/>
  <c r="BC585" i="1"/>
  <c r="BD585" i="1"/>
  <c r="BE585" i="1"/>
  <c r="BF585" i="1"/>
  <c r="BG585" i="1"/>
  <c r="BH585" i="1"/>
  <c r="AQ586" i="1"/>
  <c r="AR586" i="1"/>
  <c r="AS586" i="1"/>
  <c r="AT586" i="1"/>
  <c r="AU586" i="1"/>
  <c r="AV586" i="1"/>
  <c r="AW586" i="1"/>
  <c r="AX586" i="1"/>
  <c r="AY586" i="1"/>
  <c r="AZ586" i="1"/>
  <c r="BA586" i="1"/>
  <c r="BB586" i="1"/>
  <c r="BC586" i="1"/>
  <c r="BD586" i="1"/>
  <c r="BE586" i="1"/>
  <c r="BF586" i="1"/>
  <c r="BG586" i="1"/>
  <c r="BH586" i="1"/>
  <c r="AQ587" i="1"/>
  <c r="AR587" i="1"/>
  <c r="AS587" i="1"/>
  <c r="AT587" i="1"/>
  <c r="AU587" i="1"/>
  <c r="AV587" i="1"/>
  <c r="AW587" i="1"/>
  <c r="AX587" i="1"/>
  <c r="AY587" i="1"/>
  <c r="AZ587" i="1"/>
  <c r="BA587" i="1"/>
  <c r="BB587" i="1"/>
  <c r="BC587" i="1"/>
  <c r="BD587" i="1"/>
  <c r="BE587" i="1"/>
  <c r="BF587" i="1"/>
  <c r="BG587" i="1"/>
  <c r="BH587" i="1"/>
  <c r="AQ588" i="1"/>
  <c r="AR588" i="1"/>
  <c r="AS588" i="1"/>
  <c r="AT588" i="1"/>
  <c r="AU588" i="1"/>
  <c r="AV588" i="1"/>
  <c r="AW588" i="1"/>
  <c r="AX588" i="1"/>
  <c r="AY588" i="1"/>
  <c r="AZ588" i="1"/>
  <c r="BA588" i="1"/>
  <c r="BB588" i="1"/>
  <c r="BC588" i="1"/>
  <c r="BD588" i="1"/>
  <c r="BE588" i="1"/>
  <c r="BF588" i="1"/>
  <c r="BG588" i="1"/>
  <c r="BH588" i="1"/>
  <c r="AQ589" i="1"/>
  <c r="AR589" i="1"/>
  <c r="AS589" i="1"/>
  <c r="AT589" i="1"/>
  <c r="AU589" i="1"/>
  <c r="AV589" i="1"/>
  <c r="AW589" i="1"/>
  <c r="AX589" i="1"/>
  <c r="AY589" i="1"/>
  <c r="AZ589" i="1"/>
  <c r="BA589" i="1"/>
  <c r="BB589" i="1"/>
  <c r="BC589" i="1"/>
  <c r="BD589" i="1"/>
  <c r="BE589" i="1"/>
  <c r="BF589" i="1"/>
  <c r="BG589" i="1"/>
  <c r="BH589" i="1"/>
  <c r="AQ590" i="1"/>
  <c r="AR590" i="1"/>
  <c r="AS590" i="1"/>
  <c r="AT590" i="1"/>
  <c r="AU590" i="1"/>
  <c r="AV590" i="1"/>
  <c r="AW590" i="1"/>
  <c r="AX590" i="1"/>
  <c r="AY590" i="1"/>
  <c r="AZ590" i="1"/>
  <c r="BA590" i="1"/>
  <c r="BB590" i="1"/>
  <c r="BC590" i="1"/>
  <c r="BD590" i="1"/>
  <c r="BE590" i="1"/>
  <c r="BF590" i="1"/>
  <c r="BG590" i="1"/>
  <c r="BH590" i="1"/>
  <c r="AQ591" i="1"/>
  <c r="AR591" i="1"/>
  <c r="AS591" i="1"/>
  <c r="AT591" i="1"/>
  <c r="AU591" i="1"/>
  <c r="AV591" i="1"/>
  <c r="AW591" i="1"/>
  <c r="AX591" i="1"/>
  <c r="AY591" i="1"/>
  <c r="AZ591" i="1"/>
  <c r="BA591" i="1"/>
  <c r="BB591" i="1"/>
  <c r="BC591" i="1"/>
  <c r="BD591" i="1"/>
  <c r="BE591" i="1"/>
  <c r="BF591" i="1"/>
  <c r="BG591" i="1"/>
  <c r="BH591" i="1"/>
  <c r="AQ592" i="1"/>
  <c r="AR592" i="1"/>
  <c r="AS592" i="1"/>
  <c r="AT592" i="1"/>
  <c r="AU592" i="1"/>
  <c r="AV592" i="1"/>
  <c r="AW592" i="1"/>
  <c r="AX592" i="1"/>
  <c r="AY592" i="1"/>
  <c r="AZ592" i="1"/>
  <c r="BA592" i="1"/>
  <c r="BB592" i="1"/>
  <c r="BC592" i="1"/>
  <c r="BD592" i="1"/>
  <c r="BE592" i="1"/>
  <c r="BF592" i="1"/>
  <c r="BG592" i="1"/>
  <c r="BH592" i="1"/>
  <c r="AQ593" i="1"/>
  <c r="AR593" i="1"/>
  <c r="AS593" i="1"/>
  <c r="AT593" i="1"/>
  <c r="AU593" i="1"/>
  <c r="AV593" i="1"/>
  <c r="AW593" i="1"/>
  <c r="AX593" i="1"/>
  <c r="AY593" i="1"/>
  <c r="AZ593" i="1"/>
  <c r="BA593" i="1"/>
  <c r="BB593" i="1"/>
  <c r="BC593" i="1"/>
  <c r="BD593" i="1"/>
  <c r="BE593" i="1"/>
  <c r="BF593" i="1"/>
  <c r="BG593" i="1"/>
  <c r="BH593" i="1"/>
  <c r="AQ594" i="1"/>
  <c r="AR594" i="1"/>
  <c r="AS594" i="1"/>
  <c r="AT594" i="1"/>
  <c r="AU594" i="1"/>
  <c r="AV594" i="1"/>
  <c r="AW594" i="1"/>
  <c r="AX594" i="1"/>
  <c r="AY594" i="1"/>
  <c r="AZ594" i="1"/>
  <c r="BA594" i="1"/>
  <c r="BB594" i="1"/>
  <c r="BC594" i="1"/>
  <c r="BD594" i="1"/>
  <c r="BE594" i="1"/>
  <c r="BF594" i="1"/>
  <c r="BG594" i="1"/>
  <c r="BH594" i="1"/>
  <c r="AQ595" i="1"/>
  <c r="AR595" i="1"/>
  <c r="AS595" i="1"/>
  <c r="AT595" i="1"/>
  <c r="AU595" i="1"/>
  <c r="AV595" i="1"/>
  <c r="AW595" i="1"/>
  <c r="AX595" i="1"/>
  <c r="AY595" i="1"/>
  <c r="AZ595" i="1"/>
  <c r="BA595" i="1"/>
  <c r="BB595" i="1"/>
  <c r="BC595" i="1"/>
  <c r="BD595" i="1"/>
  <c r="BE595" i="1"/>
  <c r="BF595" i="1"/>
  <c r="BG595" i="1"/>
  <c r="BH595" i="1"/>
  <c r="AQ596" i="1"/>
  <c r="AR596" i="1"/>
  <c r="AS596" i="1"/>
  <c r="AT596" i="1"/>
  <c r="AU596" i="1"/>
  <c r="AV596" i="1"/>
  <c r="AW596" i="1"/>
  <c r="AX596" i="1"/>
  <c r="AY596" i="1"/>
  <c r="AZ596" i="1"/>
  <c r="BA596" i="1"/>
  <c r="BB596" i="1"/>
  <c r="BC596" i="1"/>
  <c r="BD596" i="1"/>
  <c r="BE596" i="1"/>
  <c r="BF596" i="1"/>
  <c r="BG596" i="1"/>
  <c r="BH596" i="1"/>
  <c r="AQ597" i="1"/>
  <c r="AR597" i="1"/>
  <c r="AS597" i="1"/>
  <c r="AT597" i="1"/>
  <c r="AU597" i="1"/>
  <c r="AV597" i="1"/>
  <c r="AW597" i="1"/>
  <c r="AX597" i="1"/>
  <c r="AY597" i="1"/>
  <c r="AZ597" i="1"/>
  <c r="BA597" i="1"/>
  <c r="BB597" i="1"/>
  <c r="BC597" i="1"/>
  <c r="BD597" i="1"/>
  <c r="BE597" i="1"/>
  <c r="BF597" i="1"/>
  <c r="BG597" i="1"/>
  <c r="BH597" i="1"/>
  <c r="AQ598" i="1"/>
  <c r="AR598" i="1"/>
  <c r="AS598" i="1"/>
  <c r="AT598" i="1"/>
  <c r="AU598" i="1"/>
  <c r="AV598" i="1"/>
  <c r="AW598" i="1"/>
  <c r="AX598" i="1"/>
  <c r="AY598" i="1"/>
  <c r="AZ598" i="1"/>
  <c r="BA598" i="1"/>
  <c r="BB598" i="1"/>
  <c r="BC598" i="1"/>
  <c r="BD598" i="1"/>
  <c r="BE598" i="1"/>
  <c r="BF598" i="1"/>
  <c r="BG598" i="1"/>
  <c r="BH598" i="1"/>
  <c r="AQ599" i="1"/>
  <c r="AR599" i="1"/>
  <c r="AS599" i="1"/>
  <c r="AT599" i="1"/>
  <c r="AU599" i="1"/>
  <c r="AV599" i="1"/>
  <c r="AW599" i="1"/>
  <c r="AX599" i="1"/>
  <c r="AY599" i="1"/>
  <c r="AZ599" i="1"/>
  <c r="BA599" i="1"/>
  <c r="BB599" i="1"/>
  <c r="BC599" i="1"/>
  <c r="BD599" i="1"/>
  <c r="BE599" i="1"/>
  <c r="BF599" i="1"/>
  <c r="BG599" i="1"/>
  <c r="BH599" i="1"/>
  <c r="AQ600" i="1"/>
  <c r="AR600" i="1"/>
  <c r="AS600" i="1"/>
  <c r="AT600" i="1"/>
  <c r="AU600" i="1"/>
  <c r="AV600" i="1"/>
  <c r="AW600" i="1"/>
  <c r="AX600" i="1"/>
  <c r="AY600" i="1"/>
  <c r="AZ600" i="1"/>
  <c r="BA600" i="1"/>
  <c r="BB600" i="1"/>
  <c r="BC600" i="1"/>
  <c r="BD600" i="1"/>
  <c r="BE600" i="1"/>
  <c r="BF600" i="1"/>
  <c r="BG600" i="1"/>
  <c r="BH600" i="1"/>
  <c r="AQ601" i="1"/>
  <c r="AR601" i="1"/>
  <c r="AS601" i="1"/>
  <c r="AT601" i="1"/>
  <c r="AU601" i="1"/>
  <c r="AV601" i="1"/>
  <c r="AW601" i="1"/>
  <c r="AX601" i="1"/>
  <c r="AY601" i="1"/>
  <c r="AZ601" i="1"/>
  <c r="BA601" i="1"/>
  <c r="BB601" i="1"/>
  <c r="BC601" i="1"/>
  <c r="BD601" i="1"/>
  <c r="BE601" i="1"/>
  <c r="BF601" i="1"/>
  <c r="BG601" i="1"/>
  <c r="BH601" i="1"/>
  <c r="AQ602" i="1"/>
  <c r="AR602" i="1"/>
  <c r="AS602" i="1"/>
  <c r="AT602" i="1"/>
  <c r="AU602" i="1"/>
  <c r="AV602" i="1"/>
  <c r="AW602" i="1"/>
  <c r="AX602" i="1"/>
  <c r="AY602" i="1"/>
  <c r="AZ602" i="1"/>
  <c r="BA602" i="1"/>
  <c r="BB602" i="1"/>
  <c r="BC602" i="1"/>
  <c r="BD602" i="1"/>
  <c r="BE602" i="1"/>
  <c r="BF602" i="1"/>
  <c r="BG602" i="1"/>
  <c r="BH602" i="1"/>
  <c r="AQ603" i="1"/>
  <c r="AR603" i="1"/>
  <c r="AS603" i="1"/>
  <c r="AT603" i="1"/>
  <c r="AU603" i="1"/>
  <c r="AV603" i="1"/>
  <c r="AW603" i="1"/>
  <c r="AX603" i="1"/>
  <c r="AY603" i="1"/>
  <c r="AZ603" i="1"/>
  <c r="BA603" i="1"/>
  <c r="BB603" i="1"/>
  <c r="BC603" i="1"/>
  <c r="BD603" i="1"/>
  <c r="BE603" i="1"/>
  <c r="BF603" i="1"/>
  <c r="BG603" i="1"/>
  <c r="BH603" i="1"/>
  <c r="AQ604" i="1"/>
  <c r="AR604" i="1"/>
  <c r="AS604" i="1"/>
  <c r="AT604" i="1"/>
  <c r="AU604" i="1"/>
  <c r="AV604" i="1"/>
  <c r="AW604" i="1"/>
  <c r="AX604" i="1"/>
  <c r="AY604" i="1"/>
  <c r="AZ604" i="1"/>
  <c r="BA604" i="1"/>
  <c r="BB604" i="1"/>
  <c r="BC604" i="1"/>
  <c r="BD604" i="1"/>
  <c r="BE604" i="1"/>
  <c r="BF604" i="1"/>
  <c r="BG604" i="1"/>
  <c r="BH604" i="1"/>
  <c r="AQ605" i="1"/>
  <c r="AR605" i="1"/>
  <c r="AS605" i="1"/>
  <c r="AT605" i="1"/>
  <c r="AU605" i="1"/>
  <c r="AV605" i="1"/>
  <c r="AW605" i="1"/>
  <c r="AX605" i="1"/>
  <c r="AY605" i="1"/>
  <c r="AZ605" i="1"/>
  <c r="BA605" i="1"/>
  <c r="BB605" i="1"/>
  <c r="BC605" i="1"/>
  <c r="BD605" i="1"/>
  <c r="BE605" i="1"/>
  <c r="BF605" i="1"/>
  <c r="BG605" i="1"/>
  <c r="BH605" i="1"/>
  <c r="AQ606" i="1"/>
  <c r="AR606" i="1"/>
  <c r="AS606" i="1"/>
  <c r="AT606" i="1"/>
  <c r="AU606" i="1"/>
  <c r="AV606" i="1"/>
  <c r="AW606" i="1"/>
  <c r="AX606" i="1"/>
  <c r="AY606" i="1"/>
  <c r="AZ606" i="1"/>
  <c r="BA606" i="1"/>
  <c r="BB606" i="1"/>
  <c r="BC606" i="1"/>
  <c r="BD606" i="1"/>
  <c r="BE606" i="1"/>
  <c r="BF606" i="1"/>
  <c r="BG606" i="1"/>
  <c r="BH606" i="1"/>
  <c r="AQ607" i="1"/>
  <c r="AR607" i="1"/>
  <c r="AS607" i="1"/>
  <c r="AT607" i="1"/>
  <c r="AU607" i="1"/>
  <c r="AV607" i="1"/>
  <c r="AW607" i="1"/>
  <c r="AX607" i="1"/>
  <c r="AY607" i="1"/>
  <c r="AZ607" i="1"/>
  <c r="BA607" i="1"/>
  <c r="BB607" i="1"/>
  <c r="BC607" i="1"/>
  <c r="BD607" i="1"/>
  <c r="BE607" i="1"/>
  <c r="BF607" i="1"/>
  <c r="BG607" i="1"/>
  <c r="BH607" i="1"/>
  <c r="AQ608" i="1"/>
  <c r="AR608" i="1"/>
  <c r="AS608" i="1"/>
  <c r="AT608" i="1"/>
  <c r="AU608" i="1"/>
  <c r="AV608" i="1"/>
  <c r="AW608" i="1"/>
  <c r="AX608" i="1"/>
  <c r="AY608" i="1"/>
  <c r="AZ608" i="1"/>
  <c r="BA608" i="1"/>
  <c r="BB608" i="1"/>
  <c r="BC608" i="1"/>
  <c r="BD608" i="1"/>
  <c r="BE608" i="1"/>
  <c r="BF608" i="1"/>
  <c r="BG608" i="1"/>
  <c r="BH608" i="1"/>
  <c r="AQ609" i="1"/>
  <c r="AR609" i="1"/>
  <c r="AS609" i="1"/>
  <c r="AT609" i="1"/>
  <c r="AU609" i="1"/>
  <c r="AV609" i="1"/>
  <c r="AW609" i="1"/>
  <c r="AX609" i="1"/>
  <c r="AY609" i="1"/>
  <c r="AZ609" i="1"/>
  <c r="BA609" i="1"/>
  <c r="BB609" i="1"/>
  <c r="BC609" i="1"/>
  <c r="BD609" i="1"/>
  <c r="BE609" i="1"/>
  <c r="BF609" i="1"/>
  <c r="BG609" i="1"/>
  <c r="BH609" i="1"/>
  <c r="AQ610" i="1"/>
  <c r="AR610" i="1"/>
  <c r="AS610" i="1"/>
  <c r="AT610" i="1"/>
  <c r="AU610" i="1"/>
  <c r="AV610" i="1"/>
  <c r="AW610" i="1"/>
  <c r="AX610" i="1"/>
  <c r="AY610" i="1"/>
  <c r="AZ610" i="1"/>
  <c r="BA610" i="1"/>
  <c r="BB610" i="1"/>
  <c r="BC610" i="1"/>
  <c r="BD610" i="1"/>
  <c r="BE610" i="1"/>
  <c r="BF610" i="1"/>
  <c r="BG610" i="1"/>
  <c r="BH610" i="1"/>
  <c r="AQ611" i="1"/>
  <c r="AR611" i="1"/>
  <c r="AS611" i="1"/>
  <c r="AT611" i="1"/>
  <c r="AU611" i="1"/>
  <c r="AV611" i="1"/>
  <c r="AW611" i="1"/>
  <c r="AX611" i="1"/>
  <c r="AY611" i="1"/>
  <c r="AZ611" i="1"/>
  <c r="BA611" i="1"/>
  <c r="BB611" i="1"/>
  <c r="BC611" i="1"/>
  <c r="BD611" i="1"/>
  <c r="BE611" i="1"/>
  <c r="BF611" i="1"/>
  <c r="BG611" i="1"/>
  <c r="BH611" i="1"/>
  <c r="AQ612" i="1"/>
  <c r="AR612" i="1"/>
  <c r="AS612" i="1"/>
  <c r="AT612" i="1"/>
  <c r="AU612" i="1"/>
  <c r="AV612" i="1"/>
  <c r="AW612" i="1"/>
  <c r="AX612" i="1"/>
  <c r="AY612" i="1"/>
  <c r="AZ612" i="1"/>
  <c r="BA612" i="1"/>
  <c r="BB612" i="1"/>
  <c r="BC612" i="1"/>
  <c r="BD612" i="1"/>
  <c r="BE612" i="1"/>
  <c r="BF612" i="1"/>
  <c r="BG612" i="1"/>
  <c r="BH612" i="1"/>
  <c r="AQ613" i="1"/>
  <c r="AR613" i="1"/>
  <c r="AS613" i="1"/>
  <c r="AT613" i="1"/>
  <c r="AU613" i="1"/>
  <c r="AV613" i="1"/>
  <c r="AW613" i="1"/>
  <c r="AX613" i="1"/>
  <c r="AY613" i="1"/>
  <c r="AZ613" i="1"/>
  <c r="BA613" i="1"/>
  <c r="BB613" i="1"/>
  <c r="BC613" i="1"/>
  <c r="BD613" i="1"/>
  <c r="BE613" i="1"/>
  <c r="BF613" i="1"/>
  <c r="BG613" i="1"/>
  <c r="BH613" i="1"/>
  <c r="AQ614" i="1"/>
  <c r="AR614" i="1"/>
  <c r="AS614" i="1"/>
  <c r="AT614" i="1"/>
  <c r="AU614" i="1"/>
  <c r="AV614" i="1"/>
  <c r="AW614" i="1"/>
  <c r="AX614" i="1"/>
  <c r="AY614" i="1"/>
  <c r="AZ614" i="1"/>
  <c r="BA614" i="1"/>
  <c r="BB614" i="1"/>
  <c r="BC614" i="1"/>
  <c r="BD614" i="1"/>
  <c r="BE614" i="1"/>
  <c r="BF614" i="1"/>
  <c r="BG614" i="1"/>
  <c r="BH614" i="1"/>
  <c r="AQ615" i="1"/>
  <c r="AR615" i="1"/>
  <c r="AS615" i="1"/>
  <c r="AT615" i="1"/>
  <c r="AU615" i="1"/>
  <c r="AV615" i="1"/>
  <c r="AW615" i="1"/>
  <c r="AX615" i="1"/>
  <c r="AY615" i="1"/>
  <c r="AZ615" i="1"/>
  <c r="BA615" i="1"/>
  <c r="BB615" i="1"/>
  <c r="BC615" i="1"/>
  <c r="BD615" i="1"/>
  <c r="BE615" i="1"/>
  <c r="BF615" i="1"/>
  <c r="BG615" i="1"/>
  <c r="BH615" i="1"/>
  <c r="AQ616" i="1"/>
  <c r="AR616" i="1"/>
  <c r="AS616" i="1"/>
  <c r="AT616" i="1"/>
  <c r="AU616" i="1"/>
  <c r="AV616" i="1"/>
  <c r="AW616" i="1"/>
  <c r="AX616" i="1"/>
  <c r="AY616" i="1"/>
  <c r="AZ616" i="1"/>
  <c r="BA616" i="1"/>
  <c r="BB616" i="1"/>
  <c r="BC616" i="1"/>
  <c r="BD616" i="1"/>
  <c r="BE616" i="1"/>
  <c r="BF616" i="1"/>
  <c r="BG616" i="1"/>
  <c r="BH616" i="1"/>
  <c r="AQ617" i="1"/>
  <c r="AR617" i="1"/>
  <c r="AS617" i="1"/>
  <c r="AT617" i="1"/>
  <c r="AU617" i="1"/>
  <c r="AV617" i="1"/>
  <c r="AW617" i="1"/>
  <c r="AX617" i="1"/>
  <c r="AY617" i="1"/>
  <c r="AZ617" i="1"/>
  <c r="BA617" i="1"/>
  <c r="BB617" i="1"/>
  <c r="BC617" i="1"/>
  <c r="BD617" i="1"/>
  <c r="BE617" i="1"/>
  <c r="BF617" i="1"/>
  <c r="BG617" i="1"/>
  <c r="BH617" i="1"/>
  <c r="AQ618" i="1"/>
  <c r="AR618" i="1"/>
  <c r="AS618" i="1"/>
  <c r="AT618" i="1"/>
  <c r="AU618" i="1"/>
  <c r="AV618" i="1"/>
  <c r="AW618" i="1"/>
  <c r="AX618" i="1"/>
  <c r="AY618" i="1"/>
  <c r="AZ618" i="1"/>
  <c r="BA618" i="1"/>
  <c r="BB618" i="1"/>
  <c r="BC618" i="1"/>
  <c r="BD618" i="1"/>
  <c r="BE618" i="1"/>
  <c r="BF618" i="1"/>
  <c r="BG618" i="1"/>
  <c r="BH618" i="1"/>
  <c r="AQ619" i="1"/>
  <c r="AR619" i="1"/>
  <c r="AS619" i="1"/>
  <c r="AT619" i="1"/>
  <c r="AU619" i="1"/>
  <c r="AV619" i="1"/>
  <c r="AW619" i="1"/>
  <c r="AX619" i="1"/>
  <c r="AY619" i="1"/>
  <c r="AZ619" i="1"/>
  <c r="BA619" i="1"/>
  <c r="BB619" i="1"/>
  <c r="BC619" i="1"/>
  <c r="BD619" i="1"/>
  <c r="BE619" i="1"/>
  <c r="BF619" i="1"/>
  <c r="BG619" i="1"/>
  <c r="BH619" i="1"/>
  <c r="AQ620" i="1"/>
  <c r="AR620" i="1"/>
  <c r="AS620" i="1"/>
  <c r="AT620" i="1"/>
  <c r="AU620" i="1"/>
  <c r="AV620" i="1"/>
  <c r="AW620" i="1"/>
  <c r="AX620" i="1"/>
  <c r="AY620" i="1"/>
  <c r="AZ620" i="1"/>
  <c r="BA620" i="1"/>
  <c r="BB620" i="1"/>
  <c r="BC620" i="1"/>
  <c r="BD620" i="1"/>
  <c r="BE620" i="1"/>
  <c r="BF620" i="1"/>
  <c r="BG620" i="1"/>
  <c r="BH620" i="1"/>
  <c r="AQ621" i="1"/>
  <c r="AR621" i="1"/>
  <c r="AS621" i="1"/>
  <c r="AT621" i="1"/>
  <c r="AU621" i="1"/>
  <c r="AV621" i="1"/>
  <c r="AW621" i="1"/>
  <c r="AX621" i="1"/>
  <c r="AY621" i="1"/>
  <c r="AZ621" i="1"/>
  <c r="BA621" i="1"/>
  <c r="BB621" i="1"/>
  <c r="BC621" i="1"/>
  <c r="BD621" i="1"/>
  <c r="BE621" i="1"/>
  <c r="BF621" i="1"/>
  <c r="BG621" i="1"/>
  <c r="BH621" i="1"/>
  <c r="AQ622" i="1"/>
  <c r="AR622" i="1"/>
  <c r="AS622" i="1"/>
  <c r="AT622" i="1"/>
  <c r="AU622" i="1"/>
  <c r="AV622" i="1"/>
  <c r="AW622" i="1"/>
  <c r="AX622" i="1"/>
  <c r="AY622" i="1"/>
  <c r="AZ622" i="1"/>
  <c r="BA622" i="1"/>
  <c r="BB622" i="1"/>
  <c r="BC622" i="1"/>
  <c r="BD622" i="1"/>
  <c r="BE622" i="1"/>
  <c r="BF622" i="1"/>
  <c r="BG622" i="1"/>
  <c r="BH622" i="1"/>
  <c r="AQ623" i="1"/>
  <c r="AR623" i="1"/>
  <c r="AS623" i="1"/>
  <c r="AT623" i="1"/>
  <c r="AU623" i="1"/>
  <c r="AV623" i="1"/>
  <c r="AW623" i="1"/>
  <c r="AX623" i="1"/>
  <c r="AY623" i="1"/>
  <c r="AZ623" i="1"/>
  <c r="BA623" i="1"/>
  <c r="BB623" i="1"/>
  <c r="BC623" i="1"/>
  <c r="BD623" i="1"/>
  <c r="BE623" i="1"/>
  <c r="BF623" i="1"/>
  <c r="BG623" i="1"/>
  <c r="BH623" i="1"/>
  <c r="AQ624" i="1"/>
  <c r="AR624" i="1"/>
  <c r="AS624" i="1"/>
  <c r="AT624" i="1"/>
  <c r="AU624" i="1"/>
  <c r="AV624" i="1"/>
  <c r="AW624" i="1"/>
  <c r="AX624" i="1"/>
  <c r="AY624" i="1"/>
  <c r="AZ624" i="1"/>
  <c r="BA624" i="1"/>
  <c r="BB624" i="1"/>
  <c r="BC624" i="1"/>
  <c r="BD624" i="1"/>
  <c r="BE624" i="1"/>
  <c r="BF624" i="1"/>
  <c r="BG624" i="1"/>
  <c r="BH624" i="1"/>
  <c r="AQ625" i="1"/>
  <c r="AR625" i="1"/>
  <c r="AS625" i="1"/>
  <c r="AT625" i="1"/>
  <c r="AU625" i="1"/>
  <c r="AV625" i="1"/>
  <c r="AW625" i="1"/>
  <c r="AX625" i="1"/>
  <c r="AY625" i="1"/>
  <c r="AZ625" i="1"/>
  <c r="BA625" i="1"/>
  <c r="BB625" i="1"/>
  <c r="BC625" i="1"/>
  <c r="BD625" i="1"/>
  <c r="BE625" i="1"/>
  <c r="BF625" i="1"/>
  <c r="BG625" i="1"/>
  <c r="BH625" i="1"/>
  <c r="AQ626" i="1"/>
  <c r="AR626" i="1"/>
  <c r="AS626" i="1"/>
  <c r="AT626" i="1"/>
  <c r="AU626" i="1"/>
  <c r="AV626" i="1"/>
  <c r="AW626" i="1"/>
  <c r="AX626" i="1"/>
  <c r="AY626" i="1"/>
  <c r="AZ626" i="1"/>
  <c r="BA626" i="1"/>
  <c r="BB626" i="1"/>
  <c r="BC626" i="1"/>
  <c r="BD626" i="1"/>
  <c r="BE626" i="1"/>
  <c r="BF626" i="1"/>
  <c r="BG626" i="1"/>
  <c r="BH626" i="1"/>
  <c r="AQ627" i="1"/>
  <c r="AR627" i="1"/>
  <c r="AS627" i="1"/>
  <c r="AT627" i="1"/>
  <c r="AU627" i="1"/>
  <c r="AV627" i="1"/>
  <c r="AW627" i="1"/>
  <c r="AX627" i="1"/>
  <c r="AY627" i="1"/>
  <c r="AZ627" i="1"/>
  <c r="BA627" i="1"/>
  <c r="BB627" i="1"/>
  <c r="BC627" i="1"/>
  <c r="BD627" i="1"/>
  <c r="BE627" i="1"/>
  <c r="BF627" i="1"/>
  <c r="BG627" i="1"/>
  <c r="BH627" i="1"/>
  <c r="AQ628" i="1"/>
  <c r="AR628" i="1"/>
  <c r="AS628" i="1"/>
  <c r="AT628" i="1"/>
  <c r="AU628" i="1"/>
  <c r="AV628" i="1"/>
  <c r="AW628" i="1"/>
  <c r="AX628" i="1"/>
  <c r="AY628" i="1"/>
  <c r="AZ628" i="1"/>
  <c r="BA628" i="1"/>
  <c r="BB628" i="1"/>
  <c r="BC628" i="1"/>
  <c r="BD628" i="1"/>
  <c r="BE628" i="1"/>
  <c r="BF628" i="1"/>
  <c r="BG628" i="1"/>
  <c r="BH628" i="1"/>
  <c r="AQ629" i="1"/>
  <c r="AR629" i="1"/>
  <c r="AS629" i="1"/>
  <c r="AT629" i="1"/>
  <c r="AU629" i="1"/>
  <c r="AV629" i="1"/>
  <c r="AW629" i="1"/>
  <c r="AX629" i="1"/>
  <c r="AY629" i="1"/>
  <c r="AZ629" i="1"/>
  <c r="BA629" i="1"/>
  <c r="BB629" i="1"/>
  <c r="BC629" i="1"/>
  <c r="BD629" i="1"/>
  <c r="BE629" i="1"/>
  <c r="BF629" i="1"/>
  <c r="BG629" i="1"/>
  <c r="BH629" i="1"/>
  <c r="AQ630" i="1"/>
  <c r="AR630" i="1"/>
  <c r="AS630" i="1"/>
  <c r="AT630" i="1"/>
  <c r="AU630" i="1"/>
  <c r="AV630" i="1"/>
  <c r="AW630" i="1"/>
  <c r="AX630" i="1"/>
  <c r="AY630" i="1"/>
  <c r="AZ630" i="1"/>
  <c r="BA630" i="1"/>
  <c r="BB630" i="1"/>
  <c r="BC630" i="1"/>
  <c r="BD630" i="1"/>
  <c r="BE630" i="1"/>
  <c r="BF630" i="1"/>
  <c r="BG630" i="1"/>
  <c r="BH630" i="1"/>
  <c r="AQ631" i="1"/>
  <c r="AR631" i="1"/>
  <c r="AS631" i="1"/>
  <c r="AT631" i="1"/>
  <c r="AU631" i="1"/>
  <c r="AV631" i="1"/>
  <c r="AW631" i="1"/>
  <c r="AX631" i="1"/>
  <c r="AY631" i="1"/>
  <c r="AZ631" i="1"/>
  <c r="BA631" i="1"/>
  <c r="BB631" i="1"/>
  <c r="BC631" i="1"/>
  <c r="BD631" i="1"/>
  <c r="BE631" i="1"/>
  <c r="BF631" i="1"/>
  <c r="BG631" i="1"/>
  <c r="BH631" i="1"/>
  <c r="AQ632" i="1"/>
  <c r="AR632" i="1"/>
  <c r="AS632" i="1"/>
  <c r="AT632" i="1"/>
  <c r="AU632" i="1"/>
  <c r="AV632" i="1"/>
  <c r="AW632" i="1"/>
  <c r="AX632" i="1"/>
  <c r="AY632" i="1"/>
  <c r="AZ632" i="1"/>
  <c r="BA632" i="1"/>
  <c r="BB632" i="1"/>
  <c r="BC632" i="1"/>
  <c r="BD632" i="1"/>
  <c r="BE632" i="1"/>
  <c r="BF632" i="1"/>
  <c r="BG632" i="1"/>
  <c r="BH632" i="1"/>
  <c r="AQ633" i="1"/>
  <c r="AR633" i="1"/>
  <c r="AS633" i="1"/>
  <c r="AT633" i="1"/>
  <c r="AU633" i="1"/>
  <c r="AV633" i="1"/>
  <c r="AW633" i="1"/>
  <c r="AX633" i="1"/>
  <c r="AY633" i="1"/>
  <c r="AZ633" i="1"/>
  <c r="BA633" i="1"/>
  <c r="BB633" i="1"/>
  <c r="BC633" i="1"/>
  <c r="BD633" i="1"/>
  <c r="BE633" i="1"/>
  <c r="BF633" i="1"/>
  <c r="BG633" i="1"/>
  <c r="BH633" i="1"/>
  <c r="AQ634" i="1"/>
  <c r="AR634" i="1"/>
  <c r="AS634" i="1"/>
  <c r="AT634" i="1"/>
  <c r="AU634" i="1"/>
  <c r="AV634" i="1"/>
  <c r="AW634" i="1"/>
  <c r="AX634" i="1"/>
  <c r="AY634" i="1"/>
  <c r="AZ634" i="1"/>
  <c r="BA634" i="1"/>
  <c r="BB634" i="1"/>
  <c r="BC634" i="1"/>
  <c r="BD634" i="1"/>
  <c r="BE634" i="1"/>
  <c r="BF634" i="1"/>
  <c r="BG634" i="1"/>
  <c r="BH634" i="1"/>
  <c r="AQ635" i="1"/>
  <c r="AR635" i="1"/>
  <c r="AS635" i="1"/>
  <c r="AT635" i="1"/>
  <c r="AU635" i="1"/>
  <c r="AV635" i="1"/>
  <c r="AW635" i="1"/>
  <c r="AX635" i="1"/>
  <c r="AY635" i="1"/>
  <c r="AZ635" i="1"/>
  <c r="BA635" i="1"/>
  <c r="BB635" i="1"/>
  <c r="BC635" i="1"/>
  <c r="BD635" i="1"/>
  <c r="BE635" i="1"/>
  <c r="BF635" i="1"/>
  <c r="BG635" i="1"/>
  <c r="BH635" i="1"/>
  <c r="AQ636" i="1"/>
  <c r="AR636" i="1"/>
  <c r="AS636" i="1"/>
  <c r="AT636" i="1"/>
  <c r="AU636" i="1"/>
  <c r="AV636" i="1"/>
  <c r="AW636" i="1"/>
  <c r="AX636" i="1"/>
  <c r="AY636" i="1"/>
  <c r="AZ636" i="1"/>
  <c r="BA636" i="1"/>
  <c r="BB636" i="1"/>
  <c r="BC636" i="1"/>
  <c r="BD636" i="1"/>
  <c r="BE636" i="1"/>
  <c r="BF636" i="1"/>
  <c r="BG636" i="1"/>
  <c r="BH636" i="1"/>
  <c r="AQ637" i="1"/>
  <c r="AR637" i="1"/>
  <c r="AS637" i="1"/>
  <c r="AT637" i="1"/>
  <c r="AU637" i="1"/>
  <c r="AV637" i="1"/>
  <c r="AW637" i="1"/>
  <c r="AX637" i="1"/>
  <c r="AY637" i="1"/>
  <c r="AZ637" i="1"/>
  <c r="BA637" i="1"/>
  <c r="BB637" i="1"/>
  <c r="BC637" i="1"/>
  <c r="BD637" i="1"/>
  <c r="BE637" i="1"/>
  <c r="BF637" i="1"/>
  <c r="BG637" i="1"/>
  <c r="BH637" i="1"/>
  <c r="AQ638" i="1"/>
  <c r="AR638" i="1"/>
  <c r="AS638" i="1"/>
  <c r="AT638" i="1"/>
  <c r="AU638" i="1"/>
  <c r="AV638" i="1"/>
  <c r="AW638" i="1"/>
  <c r="AX638" i="1"/>
  <c r="AY638" i="1"/>
  <c r="AZ638" i="1"/>
  <c r="BA638" i="1"/>
  <c r="BB638" i="1"/>
  <c r="BC638" i="1"/>
  <c r="BD638" i="1"/>
  <c r="BE638" i="1"/>
  <c r="BF638" i="1"/>
  <c r="BG638" i="1"/>
  <c r="BH638" i="1"/>
  <c r="AQ639" i="1"/>
  <c r="AR639" i="1"/>
  <c r="AS639" i="1"/>
  <c r="AT639" i="1"/>
  <c r="AU639" i="1"/>
  <c r="AV639" i="1"/>
  <c r="AW639" i="1"/>
  <c r="AX639" i="1"/>
  <c r="AY639" i="1"/>
  <c r="AZ639" i="1"/>
  <c r="BA639" i="1"/>
  <c r="BB639" i="1"/>
  <c r="BC639" i="1"/>
  <c r="BD639" i="1"/>
  <c r="BE639" i="1"/>
  <c r="BF639" i="1"/>
  <c r="BG639" i="1"/>
  <c r="BH639" i="1"/>
  <c r="AQ640" i="1"/>
  <c r="AR640" i="1"/>
  <c r="AS640" i="1"/>
  <c r="AT640" i="1"/>
  <c r="AU640" i="1"/>
  <c r="AV640" i="1"/>
  <c r="AW640" i="1"/>
  <c r="AX640" i="1"/>
  <c r="AY640" i="1"/>
  <c r="AZ640" i="1"/>
  <c r="BA640" i="1"/>
  <c r="BB640" i="1"/>
  <c r="BC640" i="1"/>
  <c r="BD640" i="1"/>
  <c r="BE640" i="1"/>
  <c r="BF640" i="1"/>
  <c r="BG640" i="1"/>
  <c r="BH640" i="1"/>
  <c r="AQ641" i="1"/>
  <c r="AR641" i="1"/>
  <c r="AS641" i="1"/>
  <c r="AT641" i="1"/>
  <c r="AU641" i="1"/>
  <c r="AV641" i="1"/>
  <c r="AW641" i="1"/>
  <c r="AX641" i="1"/>
  <c r="AY641" i="1"/>
  <c r="AZ641" i="1"/>
  <c r="BA641" i="1"/>
  <c r="BB641" i="1"/>
  <c r="BC641" i="1"/>
  <c r="BD641" i="1"/>
  <c r="BE641" i="1"/>
  <c r="BF641" i="1"/>
  <c r="BG641" i="1"/>
  <c r="BH641" i="1"/>
  <c r="AQ642" i="1"/>
  <c r="AR642" i="1"/>
  <c r="AS642" i="1"/>
  <c r="AT642" i="1"/>
  <c r="AU642" i="1"/>
  <c r="AV642" i="1"/>
  <c r="AW642" i="1"/>
  <c r="AX642" i="1"/>
  <c r="AY642" i="1"/>
  <c r="AZ642" i="1"/>
  <c r="BA642" i="1"/>
  <c r="BB642" i="1"/>
  <c r="BC642" i="1"/>
  <c r="BD642" i="1"/>
  <c r="BE642" i="1"/>
  <c r="BF642" i="1"/>
  <c r="BG642" i="1"/>
  <c r="BH642" i="1"/>
  <c r="AQ643" i="1"/>
  <c r="AR643" i="1"/>
  <c r="AS643" i="1"/>
  <c r="AT643" i="1"/>
  <c r="AU643" i="1"/>
  <c r="AV643" i="1"/>
  <c r="AW643" i="1"/>
  <c r="AX643" i="1"/>
  <c r="AY643" i="1"/>
  <c r="AZ643" i="1"/>
  <c r="BA643" i="1"/>
  <c r="BB643" i="1"/>
  <c r="BC643" i="1"/>
  <c r="BD643" i="1"/>
  <c r="BE643" i="1"/>
  <c r="BF643" i="1"/>
  <c r="BG643" i="1"/>
  <c r="BH643" i="1"/>
  <c r="AQ644" i="1"/>
  <c r="AR644" i="1"/>
  <c r="AS644" i="1"/>
  <c r="AT644" i="1"/>
  <c r="AU644" i="1"/>
  <c r="AV644" i="1"/>
  <c r="AW644" i="1"/>
  <c r="AX644" i="1"/>
  <c r="AY644" i="1"/>
  <c r="AZ644" i="1"/>
  <c r="BA644" i="1"/>
  <c r="BB644" i="1"/>
  <c r="BC644" i="1"/>
  <c r="BD644" i="1"/>
  <c r="BE644" i="1"/>
  <c r="BF644" i="1"/>
  <c r="BG644" i="1"/>
  <c r="BH644" i="1"/>
  <c r="AQ645" i="1"/>
  <c r="AR645" i="1"/>
  <c r="AS645" i="1"/>
  <c r="AT645" i="1"/>
  <c r="AU645" i="1"/>
  <c r="AV645" i="1"/>
  <c r="AW645" i="1"/>
  <c r="AX645" i="1"/>
  <c r="AY645" i="1"/>
  <c r="AZ645" i="1"/>
  <c r="BA645" i="1"/>
  <c r="BB645" i="1"/>
  <c r="BC645" i="1"/>
  <c r="BD645" i="1"/>
  <c r="BE645" i="1"/>
  <c r="BF645" i="1"/>
  <c r="BG645" i="1"/>
  <c r="BH645" i="1"/>
  <c r="AQ646" i="1"/>
  <c r="AR646" i="1"/>
  <c r="AS646" i="1"/>
  <c r="AT646" i="1"/>
  <c r="AU646" i="1"/>
  <c r="AV646" i="1"/>
  <c r="AW646" i="1"/>
  <c r="AX646" i="1"/>
  <c r="AY646" i="1"/>
  <c r="AZ646" i="1"/>
  <c r="BA646" i="1"/>
  <c r="BB646" i="1"/>
  <c r="BC646" i="1"/>
  <c r="BD646" i="1"/>
  <c r="BE646" i="1"/>
  <c r="BF646" i="1"/>
  <c r="BG646" i="1"/>
  <c r="BH646" i="1"/>
  <c r="AQ647" i="1"/>
  <c r="AR647" i="1"/>
  <c r="AS647" i="1"/>
  <c r="AT647" i="1"/>
  <c r="AU647" i="1"/>
  <c r="AV647" i="1"/>
  <c r="AW647" i="1"/>
  <c r="AX647" i="1"/>
  <c r="AY647" i="1"/>
  <c r="AZ647" i="1"/>
  <c r="BA647" i="1"/>
  <c r="BB647" i="1"/>
  <c r="BC647" i="1"/>
  <c r="BD647" i="1"/>
  <c r="BE647" i="1"/>
  <c r="BF647" i="1"/>
  <c r="BG647" i="1"/>
  <c r="BH647" i="1"/>
  <c r="AQ648" i="1"/>
  <c r="AR648" i="1"/>
  <c r="AS648" i="1"/>
  <c r="AT648" i="1"/>
  <c r="AU648" i="1"/>
  <c r="AV648" i="1"/>
  <c r="AW648" i="1"/>
  <c r="AX648" i="1"/>
  <c r="AY648" i="1"/>
  <c r="AZ648" i="1"/>
  <c r="BA648" i="1"/>
  <c r="BB648" i="1"/>
  <c r="BC648" i="1"/>
  <c r="BD648" i="1"/>
  <c r="BE648" i="1"/>
  <c r="BF648" i="1"/>
  <c r="BG648" i="1"/>
  <c r="BH648" i="1"/>
  <c r="AQ649" i="1"/>
  <c r="AR649" i="1"/>
  <c r="AS649" i="1"/>
  <c r="AT649" i="1"/>
  <c r="AU649" i="1"/>
  <c r="AV649" i="1"/>
  <c r="AW649" i="1"/>
  <c r="AX649" i="1"/>
  <c r="AY649" i="1"/>
  <c r="AZ649" i="1"/>
  <c r="BA649" i="1"/>
  <c r="BB649" i="1"/>
  <c r="BC649" i="1"/>
  <c r="BD649" i="1"/>
  <c r="BE649" i="1"/>
  <c r="BF649" i="1"/>
  <c r="BG649" i="1"/>
  <c r="BH649" i="1"/>
  <c r="AQ650" i="1"/>
  <c r="AR650" i="1"/>
  <c r="AS650" i="1"/>
  <c r="AT650" i="1"/>
  <c r="AU650" i="1"/>
  <c r="AV650" i="1"/>
  <c r="AW650" i="1"/>
  <c r="AX650" i="1"/>
  <c r="AY650" i="1"/>
  <c r="AZ650" i="1"/>
  <c r="BA650" i="1"/>
  <c r="BB650" i="1"/>
  <c r="BC650" i="1"/>
  <c r="BD650" i="1"/>
  <c r="BE650" i="1"/>
  <c r="BF650" i="1"/>
  <c r="BG650" i="1"/>
  <c r="BH650" i="1"/>
  <c r="AQ651" i="1"/>
  <c r="AR651" i="1"/>
  <c r="AS651" i="1"/>
  <c r="AT651" i="1"/>
  <c r="AU651" i="1"/>
  <c r="AV651" i="1"/>
  <c r="AW651" i="1"/>
  <c r="AX651" i="1"/>
  <c r="AY651" i="1"/>
  <c r="AZ651" i="1"/>
  <c r="BA651" i="1"/>
  <c r="BB651" i="1"/>
  <c r="BC651" i="1"/>
  <c r="BD651" i="1"/>
  <c r="BE651" i="1"/>
  <c r="BF651" i="1"/>
  <c r="BG651" i="1"/>
  <c r="BH651" i="1"/>
  <c r="AQ652" i="1"/>
  <c r="AR652" i="1"/>
  <c r="AS652" i="1"/>
  <c r="AT652" i="1"/>
  <c r="AU652" i="1"/>
  <c r="AV652" i="1"/>
  <c r="AW652" i="1"/>
  <c r="AX652" i="1"/>
  <c r="AY652" i="1"/>
  <c r="AZ652" i="1"/>
  <c r="BA652" i="1"/>
  <c r="BB652" i="1"/>
  <c r="BC652" i="1"/>
  <c r="BD652" i="1"/>
  <c r="BE652" i="1"/>
  <c r="BF652" i="1"/>
  <c r="BG652" i="1"/>
  <c r="BH652" i="1"/>
  <c r="AQ653" i="1"/>
  <c r="AR653" i="1"/>
  <c r="AS653" i="1"/>
  <c r="AT653" i="1"/>
  <c r="AU653" i="1"/>
  <c r="AV653" i="1"/>
  <c r="AW653" i="1"/>
  <c r="AX653" i="1"/>
  <c r="AY653" i="1"/>
  <c r="AZ653" i="1"/>
  <c r="BA653" i="1"/>
  <c r="BB653" i="1"/>
  <c r="BC653" i="1"/>
  <c r="BD653" i="1"/>
  <c r="BE653" i="1"/>
  <c r="BF653" i="1"/>
  <c r="BG653" i="1"/>
  <c r="BH653" i="1"/>
  <c r="AQ654" i="1"/>
  <c r="AR654" i="1"/>
  <c r="AS654" i="1"/>
  <c r="AT654" i="1"/>
  <c r="AU654" i="1"/>
  <c r="AV654" i="1"/>
  <c r="AW654" i="1"/>
  <c r="AX654" i="1"/>
  <c r="AY654" i="1"/>
  <c r="AZ654" i="1"/>
  <c r="BA654" i="1"/>
  <c r="BB654" i="1"/>
  <c r="BC654" i="1"/>
  <c r="BD654" i="1"/>
  <c r="BE654" i="1"/>
  <c r="BF654" i="1"/>
  <c r="BG654" i="1"/>
  <c r="BH654" i="1"/>
  <c r="AQ655" i="1"/>
  <c r="AR655" i="1"/>
  <c r="AS655" i="1"/>
  <c r="AT655" i="1"/>
  <c r="AU655" i="1"/>
  <c r="AV655" i="1"/>
  <c r="AW655" i="1"/>
  <c r="AX655" i="1"/>
  <c r="AY655" i="1"/>
  <c r="AZ655" i="1"/>
  <c r="BA655" i="1"/>
  <c r="BB655" i="1"/>
  <c r="BC655" i="1"/>
  <c r="BD655" i="1"/>
  <c r="BE655" i="1"/>
  <c r="BF655" i="1"/>
  <c r="BG655" i="1"/>
  <c r="BH655" i="1"/>
  <c r="AQ656" i="1"/>
  <c r="AR656" i="1"/>
  <c r="AS656" i="1"/>
  <c r="AT656" i="1"/>
  <c r="AU656" i="1"/>
  <c r="AV656" i="1"/>
  <c r="AW656" i="1"/>
  <c r="AX656" i="1"/>
  <c r="AY656" i="1"/>
  <c r="AZ656" i="1"/>
  <c r="BA656" i="1"/>
  <c r="BB656" i="1"/>
  <c r="BC656" i="1"/>
  <c r="BD656" i="1"/>
  <c r="BE656" i="1"/>
  <c r="BF656" i="1"/>
  <c r="BG656" i="1"/>
  <c r="BH656" i="1"/>
  <c r="AQ657" i="1"/>
  <c r="AR657" i="1"/>
  <c r="AS657" i="1"/>
  <c r="AT657" i="1"/>
  <c r="AU657" i="1"/>
  <c r="AV657" i="1"/>
  <c r="AW657" i="1"/>
  <c r="AX657" i="1"/>
  <c r="AY657" i="1"/>
  <c r="AZ657" i="1"/>
  <c r="BA657" i="1"/>
  <c r="BB657" i="1"/>
  <c r="BC657" i="1"/>
  <c r="BD657" i="1"/>
  <c r="BE657" i="1"/>
  <c r="BF657" i="1"/>
  <c r="BG657" i="1"/>
  <c r="BH657" i="1"/>
  <c r="AQ658" i="1"/>
  <c r="AR658" i="1"/>
  <c r="AS658" i="1"/>
  <c r="AT658" i="1"/>
  <c r="AU658" i="1"/>
  <c r="AV658" i="1"/>
  <c r="AW658" i="1"/>
  <c r="AX658" i="1"/>
  <c r="AY658" i="1"/>
  <c r="AZ658" i="1"/>
  <c r="BA658" i="1"/>
  <c r="BB658" i="1"/>
  <c r="BC658" i="1"/>
  <c r="BD658" i="1"/>
  <c r="BE658" i="1"/>
  <c r="BF658" i="1"/>
  <c r="BG658" i="1"/>
  <c r="BH658" i="1"/>
  <c r="AQ659" i="1"/>
  <c r="AR659" i="1"/>
  <c r="AS659" i="1"/>
  <c r="AT659" i="1"/>
  <c r="AU659" i="1"/>
  <c r="AV659" i="1"/>
  <c r="AW659" i="1"/>
  <c r="AX659" i="1"/>
  <c r="AY659" i="1"/>
  <c r="AZ659" i="1"/>
  <c r="BA659" i="1"/>
  <c r="BB659" i="1"/>
  <c r="BC659" i="1"/>
  <c r="BD659" i="1"/>
  <c r="BE659" i="1"/>
  <c r="BF659" i="1"/>
  <c r="BG659" i="1"/>
  <c r="BH659" i="1"/>
  <c r="AQ660" i="1"/>
  <c r="AR660" i="1"/>
  <c r="AS660" i="1"/>
  <c r="AT660" i="1"/>
  <c r="AU660" i="1"/>
  <c r="AV660" i="1"/>
  <c r="AW660" i="1"/>
  <c r="AX660" i="1"/>
  <c r="AY660" i="1"/>
  <c r="AZ660" i="1"/>
  <c r="BA660" i="1"/>
  <c r="BB660" i="1"/>
  <c r="BC660" i="1"/>
  <c r="BD660" i="1"/>
  <c r="BE660" i="1"/>
  <c r="BF660" i="1"/>
  <c r="BG660" i="1"/>
  <c r="BH660" i="1"/>
  <c r="AQ661" i="1"/>
  <c r="AR661" i="1"/>
  <c r="AS661" i="1"/>
  <c r="AT661" i="1"/>
  <c r="AU661" i="1"/>
  <c r="AV661" i="1"/>
  <c r="AW661" i="1"/>
  <c r="AX661" i="1"/>
  <c r="AY661" i="1"/>
  <c r="AZ661" i="1"/>
  <c r="BA661" i="1"/>
  <c r="BB661" i="1"/>
  <c r="BC661" i="1"/>
  <c r="BD661" i="1"/>
  <c r="BE661" i="1"/>
  <c r="BF661" i="1"/>
  <c r="BG661" i="1"/>
  <c r="BH661" i="1"/>
  <c r="AQ662" i="1"/>
  <c r="AR662" i="1"/>
  <c r="AS662" i="1"/>
  <c r="AT662" i="1"/>
  <c r="AU662" i="1"/>
  <c r="AV662" i="1"/>
  <c r="AW662" i="1"/>
  <c r="AX662" i="1"/>
  <c r="AY662" i="1"/>
  <c r="AZ662" i="1"/>
  <c r="BA662" i="1"/>
  <c r="BB662" i="1"/>
  <c r="BC662" i="1"/>
  <c r="BD662" i="1"/>
  <c r="BE662" i="1"/>
  <c r="BF662" i="1"/>
  <c r="BG662" i="1"/>
  <c r="BH662" i="1"/>
  <c r="AQ663" i="1"/>
  <c r="AR663" i="1"/>
  <c r="AS663" i="1"/>
  <c r="AT663" i="1"/>
  <c r="AU663" i="1"/>
  <c r="AV663" i="1"/>
  <c r="AW663" i="1"/>
  <c r="AX663" i="1"/>
  <c r="AY663" i="1"/>
  <c r="AZ663" i="1"/>
  <c r="BA663" i="1"/>
  <c r="BB663" i="1"/>
  <c r="BC663" i="1"/>
  <c r="BD663" i="1"/>
  <c r="BE663" i="1"/>
  <c r="BF663" i="1"/>
  <c r="BG663" i="1"/>
  <c r="BH663" i="1"/>
  <c r="AQ664" i="1"/>
  <c r="AR664" i="1"/>
  <c r="AS664" i="1"/>
  <c r="AT664" i="1"/>
  <c r="AU664" i="1"/>
  <c r="AV664" i="1"/>
  <c r="AW664" i="1"/>
  <c r="AX664" i="1"/>
  <c r="AY664" i="1"/>
  <c r="AZ664" i="1"/>
  <c r="BA664" i="1"/>
  <c r="BB664" i="1"/>
  <c r="BC664" i="1"/>
  <c r="BD664" i="1"/>
  <c r="BE664" i="1"/>
  <c r="BF664" i="1"/>
  <c r="BG664" i="1"/>
  <c r="BH664" i="1"/>
  <c r="AQ665" i="1"/>
  <c r="AR665" i="1"/>
  <c r="AS665" i="1"/>
  <c r="AT665" i="1"/>
  <c r="AU665" i="1"/>
  <c r="AV665" i="1"/>
  <c r="AW665" i="1"/>
  <c r="AX665" i="1"/>
  <c r="AY665" i="1"/>
  <c r="AZ665" i="1"/>
  <c r="BA665" i="1"/>
  <c r="BB665" i="1"/>
  <c r="BC665" i="1"/>
  <c r="BD665" i="1"/>
  <c r="BE665" i="1"/>
  <c r="BF665" i="1"/>
  <c r="BG665" i="1"/>
  <c r="BH665" i="1"/>
  <c r="AQ666" i="1"/>
  <c r="AR666" i="1"/>
  <c r="AS666" i="1"/>
  <c r="AT666" i="1"/>
  <c r="AU666" i="1"/>
  <c r="AV666" i="1"/>
  <c r="AW666" i="1"/>
  <c r="AX666" i="1"/>
  <c r="AY666" i="1"/>
  <c r="AZ666" i="1"/>
  <c r="BA666" i="1"/>
  <c r="BB666" i="1"/>
  <c r="BC666" i="1"/>
  <c r="BD666" i="1"/>
  <c r="BE666" i="1"/>
  <c r="BF666" i="1"/>
  <c r="BG666" i="1"/>
  <c r="BH666" i="1"/>
  <c r="AQ667" i="1"/>
  <c r="AR667" i="1"/>
  <c r="AS667" i="1"/>
  <c r="AT667" i="1"/>
  <c r="AU667" i="1"/>
  <c r="AV667" i="1"/>
  <c r="AW667" i="1"/>
  <c r="AX667" i="1"/>
  <c r="AY667" i="1"/>
  <c r="AZ667" i="1"/>
  <c r="BA667" i="1"/>
  <c r="BB667" i="1"/>
  <c r="BC667" i="1"/>
  <c r="BD667" i="1"/>
  <c r="BE667" i="1"/>
  <c r="BF667" i="1"/>
  <c r="BG667" i="1"/>
  <c r="BH667" i="1"/>
  <c r="AQ668" i="1"/>
  <c r="AR668" i="1"/>
  <c r="AS668" i="1"/>
  <c r="AT668" i="1"/>
  <c r="AU668" i="1"/>
  <c r="AV668" i="1"/>
  <c r="AW668" i="1"/>
  <c r="AX668" i="1"/>
  <c r="AY668" i="1"/>
  <c r="AZ668" i="1"/>
  <c r="BA668" i="1"/>
  <c r="BB668" i="1"/>
  <c r="BC668" i="1"/>
  <c r="BD668" i="1"/>
  <c r="BE668" i="1"/>
  <c r="BF668" i="1"/>
  <c r="BG668" i="1"/>
  <c r="BH668" i="1"/>
  <c r="AQ669" i="1"/>
  <c r="AR669" i="1"/>
  <c r="AS669" i="1"/>
  <c r="AT669" i="1"/>
  <c r="AU669" i="1"/>
  <c r="AV669" i="1"/>
  <c r="AW669" i="1"/>
  <c r="AX669" i="1"/>
  <c r="AY669" i="1"/>
  <c r="AZ669" i="1"/>
  <c r="BA669" i="1"/>
  <c r="BB669" i="1"/>
  <c r="BC669" i="1"/>
  <c r="BD669" i="1"/>
  <c r="BE669" i="1"/>
  <c r="BF669" i="1"/>
  <c r="BG669" i="1"/>
  <c r="BH669" i="1"/>
  <c r="AQ670" i="1"/>
  <c r="AR670" i="1"/>
  <c r="AS670" i="1"/>
  <c r="AT670" i="1"/>
  <c r="AU670" i="1"/>
  <c r="AV670" i="1"/>
  <c r="AW670" i="1"/>
  <c r="AX670" i="1"/>
  <c r="AY670" i="1"/>
  <c r="AZ670" i="1"/>
  <c r="BA670" i="1"/>
  <c r="BB670" i="1"/>
  <c r="BC670" i="1"/>
  <c r="BD670" i="1"/>
  <c r="BE670" i="1"/>
  <c r="BF670" i="1"/>
  <c r="BG670" i="1"/>
  <c r="BH670" i="1"/>
  <c r="AQ671" i="1"/>
  <c r="AR671" i="1"/>
  <c r="AS671" i="1"/>
  <c r="AT671" i="1"/>
  <c r="AU671" i="1"/>
  <c r="AV671" i="1"/>
  <c r="AW671" i="1"/>
  <c r="AX671" i="1"/>
  <c r="AY671" i="1"/>
  <c r="AZ671" i="1"/>
  <c r="BA671" i="1"/>
  <c r="BB671" i="1"/>
  <c r="BC671" i="1"/>
  <c r="BD671" i="1"/>
  <c r="BE671" i="1"/>
  <c r="BF671" i="1"/>
  <c r="BG671" i="1"/>
  <c r="BH671" i="1"/>
  <c r="AQ672" i="1"/>
  <c r="AR672" i="1"/>
  <c r="AS672" i="1"/>
  <c r="AT672" i="1"/>
  <c r="AU672" i="1"/>
  <c r="AV672" i="1"/>
  <c r="AW672" i="1"/>
  <c r="AX672" i="1"/>
  <c r="AY672" i="1"/>
  <c r="AZ672" i="1"/>
  <c r="BA672" i="1"/>
  <c r="BB672" i="1"/>
  <c r="BC672" i="1"/>
  <c r="BD672" i="1"/>
  <c r="BE672" i="1"/>
  <c r="BF672" i="1"/>
  <c r="BG672" i="1"/>
  <c r="BH672" i="1"/>
  <c r="AQ673" i="1"/>
  <c r="AR673" i="1"/>
  <c r="AS673" i="1"/>
  <c r="AT673" i="1"/>
  <c r="AU673" i="1"/>
  <c r="AV673" i="1"/>
  <c r="AW673" i="1"/>
  <c r="AX673" i="1"/>
  <c r="AY673" i="1"/>
  <c r="AZ673" i="1"/>
  <c r="BA673" i="1"/>
  <c r="BB673" i="1"/>
  <c r="BC673" i="1"/>
  <c r="BD673" i="1"/>
  <c r="BE673" i="1"/>
  <c r="BF673" i="1"/>
  <c r="BG673" i="1"/>
  <c r="BH673" i="1"/>
  <c r="AQ674" i="1"/>
  <c r="AR674" i="1"/>
  <c r="AS674" i="1"/>
  <c r="AT674" i="1"/>
  <c r="AU674" i="1"/>
  <c r="AV674" i="1"/>
  <c r="AW674" i="1"/>
  <c r="AX674" i="1"/>
  <c r="AY674" i="1"/>
  <c r="AZ674" i="1"/>
  <c r="BA674" i="1"/>
  <c r="BB674" i="1"/>
  <c r="BC674" i="1"/>
  <c r="BD674" i="1"/>
  <c r="BE674" i="1"/>
  <c r="BF674" i="1"/>
  <c r="BG674" i="1"/>
  <c r="BH674" i="1"/>
  <c r="AQ675" i="1"/>
  <c r="AR675" i="1"/>
  <c r="AS675" i="1"/>
  <c r="AT675" i="1"/>
  <c r="AU675" i="1"/>
  <c r="AV675" i="1"/>
  <c r="AW675" i="1"/>
  <c r="AX675" i="1"/>
  <c r="AY675" i="1"/>
  <c r="AZ675" i="1"/>
  <c r="BA675" i="1"/>
  <c r="BB675" i="1"/>
  <c r="BC675" i="1"/>
  <c r="BD675" i="1"/>
  <c r="BE675" i="1"/>
  <c r="BF675" i="1"/>
  <c r="BG675" i="1"/>
  <c r="BH675" i="1"/>
  <c r="AQ676" i="1"/>
  <c r="AR676" i="1"/>
  <c r="AS676" i="1"/>
  <c r="AT676" i="1"/>
  <c r="AU676" i="1"/>
  <c r="AV676" i="1"/>
  <c r="AW676" i="1"/>
  <c r="AX676" i="1"/>
  <c r="AY676" i="1"/>
  <c r="AZ676" i="1"/>
  <c r="BA676" i="1"/>
  <c r="BB676" i="1"/>
  <c r="BC676" i="1"/>
  <c r="BD676" i="1"/>
  <c r="BE676" i="1"/>
  <c r="BF676" i="1"/>
  <c r="BG676" i="1"/>
  <c r="BH676" i="1"/>
  <c r="AQ677" i="1"/>
  <c r="AR677" i="1"/>
  <c r="AS677" i="1"/>
  <c r="AT677" i="1"/>
  <c r="AU677" i="1"/>
  <c r="AV677" i="1"/>
  <c r="AW677" i="1"/>
  <c r="AX677" i="1"/>
  <c r="AY677" i="1"/>
  <c r="AZ677" i="1"/>
  <c r="BA677" i="1"/>
  <c r="BB677" i="1"/>
  <c r="BC677" i="1"/>
  <c r="BD677" i="1"/>
  <c r="BE677" i="1"/>
  <c r="BF677" i="1"/>
  <c r="BG677" i="1"/>
  <c r="BH677" i="1"/>
  <c r="AQ678" i="1"/>
  <c r="AR678" i="1"/>
  <c r="AS678" i="1"/>
  <c r="AT678" i="1"/>
  <c r="AU678" i="1"/>
  <c r="AV678" i="1"/>
  <c r="AW678" i="1"/>
  <c r="AX678" i="1"/>
  <c r="AY678" i="1"/>
  <c r="AZ678" i="1"/>
  <c r="BA678" i="1"/>
  <c r="BB678" i="1"/>
  <c r="BC678" i="1"/>
  <c r="BD678" i="1"/>
  <c r="BE678" i="1"/>
  <c r="BF678" i="1"/>
  <c r="BG678" i="1"/>
  <c r="BH678" i="1"/>
  <c r="AQ679" i="1"/>
  <c r="AR679" i="1"/>
  <c r="AS679" i="1"/>
  <c r="AT679" i="1"/>
  <c r="AU679" i="1"/>
  <c r="AV679" i="1"/>
  <c r="AW679" i="1"/>
  <c r="AX679" i="1"/>
  <c r="AY679" i="1"/>
  <c r="AZ679" i="1"/>
  <c r="BA679" i="1"/>
  <c r="BB679" i="1"/>
  <c r="BC679" i="1"/>
  <c r="BD679" i="1"/>
  <c r="BE679" i="1"/>
  <c r="BF679" i="1"/>
  <c r="BG679" i="1"/>
  <c r="BH679" i="1"/>
  <c r="AQ680" i="1"/>
  <c r="AR680" i="1"/>
  <c r="AS680" i="1"/>
  <c r="AT680" i="1"/>
  <c r="AU680" i="1"/>
  <c r="AV680" i="1"/>
  <c r="AW680" i="1"/>
  <c r="AX680" i="1"/>
  <c r="AY680" i="1"/>
  <c r="AZ680" i="1"/>
  <c r="BA680" i="1"/>
  <c r="BB680" i="1"/>
  <c r="BC680" i="1"/>
  <c r="BD680" i="1"/>
  <c r="BE680" i="1"/>
  <c r="BF680" i="1"/>
  <c r="BG680" i="1"/>
  <c r="BH680" i="1"/>
  <c r="AQ681" i="1"/>
  <c r="AR681" i="1"/>
  <c r="AS681" i="1"/>
  <c r="AT681" i="1"/>
  <c r="AU681" i="1"/>
  <c r="AV681" i="1"/>
  <c r="AW681" i="1"/>
  <c r="AX681" i="1"/>
  <c r="AY681" i="1"/>
  <c r="AZ681" i="1"/>
  <c r="BA681" i="1"/>
  <c r="BB681" i="1"/>
  <c r="BC681" i="1"/>
  <c r="BD681" i="1"/>
  <c r="BE681" i="1"/>
  <c r="BF681" i="1"/>
  <c r="BG681" i="1"/>
  <c r="BH681" i="1"/>
  <c r="AQ682" i="1"/>
  <c r="AR682" i="1"/>
  <c r="AS682" i="1"/>
  <c r="AT682" i="1"/>
  <c r="AU682" i="1"/>
  <c r="AV682" i="1"/>
  <c r="AW682" i="1"/>
  <c r="AX682" i="1"/>
  <c r="AY682" i="1"/>
  <c r="AZ682" i="1"/>
  <c r="BA682" i="1"/>
  <c r="BB682" i="1"/>
  <c r="BC682" i="1"/>
  <c r="BD682" i="1"/>
  <c r="BE682" i="1"/>
  <c r="BF682" i="1"/>
  <c r="BG682" i="1"/>
  <c r="BH682" i="1"/>
  <c r="AQ683" i="1"/>
  <c r="AR683" i="1"/>
  <c r="AS683" i="1"/>
  <c r="AT683" i="1"/>
  <c r="AU683" i="1"/>
  <c r="AV683" i="1"/>
  <c r="AW683" i="1"/>
  <c r="AX683" i="1"/>
  <c r="AY683" i="1"/>
  <c r="AZ683" i="1"/>
  <c r="BA683" i="1"/>
  <c r="BB683" i="1"/>
  <c r="BC683" i="1"/>
  <c r="BD683" i="1"/>
  <c r="BE683" i="1"/>
  <c r="BF683" i="1"/>
  <c r="BG683" i="1"/>
  <c r="BH683" i="1"/>
  <c r="AQ684" i="1"/>
  <c r="AR684" i="1"/>
  <c r="AS684" i="1"/>
  <c r="AT684" i="1"/>
  <c r="AU684" i="1"/>
  <c r="AV684" i="1"/>
  <c r="AW684" i="1"/>
  <c r="AX684" i="1"/>
  <c r="AY684" i="1"/>
  <c r="AZ684" i="1"/>
  <c r="BA684" i="1"/>
  <c r="BB684" i="1"/>
  <c r="BC684" i="1"/>
  <c r="BD684" i="1"/>
  <c r="BE684" i="1"/>
  <c r="BF684" i="1"/>
  <c r="BG684" i="1"/>
  <c r="BH684" i="1"/>
  <c r="AQ685" i="1"/>
  <c r="AR685" i="1"/>
  <c r="AS685" i="1"/>
  <c r="AT685" i="1"/>
  <c r="AU685" i="1"/>
  <c r="AV685" i="1"/>
  <c r="AW685" i="1"/>
  <c r="AX685" i="1"/>
  <c r="AY685" i="1"/>
  <c r="AZ685" i="1"/>
  <c r="BA685" i="1"/>
  <c r="BB685" i="1"/>
  <c r="BC685" i="1"/>
  <c r="BD685" i="1"/>
  <c r="BE685" i="1"/>
  <c r="BF685" i="1"/>
  <c r="BG685" i="1"/>
  <c r="BH685" i="1"/>
  <c r="AQ686" i="1"/>
  <c r="AR686" i="1"/>
  <c r="AS686" i="1"/>
  <c r="AT686" i="1"/>
  <c r="AU686" i="1"/>
  <c r="AV686" i="1"/>
  <c r="AW686" i="1"/>
  <c r="AX686" i="1"/>
  <c r="AY686" i="1"/>
  <c r="AZ686" i="1"/>
  <c r="BA686" i="1"/>
  <c r="BB686" i="1"/>
  <c r="BC686" i="1"/>
  <c r="BD686" i="1"/>
  <c r="BE686" i="1"/>
  <c r="BF686" i="1"/>
  <c r="BG686" i="1"/>
  <c r="BH686" i="1"/>
  <c r="AQ687" i="1"/>
  <c r="AR687" i="1"/>
  <c r="AS687" i="1"/>
  <c r="AT687" i="1"/>
  <c r="AU687" i="1"/>
  <c r="AV687" i="1"/>
  <c r="AW687" i="1"/>
  <c r="AX687" i="1"/>
  <c r="AY687" i="1"/>
  <c r="AZ687" i="1"/>
  <c r="BA687" i="1"/>
  <c r="BB687" i="1"/>
  <c r="BC687" i="1"/>
  <c r="BD687" i="1"/>
  <c r="BE687" i="1"/>
  <c r="BF687" i="1"/>
  <c r="BG687" i="1"/>
  <c r="BH687" i="1"/>
  <c r="AQ688" i="1"/>
  <c r="AR688" i="1"/>
  <c r="AS688" i="1"/>
  <c r="AT688" i="1"/>
  <c r="AU688" i="1"/>
  <c r="AV688" i="1"/>
  <c r="AW688" i="1"/>
  <c r="AX688" i="1"/>
  <c r="AY688" i="1"/>
  <c r="AZ688" i="1"/>
  <c r="BA688" i="1"/>
  <c r="BB688" i="1"/>
  <c r="BC688" i="1"/>
  <c r="BD688" i="1"/>
  <c r="BE688" i="1"/>
  <c r="BF688" i="1"/>
  <c r="BG688" i="1"/>
  <c r="BH688" i="1"/>
  <c r="AQ689" i="1"/>
  <c r="AR689" i="1"/>
  <c r="AS689" i="1"/>
  <c r="AT689" i="1"/>
  <c r="AU689" i="1"/>
  <c r="AV689" i="1"/>
  <c r="AW689" i="1"/>
  <c r="AX689" i="1"/>
  <c r="AY689" i="1"/>
  <c r="AZ689" i="1"/>
  <c r="BA689" i="1"/>
  <c r="BB689" i="1"/>
  <c r="BC689" i="1"/>
  <c r="BD689" i="1"/>
  <c r="BE689" i="1"/>
  <c r="BF689" i="1"/>
  <c r="BG689" i="1"/>
  <c r="BH689" i="1"/>
  <c r="AQ690" i="1"/>
  <c r="AR690" i="1"/>
  <c r="AS690" i="1"/>
  <c r="AT690" i="1"/>
  <c r="AU690" i="1"/>
  <c r="AV690" i="1"/>
  <c r="AW690" i="1"/>
  <c r="AX690" i="1"/>
  <c r="AY690" i="1"/>
  <c r="AZ690" i="1"/>
  <c r="BA690" i="1"/>
  <c r="BB690" i="1"/>
  <c r="BC690" i="1"/>
  <c r="BD690" i="1"/>
  <c r="BE690" i="1"/>
  <c r="BF690" i="1"/>
  <c r="BG690" i="1"/>
  <c r="BH690" i="1"/>
  <c r="AQ691" i="1"/>
  <c r="AR691" i="1"/>
  <c r="AS691" i="1"/>
  <c r="AT691" i="1"/>
  <c r="AU691" i="1"/>
  <c r="AV691" i="1"/>
  <c r="AW691" i="1"/>
  <c r="AX691" i="1"/>
  <c r="AY691" i="1"/>
  <c r="AZ691" i="1"/>
  <c r="BA691" i="1"/>
  <c r="BB691" i="1"/>
  <c r="BC691" i="1"/>
  <c r="BD691" i="1"/>
  <c r="BE691" i="1"/>
  <c r="BF691" i="1"/>
  <c r="BG691" i="1"/>
  <c r="BH691" i="1"/>
  <c r="AQ692" i="1"/>
  <c r="AR692" i="1"/>
  <c r="AS692" i="1"/>
  <c r="AT692" i="1"/>
  <c r="AU692" i="1"/>
  <c r="AV692" i="1"/>
  <c r="AW692" i="1"/>
  <c r="AX692" i="1"/>
  <c r="AY692" i="1"/>
  <c r="AZ692" i="1"/>
  <c r="BA692" i="1"/>
  <c r="BB692" i="1"/>
  <c r="BC692" i="1"/>
  <c r="BD692" i="1"/>
  <c r="BE692" i="1"/>
  <c r="BF692" i="1"/>
  <c r="BG692" i="1"/>
  <c r="BH692" i="1"/>
  <c r="AQ693" i="1"/>
  <c r="AR693" i="1"/>
  <c r="AS693" i="1"/>
  <c r="AT693" i="1"/>
  <c r="AU693" i="1"/>
  <c r="AV693" i="1"/>
  <c r="AW693" i="1"/>
  <c r="AX693" i="1"/>
  <c r="AY693" i="1"/>
  <c r="AZ693" i="1"/>
  <c r="BA693" i="1"/>
  <c r="BB693" i="1"/>
  <c r="BC693" i="1"/>
  <c r="BD693" i="1"/>
  <c r="BE693" i="1"/>
  <c r="BF693" i="1"/>
  <c r="BG693" i="1"/>
  <c r="BH693" i="1"/>
  <c r="AQ694" i="1"/>
  <c r="AR694" i="1"/>
  <c r="AS694" i="1"/>
  <c r="AT694" i="1"/>
  <c r="AU694" i="1"/>
  <c r="AV694" i="1"/>
  <c r="AW694" i="1"/>
  <c r="AX694" i="1"/>
  <c r="AY694" i="1"/>
  <c r="AZ694" i="1"/>
  <c r="BA694" i="1"/>
  <c r="BB694" i="1"/>
  <c r="BC694" i="1"/>
  <c r="BD694" i="1"/>
  <c r="BE694" i="1"/>
  <c r="BF694" i="1"/>
  <c r="BG694" i="1"/>
  <c r="BH694" i="1"/>
  <c r="AQ695" i="1"/>
  <c r="AR695" i="1"/>
  <c r="AS695" i="1"/>
  <c r="AT695" i="1"/>
  <c r="AU695" i="1"/>
  <c r="AV695" i="1"/>
  <c r="AW695" i="1"/>
  <c r="AX695" i="1"/>
  <c r="AY695" i="1"/>
  <c r="AZ695" i="1"/>
  <c r="BA695" i="1"/>
  <c r="BB695" i="1"/>
  <c r="BC695" i="1"/>
  <c r="BD695" i="1"/>
  <c r="BE695" i="1"/>
  <c r="BF695" i="1"/>
  <c r="BG695" i="1"/>
  <c r="BH695" i="1"/>
  <c r="AQ696" i="1"/>
  <c r="AR696" i="1"/>
  <c r="AS696" i="1"/>
  <c r="AT696" i="1"/>
  <c r="AU696" i="1"/>
  <c r="AV696" i="1"/>
  <c r="AW696" i="1"/>
  <c r="AX696" i="1"/>
  <c r="AY696" i="1"/>
  <c r="AZ696" i="1"/>
  <c r="BA696" i="1"/>
  <c r="BB696" i="1"/>
  <c r="BC696" i="1"/>
  <c r="BD696" i="1"/>
  <c r="BE696" i="1"/>
  <c r="BF696" i="1"/>
  <c r="BG696" i="1"/>
  <c r="BH696" i="1"/>
  <c r="AQ697" i="1"/>
  <c r="AR697" i="1"/>
  <c r="AS697" i="1"/>
  <c r="AT697" i="1"/>
  <c r="AU697" i="1"/>
  <c r="AV697" i="1"/>
  <c r="AW697" i="1"/>
  <c r="AX697" i="1"/>
  <c r="AY697" i="1"/>
  <c r="AZ697" i="1"/>
  <c r="BA697" i="1"/>
  <c r="BB697" i="1"/>
  <c r="BC697" i="1"/>
  <c r="BD697" i="1"/>
  <c r="BE697" i="1"/>
  <c r="BF697" i="1"/>
  <c r="BG697" i="1"/>
  <c r="BH697" i="1"/>
  <c r="AQ698" i="1"/>
  <c r="AR698" i="1"/>
  <c r="AS698" i="1"/>
  <c r="AT698" i="1"/>
  <c r="AU698" i="1"/>
  <c r="AV698" i="1"/>
  <c r="AW698" i="1"/>
  <c r="AX698" i="1"/>
  <c r="AY698" i="1"/>
  <c r="AZ698" i="1"/>
  <c r="BA698" i="1"/>
  <c r="BB698" i="1"/>
  <c r="BC698" i="1"/>
  <c r="BD698" i="1"/>
  <c r="BE698" i="1"/>
  <c r="BF698" i="1"/>
  <c r="BG698" i="1"/>
  <c r="BH698" i="1"/>
  <c r="AQ699" i="1"/>
  <c r="AR699" i="1"/>
  <c r="AS699" i="1"/>
  <c r="AT699" i="1"/>
  <c r="AU699" i="1"/>
  <c r="AV699" i="1"/>
  <c r="AW699" i="1"/>
  <c r="AX699" i="1"/>
  <c r="AY699" i="1"/>
  <c r="AZ699" i="1"/>
  <c r="BA699" i="1"/>
  <c r="BB699" i="1"/>
  <c r="BC699" i="1"/>
  <c r="BD699" i="1"/>
  <c r="BE699" i="1"/>
  <c r="BF699" i="1"/>
  <c r="BG699" i="1"/>
  <c r="BH699" i="1"/>
  <c r="AQ700" i="1"/>
  <c r="AR700" i="1"/>
  <c r="AS700" i="1"/>
  <c r="AT700" i="1"/>
  <c r="AU700" i="1"/>
  <c r="AV700" i="1"/>
  <c r="AW700" i="1"/>
  <c r="AX700" i="1"/>
  <c r="AY700" i="1"/>
  <c r="AZ700" i="1"/>
  <c r="BA700" i="1"/>
  <c r="BB700" i="1"/>
  <c r="BC700" i="1"/>
  <c r="BD700" i="1"/>
  <c r="BE700" i="1"/>
  <c r="BF700" i="1"/>
  <c r="BG700" i="1"/>
  <c r="BH700" i="1"/>
  <c r="AQ701" i="1"/>
  <c r="AR701" i="1"/>
  <c r="AS701" i="1"/>
  <c r="AT701" i="1"/>
  <c r="AU701" i="1"/>
  <c r="AV701" i="1"/>
  <c r="AW701" i="1"/>
  <c r="AX701" i="1"/>
  <c r="AY701" i="1"/>
  <c r="AZ701" i="1"/>
  <c r="BA701" i="1"/>
  <c r="BB701" i="1"/>
  <c r="BC701" i="1"/>
  <c r="BD701" i="1"/>
  <c r="BE701" i="1"/>
  <c r="BF701" i="1"/>
  <c r="BG701" i="1"/>
  <c r="BH701" i="1"/>
  <c r="AQ702" i="1"/>
  <c r="AR702" i="1"/>
  <c r="AS702" i="1"/>
  <c r="AT702" i="1"/>
  <c r="AU702" i="1"/>
  <c r="AV702" i="1"/>
  <c r="AW702" i="1"/>
  <c r="AX702" i="1"/>
  <c r="AY702" i="1"/>
  <c r="AZ702" i="1"/>
  <c r="BA702" i="1"/>
  <c r="BB702" i="1"/>
  <c r="BC702" i="1"/>
  <c r="BD702" i="1"/>
  <c r="BE702" i="1"/>
  <c r="BF702" i="1"/>
  <c r="BG702" i="1"/>
  <c r="BH702" i="1"/>
  <c r="AQ703" i="1"/>
  <c r="AR703" i="1"/>
  <c r="AS703" i="1"/>
  <c r="AT703" i="1"/>
  <c r="AU703" i="1"/>
  <c r="AV703" i="1"/>
  <c r="AW703" i="1"/>
  <c r="AX703" i="1"/>
  <c r="AY703" i="1"/>
  <c r="AZ703" i="1"/>
  <c r="BA703" i="1"/>
  <c r="BB703" i="1"/>
  <c r="BC703" i="1"/>
  <c r="BD703" i="1"/>
  <c r="BE703" i="1"/>
  <c r="BF703" i="1"/>
  <c r="BG703" i="1"/>
  <c r="BH703" i="1"/>
  <c r="AQ704" i="1"/>
  <c r="AR704" i="1"/>
  <c r="AS704" i="1"/>
  <c r="AT704" i="1"/>
  <c r="AU704" i="1"/>
  <c r="AV704" i="1"/>
  <c r="AW704" i="1"/>
  <c r="AX704" i="1"/>
  <c r="AY704" i="1"/>
  <c r="AZ704" i="1"/>
  <c r="BA704" i="1"/>
  <c r="BB704" i="1"/>
  <c r="BC704" i="1"/>
  <c r="BD704" i="1"/>
  <c r="BE704" i="1"/>
  <c r="BF704" i="1"/>
  <c r="BG704" i="1"/>
  <c r="BH704" i="1"/>
  <c r="AQ705" i="1"/>
  <c r="AR705" i="1"/>
  <c r="AS705" i="1"/>
  <c r="AT705" i="1"/>
  <c r="AU705" i="1"/>
  <c r="AV705" i="1"/>
  <c r="AW705" i="1"/>
  <c r="AX705" i="1"/>
  <c r="AY705" i="1"/>
  <c r="AZ705" i="1"/>
  <c r="BA705" i="1"/>
  <c r="BB705" i="1"/>
  <c r="BC705" i="1"/>
  <c r="BD705" i="1"/>
  <c r="BE705" i="1"/>
  <c r="BF705" i="1"/>
  <c r="BG705" i="1"/>
  <c r="BH705" i="1"/>
  <c r="AQ706" i="1"/>
  <c r="AR706" i="1"/>
  <c r="AS706" i="1"/>
  <c r="AT706" i="1"/>
  <c r="AU706" i="1"/>
  <c r="AV706" i="1"/>
  <c r="AW706" i="1"/>
  <c r="AX706" i="1"/>
  <c r="AY706" i="1"/>
  <c r="AZ706" i="1"/>
  <c r="BA706" i="1"/>
  <c r="BB706" i="1"/>
  <c r="BC706" i="1"/>
  <c r="BD706" i="1"/>
  <c r="BE706" i="1"/>
  <c r="BF706" i="1"/>
  <c r="BG706" i="1"/>
  <c r="BH706" i="1"/>
  <c r="AQ707" i="1"/>
  <c r="AR707" i="1"/>
  <c r="AS707" i="1"/>
  <c r="AT707" i="1"/>
  <c r="AU707" i="1"/>
  <c r="AV707" i="1"/>
  <c r="AW707" i="1"/>
  <c r="AX707" i="1"/>
  <c r="AY707" i="1"/>
  <c r="AZ707" i="1"/>
  <c r="BA707" i="1"/>
  <c r="BB707" i="1"/>
  <c r="BC707" i="1"/>
  <c r="BD707" i="1"/>
  <c r="BE707" i="1"/>
  <c r="BF707" i="1"/>
  <c r="BG707" i="1"/>
  <c r="BH707" i="1"/>
  <c r="AQ708" i="1"/>
  <c r="AR708" i="1"/>
  <c r="AS708" i="1"/>
  <c r="AT708" i="1"/>
  <c r="AU708" i="1"/>
  <c r="AV708" i="1"/>
  <c r="AW708" i="1"/>
  <c r="AX708" i="1"/>
  <c r="AY708" i="1"/>
  <c r="AZ708" i="1"/>
  <c r="BA708" i="1"/>
  <c r="BB708" i="1"/>
  <c r="BC708" i="1"/>
  <c r="BD708" i="1"/>
  <c r="BE708" i="1"/>
  <c r="BF708" i="1"/>
  <c r="BG708" i="1"/>
  <c r="BH708" i="1"/>
  <c r="AQ709" i="1"/>
  <c r="AR709" i="1"/>
  <c r="AS709" i="1"/>
  <c r="AT709" i="1"/>
  <c r="AU709" i="1"/>
  <c r="AV709" i="1"/>
  <c r="AW709" i="1"/>
  <c r="AX709" i="1"/>
  <c r="AY709" i="1"/>
  <c r="AZ709" i="1"/>
  <c r="BA709" i="1"/>
  <c r="BB709" i="1"/>
  <c r="BC709" i="1"/>
  <c r="BD709" i="1"/>
  <c r="BE709" i="1"/>
  <c r="BF709" i="1"/>
  <c r="BG709" i="1"/>
  <c r="BH709" i="1"/>
  <c r="AQ710" i="1"/>
  <c r="AR710" i="1"/>
  <c r="AS710" i="1"/>
  <c r="AT710" i="1"/>
  <c r="AU710" i="1"/>
  <c r="AV710" i="1"/>
  <c r="AW710" i="1"/>
  <c r="AX710" i="1"/>
  <c r="AY710" i="1"/>
  <c r="AZ710" i="1"/>
  <c r="BA710" i="1"/>
  <c r="BB710" i="1"/>
  <c r="BC710" i="1"/>
  <c r="BD710" i="1"/>
  <c r="BE710" i="1"/>
  <c r="BF710" i="1"/>
  <c r="BG710" i="1"/>
  <c r="BH710" i="1"/>
  <c r="AQ711" i="1"/>
  <c r="AR711" i="1"/>
  <c r="AS711" i="1"/>
  <c r="AT711" i="1"/>
  <c r="AU711" i="1"/>
  <c r="AV711" i="1"/>
  <c r="AW711" i="1"/>
  <c r="AX711" i="1"/>
  <c r="AY711" i="1"/>
  <c r="AZ711" i="1"/>
  <c r="BA711" i="1"/>
  <c r="BB711" i="1"/>
  <c r="BC711" i="1"/>
  <c r="BD711" i="1"/>
  <c r="BE711" i="1"/>
  <c r="BF711" i="1"/>
  <c r="BG711" i="1"/>
  <c r="BH711" i="1"/>
  <c r="AQ712" i="1"/>
  <c r="AR712" i="1"/>
  <c r="AS712" i="1"/>
  <c r="AT712" i="1"/>
  <c r="AU712" i="1"/>
  <c r="AV712" i="1"/>
  <c r="AW712" i="1"/>
  <c r="AX712" i="1"/>
  <c r="AY712" i="1"/>
  <c r="AZ712" i="1"/>
  <c r="BA712" i="1"/>
  <c r="BB712" i="1"/>
  <c r="BC712" i="1"/>
  <c r="BD712" i="1"/>
  <c r="BE712" i="1"/>
  <c r="BF712" i="1"/>
  <c r="BG712" i="1"/>
  <c r="BH712" i="1"/>
  <c r="AQ713" i="1"/>
  <c r="AR713" i="1"/>
  <c r="AS713" i="1"/>
  <c r="AT713" i="1"/>
  <c r="AU713" i="1"/>
  <c r="AV713" i="1"/>
  <c r="AW713" i="1"/>
  <c r="AX713" i="1"/>
  <c r="AY713" i="1"/>
  <c r="AZ713" i="1"/>
  <c r="BA713" i="1"/>
  <c r="BB713" i="1"/>
  <c r="BC713" i="1"/>
  <c r="BD713" i="1"/>
  <c r="BE713" i="1"/>
  <c r="BF713" i="1"/>
  <c r="BG713" i="1"/>
  <c r="BH713" i="1"/>
  <c r="AQ714" i="1"/>
  <c r="AR714" i="1"/>
  <c r="AS714" i="1"/>
  <c r="AT714" i="1"/>
  <c r="AU714" i="1"/>
  <c r="AV714" i="1"/>
  <c r="AW714" i="1"/>
  <c r="AX714" i="1"/>
  <c r="AY714" i="1"/>
  <c r="AZ714" i="1"/>
  <c r="BA714" i="1"/>
  <c r="BB714" i="1"/>
  <c r="BC714" i="1"/>
  <c r="BD714" i="1"/>
  <c r="BE714" i="1"/>
  <c r="BF714" i="1"/>
  <c r="BG714" i="1"/>
  <c r="BH714" i="1"/>
  <c r="AQ715" i="1"/>
  <c r="AR715" i="1"/>
  <c r="AS715" i="1"/>
  <c r="AT715" i="1"/>
  <c r="AU715" i="1"/>
  <c r="AV715" i="1"/>
  <c r="AW715" i="1"/>
  <c r="AX715" i="1"/>
  <c r="AY715" i="1"/>
  <c r="AZ715" i="1"/>
  <c r="BA715" i="1"/>
  <c r="BB715" i="1"/>
  <c r="BC715" i="1"/>
  <c r="BD715" i="1"/>
  <c r="BE715" i="1"/>
  <c r="BF715" i="1"/>
  <c r="BG715" i="1"/>
  <c r="BH715" i="1"/>
  <c r="AQ716" i="1"/>
  <c r="AR716" i="1"/>
  <c r="AS716" i="1"/>
  <c r="AT716" i="1"/>
  <c r="AU716" i="1"/>
  <c r="AV716" i="1"/>
  <c r="AW716" i="1"/>
  <c r="AX716" i="1"/>
  <c r="AY716" i="1"/>
  <c r="AZ716" i="1"/>
  <c r="BA716" i="1"/>
  <c r="BB716" i="1"/>
  <c r="BC716" i="1"/>
  <c r="BD716" i="1"/>
  <c r="BE716" i="1"/>
  <c r="BF716" i="1"/>
  <c r="BG716" i="1"/>
  <c r="BH716" i="1"/>
  <c r="AQ717" i="1"/>
  <c r="AR717" i="1"/>
  <c r="AS717" i="1"/>
  <c r="AT717" i="1"/>
  <c r="AU717" i="1"/>
  <c r="AV717" i="1"/>
  <c r="AW717" i="1"/>
  <c r="AX717" i="1"/>
  <c r="AY717" i="1"/>
  <c r="AZ717" i="1"/>
  <c r="BA717" i="1"/>
  <c r="BB717" i="1"/>
  <c r="BC717" i="1"/>
  <c r="BD717" i="1"/>
  <c r="BE717" i="1"/>
  <c r="BF717" i="1"/>
  <c r="BG717" i="1"/>
  <c r="BH717" i="1"/>
  <c r="AQ718" i="1"/>
  <c r="AR718" i="1"/>
  <c r="AS718" i="1"/>
  <c r="AT718" i="1"/>
  <c r="AU718" i="1"/>
  <c r="AV718" i="1"/>
  <c r="AW718" i="1"/>
  <c r="AX718" i="1"/>
  <c r="AY718" i="1"/>
  <c r="AZ718" i="1"/>
  <c r="BA718" i="1"/>
  <c r="BB718" i="1"/>
  <c r="BC718" i="1"/>
  <c r="BD718" i="1"/>
  <c r="BE718" i="1"/>
  <c r="BF718" i="1"/>
  <c r="BG718" i="1"/>
  <c r="BH718" i="1"/>
  <c r="AQ719" i="1"/>
  <c r="AR719" i="1"/>
  <c r="AS719" i="1"/>
  <c r="AT719" i="1"/>
  <c r="AU719" i="1"/>
  <c r="AV719" i="1"/>
  <c r="AW719" i="1"/>
  <c r="AX719" i="1"/>
  <c r="AY719" i="1"/>
  <c r="AZ719" i="1"/>
  <c r="BA719" i="1"/>
  <c r="BB719" i="1"/>
  <c r="BC719" i="1"/>
  <c r="BD719" i="1"/>
  <c r="BE719" i="1"/>
  <c r="BF719" i="1"/>
  <c r="BG719" i="1"/>
  <c r="BH719" i="1"/>
  <c r="AQ720" i="1"/>
  <c r="AR720" i="1"/>
  <c r="AS720" i="1"/>
  <c r="AT720" i="1"/>
  <c r="AU720" i="1"/>
  <c r="AV720" i="1"/>
  <c r="AW720" i="1"/>
  <c r="AX720" i="1"/>
  <c r="AY720" i="1"/>
  <c r="AZ720" i="1"/>
  <c r="BA720" i="1"/>
  <c r="BB720" i="1"/>
  <c r="BC720" i="1"/>
  <c r="BD720" i="1"/>
  <c r="BE720" i="1"/>
  <c r="BF720" i="1"/>
  <c r="BG720" i="1"/>
  <c r="BH720" i="1"/>
  <c r="AQ721" i="1"/>
  <c r="AR721" i="1"/>
  <c r="AS721" i="1"/>
  <c r="AT721" i="1"/>
  <c r="AU721" i="1"/>
  <c r="AV721" i="1"/>
  <c r="AW721" i="1"/>
  <c r="AX721" i="1"/>
  <c r="AY721" i="1"/>
  <c r="AZ721" i="1"/>
  <c r="BA721" i="1"/>
  <c r="BB721" i="1"/>
  <c r="BC721" i="1"/>
  <c r="BD721" i="1"/>
  <c r="BE721" i="1"/>
  <c r="BF721" i="1"/>
  <c r="BG721" i="1"/>
  <c r="BH721" i="1"/>
  <c r="AQ722" i="1"/>
  <c r="AR722" i="1"/>
  <c r="AS722" i="1"/>
  <c r="AT722" i="1"/>
  <c r="AU722" i="1"/>
  <c r="AV722" i="1"/>
  <c r="AW722" i="1"/>
  <c r="AX722" i="1"/>
  <c r="AY722" i="1"/>
  <c r="AZ722" i="1"/>
  <c r="BA722" i="1"/>
  <c r="BB722" i="1"/>
  <c r="BC722" i="1"/>
  <c r="BD722" i="1"/>
  <c r="BE722" i="1"/>
  <c r="BF722" i="1"/>
  <c r="BG722" i="1"/>
  <c r="BH722" i="1"/>
  <c r="AQ723" i="1"/>
  <c r="AR723" i="1"/>
  <c r="AS723" i="1"/>
  <c r="AT723" i="1"/>
  <c r="AU723" i="1"/>
  <c r="AV723" i="1"/>
  <c r="AW723" i="1"/>
  <c r="AX723" i="1"/>
  <c r="AY723" i="1"/>
  <c r="AZ723" i="1"/>
  <c r="BA723" i="1"/>
  <c r="BB723" i="1"/>
  <c r="BC723" i="1"/>
  <c r="BD723" i="1"/>
  <c r="BE723" i="1"/>
  <c r="BF723" i="1"/>
  <c r="BG723" i="1"/>
  <c r="BH723" i="1"/>
  <c r="AQ724" i="1"/>
  <c r="AR724" i="1"/>
  <c r="AS724" i="1"/>
  <c r="AT724" i="1"/>
  <c r="AU724" i="1"/>
  <c r="AV724" i="1"/>
  <c r="AW724" i="1"/>
  <c r="AX724" i="1"/>
  <c r="AY724" i="1"/>
  <c r="AZ724" i="1"/>
  <c r="BA724" i="1"/>
  <c r="BB724" i="1"/>
  <c r="BC724" i="1"/>
  <c r="BD724" i="1"/>
  <c r="BE724" i="1"/>
  <c r="BF724" i="1"/>
  <c r="BG724" i="1"/>
  <c r="BH724" i="1"/>
  <c r="AQ725" i="1"/>
  <c r="AR725" i="1"/>
  <c r="AS725" i="1"/>
  <c r="AT725" i="1"/>
  <c r="AU725" i="1"/>
  <c r="AV725" i="1"/>
  <c r="AW725" i="1"/>
  <c r="AX725" i="1"/>
  <c r="AY725" i="1"/>
  <c r="AZ725" i="1"/>
  <c r="BA725" i="1"/>
  <c r="BB725" i="1"/>
  <c r="BC725" i="1"/>
  <c r="BD725" i="1"/>
  <c r="BE725" i="1"/>
  <c r="BF725" i="1"/>
  <c r="BG725" i="1"/>
  <c r="BH725" i="1"/>
  <c r="AQ726" i="1"/>
  <c r="AR726" i="1"/>
  <c r="AS726" i="1"/>
  <c r="AT726" i="1"/>
  <c r="AU726" i="1"/>
  <c r="AV726" i="1"/>
  <c r="AW726" i="1"/>
  <c r="AX726" i="1"/>
  <c r="AY726" i="1"/>
  <c r="AZ726" i="1"/>
  <c r="BA726" i="1"/>
  <c r="BB726" i="1"/>
  <c r="BC726" i="1"/>
  <c r="BD726" i="1"/>
  <c r="BE726" i="1"/>
  <c r="BF726" i="1"/>
  <c r="BG726" i="1"/>
  <c r="BH726" i="1"/>
  <c r="AQ727" i="1"/>
  <c r="AR727" i="1"/>
  <c r="AS727" i="1"/>
  <c r="AT727" i="1"/>
  <c r="AU727" i="1"/>
  <c r="AV727" i="1"/>
  <c r="AW727" i="1"/>
  <c r="AX727" i="1"/>
  <c r="AY727" i="1"/>
  <c r="AZ727" i="1"/>
  <c r="BA727" i="1"/>
  <c r="BB727" i="1"/>
  <c r="BC727" i="1"/>
  <c r="BD727" i="1"/>
  <c r="BE727" i="1"/>
  <c r="BF727" i="1"/>
  <c r="BG727" i="1"/>
  <c r="BH727" i="1"/>
  <c r="AQ728" i="1"/>
  <c r="AR728" i="1"/>
  <c r="AS728" i="1"/>
  <c r="AT728" i="1"/>
  <c r="AU728" i="1"/>
  <c r="AV728" i="1"/>
  <c r="AW728" i="1"/>
  <c r="AX728" i="1"/>
  <c r="AY728" i="1"/>
  <c r="AZ728" i="1"/>
  <c r="BA728" i="1"/>
  <c r="BB728" i="1"/>
  <c r="BC728" i="1"/>
  <c r="BD728" i="1"/>
  <c r="BE728" i="1"/>
  <c r="BF728" i="1"/>
  <c r="BG728" i="1"/>
  <c r="BH728" i="1"/>
  <c r="AQ729" i="1"/>
  <c r="AR729" i="1"/>
  <c r="AS729" i="1"/>
  <c r="AT729" i="1"/>
  <c r="AU729" i="1"/>
  <c r="AV729" i="1"/>
  <c r="AW729" i="1"/>
  <c r="AX729" i="1"/>
  <c r="AY729" i="1"/>
  <c r="AZ729" i="1"/>
  <c r="BA729" i="1"/>
  <c r="BB729" i="1"/>
  <c r="BC729" i="1"/>
  <c r="BD729" i="1"/>
  <c r="BE729" i="1"/>
  <c r="BF729" i="1"/>
  <c r="BG729" i="1"/>
  <c r="BH729" i="1"/>
  <c r="AQ730" i="1"/>
  <c r="AR730" i="1"/>
  <c r="AS730" i="1"/>
  <c r="AT730" i="1"/>
  <c r="AU730" i="1"/>
  <c r="AV730" i="1"/>
  <c r="AW730" i="1"/>
  <c r="AX730" i="1"/>
  <c r="AY730" i="1"/>
  <c r="AZ730" i="1"/>
  <c r="BA730" i="1"/>
  <c r="BB730" i="1"/>
  <c r="BC730" i="1"/>
  <c r="BD730" i="1"/>
  <c r="BE730" i="1"/>
  <c r="BF730" i="1"/>
  <c r="BG730" i="1"/>
  <c r="BH730" i="1"/>
  <c r="AQ731" i="1"/>
  <c r="AR731" i="1"/>
  <c r="AS731" i="1"/>
  <c r="AT731" i="1"/>
  <c r="AU731" i="1"/>
  <c r="AV731" i="1"/>
  <c r="AW731" i="1"/>
  <c r="AX731" i="1"/>
  <c r="AY731" i="1"/>
  <c r="AZ731" i="1"/>
  <c r="BA731" i="1"/>
  <c r="BB731" i="1"/>
  <c r="BC731" i="1"/>
  <c r="BD731" i="1"/>
  <c r="BE731" i="1"/>
  <c r="BF731" i="1"/>
  <c r="BG731" i="1"/>
  <c r="BH731" i="1"/>
  <c r="AQ732" i="1"/>
  <c r="AR732" i="1"/>
  <c r="AS732" i="1"/>
  <c r="AT732" i="1"/>
  <c r="AU732" i="1"/>
  <c r="AV732" i="1"/>
  <c r="AW732" i="1"/>
  <c r="AX732" i="1"/>
  <c r="AY732" i="1"/>
  <c r="AZ732" i="1"/>
  <c r="BA732" i="1"/>
  <c r="BB732" i="1"/>
  <c r="BC732" i="1"/>
  <c r="BD732" i="1"/>
  <c r="BE732" i="1"/>
  <c r="BF732" i="1"/>
  <c r="BG732" i="1"/>
  <c r="BH732" i="1"/>
  <c r="AQ733" i="1"/>
  <c r="AR733" i="1"/>
  <c r="AS733" i="1"/>
  <c r="AT733" i="1"/>
  <c r="AU733" i="1"/>
  <c r="AV733" i="1"/>
  <c r="AW733" i="1"/>
  <c r="AX733" i="1"/>
  <c r="AY733" i="1"/>
  <c r="AZ733" i="1"/>
  <c r="BA733" i="1"/>
  <c r="BB733" i="1"/>
  <c r="BC733" i="1"/>
  <c r="BD733" i="1"/>
  <c r="BE733" i="1"/>
  <c r="BF733" i="1"/>
  <c r="BG733" i="1"/>
  <c r="BH733" i="1"/>
  <c r="AQ734" i="1"/>
  <c r="AR734" i="1"/>
  <c r="AS734" i="1"/>
  <c r="AT734" i="1"/>
  <c r="AU734" i="1"/>
  <c r="AV734" i="1"/>
  <c r="AW734" i="1"/>
  <c r="AX734" i="1"/>
  <c r="AY734" i="1"/>
  <c r="AZ734" i="1"/>
  <c r="BA734" i="1"/>
  <c r="BB734" i="1"/>
  <c r="BC734" i="1"/>
  <c r="BD734" i="1"/>
  <c r="BE734" i="1"/>
  <c r="BF734" i="1"/>
  <c r="BG734" i="1"/>
  <c r="BH734" i="1"/>
  <c r="AQ735" i="1"/>
  <c r="AR735" i="1"/>
  <c r="AS735" i="1"/>
  <c r="AT735" i="1"/>
  <c r="AU735" i="1"/>
  <c r="AV735" i="1"/>
  <c r="AW735" i="1"/>
  <c r="AX735" i="1"/>
  <c r="AY735" i="1"/>
  <c r="AZ735" i="1"/>
  <c r="BA735" i="1"/>
  <c r="BB735" i="1"/>
  <c r="BC735" i="1"/>
  <c r="BD735" i="1"/>
  <c r="BE735" i="1"/>
  <c r="BF735" i="1"/>
  <c r="BG735" i="1"/>
  <c r="BH735" i="1"/>
  <c r="AQ736" i="1"/>
  <c r="AR736" i="1"/>
  <c r="AS736" i="1"/>
  <c r="AT736" i="1"/>
  <c r="AU736" i="1"/>
  <c r="AV736" i="1"/>
  <c r="AW736" i="1"/>
  <c r="AX736" i="1"/>
  <c r="AY736" i="1"/>
  <c r="AZ736" i="1"/>
  <c r="BA736" i="1"/>
  <c r="BB736" i="1"/>
  <c r="BC736" i="1"/>
  <c r="BD736" i="1"/>
  <c r="BE736" i="1"/>
  <c r="BF736" i="1"/>
  <c r="BG736" i="1"/>
  <c r="BH736" i="1"/>
  <c r="AQ737" i="1"/>
  <c r="AR737" i="1"/>
  <c r="AS737" i="1"/>
  <c r="AT737" i="1"/>
  <c r="AU737" i="1"/>
  <c r="AV737" i="1"/>
  <c r="AW737" i="1"/>
  <c r="AX737" i="1"/>
  <c r="AY737" i="1"/>
  <c r="AZ737" i="1"/>
  <c r="BA737" i="1"/>
  <c r="BB737" i="1"/>
  <c r="BC737" i="1"/>
  <c r="BD737" i="1"/>
  <c r="BE737" i="1"/>
  <c r="BF737" i="1"/>
  <c r="BG737" i="1"/>
  <c r="BH737" i="1"/>
  <c r="AQ738" i="1"/>
  <c r="AR738" i="1"/>
  <c r="AS738" i="1"/>
  <c r="AT738" i="1"/>
  <c r="AU738" i="1"/>
  <c r="AV738" i="1"/>
  <c r="AW738" i="1"/>
  <c r="AX738" i="1"/>
  <c r="AY738" i="1"/>
  <c r="AZ738" i="1"/>
  <c r="BA738" i="1"/>
  <c r="BB738" i="1"/>
  <c r="BC738" i="1"/>
  <c r="BD738" i="1"/>
  <c r="BE738" i="1"/>
  <c r="BF738" i="1"/>
  <c r="BG738" i="1"/>
  <c r="BH738" i="1"/>
  <c r="AQ739" i="1"/>
  <c r="AR739" i="1"/>
  <c r="AS739" i="1"/>
  <c r="AT739" i="1"/>
  <c r="AU739" i="1"/>
  <c r="AV739" i="1"/>
  <c r="AW739" i="1"/>
  <c r="AX739" i="1"/>
  <c r="AY739" i="1"/>
  <c r="AZ739" i="1"/>
  <c r="BA739" i="1"/>
  <c r="BB739" i="1"/>
  <c r="BC739" i="1"/>
  <c r="BD739" i="1"/>
  <c r="BE739" i="1"/>
  <c r="BF739" i="1"/>
  <c r="BG739" i="1"/>
  <c r="BH739" i="1"/>
  <c r="AQ740" i="1"/>
  <c r="AR740" i="1"/>
  <c r="AS740" i="1"/>
  <c r="AT740" i="1"/>
  <c r="AU740" i="1"/>
  <c r="AV740" i="1"/>
  <c r="AW740" i="1"/>
  <c r="AX740" i="1"/>
  <c r="AY740" i="1"/>
  <c r="AZ740" i="1"/>
  <c r="BA740" i="1"/>
  <c r="BB740" i="1"/>
  <c r="BC740" i="1"/>
  <c r="BD740" i="1"/>
  <c r="BE740" i="1"/>
  <c r="BF740" i="1"/>
  <c r="BG740" i="1"/>
  <c r="BH740" i="1"/>
  <c r="AQ741" i="1"/>
  <c r="AR741" i="1"/>
  <c r="AS741" i="1"/>
  <c r="AT741" i="1"/>
  <c r="AU741" i="1"/>
  <c r="AV741" i="1"/>
  <c r="AW741" i="1"/>
  <c r="AX741" i="1"/>
  <c r="AY741" i="1"/>
  <c r="AZ741" i="1"/>
  <c r="BA741" i="1"/>
  <c r="BB741" i="1"/>
  <c r="BC741" i="1"/>
  <c r="BD741" i="1"/>
  <c r="BE741" i="1"/>
  <c r="BF741" i="1"/>
  <c r="BG741" i="1"/>
  <c r="BH741" i="1"/>
  <c r="AQ742" i="1"/>
  <c r="AR742" i="1"/>
  <c r="AS742" i="1"/>
  <c r="AT742" i="1"/>
  <c r="AU742" i="1"/>
  <c r="AV742" i="1"/>
  <c r="AW742" i="1"/>
  <c r="AX742" i="1"/>
  <c r="AY742" i="1"/>
  <c r="AZ742" i="1"/>
  <c r="BA742" i="1"/>
  <c r="BB742" i="1"/>
  <c r="BC742" i="1"/>
  <c r="BD742" i="1"/>
  <c r="BE742" i="1"/>
  <c r="BF742" i="1"/>
  <c r="BG742" i="1"/>
  <c r="BH742" i="1"/>
  <c r="AQ743" i="1"/>
  <c r="AR743" i="1"/>
  <c r="AS743" i="1"/>
  <c r="AT743" i="1"/>
  <c r="AU743" i="1"/>
  <c r="AV743" i="1"/>
  <c r="AW743" i="1"/>
  <c r="AX743" i="1"/>
  <c r="AY743" i="1"/>
  <c r="AZ743" i="1"/>
  <c r="BA743" i="1"/>
  <c r="BB743" i="1"/>
  <c r="BC743" i="1"/>
  <c r="BD743" i="1"/>
  <c r="BE743" i="1"/>
  <c r="BF743" i="1"/>
  <c r="BG743" i="1"/>
  <c r="BH743" i="1"/>
  <c r="AQ744" i="1"/>
  <c r="AR744" i="1"/>
  <c r="AS744" i="1"/>
  <c r="AT744" i="1"/>
  <c r="AU744" i="1"/>
  <c r="AV744" i="1"/>
  <c r="AW744" i="1"/>
  <c r="AX744" i="1"/>
  <c r="AY744" i="1"/>
  <c r="AZ744" i="1"/>
  <c r="BA744" i="1"/>
  <c r="BB744" i="1"/>
  <c r="BC744" i="1"/>
  <c r="BD744" i="1"/>
  <c r="BE744" i="1"/>
  <c r="BF744" i="1"/>
  <c r="BG744" i="1"/>
  <c r="BH744" i="1"/>
  <c r="AQ745" i="1"/>
  <c r="AR745" i="1"/>
  <c r="AS745" i="1"/>
  <c r="AT745" i="1"/>
  <c r="AU745" i="1"/>
  <c r="AV745" i="1"/>
  <c r="AW745" i="1"/>
  <c r="AX745" i="1"/>
  <c r="AY745" i="1"/>
  <c r="AZ745" i="1"/>
  <c r="BA745" i="1"/>
  <c r="BB745" i="1"/>
  <c r="BC745" i="1"/>
  <c r="BD745" i="1"/>
  <c r="BE745" i="1"/>
  <c r="BF745" i="1"/>
  <c r="BG745" i="1"/>
  <c r="BH745" i="1"/>
  <c r="AQ746" i="1"/>
  <c r="AR746" i="1"/>
  <c r="AS746" i="1"/>
  <c r="AT746" i="1"/>
  <c r="AU746" i="1"/>
  <c r="AV746" i="1"/>
  <c r="AW746" i="1"/>
  <c r="AX746" i="1"/>
  <c r="AY746" i="1"/>
  <c r="AZ746" i="1"/>
  <c r="BA746" i="1"/>
  <c r="BB746" i="1"/>
  <c r="BC746" i="1"/>
  <c r="BD746" i="1"/>
  <c r="BE746" i="1"/>
  <c r="BF746" i="1"/>
  <c r="BG746" i="1"/>
  <c r="BH746" i="1"/>
  <c r="AQ747" i="1"/>
  <c r="AR747" i="1"/>
  <c r="AS747" i="1"/>
  <c r="AT747" i="1"/>
  <c r="AU747" i="1"/>
  <c r="AV747" i="1"/>
  <c r="AW747" i="1"/>
  <c r="AX747" i="1"/>
  <c r="AY747" i="1"/>
  <c r="AZ747" i="1"/>
  <c r="BA747" i="1"/>
  <c r="BB747" i="1"/>
  <c r="BC747" i="1"/>
  <c r="BD747" i="1"/>
  <c r="BE747" i="1"/>
  <c r="BF747" i="1"/>
  <c r="BG747" i="1"/>
  <c r="BH747" i="1"/>
  <c r="AQ748" i="1"/>
  <c r="AR748" i="1"/>
  <c r="AS748" i="1"/>
  <c r="AT748" i="1"/>
  <c r="AU748" i="1"/>
  <c r="AV748" i="1"/>
  <c r="AW748" i="1"/>
  <c r="AX748" i="1"/>
  <c r="AY748" i="1"/>
  <c r="AZ748" i="1"/>
  <c r="BA748" i="1"/>
  <c r="BB748" i="1"/>
  <c r="BC748" i="1"/>
  <c r="BD748" i="1"/>
  <c r="BE748" i="1"/>
  <c r="BF748" i="1"/>
  <c r="BG748" i="1"/>
  <c r="BH748" i="1"/>
  <c r="AQ749" i="1"/>
  <c r="AR749" i="1"/>
  <c r="AS749" i="1"/>
  <c r="AT749" i="1"/>
  <c r="AU749" i="1"/>
  <c r="AV749" i="1"/>
  <c r="AW749" i="1"/>
  <c r="AX749" i="1"/>
  <c r="AY749" i="1"/>
  <c r="AZ749" i="1"/>
  <c r="BA749" i="1"/>
  <c r="BB749" i="1"/>
  <c r="BC749" i="1"/>
  <c r="BD749" i="1"/>
  <c r="BE749" i="1"/>
  <c r="BF749" i="1"/>
  <c r="BG749" i="1"/>
  <c r="BH749" i="1"/>
  <c r="AQ750" i="1"/>
  <c r="AR750" i="1"/>
  <c r="AS750" i="1"/>
  <c r="AT750" i="1"/>
  <c r="AU750" i="1"/>
  <c r="AV750" i="1"/>
  <c r="AW750" i="1"/>
  <c r="AX750" i="1"/>
  <c r="AY750" i="1"/>
  <c r="AZ750" i="1"/>
  <c r="BA750" i="1"/>
  <c r="BB750" i="1"/>
  <c r="BC750" i="1"/>
  <c r="BD750" i="1"/>
  <c r="BE750" i="1"/>
  <c r="BF750" i="1"/>
  <c r="BG750" i="1"/>
  <c r="BH750" i="1"/>
  <c r="AQ751" i="1"/>
  <c r="AR751" i="1"/>
  <c r="AS751" i="1"/>
  <c r="AT751" i="1"/>
  <c r="AU751" i="1"/>
  <c r="AV751" i="1"/>
  <c r="AW751" i="1"/>
  <c r="AX751" i="1"/>
  <c r="AY751" i="1"/>
  <c r="AZ751" i="1"/>
  <c r="BA751" i="1"/>
  <c r="BB751" i="1"/>
  <c r="BC751" i="1"/>
  <c r="BD751" i="1"/>
  <c r="BE751" i="1"/>
  <c r="BF751" i="1"/>
  <c r="BG751" i="1"/>
  <c r="BH751" i="1"/>
  <c r="AQ752" i="1"/>
  <c r="AR752" i="1"/>
  <c r="AS752" i="1"/>
  <c r="AT752" i="1"/>
  <c r="AU752" i="1"/>
  <c r="AV752" i="1"/>
  <c r="AW752" i="1"/>
  <c r="AX752" i="1"/>
  <c r="AY752" i="1"/>
  <c r="AZ752" i="1"/>
  <c r="BA752" i="1"/>
  <c r="BB752" i="1"/>
  <c r="BC752" i="1"/>
  <c r="BD752" i="1"/>
  <c r="BE752" i="1"/>
  <c r="BF752" i="1"/>
  <c r="BG752" i="1"/>
  <c r="BH752" i="1"/>
  <c r="AQ753" i="1"/>
  <c r="AR753" i="1"/>
  <c r="AS753" i="1"/>
  <c r="AT753" i="1"/>
  <c r="AU753" i="1"/>
  <c r="AV753" i="1"/>
  <c r="AW753" i="1"/>
  <c r="AX753" i="1"/>
  <c r="AY753" i="1"/>
  <c r="AZ753" i="1"/>
  <c r="BA753" i="1"/>
  <c r="BB753" i="1"/>
  <c r="BC753" i="1"/>
  <c r="BD753" i="1"/>
  <c r="BE753" i="1"/>
  <c r="BF753" i="1"/>
  <c r="BG753" i="1"/>
  <c r="BH753" i="1"/>
  <c r="AQ754" i="1"/>
  <c r="AR754" i="1"/>
  <c r="AS754" i="1"/>
  <c r="AT754" i="1"/>
  <c r="AU754" i="1"/>
  <c r="AV754" i="1"/>
  <c r="AW754" i="1"/>
  <c r="AX754" i="1"/>
  <c r="AY754" i="1"/>
  <c r="AZ754" i="1"/>
  <c r="BA754" i="1"/>
  <c r="BB754" i="1"/>
  <c r="BC754" i="1"/>
  <c r="BD754" i="1"/>
  <c r="BE754" i="1"/>
  <c r="BF754" i="1"/>
  <c r="BG754" i="1"/>
  <c r="BH754" i="1"/>
  <c r="AQ755" i="1"/>
  <c r="AR755" i="1"/>
  <c r="AS755" i="1"/>
  <c r="AT755" i="1"/>
  <c r="AU755" i="1"/>
  <c r="AV755" i="1"/>
  <c r="AW755" i="1"/>
  <c r="AX755" i="1"/>
  <c r="AY755" i="1"/>
  <c r="AZ755" i="1"/>
  <c r="BA755" i="1"/>
  <c r="BB755" i="1"/>
  <c r="BC755" i="1"/>
  <c r="BD755" i="1"/>
  <c r="BE755" i="1"/>
  <c r="BF755" i="1"/>
  <c r="BG755" i="1"/>
  <c r="BH755" i="1"/>
  <c r="AQ756" i="1"/>
  <c r="AR756" i="1"/>
  <c r="AS756" i="1"/>
  <c r="AT756" i="1"/>
  <c r="AU756" i="1"/>
  <c r="AV756" i="1"/>
  <c r="AW756" i="1"/>
  <c r="AX756" i="1"/>
  <c r="AY756" i="1"/>
  <c r="AZ756" i="1"/>
  <c r="BA756" i="1"/>
  <c r="BB756" i="1"/>
  <c r="BC756" i="1"/>
  <c r="BD756" i="1"/>
  <c r="BE756" i="1"/>
  <c r="BF756" i="1"/>
  <c r="BG756" i="1"/>
  <c r="BH756" i="1"/>
  <c r="AQ757" i="1"/>
  <c r="AR757" i="1"/>
  <c r="AS757" i="1"/>
  <c r="AT757" i="1"/>
  <c r="AU757" i="1"/>
  <c r="AV757" i="1"/>
  <c r="AW757" i="1"/>
  <c r="AX757" i="1"/>
  <c r="AY757" i="1"/>
  <c r="AZ757" i="1"/>
  <c r="BA757" i="1"/>
  <c r="BB757" i="1"/>
  <c r="BC757" i="1"/>
  <c r="BD757" i="1"/>
  <c r="BE757" i="1"/>
  <c r="BF757" i="1"/>
  <c r="BG757" i="1"/>
  <c r="BH757" i="1"/>
  <c r="AQ758" i="1"/>
  <c r="AR758" i="1"/>
  <c r="AS758" i="1"/>
  <c r="AT758" i="1"/>
  <c r="AU758" i="1"/>
  <c r="AV758" i="1"/>
  <c r="AW758" i="1"/>
  <c r="AX758" i="1"/>
  <c r="AY758" i="1"/>
  <c r="AZ758" i="1"/>
  <c r="BA758" i="1"/>
  <c r="BB758" i="1"/>
  <c r="BC758" i="1"/>
  <c r="BD758" i="1"/>
  <c r="BE758" i="1"/>
  <c r="BF758" i="1"/>
  <c r="BG758" i="1"/>
  <c r="BH758" i="1"/>
  <c r="AQ759" i="1"/>
  <c r="AR759" i="1"/>
  <c r="AS759" i="1"/>
  <c r="AT759" i="1"/>
  <c r="AU759" i="1"/>
  <c r="AV759" i="1"/>
  <c r="AW759" i="1"/>
  <c r="AX759" i="1"/>
  <c r="AY759" i="1"/>
  <c r="AZ759" i="1"/>
  <c r="BA759" i="1"/>
  <c r="BB759" i="1"/>
  <c r="BC759" i="1"/>
  <c r="BD759" i="1"/>
  <c r="BE759" i="1"/>
  <c r="BF759" i="1"/>
  <c r="BG759" i="1"/>
  <c r="BH759" i="1"/>
  <c r="AQ760" i="1"/>
  <c r="AR760" i="1"/>
  <c r="AS760" i="1"/>
  <c r="AT760" i="1"/>
  <c r="AU760" i="1"/>
  <c r="AV760" i="1"/>
  <c r="AW760" i="1"/>
  <c r="AX760" i="1"/>
  <c r="AY760" i="1"/>
  <c r="AZ760" i="1"/>
  <c r="BA760" i="1"/>
  <c r="BB760" i="1"/>
  <c r="BC760" i="1"/>
  <c r="BD760" i="1"/>
  <c r="BE760" i="1"/>
  <c r="BF760" i="1"/>
  <c r="BG760" i="1"/>
  <c r="BH760" i="1"/>
  <c r="AQ761" i="1"/>
  <c r="AR761" i="1"/>
  <c r="AS761" i="1"/>
  <c r="AT761" i="1"/>
  <c r="AU761" i="1"/>
  <c r="AV761" i="1"/>
  <c r="AW761" i="1"/>
  <c r="AX761" i="1"/>
  <c r="AY761" i="1"/>
  <c r="AZ761" i="1"/>
  <c r="BA761" i="1"/>
  <c r="BB761" i="1"/>
  <c r="BC761" i="1"/>
  <c r="BD761" i="1"/>
  <c r="BE761" i="1"/>
  <c r="BF761" i="1"/>
  <c r="BG761" i="1"/>
  <c r="BH761" i="1"/>
  <c r="AQ762" i="1"/>
  <c r="AR762" i="1"/>
  <c r="AS762" i="1"/>
  <c r="AT762" i="1"/>
  <c r="AU762" i="1"/>
  <c r="AV762" i="1"/>
  <c r="AW762" i="1"/>
  <c r="AX762" i="1"/>
  <c r="AY762" i="1"/>
  <c r="AZ762" i="1"/>
  <c r="BA762" i="1"/>
  <c r="BB762" i="1"/>
  <c r="BC762" i="1"/>
  <c r="BD762" i="1"/>
  <c r="BE762" i="1"/>
  <c r="BF762" i="1"/>
  <c r="BG762" i="1"/>
  <c r="BH762" i="1"/>
  <c r="AQ763" i="1"/>
  <c r="AR763" i="1"/>
  <c r="AS763" i="1"/>
  <c r="AT763" i="1"/>
  <c r="AU763" i="1"/>
  <c r="AV763" i="1"/>
  <c r="AW763" i="1"/>
  <c r="AX763" i="1"/>
  <c r="AY763" i="1"/>
  <c r="AZ763" i="1"/>
  <c r="BA763" i="1"/>
  <c r="BB763" i="1"/>
  <c r="BC763" i="1"/>
  <c r="BD763" i="1"/>
  <c r="BE763" i="1"/>
  <c r="BF763" i="1"/>
  <c r="BG763" i="1"/>
  <c r="BH763" i="1"/>
  <c r="AQ764" i="1"/>
  <c r="AR764" i="1"/>
  <c r="AS764" i="1"/>
  <c r="AT764" i="1"/>
  <c r="AU764" i="1"/>
  <c r="AV764" i="1"/>
  <c r="AW764" i="1"/>
  <c r="AX764" i="1"/>
  <c r="AY764" i="1"/>
  <c r="AZ764" i="1"/>
  <c r="BA764" i="1"/>
  <c r="BB764" i="1"/>
  <c r="BC764" i="1"/>
  <c r="BD764" i="1"/>
  <c r="BE764" i="1"/>
  <c r="BF764" i="1"/>
  <c r="BG764" i="1"/>
  <c r="BH764" i="1"/>
  <c r="AQ765" i="1"/>
  <c r="AR765" i="1"/>
  <c r="AS765" i="1"/>
  <c r="AT765" i="1"/>
  <c r="AU765" i="1"/>
  <c r="AV765" i="1"/>
  <c r="AW765" i="1"/>
  <c r="AX765" i="1"/>
  <c r="AY765" i="1"/>
  <c r="AZ765" i="1"/>
  <c r="BA765" i="1"/>
  <c r="BB765" i="1"/>
  <c r="BC765" i="1"/>
  <c r="BD765" i="1"/>
  <c r="BE765" i="1"/>
  <c r="BF765" i="1"/>
  <c r="BG765" i="1"/>
  <c r="BH765" i="1"/>
  <c r="AQ766" i="1"/>
  <c r="AR766" i="1"/>
  <c r="AS766" i="1"/>
  <c r="AT766" i="1"/>
  <c r="AU766" i="1"/>
  <c r="AV766" i="1"/>
  <c r="AW766" i="1"/>
  <c r="AX766" i="1"/>
  <c r="AY766" i="1"/>
  <c r="AZ766" i="1"/>
  <c r="BA766" i="1"/>
  <c r="BB766" i="1"/>
  <c r="BC766" i="1"/>
  <c r="BD766" i="1"/>
  <c r="BE766" i="1"/>
  <c r="BF766" i="1"/>
  <c r="BG766" i="1"/>
  <c r="BH766" i="1"/>
  <c r="AQ767" i="1"/>
  <c r="AR767" i="1"/>
  <c r="AS767" i="1"/>
  <c r="AT767" i="1"/>
  <c r="AU767" i="1"/>
  <c r="AV767" i="1"/>
  <c r="AW767" i="1"/>
  <c r="AX767" i="1"/>
  <c r="AY767" i="1"/>
  <c r="AZ767" i="1"/>
  <c r="BA767" i="1"/>
  <c r="BB767" i="1"/>
  <c r="BC767" i="1"/>
  <c r="BD767" i="1"/>
  <c r="BE767" i="1"/>
  <c r="BF767" i="1"/>
  <c r="BG767" i="1"/>
  <c r="BH767" i="1"/>
  <c r="AQ768" i="1"/>
  <c r="AR768" i="1"/>
  <c r="AS768" i="1"/>
  <c r="AT768" i="1"/>
  <c r="AU768" i="1"/>
  <c r="AV768" i="1"/>
  <c r="AW768" i="1"/>
  <c r="AX768" i="1"/>
  <c r="AY768" i="1"/>
  <c r="AZ768" i="1"/>
  <c r="BA768" i="1"/>
  <c r="BB768" i="1"/>
  <c r="BC768" i="1"/>
  <c r="BD768" i="1"/>
  <c r="BE768" i="1"/>
  <c r="BF768" i="1"/>
  <c r="BG768" i="1"/>
  <c r="BH768" i="1"/>
  <c r="AQ769" i="1"/>
  <c r="AR769" i="1"/>
  <c r="AS769" i="1"/>
  <c r="AT769" i="1"/>
  <c r="AU769" i="1"/>
  <c r="AV769" i="1"/>
  <c r="AW769" i="1"/>
  <c r="AX769" i="1"/>
  <c r="AY769" i="1"/>
  <c r="AZ769" i="1"/>
  <c r="BA769" i="1"/>
  <c r="BB769" i="1"/>
  <c r="BC769" i="1"/>
  <c r="BD769" i="1"/>
  <c r="BE769" i="1"/>
  <c r="BF769" i="1"/>
  <c r="BG769" i="1"/>
  <c r="BH769" i="1"/>
  <c r="AQ770" i="1"/>
  <c r="AR770" i="1"/>
  <c r="AS770" i="1"/>
  <c r="AT770" i="1"/>
  <c r="AU770" i="1"/>
  <c r="AV770" i="1"/>
  <c r="AW770" i="1"/>
  <c r="AX770" i="1"/>
  <c r="AY770" i="1"/>
  <c r="AZ770" i="1"/>
  <c r="BA770" i="1"/>
  <c r="BB770" i="1"/>
  <c r="BC770" i="1"/>
  <c r="BD770" i="1"/>
  <c r="BE770" i="1"/>
  <c r="BF770" i="1"/>
  <c r="BG770" i="1"/>
  <c r="BH770" i="1"/>
  <c r="AQ771" i="1"/>
  <c r="AR771" i="1"/>
  <c r="AS771" i="1"/>
  <c r="AT771" i="1"/>
  <c r="AU771" i="1"/>
  <c r="AV771" i="1"/>
  <c r="AW771" i="1"/>
  <c r="AX771" i="1"/>
  <c r="AY771" i="1"/>
  <c r="AZ771" i="1"/>
  <c r="BA771" i="1"/>
  <c r="BB771" i="1"/>
  <c r="BC771" i="1"/>
  <c r="BD771" i="1"/>
  <c r="BE771" i="1"/>
  <c r="BF771" i="1"/>
  <c r="BG771" i="1"/>
  <c r="BH771" i="1"/>
  <c r="AQ772" i="1"/>
  <c r="AR772" i="1"/>
  <c r="AS772" i="1"/>
  <c r="AT772" i="1"/>
  <c r="AU772" i="1"/>
  <c r="AV772" i="1"/>
  <c r="AW772" i="1"/>
  <c r="AX772" i="1"/>
  <c r="AY772" i="1"/>
  <c r="AZ772" i="1"/>
  <c r="BA772" i="1"/>
  <c r="BB772" i="1"/>
  <c r="BC772" i="1"/>
  <c r="BD772" i="1"/>
  <c r="BE772" i="1"/>
  <c r="BF772" i="1"/>
  <c r="BG772" i="1"/>
  <c r="BH772" i="1"/>
  <c r="AQ773" i="1"/>
  <c r="AR773" i="1"/>
  <c r="AS773" i="1"/>
  <c r="AT773" i="1"/>
  <c r="AU773" i="1"/>
  <c r="AV773" i="1"/>
  <c r="AW773" i="1"/>
  <c r="AX773" i="1"/>
  <c r="AY773" i="1"/>
  <c r="AZ773" i="1"/>
  <c r="BA773" i="1"/>
  <c r="BB773" i="1"/>
  <c r="BC773" i="1"/>
  <c r="BD773" i="1"/>
  <c r="BE773" i="1"/>
  <c r="BF773" i="1"/>
  <c r="BG773" i="1"/>
  <c r="BH773" i="1"/>
  <c r="AQ774" i="1"/>
  <c r="AR774" i="1"/>
  <c r="AS774" i="1"/>
  <c r="AT774" i="1"/>
  <c r="AU774" i="1"/>
  <c r="AV774" i="1"/>
  <c r="AW774" i="1"/>
  <c r="AX774" i="1"/>
  <c r="AY774" i="1"/>
  <c r="AZ774" i="1"/>
  <c r="BA774" i="1"/>
  <c r="BB774" i="1"/>
  <c r="BC774" i="1"/>
  <c r="BD774" i="1"/>
  <c r="BE774" i="1"/>
  <c r="BF774" i="1"/>
  <c r="BG774" i="1"/>
  <c r="BH774" i="1"/>
  <c r="AQ775" i="1"/>
  <c r="AR775" i="1"/>
  <c r="AS775" i="1"/>
  <c r="AT775" i="1"/>
  <c r="AU775" i="1"/>
  <c r="AV775" i="1"/>
  <c r="AW775" i="1"/>
  <c r="AX775" i="1"/>
  <c r="AY775" i="1"/>
  <c r="AZ775" i="1"/>
  <c r="BA775" i="1"/>
  <c r="BB775" i="1"/>
  <c r="BC775" i="1"/>
  <c r="BD775" i="1"/>
  <c r="BE775" i="1"/>
  <c r="BF775" i="1"/>
  <c r="BG775" i="1"/>
  <c r="BH775" i="1"/>
  <c r="AQ776" i="1"/>
  <c r="AR776" i="1"/>
  <c r="AS776" i="1"/>
  <c r="AT776" i="1"/>
  <c r="AU776" i="1"/>
  <c r="AV776" i="1"/>
  <c r="AW776" i="1"/>
  <c r="AX776" i="1"/>
  <c r="AY776" i="1"/>
  <c r="AZ776" i="1"/>
  <c r="BA776" i="1"/>
  <c r="BB776" i="1"/>
  <c r="BC776" i="1"/>
  <c r="BD776" i="1"/>
  <c r="BE776" i="1"/>
  <c r="BF776" i="1"/>
  <c r="BG776" i="1"/>
  <c r="BH776" i="1"/>
  <c r="AQ777" i="1"/>
  <c r="AR777" i="1"/>
  <c r="AS777" i="1"/>
  <c r="AT777" i="1"/>
  <c r="AU777" i="1"/>
  <c r="AV777" i="1"/>
  <c r="AW777" i="1"/>
  <c r="AX777" i="1"/>
  <c r="AY777" i="1"/>
  <c r="AZ777" i="1"/>
  <c r="BA777" i="1"/>
  <c r="BB777" i="1"/>
  <c r="BC777" i="1"/>
  <c r="BD777" i="1"/>
  <c r="BE777" i="1"/>
  <c r="BF777" i="1"/>
  <c r="BG777" i="1"/>
  <c r="BH777" i="1"/>
  <c r="AQ778" i="1"/>
  <c r="AR778" i="1"/>
  <c r="AS778" i="1"/>
  <c r="AT778" i="1"/>
  <c r="AU778" i="1"/>
  <c r="AV778" i="1"/>
  <c r="AW778" i="1"/>
  <c r="AX778" i="1"/>
  <c r="AY778" i="1"/>
  <c r="AZ778" i="1"/>
  <c r="BA778" i="1"/>
  <c r="BB778" i="1"/>
  <c r="BC778" i="1"/>
  <c r="BD778" i="1"/>
  <c r="BE778" i="1"/>
  <c r="BF778" i="1"/>
  <c r="BG778" i="1"/>
  <c r="BH778" i="1"/>
  <c r="AQ779" i="1"/>
  <c r="AR779" i="1"/>
  <c r="AS779" i="1"/>
  <c r="AT779" i="1"/>
  <c r="AU779" i="1"/>
  <c r="AV779" i="1"/>
  <c r="AW779" i="1"/>
  <c r="AX779" i="1"/>
  <c r="AY779" i="1"/>
  <c r="AZ779" i="1"/>
  <c r="BA779" i="1"/>
  <c r="BB779" i="1"/>
  <c r="BC779" i="1"/>
  <c r="BD779" i="1"/>
  <c r="BE779" i="1"/>
  <c r="BF779" i="1"/>
  <c r="BG779" i="1"/>
  <c r="BH779" i="1"/>
  <c r="AQ780" i="1"/>
  <c r="AR780" i="1"/>
  <c r="AS780" i="1"/>
  <c r="AT780" i="1"/>
  <c r="AU780" i="1"/>
  <c r="AV780" i="1"/>
  <c r="AW780" i="1"/>
  <c r="AX780" i="1"/>
  <c r="AY780" i="1"/>
  <c r="AZ780" i="1"/>
  <c r="BA780" i="1"/>
  <c r="BB780" i="1"/>
  <c r="BC780" i="1"/>
  <c r="BD780" i="1"/>
  <c r="BE780" i="1"/>
  <c r="BF780" i="1"/>
  <c r="BG780" i="1"/>
  <c r="BH780" i="1"/>
  <c r="AQ781" i="1"/>
  <c r="AR781" i="1"/>
  <c r="AS781" i="1"/>
  <c r="AT781" i="1"/>
  <c r="AU781" i="1"/>
  <c r="AV781" i="1"/>
  <c r="AW781" i="1"/>
  <c r="AX781" i="1"/>
  <c r="AY781" i="1"/>
  <c r="AZ781" i="1"/>
  <c r="BA781" i="1"/>
  <c r="BB781" i="1"/>
  <c r="BC781" i="1"/>
  <c r="BD781" i="1"/>
  <c r="BE781" i="1"/>
  <c r="BF781" i="1"/>
  <c r="BG781" i="1"/>
  <c r="BH781" i="1"/>
  <c r="AQ782" i="1"/>
  <c r="AR782" i="1"/>
  <c r="AS782" i="1"/>
  <c r="AT782" i="1"/>
  <c r="AU782" i="1"/>
  <c r="AV782" i="1"/>
  <c r="AW782" i="1"/>
  <c r="AX782" i="1"/>
  <c r="AY782" i="1"/>
  <c r="AZ782" i="1"/>
  <c r="BA782" i="1"/>
  <c r="BB782" i="1"/>
  <c r="BC782" i="1"/>
  <c r="BD782" i="1"/>
  <c r="BE782" i="1"/>
  <c r="BF782" i="1"/>
  <c r="BG782" i="1"/>
  <c r="BH782" i="1"/>
  <c r="AQ783" i="1"/>
  <c r="AR783" i="1"/>
  <c r="AS783" i="1"/>
  <c r="AT783" i="1"/>
  <c r="AU783" i="1"/>
  <c r="AV783" i="1"/>
  <c r="AW783" i="1"/>
  <c r="AX783" i="1"/>
  <c r="AY783" i="1"/>
  <c r="AZ783" i="1"/>
  <c r="BA783" i="1"/>
  <c r="BB783" i="1"/>
  <c r="BC783" i="1"/>
  <c r="BD783" i="1"/>
  <c r="BE783" i="1"/>
  <c r="BF783" i="1"/>
  <c r="BG783" i="1"/>
  <c r="BH783" i="1"/>
  <c r="AQ784" i="1"/>
  <c r="AR784" i="1"/>
  <c r="AS784" i="1"/>
  <c r="AT784" i="1"/>
  <c r="AU784" i="1"/>
  <c r="AV784" i="1"/>
  <c r="AW784" i="1"/>
  <c r="AX784" i="1"/>
  <c r="AY784" i="1"/>
  <c r="AZ784" i="1"/>
  <c r="BA784" i="1"/>
  <c r="BB784" i="1"/>
  <c r="BC784" i="1"/>
  <c r="BD784" i="1"/>
  <c r="BE784" i="1"/>
  <c r="BF784" i="1"/>
  <c r="BG784" i="1"/>
  <c r="BH784" i="1"/>
  <c r="AQ785" i="1"/>
  <c r="AR785" i="1"/>
  <c r="AS785" i="1"/>
  <c r="AT785" i="1"/>
  <c r="AU785" i="1"/>
  <c r="AV785" i="1"/>
  <c r="AW785" i="1"/>
  <c r="AX785" i="1"/>
  <c r="AY785" i="1"/>
  <c r="AZ785" i="1"/>
  <c r="BA785" i="1"/>
  <c r="BB785" i="1"/>
  <c r="BC785" i="1"/>
  <c r="BD785" i="1"/>
  <c r="BE785" i="1"/>
  <c r="BF785" i="1"/>
  <c r="BG785" i="1"/>
  <c r="BH785" i="1"/>
  <c r="AQ786" i="1"/>
  <c r="AR786" i="1"/>
  <c r="AS786" i="1"/>
  <c r="AT786" i="1"/>
  <c r="AU786" i="1"/>
  <c r="AV786" i="1"/>
  <c r="AW786" i="1"/>
  <c r="AX786" i="1"/>
  <c r="AY786" i="1"/>
  <c r="AZ786" i="1"/>
  <c r="BA786" i="1"/>
  <c r="BB786" i="1"/>
  <c r="BC786" i="1"/>
  <c r="BD786" i="1"/>
  <c r="BE786" i="1"/>
  <c r="BF786" i="1"/>
  <c r="BG786" i="1"/>
  <c r="BH786" i="1"/>
  <c r="AQ787" i="1"/>
  <c r="AR787" i="1"/>
  <c r="AS787" i="1"/>
  <c r="AT787" i="1"/>
  <c r="AU787" i="1"/>
  <c r="AV787" i="1"/>
  <c r="AW787" i="1"/>
  <c r="AX787" i="1"/>
  <c r="AY787" i="1"/>
  <c r="AZ787" i="1"/>
  <c r="BA787" i="1"/>
  <c r="BB787" i="1"/>
  <c r="BC787" i="1"/>
  <c r="BD787" i="1"/>
  <c r="BE787" i="1"/>
  <c r="BF787" i="1"/>
  <c r="BG787" i="1"/>
  <c r="BH787" i="1"/>
  <c r="AQ788" i="1"/>
  <c r="AR788" i="1"/>
  <c r="AS788" i="1"/>
  <c r="AT788" i="1"/>
  <c r="AU788" i="1"/>
  <c r="AV788" i="1"/>
  <c r="AW788" i="1"/>
  <c r="AX788" i="1"/>
  <c r="AY788" i="1"/>
  <c r="AZ788" i="1"/>
  <c r="BA788" i="1"/>
  <c r="BB788" i="1"/>
  <c r="BC788" i="1"/>
  <c r="BD788" i="1"/>
  <c r="BE788" i="1"/>
  <c r="BF788" i="1"/>
  <c r="BG788" i="1"/>
  <c r="BH788" i="1"/>
  <c r="AQ789" i="1"/>
  <c r="AR789" i="1"/>
  <c r="AS789" i="1"/>
  <c r="AT789" i="1"/>
  <c r="AU789" i="1"/>
  <c r="AV789" i="1"/>
  <c r="AW789" i="1"/>
  <c r="AX789" i="1"/>
  <c r="AY789" i="1"/>
  <c r="AZ789" i="1"/>
  <c r="BA789" i="1"/>
  <c r="BB789" i="1"/>
  <c r="BC789" i="1"/>
  <c r="BD789" i="1"/>
  <c r="BE789" i="1"/>
  <c r="BF789" i="1"/>
  <c r="BG789" i="1"/>
  <c r="BH789" i="1"/>
  <c r="AQ790" i="1"/>
  <c r="AR790" i="1"/>
  <c r="AS790" i="1"/>
  <c r="AT790" i="1"/>
  <c r="AU790" i="1"/>
  <c r="AV790" i="1"/>
  <c r="AW790" i="1"/>
  <c r="AX790" i="1"/>
  <c r="AY790" i="1"/>
  <c r="AZ790" i="1"/>
  <c r="BA790" i="1"/>
  <c r="BB790" i="1"/>
  <c r="BC790" i="1"/>
  <c r="BD790" i="1"/>
  <c r="BE790" i="1"/>
  <c r="BF790" i="1"/>
  <c r="BG790" i="1"/>
  <c r="BH790" i="1"/>
  <c r="AQ791" i="1"/>
  <c r="AR791" i="1"/>
  <c r="AS791" i="1"/>
  <c r="AT791" i="1"/>
  <c r="AU791" i="1"/>
  <c r="AV791" i="1"/>
  <c r="AW791" i="1"/>
  <c r="AX791" i="1"/>
  <c r="AY791" i="1"/>
  <c r="AZ791" i="1"/>
  <c r="BA791" i="1"/>
  <c r="BB791" i="1"/>
  <c r="BC791" i="1"/>
  <c r="BD791" i="1"/>
  <c r="BE791" i="1"/>
  <c r="BF791" i="1"/>
  <c r="BG791" i="1"/>
  <c r="BH791" i="1"/>
  <c r="AQ792" i="1"/>
  <c r="AR792" i="1"/>
  <c r="AS792" i="1"/>
  <c r="AT792" i="1"/>
  <c r="AU792" i="1"/>
  <c r="AV792" i="1"/>
  <c r="AW792" i="1"/>
  <c r="AX792" i="1"/>
  <c r="AY792" i="1"/>
  <c r="AZ792" i="1"/>
  <c r="BA792" i="1"/>
  <c r="BB792" i="1"/>
  <c r="BC792" i="1"/>
  <c r="BD792" i="1"/>
  <c r="BE792" i="1"/>
  <c r="BF792" i="1"/>
  <c r="BG792" i="1"/>
  <c r="BH792" i="1"/>
  <c r="AQ793" i="1"/>
  <c r="AR793" i="1"/>
  <c r="AS793" i="1"/>
  <c r="AT793" i="1"/>
  <c r="AU793" i="1"/>
  <c r="AV793" i="1"/>
  <c r="AW793" i="1"/>
  <c r="AX793" i="1"/>
  <c r="AY793" i="1"/>
  <c r="AZ793" i="1"/>
  <c r="BA793" i="1"/>
  <c r="BB793" i="1"/>
  <c r="BC793" i="1"/>
  <c r="BD793" i="1"/>
  <c r="BE793" i="1"/>
  <c r="BF793" i="1"/>
  <c r="BG793" i="1"/>
  <c r="BH793" i="1"/>
  <c r="AQ794" i="1"/>
  <c r="AR794" i="1"/>
  <c r="AS794" i="1"/>
  <c r="AT794" i="1"/>
  <c r="AU794" i="1"/>
  <c r="AV794" i="1"/>
  <c r="AW794" i="1"/>
  <c r="AX794" i="1"/>
  <c r="AY794" i="1"/>
  <c r="AZ794" i="1"/>
  <c r="BA794" i="1"/>
  <c r="BB794" i="1"/>
  <c r="BC794" i="1"/>
  <c r="BD794" i="1"/>
  <c r="BE794" i="1"/>
  <c r="BF794" i="1"/>
  <c r="BG794" i="1"/>
  <c r="BH794" i="1"/>
  <c r="AQ795" i="1"/>
  <c r="AR795" i="1"/>
  <c r="AS795" i="1"/>
  <c r="AT795" i="1"/>
  <c r="AU795" i="1"/>
  <c r="AV795" i="1"/>
  <c r="AW795" i="1"/>
  <c r="AX795" i="1"/>
  <c r="AY795" i="1"/>
  <c r="AZ795" i="1"/>
  <c r="BA795" i="1"/>
  <c r="BB795" i="1"/>
  <c r="BC795" i="1"/>
  <c r="BD795" i="1"/>
  <c r="BE795" i="1"/>
  <c r="BF795" i="1"/>
  <c r="BG795" i="1"/>
  <c r="BH795" i="1"/>
  <c r="AQ796" i="1"/>
  <c r="AR796" i="1"/>
  <c r="AS796" i="1"/>
  <c r="AT796" i="1"/>
  <c r="AU796" i="1"/>
  <c r="AV796" i="1"/>
  <c r="AW796" i="1"/>
  <c r="AX796" i="1"/>
  <c r="AY796" i="1"/>
  <c r="AZ796" i="1"/>
  <c r="BA796" i="1"/>
  <c r="BB796" i="1"/>
  <c r="BC796" i="1"/>
  <c r="BD796" i="1"/>
  <c r="BE796" i="1"/>
  <c r="BF796" i="1"/>
  <c r="BG796" i="1"/>
  <c r="BH796" i="1"/>
  <c r="AQ797" i="1"/>
  <c r="AR797" i="1"/>
  <c r="AS797" i="1"/>
  <c r="AT797" i="1"/>
  <c r="AU797" i="1"/>
  <c r="AV797" i="1"/>
  <c r="AW797" i="1"/>
  <c r="AX797" i="1"/>
  <c r="AY797" i="1"/>
  <c r="AZ797" i="1"/>
  <c r="BA797" i="1"/>
  <c r="BB797" i="1"/>
  <c r="BC797" i="1"/>
  <c r="BD797" i="1"/>
  <c r="BE797" i="1"/>
  <c r="BF797" i="1"/>
  <c r="BG797" i="1"/>
  <c r="BH797" i="1"/>
  <c r="AQ798" i="1"/>
  <c r="AR798" i="1"/>
  <c r="AS798" i="1"/>
  <c r="AT798" i="1"/>
  <c r="AU798" i="1"/>
  <c r="AV798" i="1"/>
  <c r="AW798" i="1"/>
  <c r="AX798" i="1"/>
  <c r="AY798" i="1"/>
  <c r="AZ798" i="1"/>
  <c r="BA798" i="1"/>
  <c r="BB798" i="1"/>
  <c r="BC798" i="1"/>
  <c r="BD798" i="1"/>
  <c r="BE798" i="1"/>
  <c r="BF798" i="1"/>
  <c r="BG798" i="1"/>
  <c r="BH798" i="1"/>
  <c r="AQ799" i="1"/>
  <c r="AR799" i="1"/>
  <c r="AS799" i="1"/>
  <c r="AT799" i="1"/>
  <c r="AU799" i="1"/>
  <c r="AV799" i="1"/>
  <c r="AW799" i="1"/>
  <c r="AX799" i="1"/>
  <c r="AY799" i="1"/>
  <c r="AZ799" i="1"/>
  <c r="BA799" i="1"/>
  <c r="BB799" i="1"/>
  <c r="BC799" i="1"/>
  <c r="BD799" i="1"/>
  <c r="BE799" i="1"/>
  <c r="BF799" i="1"/>
  <c r="BG799" i="1"/>
  <c r="BH799" i="1"/>
  <c r="AQ800" i="1"/>
  <c r="AR800" i="1"/>
  <c r="AS800" i="1"/>
  <c r="AT800" i="1"/>
  <c r="AU800" i="1"/>
  <c r="AV800" i="1"/>
  <c r="AW800" i="1"/>
  <c r="AX800" i="1"/>
  <c r="AY800" i="1"/>
  <c r="AZ800" i="1"/>
  <c r="BA800" i="1"/>
  <c r="BB800" i="1"/>
  <c r="BC800" i="1"/>
  <c r="BD800" i="1"/>
  <c r="BE800" i="1"/>
  <c r="BF800" i="1"/>
  <c r="BG800" i="1"/>
  <c r="BH800" i="1"/>
  <c r="AQ801" i="1"/>
  <c r="AR801" i="1"/>
  <c r="AS801" i="1"/>
  <c r="AT801" i="1"/>
  <c r="AU801" i="1"/>
  <c r="AV801" i="1"/>
  <c r="AW801" i="1"/>
  <c r="AX801" i="1"/>
  <c r="AY801" i="1"/>
  <c r="AZ801" i="1"/>
  <c r="BA801" i="1"/>
  <c r="BB801" i="1"/>
  <c r="BC801" i="1"/>
  <c r="BD801" i="1"/>
  <c r="BE801" i="1"/>
  <c r="BF801" i="1"/>
  <c r="BG801" i="1"/>
  <c r="BH801" i="1"/>
  <c r="AQ802" i="1"/>
  <c r="AR802" i="1"/>
  <c r="AS802" i="1"/>
  <c r="AT802" i="1"/>
  <c r="AU802" i="1"/>
  <c r="AV802" i="1"/>
  <c r="AW802" i="1"/>
  <c r="AX802" i="1"/>
  <c r="AY802" i="1"/>
  <c r="AZ802" i="1"/>
  <c r="BA802" i="1"/>
  <c r="BB802" i="1"/>
  <c r="BC802" i="1"/>
  <c r="BD802" i="1"/>
  <c r="BE802" i="1"/>
  <c r="BF802" i="1"/>
  <c r="BG802" i="1"/>
  <c r="BH802" i="1"/>
  <c r="BG3" i="1"/>
  <c r="BE3" i="1"/>
  <c r="BC3" i="1"/>
  <c r="BA3" i="1"/>
  <c r="AY3" i="1"/>
  <c r="BH3" i="1"/>
  <c r="BF3" i="1"/>
  <c r="BD3" i="1"/>
  <c r="BB3" i="1"/>
  <c r="AZ3" i="1"/>
  <c r="AX3" i="1"/>
  <c r="AW3" i="1"/>
  <c r="AV3" i="1"/>
  <c r="AU3" i="1"/>
  <c r="AT3" i="1"/>
  <c r="AS3" i="1"/>
  <c r="AR3" i="1"/>
  <c r="AQ3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AP488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AP490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AP491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AP493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AP494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AP496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AP497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AP499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AP500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AC502" i="1"/>
  <c r="AD502" i="1"/>
  <c r="AE502" i="1"/>
  <c r="AF502" i="1"/>
  <c r="AG502" i="1"/>
  <c r="AH502" i="1"/>
  <c r="AI502" i="1"/>
  <c r="AJ502" i="1"/>
  <c r="AK502" i="1"/>
  <c r="AL502" i="1"/>
  <c r="AM502" i="1"/>
  <c r="AN502" i="1"/>
  <c r="AO502" i="1"/>
  <c r="AP502" i="1"/>
  <c r="AC503" i="1"/>
  <c r="AD503" i="1"/>
  <c r="AE503" i="1"/>
  <c r="AF503" i="1"/>
  <c r="AG503" i="1"/>
  <c r="AH503" i="1"/>
  <c r="AI503" i="1"/>
  <c r="AJ503" i="1"/>
  <c r="AK503" i="1"/>
  <c r="AL503" i="1"/>
  <c r="AM503" i="1"/>
  <c r="AN503" i="1"/>
  <c r="AO503" i="1"/>
  <c r="AP503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AC505" i="1"/>
  <c r="AD505" i="1"/>
  <c r="AE505" i="1"/>
  <c r="AF505" i="1"/>
  <c r="AG505" i="1"/>
  <c r="AH505" i="1"/>
  <c r="AI505" i="1"/>
  <c r="AJ505" i="1"/>
  <c r="AK505" i="1"/>
  <c r="AL505" i="1"/>
  <c r="AM505" i="1"/>
  <c r="AN505" i="1"/>
  <c r="AO505" i="1"/>
  <c r="AP505" i="1"/>
  <c r="AC506" i="1"/>
  <c r="AD506" i="1"/>
  <c r="AE506" i="1"/>
  <c r="AF506" i="1"/>
  <c r="AG506" i="1"/>
  <c r="AH506" i="1"/>
  <c r="AI506" i="1"/>
  <c r="AJ506" i="1"/>
  <c r="AK506" i="1"/>
  <c r="AL506" i="1"/>
  <c r="AM506" i="1"/>
  <c r="AN506" i="1"/>
  <c r="AO506" i="1"/>
  <c r="AP506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AC508" i="1"/>
  <c r="AD508" i="1"/>
  <c r="AE508" i="1"/>
  <c r="AF508" i="1"/>
  <c r="AG508" i="1"/>
  <c r="AH508" i="1"/>
  <c r="AI508" i="1"/>
  <c r="AJ508" i="1"/>
  <c r="AK508" i="1"/>
  <c r="AL508" i="1"/>
  <c r="AM508" i="1"/>
  <c r="AN508" i="1"/>
  <c r="AO508" i="1"/>
  <c r="AP508" i="1"/>
  <c r="AC509" i="1"/>
  <c r="AD509" i="1"/>
  <c r="AE509" i="1"/>
  <c r="AF509" i="1"/>
  <c r="AG509" i="1"/>
  <c r="AH509" i="1"/>
  <c r="AI509" i="1"/>
  <c r="AJ509" i="1"/>
  <c r="AK509" i="1"/>
  <c r="AL509" i="1"/>
  <c r="AM509" i="1"/>
  <c r="AN509" i="1"/>
  <c r="AO509" i="1"/>
  <c r="AP509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AC511" i="1"/>
  <c r="AD511" i="1"/>
  <c r="AE511" i="1"/>
  <c r="AF511" i="1"/>
  <c r="AG511" i="1"/>
  <c r="AH511" i="1"/>
  <c r="AI511" i="1"/>
  <c r="AJ511" i="1"/>
  <c r="AK511" i="1"/>
  <c r="AL511" i="1"/>
  <c r="AM511" i="1"/>
  <c r="AN511" i="1"/>
  <c r="AO511" i="1"/>
  <c r="AP511" i="1"/>
  <c r="AC512" i="1"/>
  <c r="AD512" i="1"/>
  <c r="AE512" i="1"/>
  <c r="AF512" i="1"/>
  <c r="AG512" i="1"/>
  <c r="AH512" i="1"/>
  <c r="AI512" i="1"/>
  <c r="AJ512" i="1"/>
  <c r="AK512" i="1"/>
  <c r="AL512" i="1"/>
  <c r="AM512" i="1"/>
  <c r="AN512" i="1"/>
  <c r="AO512" i="1"/>
  <c r="AP512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AC514" i="1"/>
  <c r="AD514" i="1"/>
  <c r="AE514" i="1"/>
  <c r="AF514" i="1"/>
  <c r="AG514" i="1"/>
  <c r="AH514" i="1"/>
  <c r="AI514" i="1"/>
  <c r="AJ514" i="1"/>
  <c r="AK514" i="1"/>
  <c r="AL514" i="1"/>
  <c r="AM514" i="1"/>
  <c r="AN514" i="1"/>
  <c r="AO514" i="1"/>
  <c r="AP514" i="1"/>
  <c r="AC515" i="1"/>
  <c r="AD515" i="1"/>
  <c r="AE515" i="1"/>
  <c r="AF515" i="1"/>
  <c r="AG515" i="1"/>
  <c r="AH515" i="1"/>
  <c r="AI515" i="1"/>
  <c r="AJ515" i="1"/>
  <c r="AK515" i="1"/>
  <c r="AL515" i="1"/>
  <c r="AM515" i="1"/>
  <c r="AN515" i="1"/>
  <c r="AO515" i="1"/>
  <c r="AP515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AC517" i="1"/>
  <c r="AD517" i="1"/>
  <c r="AE517" i="1"/>
  <c r="AF517" i="1"/>
  <c r="AG517" i="1"/>
  <c r="AH517" i="1"/>
  <c r="AI517" i="1"/>
  <c r="AJ517" i="1"/>
  <c r="AK517" i="1"/>
  <c r="AL517" i="1"/>
  <c r="AM517" i="1"/>
  <c r="AN517" i="1"/>
  <c r="AO517" i="1"/>
  <c r="AP517" i="1"/>
  <c r="AC518" i="1"/>
  <c r="AD518" i="1"/>
  <c r="AE518" i="1"/>
  <c r="AF518" i="1"/>
  <c r="AG518" i="1"/>
  <c r="AH518" i="1"/>
  <c r="AI518" i="1"/>
  <c r="AJ518" i="1"/>
  <c r="AK518" i="1"/>
  <c r="AL518" i="1"/>
  <c r="AM518" i="1"/>
  <c r="AN518" i="1"/>
  <c r="AO518" i="1"/>
  <c r="AP518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AC520" i="1"/>
  <c r="AD520" i="1"/>
  <c r="AE520" i="1"/>
  <c r="AF520" i="1"/>
  <c r="AG520" i="1"/>
  <c r="AH520" i="1"/>
  <c r="AI520" i="1"/>
  <c r="AJ520" i="1"/>
  <c r="AK520" i="1"/>
  <c r="AL520" i="1"/>
  <c r="AM520" i="1"/>
  <c r="AN520" i="1"/>
  <c r="AO520" i="1"/>
  <c r="AP520" i="1"/>
  <c r="AC521" i="1"/>
  <c r="AD521" i="1"/>
  <c r="AE521" i="1"/>
  <c r="AF521" i="1"/>
  <c r="AG521" i="1"/>
  <c r="AH521" i="1"/>
  <c r="AI521" i="1"/>
  <c r="AJ521" i="1"/>
  <c r="AK521" i="1"/>
  <c r="AL521" i="1"/>
  <c r="AM521" i="1"/>
  <c r="AN521" i="1"/>
  <c r="AO521" i="1"/>
  <c r="AP521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AC523" i="1"/>
  <c r="AD523" i="1"/>
  <c r="AE523" i="1"/>
  <c r="AF523" i="1"/>
  <c r="AG523" i="1"/>
  <c r="AH523" i="1"/>
  <c r="AI523" i="1"/>
  <c r="AJ523" i="1"/>
  <c r="AK523" i="1"/>
  <c r="AL523" i="1"/>
  <c r="AM523" i="1"/>
  <c r="AN523" i="1"/>
  <c r="AO523" i="1"/>
  <c r="AP523" i="1"/>
  <c r="AC524" i="1"/>
  <c r="AD524" i="1"/>
  <c r="AE524" i="1"/>
  <c r="AF524" i="1"/>
  <c r="AG524" i="1"/>
  <c r="AH524" i="1"/>
  <c r="AI524" i="1"/>
  <c r="AJ524" i="1"/>
  <c r="AK524" i="1"/>
  <c r="AL524" i="1"/>
  <c r="AM524" i="1"/>
  <c r="AN524" i="1"/>
  <c r="AO524" i="1"/>
  <c r="AP524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AC526" i="1"/>
  <c r="AD526" i="1"/>
  <c r="AE526" i="1"/>
  <c r="AF526" i="1"/>
  <c r="AG526" i="1"/>
  <c r="AH526" i="1"/>
  <c r="AI526" i="1"/>
  <c r="AJ526" i="1"/>
  <c r="AK526" i="1"/>
  <c r="AL526" i="1"/>
  <c r="AM526" i="1"/>
  <c r="AN526" i="1"/>
  <c r="AO526" i="1"/>
  <c r="AP526" i="1"/>
  <c r="AC527" i="1"/>
  <c r="AD527" i="1"/>
  <c r="AE527" i="1"/>
  <c r="AF527" i="1"/>
  <c r="AG527" i="1"/>
  <c r="AH527" i="1"/>
  <c r="AI527" i="1"/>
  <c r="AJ527" i="1"/>
  <c r="AK527" i="1"/>
  <c r="AL527" i="1"/>
  <c r="AM527" i="1"/>
  <c r="AN527" i="1"/>
  <c r="AO527" i="1"/>
  <c r="AP527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AC529" i="1"/>
  <c r="AD529" i="1"/>
  <c r="AE529" i="1"/>
  <c r="AF529" i="1"/>
  <c r="AG529" i="1"/>
  <c r="AH529" i="1"/>
  <c r="AI529" i="1"/>
  <c r="AJ529" i="1"/>
  <c r="AK529" i="1"/>
  <c r="AL529" i="1"/>
  <c r="AM529" i="1"/>
  <c r="AN529" i="1"/>
  <c r="AO529" i="1"/>
  <c r="AP529" i="1"/>
  <c r="AC530" i="1"/>
  <c r="AD530" i="1"/>
  <c r="AE530" i="1"/>
  <c r="AF530" i="1"/>
  <c r="AG530" i="1"/>
  <c r="AH530" i="1"/>
  <c r="AI530" i="1"/>
  <c r="AJ530" i="1"/>
  <c r="AK530" i="1"/>
  <c r="AL530" i="1"/>
  <c r="AM530" i="1"/>
  <c r="AN530" i="1"/>
  <c r="AO530" i="1"/>
  <c r="AP530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AC532" i="1"/>
  <c r="AD532" i="1"/>
  <c r="AE532" i="1"/>
  <c r="AF532" i="1"/>
  <c r="AG532" i="1"/>
  <c r="AH532" i="1"/>
  <c r="AI532" i="1"/>
  <c r="AJ532" i="1"/>
  <c r="AK532" i="1"/>
  <c r="AL532" i="1"/>
  <c r="AM532" i="1"/>
  <c r="AN532" i="1"/>
  <c r="AO532" i="1"/>
  <c r="AP532" i="1"/>
  <c r="AC533" i="1"/>
  <c r="AD533" i="1"/>
  <c r="AE533" i="1"/>
  <c r="AF533" i="1"/>
  <c r="AG533" i="1"/>
  <c r="AH533" i="1"/>
  <c r="AI533" i="1"/>
  <c r="AJ533" i="1"/>
  <c r="AK533" i="1"/>
  <c r="AL533" i="1"/>
  <c r="AM533" i="1"/>
  <c r="AN533" i="1"/>
  <c r="AO533" i="1"/>
  <c r="AP533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AC535" i="1"/>
  <c r="AD535" i="1"/>
  <c r="AE535" i="1"/>
  <c r="AF535" i="1"/>
  <c r="AG535" i="1"/>
  <c r="AH535" i="1"/>
  <c r="AI535" i="1"/>
  <c r="AJ535" i="1"/>
  <c r="AK535" i="1"/>
  <c r="AL535" i="1"/>
  <c r="AM535" i="1"/>
  <c r="AN535" i="1"/>
  <c r="AO535" i="1"/>
  <c r="AP535" i="1"/>
  <c r="AC536" i="1"/>
  <c r="AD536" i="1"/>
  <c r="AE536" i="1"/>
  <c r="AF536" i="1"/>
  <c r="AG536" i="1"/>
  <c r="AH536" i="1"/>
  <c r="AI536" i="1"/>
  <c r="AJ536" i="1"/>
  <c r="AK536" i="1"/>
  <c r="AL536" i="1"/>
  <c r="AM536" i="1"/>
  <c r="AN536" i="1"/>
  <c r="AO536" i="1"/>
  <c r="AP536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AC538" i="1"/>
  <c r="AD538" i="1"/>
  <c r="AE538" i="1"/>
  <c r="AF538" i="1"/>
  <c r="AG538" i="1"/>
  <c r="AH538" i="1"/>
  <c r="AI538" i="1"/>
  <c r="AJ538" i="1"/>
  <c r="AK538" i="1"/>
  <c r="AL538" i="1"/>
  <c r="AM538" i="1"/>
  <c r="AN538" i="1"/>
  <c r="AO538" i="1"/>
  <c r="AP538" i="1"/>
  <c r="AC539" i="1"/>
  <c r="AD539" i="1"/>
  <c r="AE539" i="1"/>
  <c r="AF539" i="1"/>
  <c r="AG539" i="1"/>
  <c r="AH539" i="1"/>
  <c r="AI539" i="1"/>
  <c r="AJ539" i="1"/>
  <c r="AK539" i="1"/>
  <c r="AL539" i="1"/>
  <c r="AM539" i="1"/>
  <c r="AN539" i="1"/>
  <c r="AO539" i="1"/>
  <c r="AP539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AC541" i="1"/>
  <c r="AD541" i="1"/>
  <c r="AE541" i="1"/>
  <c r="AF541" i="1"/>
  <c r="AG541" i="1"/>
  <c r="AH541" i="1"/>
  <c r="AI541" i="1"/>
  <c r="AJ541" i="1"/>
  <c r="AK541" i="1"/>
  <c r="AL541" i="1"/>
  <c r="AM541" i="1"/>
  <c r="AN541" i="1"/>
  <c r="AO541" i="1"/>
  <c r="AP541" i="1"/>
  <c r="AC542" i="1"/>
  <c r="AD542" i="1"/>
  <c r="AE542" i="1"/>
  <c r="AF542" i="1"/>
  <c r="AG542" i="1"/>
  <c r="AH542" i="1"/>
  <c r="AI542" i="1"/>
  <c r="AJ542" i="1"/>
  <c r="AK542" i="1"/>
  <c r="AL542" i="1"/>
  <c r="AM542" i="1"/>
  <c r="AN542" i="1"/>
  <c r="AO542" i="1"/>
  <c r="AP542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AC544" i="1"/>
  <c r="AD544" i="1"/>
  <c r="AE544" i="1"/>
  <c r="AF544" i="1"/>
  <c r="AG544" i="1"/>
  <c r="AH544" i="1"/>
  <c r="AI544" i="1"/>
  <c r="AJ544" i="1"/>
  <c r="AK544" i="1"/>
  <c r="AL544" i="1"/>
  <c r="AM544" i="1"/>
  <c r="AN544" i="1"/>
  <c r="AO544" i="1"/>
  <c r="AP544" i="1"/>
  <c r="AC545" i="1"/>
  <c r="AD545" i="1"/>
  <c r="AE545" i="1"/>
  <c r="AF545" i="1"/>
  <c r="AG545" i="1"/>
  <c r="AH545" i="1"/>
  <c r="AI545" i="1"/>
  <c r="AJ545" i="1"/>
  <c r="AK545" i="1"/>
  <c r="AL545" i="1"/>
  <c r="AM545" i="1"/>
  <c r="AN545" i="1"/>
  <c r="AO545" i="1"/>
  <c r="AP545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AC547" i="1"/>
  <c r="AD547" i="1"/>
  <c r="AE547" i="1"/>
  <c r="AF547" i="1"/>
  <c r="AG547" i="1"/>
  <c r="AH547" i="1"/>
  <c r="AI547" i="1"/>
  <c r="AJ547" i="1"/>
  <c r="AK547" i="1"/>
  <c r="AL547" i="1"/>
  <c r="AM547" i="1"/>
  <c r="AN547" i="1"/>
  <c r="AO547" i="1"/>
  <c r="AP547" i="1"/>
  <c r="AC548" i="1"/>
  <c r="AD548" i="1"/>
  <c r="AE548" i="1"/>
  <c r="AF548" i="1"/>
  <c r="AG548" i="1"/>
  <c r="AH548" i="1"/>
  <c r="AI548" i="1"/>
  <c r="AJ548" i="1"/>
  <c r="AK548" i="1"/>
  <c r="AL548" i="1"/>
  <c r="AM548" i="1"/>
  <c r="AN548" i="1"/>
  <c r="AO548" i="1"/>
  <c r="AP548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AC550" i="1"/>
  <c r="AD550" i="1"/>
  <c r="AE550" i="1"/>
  <c r="AF550" i="1"/>
  <c r="AG550" i="1"/>
  <c r="AH550" i="1"/>
  <c r="AI550" i="1"/>
  <c r="AJ550" i="1"/>
  <c r="AK550" i="1"/>
  <c r="AL550" i="1"/>
  <c r="AM550" i="1"/>
  <c r="AN550" i="1"/>
  <c r="AO550" i="1"/>
  <c r="AP550" i="1"/>
  <c r="AC551" i="1"/>
  <c r="AD551" i="1"/>
  <c r="AE551" i="1"/>
  <c r="AF551" i="1"/>
  <c r="AG551" i="1"/>
  <c r="AH551" i="1"/>
  <c r="AI551" i="1"/>
  <c r="AJ551" i="1"/>
  <c r="AK551" i="1"/>
  <c r="AL551" i="1"/>
  <c r="AM551" i="1"/>
  <c r="AN551" i="1"/>
  <c r="AO551" i="1"/>
  <c r="AP551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AC553" i="1"/>
  <c r="AD553" i="1"/>
  <c r="AE553" i="1"/>
  <c r="AF553" i="1"/>
  <c r="AG553" i="1"/>
  <c r="AH553" i="1"/>
  <c r="AI553" i="1"/>
  <c r="AJ553" i="1"/>
  <c r="AK553" i="1"/>
  <c r="AL553" i="1"/>
  <c r="AM553" i="1"/>
  <c r="AN553" i="1"/>
  <c r="AO553" i="1"/>
  <c r="AP553" i="1"/>
  <c r="AC554" i="1"/>
  <c r="AD554" i="1"/>
  <c r="AE554" i="1"/>
  <c r="AF554" i="1"/>
  <c r="AG554" i="1"/>
  <c r="AH554" i="1"/>
  <c r="AI554" i="1"/>
  <c r="AJ554" i="1"/>
  <c r="AK554" i="1"/>
  <c r="AL554" i="1"/>
  <c r="AM554" i="1"/>
  <c r="AN554" i="1"/>
  <c r="AO554" i="1"/>
  <c r="AP554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AC556" i="1"/>
  <c r="AD556" i="1"/>
  <c r="AE556" i="1"/>
  <c r="AF556" i="1"/>
  <c r="AG556" i="1"/>
  <c r="AH556" i="1"/>
  <c r="AI556" i="1"/>
  <c r="AJ556" i="1"/>
  <c r="AK556" i="1"/>
  <c r="AL556" i="1"/>
  <c r="AM556" i="1"/>
  <c r="AN556" i="1"/>
  <c r="AO556" i="1"/>
  <c r="AP556" i="1"/>
  <c r="AC557" i="1"/>
  <c r="AD557" i="1"/>
  <c r="AE557" i="1"/>
  <c r="AF557" i="1"/>
  <c r="AG557" i="1"/>
  <c r="AH557" i="1"/>
  <c r="AI557" i="1"/>
  <c r="AJ557" i="1"/>
  <c r="AK557" i="1"/>
  <c r="AL557" i="1"/>
  <c r="AM557" i="1"/>
  <c r="AN557" i="1"/>
  <c r="AO557" i="1"/>
  <c r="AP557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AC559" i="1"/>
  <c r="AD559" i="1"/>
  <c r="AE559" i="1"/>
  <c r="AF559" i="1"/>
  <c r="AG559" i="1"/>
  <c r="AH559" i="1"/>
  <c r="AI559" i="1"/>
  <c r="AJ559" i="1"/>
  <c r="AK559" i="1"/>
  <c r="AL559" i="1"/>
  <c r="AM559" i="1"/>
  <c r="AN559" i="1"/>
  <c r="AO559" i="1"/>
  <c r="AP559" i="1"/>
  <c r="AC560" i="1"/>
  <c r="AD560" i="1"/>
  <c r="AE560" i="1"/>
  <c r="AF560" i="1"/>
  <c r="AG560" i="1"/>
  <c r="AH560" i="1"/>
  <c r="AI560" i="1"/>
  <c r="AJ560" i="1"/>
  <c r="AK560" i="1"/>
  <c r="AL560" i="1"/>
  <c r="AM560" i="1"/>
  <c r="AN560" i="1"/>
  <c r="AO560" i="1"/>
  <c r="AP560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AC562" i="1"/>
  <c r="AD562" i="1"/>
  <c r="AE562" i="1"/>
  <c r="AF562" i="1"/>
  <c r="AG562" i="1"/>
  <c r="AH562" i="1"/>
  <c r="AI562" i="1"/>
  <c r="AJ562" i="1"/>
  <c r="AK562" i="1"/>
  <c r="AL562" i="1"/>
  <c r="AM562" i="1"/>
  <c r="AN562" i="1"/>
  <c r="AO562" i="1"/>
  <c r="AP562" i="1"/>
  <c r="AC563" i="1"/>
  <c r="AD563" i="1"/>
  <c r="AE563" i="1"/>
  <c r="AF563" i="1"/>
  <c r="AG563" i="1"/>
  <c r="AH563" i="1"/>
  <c r="AI563" i="1"/>
  <c r="AJ563" i="1"/>
  <c r="AK563" i="1"/>
  <c r="AL563" i="1"/>
  <c r="AM563" i="1"/>
  <c r="AN563" i="1"/>
  <c r="AO563" i="1"/>
  <c r="AP563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AC565" i="1"/>
  <c r="AD565" i="1"/>
  <c r="AE565" i="1"/>
  <c r="AF565" i="1"/>
  <c r="AG565" i="1"/>
  <c r="AH565" i="1"/>
  <c r="AI565" i="1"/>
  <c r="AJ565" i="1"/>
  <c r="AK565" i="1"/>
  <c r="AL565" i="1"/>
  <c r="AM565" i="1"/>
  <c r="AN565" i="1"/>
  <c r="AO565" i="1"/>
  <c r="AP565" i="1"/>
  <c r="AC566" i="1"/>
  <c r="AD566" i="1"/>
  <c r="AE566" i="1"/>
  <c r="AF566" i="1"/>
  <c r="AG566" i="1"/>
  <c r="AH566" i="1"/>
  <c r="AI566" i="1"/>
  <c r="AJ566" i="1"/>
  <c r="AK566" i="1"/>
  <c r="AL566" i="1"/>
  <c r="AM566" i="1"/>
  <c r="AN566" i="1"/>
  <c r="AO566" i="1"/>
  <c r="AP566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AC568" i="1"/>
  <c r="AD568" i="1"/>
  <c r="AE568" i="1"/>
  <c r="AF568" i="1"/>
  <c r="AG568" i="1"/>
  <c r="AH568" i="1"/>
  <c r="AI568" i="1"/>
  <c r="AJ568" i="1"/>
  <c r="AK568" i="1"/>
  <c r="AL568" i="1"/>
  <c r="AM568" i="1"/>
  <c r="AN568" i="1"/>
  <c r="AO568" i="1"/>
  <c r="AP568" i="1"/>
  <c r="AC569" i="1"/>
  <c r="AD569" i="1"/>
  <c r="AE569" i="1"/>
  <c r="AF569" i="1"/>
  <c r="AG569" i="1"/>
  <c r="AH569" i="1"/>
  <c r="AI569" i="1"/>
  <c r="AJ569" i="1"/>
  <c r="AK569" i="1"/>
  <c r="AL569" i="1"/>
  <c r="AM569" i="1"/>
  <c r="AN569" i="1"/>
  <c r="AO569" i="1"/>
  <c r="AP569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AC571" i="1"/>
  <c r="AD571" i="1"/>
  <c r="AE571" i="1"/>
  <c r="AF571" i="1"/>
  <c r="AG571" i="1"/>
  <c r="AH571" i="1"/>
  <c r="AI571" i="1"/>
  <c r="AJ571" i="1"/>
  <c r="AK571" i="1"/>
  <c r="AL571" i="1"/>
  <c r="AM571" i="1"/>
  <c r="AN571" i="1"/>
  <c r="AO571" i="1"/>
  <c r="AP571" i="1"/>
  <c r="AC572" i="1"/>
  <c r="AD572" i="1"/>
  <c r="AE572" i="1"/>
  <c r="AF572" i="1"/>
  <c r="AG572" i="1"/>
  <c r="AH572" i="1"/>
  <c r="AI572" i="1"/>
  <c r="AJ572" i="1"/>
  <c r="AK572" i="1"/>
  <c r="AL572" i="1"/>
  <c r="AM572" i="1"/>
  <c r="AN572" i="1"/>
  <c r="AO572" i="1"/>
  <c r="AP572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AC574" i="1"/>
  <c r="AD574" i="1"/>
  <c r="AE574" i="1"/>
  <c r="AF574" i="1"/>
  <c r="AG574" i="1"/>
  <c r="AH574" i="1"/>
  <c r="AI574" i="1"/>
  <c r="AJ574" i="1"/>
  <c r="AK574" i="1"/>
  <c r="AL574" i="1"/>
  <c r="AM574" i="1"/>
  <c r="AN574" i="1"/>
  <c r="AO574" i="1"/>
  <c r="AP574" i="1"/>
  <c r="AC575" i="1"/>
  <c r="AD575" i="1"/>
  <c r="AE575" i="1"/>
  <c r="AF575" i="1"/>
  <c r="AG575" i="1"/>
  <c r="AH575" i="1"/>
  <c r="AI575" i="1"/>
  <c r="AJ575" i="1"/>
  <c r="AK575" i="1"/>
  <c r="AL575" i="1"/>
  <c r="AM575" i="1"/>
  <c r="AN575" i="1"/>
  <c r="AO575" i="1"/>
  <c r="AP575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AC577" i="1"/>
  <c r="AD577" i="1"/>
  <c r="AE577" i="1"/>
  <c r="AF577" i="1"/>
  <c r="AG577" i="1"/>
  <c r="AH577" i="1"/>
  <c r="AI577" i="1"/>
  <c r="AJ577" i="1"/>
  <c r="AK577" i="1"/>
  <c r="AL577" i="1"/>
  <c r="AM577" i="1"/>
  <c r="AN577" i="1"/>
  <c r="AO577" i="1"/>
  <c r="AP577" i="1"/>
  <c r="AC578" i="1"/>
  <c r="AD578" i="1"/>
  <c r="AE578" i="1"/>
  <c r="AF578" i="1"/>
  <c r="AG578" i="1"/>
  <c r="AH578" i="1"/>
  <c r="AI578" i="1"/>
  <c r="AJ578" i="1"/>
  <c r="AK578" i="1"/>
  <c r="AL578" i="1"/>
  <c r="AM578" i="1"/>
  <c r="AN578" i="1"/>
  <c r="AO578" i="1"/>
  <c r="AP578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AC580" i="1"/>
  <c r="AD580" i="1"/>
  <c r="AE580" i="1"/>
  <c r="AF580" i="1"/>
  <c r="AG580" i="1"/>
  <c r="AH580" i="1"/>
  <c r="AI580" i="1"/>
  <c r="AJ580" i="1"/>
  <c r="AK580" i="1"/>
  <c r="AL580" i="1"/>
  <c r="AM580" i="1"/>
  <c r="AN580" i="1"/>
  <c r="AO580" i="1"/>
  <c r="AP580" i="1"/>
  <c r="AC581" i="1"/>
  <c r="AD581" i="1"/>
  <c r="AE581" i="1"/>
  <c r="AF581" i="1"/>
  <c r="AG581" i="1"/>
  <c r="AH581" i="1"/>
  <c r="AI581" i="1"/>
  <c r="AJ581" i="1"/>
  <c r="AK581" i="1"/>
  <c r="AL581" i="1"/>
  <c r="AM581" i="1"/>
  <c r="AN581" i="1"/>
  <c r="AO581" i="1"/>
  <c r="AP581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AC583" i="1"/>
  <c r="AD583" i="1"/>
  <c r="AE583" i="1"/>
  <c r="AF583" i="1"/>
  <c r="AG583" i="1"/>
  <c r="AH583" i="1"/>
  <c r="AI583" i="1"/>
  <c r="AJ583" i="1"/>
  <c r="AK583" i="1"/>
  <c r="AL583" i="1"/>
  <c r="AM583" i="1"/>
  <c r="AN583" i="1"/>
  <c r="AO583" i="1"/>
  <c r="AP583" i="1"/>
  <c r="AC584" i="1"/>
  <c r="AD584" i="1"/>
  <c r="AE584" i="1"/>
  <c r="AF584" i="1"/>
  <c r="AG584" i="1"/>
  <c r="AH584" i="1"/>
  <c r="AI584" i="1"/>
  <c r="AJ584" i="1"/>
  <c r="AK584" i="1"/>
  <c r="AL584" i="1"/>
  <c r="AM584" i="1"/>
  <c r="AN584" i="1"/>
  <c r="AO584" i="1"/>
  <c r="AP584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AC586" i="1"/>
  <c r="AD586" i="1"/>
  <c r="AE586" i="1"/>
  <c r="AF586" i="1"/>
  <c r="AG586" i="1"/>
  <c r="AH586" i="1"/>
  <c r="AI586" i="1"/>
  <c r="AJ586" i="1"/>
  <c r="AK586" i="1"/>
  <c r="AL586" i="1"/>
  <c r="AM586" i="1"/>
  <c r="AN586" i="1"/>
  <c r="AO586" i="1"/>
  <c r="AP586" i="1"/>
  <c r="AC587" i="1"/>
  <c r="AD587" i="1"/>
  <c r="AE587" i="1"/>
  <c r="AF587" i="1"/>
  <c r="AG587" i="1"/>
  <c r="AH587" i="1"/>
  <c r="AI587" i="1"/>
  <c r="AJ587" i="1"/>
  <c r="AK587" i="1"/>
  <c r="AL587" i="1"/>
  <c r="AM587" i="1"/>
  <c r="AN587" i="1"/>
  <c r="AO587" i="1"/>
  <c r="AP587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AC589" i="1"/>
  <c r="AD589" i="1"/>
  <c r="AE589" i="1"/>
  <c r="AF589" i="1"/>
  <c r="AG589" i="1"/>
  <c r="AH589" i="1"/>
  <c r="AI589" i="1"/>
  <c r="AJ589" i="1"/>
  <c r="AK589" i="1"/>
  <c r="AL589" i="1"/>
  <c r="AM589" i="1"/>
  <c r="AN589" i="1"/>
  <c r="AO589" i="1"/>
  <c r="AP589" i="1"/>
  <c r="AC590" i="1"/>
  <c r="AD590" i="1"/>
  <c r="AE590" i="1"/>
  <c r="AF590" i="1"/>
  <c r="AG590" i="1"/>
  <c r="AH590" i="1"/>
  <c r="AI590" i="1"/>
  <c r="AJ590" i="1"/>
  <c r="AK590" i="1"/>
  <c r="AL590" i="1"/>
  <c r="AM590" i="1"/>
  <c r="AN590" i="1"/>
  <c r="AO590" i="1"/>
  <c r="AP590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AC592" i="1"/>
  <c r="AD592" i="1"/>
  <c r="AE592" i="1"/>
  <c r="AF592" i="1"/>
  <c r="AG592" i="1"/>
  <c r="AH592" i="1"/>
  <c r="AI592" i="1"/>
  <c r="AJ592" i="1"/>
  <c r="AK592" i="1"/>
  <c r="AL592" i="1"/>
  <c r="AM592" i="1"/>
  <c r="AN592" i="1"/>
  <c r="AO592" i="1"/>
  <c r="AP592" i="1"/>
  <c r="AC593" i="1"/>
  <c r="AD593" i="1"/>
  <c r="AE593" i="1"/>
  <c r="AF593" i="1"/>
  <c r="AG593" i="1"/>
  <c r="AH593" i="1"/>
  <c r="AI593" i="1"/>
  <c r="AJ593" i="1"/>
  <c r="AK593" i="1"/>
  <c r="AL593" i="1"/>
  <c r="AM593" i="1"/>
  <c r="AN593" i="1"/>
  <c r="AO593" i="1"/>
  <c r="AP593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AC595" i="1"/>
  <c r="AD595" i="1"/>
  <c r="AE595" i="1"/>
  <c r="AF595" i="1"/>
  <c r="AG595" i="1"/>
  <c r="AH595" i="1"/>
  <c r="AI595" i="1"/>
  <c r="AJ595" i="1"/>
  <c r="AK595" i="1"/>
  <c r="AL595" i="1"/>
  <c r="AM595" i="1"/>
  <c r="AN595" i="1"/>
  <c r="AO595" i="1"/>
  <c r="AP595" i="1"/>
  <c r="AC596" i="1"/>
  <c r="AD596" i="1"/>
  <c r="AE596" i="1"/>
  <c r="AF596" i="1"/>
  <c r="AG596" i="1"/>
  <c r="AH596" i="1"/>
  <c r="AI596" i="1"/>
  <c r="AJ596" i="1"/>
  <c r="AK596" i="1"/>
  <c r="AL596" i="1"/>
  <c r="AM596" i="1"/>
  <c r="AN596" i="1"/>
  <c r="AO596" i="1"/>
  <c r="AP596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AC598" i="1"/>
  <c r="AD598" i="1"/>
  <c r="AE598" i="1"/>
  <c r="AF598" i="1"/>
  <c r="AG598" i="1"/>
  <c r="AH598" i="1"/>
  <c r="AI598" i="1"/>
  <c r="AJ598" i="1"/>
  <c r="AK598" i="1"/>
  <c r="AL598" i="1"/>
  <c r="AM598" i="1"/>
  <c r="AN598" i="1"/>
  <c r="AO598" i="1"/>
  <c r="AP598" i="1"/>
  <c r="AC599" i="1"/>
  <c r="AD599" i="1"/>
  <c r="AE599" i="1"/>
  <c r="AF599" i="1"/>
  <c r="AG599" i="1"/>
  <c r="AH599" i="1"/>
  <c r="AI599" i="1"/>
  <c r="AJ599" i="1"/>
  <c r="AK599" i="1"/>
  <c r="AL599" i="1"/>
  <c r="AM599" i="1"/>
  <c r="AN599" i="1"/>
  <c r="AO599" i="1"/>
  <c r="AP599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AC601" i="1"/>
  <c r="AD601" i="1"/>
  <c r="AE601" i="1"/>
  <c r="AF601" i="1"/>
  <c r="AG601" i="1"/>
  <c r="AH601" i="1"/>
  <c r="AI601" i="1"/>
  <c r="AJ601" i="1"/>
  <c r="AK601" i="1"/>
  <c r="AL601" i="1"/>
  <c r="AM601" i="1"/>
  <c r="AN601" i="1"/>
  <c r="AO601" i="1"/>
  <c r="AP601" i="1"/>
  <c r="AC602" i="1"/>
  <c r="AD602" i="1"/>
  <c r="AE602" i="1"/>
  <c r="AF602" i="1"/>
  <c r="AG602" i="1"/>
  <c r="AH602" i="1"/>
  <c r="AI602" i="1"/>
  <c r="AJ602" i="1"/>
  <c r="AK602" i="1"/>
  <c r="AL602" i="1"/>
  <c r="AM602" i="1"/>
  <c r="AN602" i="1"/>
  <c r="AO602" i="1"/>
  <c r="AP602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AC604" i="1"/>
  <c r="AD604" i="1"/>
  <c r="AE604" i="1"/>
  <c r="AF604" i="1"/>
  <c r="AG604" i="1"/>
  <c r="AH604" i="1"/>
  <c r="AI604" i="1"/>
  <c r="AJ604" i="1"/>
  <c r="AK604" i="1"/>
  <c r="AL604" i="1"/>
  <c r="AM604" i="1"/>
  <c r="AN604" i="1"/>
  <c r="AO604" i="1"/>
  <c r="AP604" i="1"/>
  <c r="AC605" i="1"/>
  <c r="AD605" i="1"/>
  <c r="AE605" i="1"/>
  <c r="AF605" i="1"/>
  <c r="AG605" i="1"/>
  <c r="AH605" i="1"/>
  <c r="AI605" i="1"/>
  <c r="AJ605" i="1"/>
  <c r="AK605" i="1"/>
  <c r="AL605" i="1"/>
  <c r="AM605" i="1"/>
  <c r="AN605" i="1"/>
  <c r="AO605" i="1"/>
  <c r="AP605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AC607" i="1"/>
  <c r="AD607" i="1"/>
  <c r="AE607" i="1"/>
  <c r="AF607" i="1"/>
  <c r="AG607" i="1"/>
  <c r="AH607" i="1"/>
  <c r="AI607" i="1"/>
  <c r="AJ607" i="1"/>
  <c r="AK607" i="1"/>
  <c r="AL607" i="1"/>
  <c r="AM607" i="1"/>
  <c r="AN607" i="1"/>
  <c r="AO607" i="1"/>
  <c r="AP607" i="1"/>
  <c r="AC608" i="1"/>
  <c r="AD608" i="1"/>
  <c r="AE608" i="1"/>
  <c r="AF608" i="1"/>
  <c r="AG608" i="1"/>
  <c r="AH608" i="1"/>
  <c r="AI608" i="1"/>
  <c r="AJ608" i="1"/>
  <c r="AK608" i="1"/>
  <c r="AL608" i="1"/>
  <c r="AM608" i="1"/>
  <c r="AN608" i="1"/>
  <c r="AO608" i="1"/>
  <c r="AP608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AC610" i="1"/>
  <c r="AD610" i="1"/>
  <c r="AE610" i="1"/>
  <c r="AF610" i="1"/>
  <c r="AG610" i="1"/>
  <c r="AH610" i="1"/>
  <c r="AI610" i="1"/>
  <c r="AJ610" i="1"/>
  <c r="AK610" i="1"/>
  <c r="AL610" i="1"/>
  <c r="AM610" i="1"/>
  <c r="AN610" i="1"/>
  <c r="AO610" i="1"/>
  <c r="AP610" i="1"/>
  <c r="AC611" i="1"/>
  <c r="AD611" i="1"/>
  <c r="AE611" i="1"/>
  <c r="AF611" i="1"/>
  <c r="AG611" i="1"/>
  <c r="AH611" i="1"/>
  <c r="AI611" i="1"/>
  <c r="AJ611" i="1"/>
  <c r="AK611" i="1"/>
  <c r="AL611" i="1"/>
  <c r="AM611" i="1"/>
  <c r="AN611" i="1"/>
  <c r="AO611" i="1"/>
  <c r="AP611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AC613" i="1"/>
  <c r="AD613" i="1"/>
  <c r="AE613" i="1"/>
  <c r="AF613" i="1"/>
  <c r="AG613" i="1"/>
  <c r="AH613" i="1"/>
  <c r="AI613" i="1"/>
  <c r="AJ613" i="1"/>
  <c r="AK613" i="1"/>
  <c r="AL613" i="1"/>
  <c r="AM613" i="1"/>
  <c r="AN613" i="1"/>
  <c r="AO613" i="1"/>
  <c r="AP613" i="1"/>
  <c r="AC614" i="1"/>
  <c r="AD614" i="1"/>
  <c r="AE614" i="1"/>
  <c r="AF614" i="1"/>
  <c r="AG614" i="1"/>
  <c r="AH614" i="1"/>
  <c r="AI614" i="1"/>
  <c r="AJ614" i="1"/>
  <c r="AK614" i="1"/>
  <c r="AL614" i="1"/>
  <c r="AM614" i="1"/>
  <c r="AN614" i="1"/>
  <c r="AO614" i="1"/>
  <c r="AP614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AC616" i="1"/>
  <c r="AD616" i="1"/>
  <c r="AE616" i="1"/>
  <c r="AF616" i="1"/>
  <c r="AG616" i="1"/>
  <c r="AH616" i="1"/>
  <c r="AI616" i="1"/>
  <c r="AJ616" i="1"/>
  <c r="AK616" i="1"/>
  <c r="AL616" i="1"/>
  <c r="AM616" i="1"/>
  <c r="AN616" i="1"/>
  <c r="AO616" i="1"/>
  <c r="AP616" i="1"/>
  <c r="AC617" i="1"/>
  <c r="AD617" i="1"/>
  <c r="AE617" i="1"/>
  <c r="AF617" i="1"/>
  <c r="AG617" i="1"/>
  <c r="AH617" i="1"/>
  <c r="AI617" i="1"/>
  <c r="AJ617" i="1"/>
  <c r="AK617" i="1"/>
  <c r="AL617" i="1"/>
  <c r="AM617" i="1"/>
  <c r="AN617" i="1"/>
  <c r="AO617" i="1"/>
  <c r="AP617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AC619" i="1"/>
  <c r="AD619" i="1"/>
  <c r="AE619" i="1"/>
  <c r="AF619" i="1"/>
  <c r="AG619" i="1"/>
  <c r="AH619" i="1"/>
  <c r="AI619" i="1"/>
  <c r="AJ619" i="1"/>
  <c r="AK619" i="1"/>
  <c r="AL619" i="1"/>
  <c r="AM619" i="1"/>
  <c r="AN619" i="1"/>
  <c r="AO619" i="1"/>
  <c r="AP619" i="1"/>
  <c r="AC620" i="1"/>
  <c r="AD620" i="1"/>
  <c r="AE620" i="1"/>
  <c r="AF620" i="1"/>
  <c r="AG620" i="1"/>
  <c r="AH620" i="1"/>
  <c r="AI620" i="1"/>
  <c r="AJ620" i="1"/>
  <c r="AK620" i="1"/>
  <c r="AL620" i="1"/>
  <c r="AM620" i="1"/>
  <c r="AN620" i="1"/>
  <c r="AO620" i="1"/>
  <c r="AP620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AC622" i="1"/>
  <c r="AD622" i="1"/>
  <c r="AE622" i="1"/>
  <c r="AF622" i="1"/>
  <c r="AG622" i="1"/>
  <c r="AH622" i="1"/>
  <c r="AI622" i="1"/>
  <c r="AJ622" i="1"/>
  <c r="AK622" i="1"/>
  <c r="AL622" i="1"/>
  <c r="AM622" i="1"/>
  <c r="AN622" i="1"/>
  <c r="AO622" i="1"/>
  <c r="AP622" i="1"/>
  <c r="AC623" i="1"/>
  <c r="AD623" i="1"/>
  <c r="AE623" i="1"/>
  <c r="AF623" i="1"/>
  <c r="AG623" i="1"/>
  <c r="AH623" i="1"/>
  <c r="AI623" i="1"/>
  <c r="AJ623" i="1"/>
  <c r="AK623" i="1"/>
  <c r="AL623" i="1"/>
  <c r="AM623" i="1"/>
  <c r="AN623" i="1"/>
  <c r="AO623" i="1"/>
  <c r="AP623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AC625" i="1"/>
  <c r="AD625" i="1"/>
  <c r="AE625" i="1"/>
  <c r="AF625" i="1"/>
  <c r="AG625" i="1"/>
  <c r="AH625" i="1"/>
  <c r="AI625" i="1"/>
  <c r="AJ625" i="1"/>
  <c r="AK625" i="1"/>
  <c r="AL625" i="1"/>
  <c r="AM625" i="1"/>
  <c r="AN625" i="1"/>
  <c r="AO625" i="1"/>
  <c r="AP625" i="1"/>
  <c r="AC626" i="1"/>
  <c r="AD626" i="1"/>
  <c r="AE626" i="1"/>
  <c r="AF626" i="1"/>
  <c r="AG626" i="1"/>
  <c r="AH626" i="1"/>
  <c r="AI626" i="1"/>
  <c r="AJ626" i="1"/>
  <c r="AK626" i="1"/>
  <c r="AL626" i="1"/>
  <c r="AM626" i="1"/>
  <c r="AN626" i="1"/>
  <c r="AO626" i="1"/>
  <c r="AP626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AC628" i="1"/>
  <c r="AD628" i="1"/>
  <c r="AE628" i="1"/>
  <c r="AF628" i="1"/>
  <c r="AG628" i="1"/>
  <c r="AH628" i="1"/>
  <c r="AI628" i="1"/>
  <c r="AJ628" i="1"/>
  <c r="AK628" i="1"/>
  <c r="AL628" i="1"/>
  <c r="AM628" i="1"/>
  <c r="AN628" i="1"/>
  <c r="AO628" i="1"/>
  <c r="AP628" i="1"/>
  <c r="AC629" i="1"/>
  <c r="AD629" i="1"/>
  <c r="AE629" i="1"/>
  <c r="AF629" i="1"/>
  <c r="AG629" i="1"/>
  <c r="AH629" i="1"/>
  <c r="AI629" i="1"/>
  <c r="AJ629" i="1"/>
  <c r="AK629" i="1"/>
  <c r="AL629" i="1"/>
  <c r="AM629" i="1"/>
  <c r="AN629" i="1"/>
  <c r="AO629" i="1"/>
  <c r="AP629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AC632" i="1"/>
  <c r="AD632" i="1"/>
  <c r="AE632" i="1"/>
  <c r="AF632" i="1"/>
  <c r="AG632" i="1"/>
  <c r="AH632" i="1"/>
  <c r="AI632" i="1"/>
  <c r="AJ632" i="1"/>
  <c r="AK632" i="1"/>
  <c r="AL632" i="1"/>
  <c r="AM632" i="1"/>
  <c r="AN632" i="1"/>
  <c r="AO632" i="1"/>
  <c r="AP632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AC634" i="1"/>
  <c r="AD634" i="1"/>
  <c r="AE634" i="1"/>
  <c r="AF634" i="1"/>
  <c r="AG634" i="1"/>
  <c r="AH634" i="1"/>
  <c r="AI634" i="1"/>
  <c r="AJ634" i="1"/>
  <c r="AK634" i="1"/>
  <c r="AL634" i="1"/>
  <c r="AM634" i="1"/>
  <c r="AN634" i="1"/>
  <c r="AO634" i="1"/>
  <c r="AP634" i="1"/>
  <c r="AC635" i="1"/>
  <c r="AD635" i="1"/>
  <c r="AE635" i="1"/>
  <c r="AF635" i="1"/>
  <c r="AG635" i="1"/>
  <c r="AH635" i="1"/>
  <c r="AI635" i="1"/>
  <c r="AJ635" i="1"/>
  <c r="AK635" i="1"/>
  <c r="AL635" i="1"/>
  <c r="AM635" i="1"/>
  <c r="AN635" i="1"/>
  <c r="AO635" i="1"/>
  <c r="AP635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AC637" i="1"/>
  <c r="AD637" i="1"/>
  <c r="AE637" i="1"/>
  <c r="AF637" i="1"/>
  <c r="AG637" i="1"/>
  <c r="AH637" i="1"/>
  <c r="AI637" i="1"/>
  <c r="AJ637" i="1"/>
  <c r="AK637" i="1"/>
  <c r="AL637" i="1"/>
  <c r="AM637" i="1"/>
  <c r="AN637" i="1"/>
  <c r="AO637" i="1"/>
  <c r="AP637" i="1"/>
  <c r="AC638" i="1"/>
  <c r="AD638" i="1"/>
  <c r="AE638" i="1"/>
  <c r="AF638" i="1"/>
  <c r="AG638" i="1"/>
  <c r="AH638" i="1"/>
  <c r="AI638" i="1"/>
  <c r="AJ638" i="1"/>
  <c r="AK638" i="1"/>
  <c r="AL638" i="1"/>
  <c r="AM638" i="1"/>
  <c r="AN638" i="1"/>
  <c r="AO638" i="1"/>
  <c r="AP638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AC640" i="1"/>
  <c r="AD640" i="1"/>
  <c r="AE640" i="1"/>
  <c r="AF640" i="1"/>
  <c r="AG640" i="1"/>
  <c r="AH640" i="1"/>
  <c r="AI640" i="1"/>
  <c r="AJ640" i="1"/>
  <c r="AK640" i="1"/>
  <c r="AL640" i="1"/>
  <c r="AM640" i="1"/>
  <c r="AN640" i="1"/>
  <c r="AO640" i="1"/>
  <c r="AP640" i="1"/>
  <c r="AC641" i="1"/>
  <c r="AD641" i="1"/>
  <c r="AE641" i="1"/>
  <c r="AF641" i="1"/>
  <c r="AG641" i="1"/>
  <c r="AH641" i="1"/>
  <c r="AI641" i="1"/>
  <c r="AJ641" i="1"/>
  <c r="AK641" i="1"/>
  <c r="AL641" i="1"/>
  <c r="AM641" i="1"/>
  <c r="AN641" i="1"/>
  <c r="AO641" i="1"/>
  <c r="AP641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AC643" i="1"/>
  <c r="AD643" i="1"/>
  <c r="AE643" i="1"/>
  <c r="AF643" i="1"/>
  <c r="AG643" i="1"/>
  <c r="AH643" i="1"/>
  <c r="AI643" i="1"/>
  <c r="AJ643" i="1"/>
  <c r="AK643" i="1"/>
  <c r="AL643" i="1"/>
  <c r="AM643" i="1"/>
  <c r="AN643" i="1"/>
  <c r="AO643" i="1"/>
  <c r="AP643" i="1"/>
  <c r="AC644" i="1"/>
  <c r="AD644" i="1"/>
  <c r="AE644" i="1"/>
  <c r="AF644" i="1"/>
  <c r="AG644" i="1"/>
  <c r="AH644" i="1"/>
  <c r="AI644" i="1"/>
  <c r="AJ644" i="1"/>
  <c r="AK644" i="1"/>
  <c r="AL644" i="1"/>
  <c r="AM644" i="1"/>
  <c r="AN644" i="1"/>
  <c r="AO644" i="1"/>
  <c r="AP644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AC646" i="1"/>
  <c r="AD646" i="1"/>
  <c r="AE646" i="1"/>
  <c r="AF646" i="1"/>
  <c r="AG646" i="1"/>
  <c r="AH646" i="1"/>
  <c r="AI646" i="1"/>
  <c r="AJ646" i="1"/>
  <c r="AK646" i="1"/>
  <c r="AL646" i="1"/>
  <c r="AM646" i="1"/>
  <c r="AN646" i="1"/>
  <c r="AO646" i="1"/>
  <c r="AP646" i="1"/>
  <c r="AC647" i="1"/>
  <c r="AD647" i="1"/>
  <c r="AE647" i="1"/>
  <c r="AF647" i="1"/>
  <c r="AG647" i="1"/>
  <c r="AH647" i="1"/>
  <c r="AI647" i="1"/>
  <c r="AJ647" i="1"/>
  <c r="AK647" i="1"/>
  <c r="AL647" i="1"/>
  <c r="AM647" i="1"/>
  <c r="AN647" i="1"/>
  <c r="AO647" i="1"/>
  <c r="AP647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AC649" i="1"/>
  <c r="AD649" i="1"/>
  <c r="AE649" i="1"/>
  <c r="AF649" i="1"/>
  <c r="AG649" i="1"/>
  <c r="AH649" i="1"/>
  <c r="AI649" i="1"/>
  <c r="AJ649" i="1"/>
  <c r="AK649" i="1"/>
  <c r="AL649" i="1"/>
  <c r="AM649" i="1"/>
  <c r="AN649" i="1"/>
  <c r="AO649" i="1"/>
  <c r="AP649" i="1"/>
  <c r="AC650" i="1"/>
  <c r="AD650" i="1"/>
  <c r="AE650" i="1"/>
  <c r="AF650" i="1"/>
  <c r="AG650" i="1"/>
  <c r="AH650" i="1"/>
  <c r="AI650" i="1"/>
  <c r="AJ650" i="1"/>
  <c r="AK650" i="1"/>
  <c r="AL650" i="1"/>
  <c r="AM650" i="1"/>
  <c r="AN650" i="1"/>
  <c r="AO650" i="1"/>
  <c r="AP650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AC652" i="1"/>
  <c r="AD652" i="1"/>
  <c r="AE652" i="1"/>
  <c r="AF652" i="1"/>
  <c r="AG652" i="1"/>
  <c r="AH652" i="1"/>
  <c r="AI652" i="1"/>
  <c r="AJ652" i="1"/>
  <c r="AK652" i="1"/>
  <c r="AL652" i="1"/>
  <c r="AM652" i="1"/>
  <c r="AN652" i="1"/>
  <c r="AO652" i="1"/>
  <c r="AP652" i="1"/>
  <c r="AC653" i="1"/>
  <c r="AD653" i="1"/>
  <c r="AE653" i="1"/>
  <c r="AF653" i="1"/>
  <c r="AG653" i="1"/>
  <c r="AH653" i="1"/>
  <c r="AI653" i="1"/>
  <c r="AJ653" i="1"/>
  <c r="AK653" i="1"/>
  <c r="AL653" i="1"/>
  <c r="AM653" i="1"/>
  <c r="AN653" i="1"/>
  <c r="AO653" i="1"/>
  <c r="AP653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AC655" i="1"/>
  <c r="AD655" i="1"/>
  <c r="AE655" i="1"/>
  <c r="AF655" i="1"/>
  <c r="AG655" i="1"/>
  <c r="AH655" i="1"/>
  <c r="AI655" i="1"/>
  <c r="AJ655" i="1"/>
  <c r="AK655" i="1"/>
  <c r="AL655" i="1"/>
  <c r="AM655" i="1"/>
  <c r="AN655" i="1"/>
  <c r="AO655" i="1"/>
  <c r="AP655" i="1"/>
  <c r="AC656" i="1"/>
  <c r="AD656" i="1"/>
  <c r="AE656" i="1"/>
  <c r="AF656" i="1"/>
  <c r="AG656" i="1"/>
  <c r="AH656" i="1"/>
  <c r="AI656" i="1"/>
  <c r="AJ656" i="1"/>
  <c r="AK656" i="1"/>
  <c r="AL656" i="1"/>
  <c r="AM656" i="1"/>
  <c r="AN656" i="1"/>
  <c r="AO656" i="1"/>
  <c r="AP656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AC658" i="1"/>
  <c r="AD658" i="1"/>
  <c r="AE658" i="1"/>
  <c r="AF658" i="1"/>
  <c r="AG658" i="1"/>
  <c r="AH658" i="1"/>
  <c r="AI658" i="1"/>
  <c r="AJ658" i="1"/>
  <c r="AK658" i="1"/>
  <c r="AL658" i="1"/>
  <c r="AM658" i="1"/>
  <c r="AN658" i="1"/>
  <c r="AO658" i="1"/>
  <c r="AP658" i="1"/>
  <c r="AC659" i="1"/>
  <c r="AD659" i="1"/>
  <c r="AE659" i="1"/>
  <c r="AF659" i="1"/>
  <c r="AG659" i="1"/>
  <c r="AH659" i="1"/>
  <c r="AI659" i="1"/>
  <c r="AJ659" i="1"/>
  <c r="AK659" i="1"/>
  <c r="AL659" i="1"/>
  <c r="AM659" i="1"/>
  <c r="AN659" i="1"/>
  <c r="AO659" i="1"/>
  <c r="AP659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AC661" i="1"/>
  <c r="AD661" i="1"/>
  <c r="AE661" i="1"/>
  <c r="AF661" i="1"/>
  <c r="AG661" i="1"/>
  <c r="AH661" i="1"/>
  <c r="AI661" i="1"/>
  <c r="AJ661" i="1"/>
  <c r="AK661" i="1"/>
  <c r="AL661" i="1"/>
  <c r="AM661" i="1"/>
  <c r="AN661" i="1"/>
  <c r="AO661" i="1"/>
  <c r="AP661" i="1"/>
  <c r="AC662" i="1"/>
  <c r="AD662" i="1"/>
  <c r="AE662" i="1"/>
  <c r="AF662" i="1"/>
  <c r="AG662" i="1"/>
  <c r="AH662" i="1"/>
  <c r="AI662" i="1"/>
  <c r="AJ662" i="1"/>
  <c r="AK662" i="1"/>
  <c r="AL662" i="1"/>
  <c r="AM662" i="1"/>
  <c r="AN662" i="1"/>
  <c r="AO662" i="1"/>
  <c r="AP662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AC664" i="1"/>
  <c r="AD664" i="1"/>
  <c r="AE664" i="1"/>
  <c r="AF664" i="1"/>
  <c r="AG664" i="1"/>
  <c r="AH664" i="1"/>
  <c r="AI664" i="1"/>
  <c r="AJ664" i="1"/>
  <c r="AK664" i="1"/>
  <c r="AL664" i="1"/>
  <c r="AM664" i="1"/>
  <c r="AN664" i="1"/>
  <c r="AO664" i="1"/>
  <c r="AP664" i="1"/>
  <c r="AC665" i="1"/>
  <c r="AD665" i="1"/>
  <c r="AE665" i="1"/>
  <c r="AF665" i="1"/>
  <c r="AG665" i="1"/>
  <c r="AH665" i="1"/>
  <c r="AI665" i="1"/>
  <c r="AJ665" i="1"/>
  <c r="AK665" i="1"/>
  <c r="AL665" i="1"/>
  <c r="AM665" i="1"/>
  <c r="AN665" i="1"/>
  <c r="AO665" i="1"/>
  <c r="AP665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AC667" i="1"/>
  <c r="AD667" i="1"/>
  <c r="AE667" i="1"/>
  <c r="AF667" i="1"/>
  <c r="AG667" i="1"/>
  <c r="AH667" i="1"/>
  <c r="AI667" i="1"/>
  <c r="AJ667" i="1"/>
  <c r="AK667" i="1"/>
  <c r="AL667" i="1"/>
  <c r="AM667" i="1"/>
  <c r="AN667" i="1"/>
  <c r="AO667" i="1"/>
  <c r="AP667" i="1"/>
  <c r="AC668" i="1"/>
  <c r="AD668" i="1"/>
  <c r="AE668" i="1"/>
  <c r="AF668" i="1"/>
  <c r="AG668" i="1"/>
  <c r="AH668" i="1"/>
  <c r="AI668" i="1"/>
  <c r="AJ668" i="1"/>
  <c r="AK668" i="1"/>
  <c r="AL668" i="1"/>
  <c r="AM668" i="1"/>
  <c r="AN668" i="1"/>
  <c r="AO668" i="1"/>
  <c r="AP668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AC670" i="1"/>
  <c r="AD670" i="1"/>
  <c r="AE670" i="1"/>
  <c r="AF670" i="1"/>
  <c r="AG670" i="1"/>
  <c r="AH670" i="1"/>
  <c r="AI670" i="1"/>
  <c r="AJ670" i="1"/>
  <c r="AK670" i="1"/>
  <c r="AL670" i="1"/>
  <c r="AM670" i="1"/>
  <c r="AN670" i="1"/>
  <c r="AO670" i="1"/>
  <c r="AP670" i="1"/>
  <c r="AC671" i="1"/>
  <c r="AD671" i="1"/>
  <c r="AE671" i="1"/>
  <c r="AF671" i="1"/>
  <c r="AG671" i="1"/>
  <c r="AH671" i="1"/>
  <c r="AI671" i="1"/>
  <c r="AJ671" i="1"/>
  <c r="AK671" i="1"/>
  <c r="AL671" i="1"/>
  <c r="AM671" i="1"/>
  <c r="AN671" i="1"/>
  <c r="AO671" i="1"/>
  <c r="AP671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AC673" i="1"/>
  <c r="AD673" i="1"/>
  <c r="AE673" i="1"/>
  <c r="AF673" i="1"/>
  <c r="AG673" i="1"/>
  <c r="AH673" i="1"/>
  <c r="AI673" i="1"/>
  <c r="AJ673" i="1"/>
  <c r="AK673" i="1"/>
  <c r="AL673" i="1"/>
  <c r="AM673" i="1"/>
  <c r="AN673" i="1"/>
  <c r="AO673" i="1"/>
  <c r="AP673" i="1"/>
  <c r="AC674" i="1"/>
  <c r="AD674" i="1"/>
  <c r="AE674" i="1"/>
  <c r="AF674" i="1"/>
  <c r="AG674" i="1"/>
  <c r="AH674" i="1"/>
  <c r="AI674" i="1"/>
  <c r="AJ674" i="1"/>
  <c r="AK674" i="1"/>
  <c r="AL674" i="1"/>
  <c r="AM674" i="1"/>
  <c r="AN674" i="1"/>
  <c r="AO674" i="1"/>
  <c r="AP674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AC676" i="1"/>
  <c r="AD676" i="1"/>
  <c r="AE676" i="1"/>
  <c r="AF676" i="1"/>
  <c r="AG676" i="1"/>
  <c r="AH676" i="1"/>
  <c r="AI676" i="1"/>
  <c r="AJ676" i="1"/>
  <c r="AK676" i="1"/>
  <c r="AL676" i="1"/>
  <c r="AM676" i="1"/>
  <c r="AN676" i="1"/>
  <c r="AO676" i="1"/>
  <c r="AP676" i="1"/>
  <c r="AC677" i="1"/>
  <c r="AD677" i="1"/>
  <c r="AE677" i="1"/>
  <c r="AF677" i="1"/>
  <c r="AG677" i="1"/>
  <c r="AH677" i="1"/>
  <c r="AI677" i="1"/>
  <c r="AJ677" i="1"/>
  <c r="AK677" i="1"/>
  <c r="AL677" i="1"/>
  <c r="AM677" i="1"/>
  <c r="AN677" i="1"/>
  <c r="AO677" i="1"/>
  <c r="AP677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AC679" i="1"/>
  <c r="AD679" i="1"/>
  <c r="AE679" i="1"/>
  <c r="AF679" i="1"/>
  <c r="AG679" i="1"/>
  <c r="AH679" i="1"/>
  <c r="AI679" i="1"/>
  <c r="AJ679" i="1"/>
  <c r="AK679" i="1"/>
  <c r="AL679" i="1"/>
  <c r="AM679" i="1"/>
  <c r="AN679" i="1"/>
  <c r="AO679" i="1"/>
  <c r="AP679" i="1"/>
  <c r="AC680" i="1"/>
  <c r="AD680" i="1"/>
  <c r="AE680" i="1"/>
  <c r="AF680" i="1"/>
  <c r="AG680" i="1"/>
  <c r="AH680" i="1"/>
  <c r="AI680" i="1"/>
  <c r="AJ680" i="1"/>
  <c r="AK680" i="1"/>
  <c r="AL680" i="1"/>
  <c r="AM680" i="1"/>
  <c r="AN680" i="1"/>
  <c r="AO680" i="1"/>
  <c r="AP680" i="1"/>
  <c r="AC681" i="1"/>
  <c r="AD681" i="1"/>
  <c r="AE681" i="1"/>
  <c r="AF681" i="1"/>
  <c r="AG681" i="1"/>
  <c r="AH681" i="1"/>
  <c r="AI681" i="1"/>
  <c r="AJ681" i="1"/>
  <c r="AK681" i="1"/>
  <c r="AL681" i="1"/>
  <c r="AM681" i="1"/>
  <c r="AN681" i="1"/>
  <c r="AO681" i="1"/>
  <c r="AP681" i="1"/>
  <c r="AC682" i="1"/>
  <c r="AD682" i="1"/>
  <c r="AE682" i="1"/>
  <c r="AF682" i="1"/>
  <c r="AG682" i="1"/>
  <c r="AH682" i="1"/>
  <c r="AI682" i="1"/>
  <c r="AJ682" i="1"/>
  <c r="AK682" i="1"/>
  <c r="AL682" i="1"/>
  <c r="AM682" i="1"/>
  <c r="AN682" i="1"/>
  <c r="AO682" i="1"/>
  <c r="AP682" i="1"/>
  <c r="AC683" i="1"/>
  <c r="AD683" i="1"/>
  <c r="AE683" i="1"/>
  <c r="AF683" i="1"/>
  <c r="AG683" i="1"/>
  <c r="AH683" i="1"/>
  <c r="AI683" i="1"/>
  <c r="AJ683" i="1"/>
  <c r="AK683" i="1"/>
  <c r="AL683" i="1"/>
  <c r="AM683" i="1"/>
  <c r="AN683" i="1"/>
  <c r="AO683" i="1"/>
  <c r="AP683" i="1"/>
  <c r="AC684" i="1"/>
  <c r="AD684" i="1"/>
  <c r="AE684" i="1"/>
  <c r="AF684" i="1"/>
  <c r="AG684" i="1"/>
  <c r="AH684" i="1"/>
  <c r="AI684" i="1"/>
  <c r="AJ684" i="1"/>
  <c r="AK684" i="1"/>
  <c r="AL684" i="1"/>
  <c r="AM684" i="1"/>
  <c r="AN684" i="1"/>
  <c r="AO684" i="1"/>
  <c r="AP684" i="1"/>
  <c r="AC685" i="1"/>
  <c r="AD685" i="1"/>
  <c r="AE685" i="1"/>
  <c r="AF685" i="1"/>
  <c r="AG685" i="1"/>
  <c r="AH685" i="1"/>
  <c r="AI685" i="1"/>
  <c r="AJ685" i="1"/>
  <c r="AK685" i="1"/>
  <c r="AL685" i="1"/>
  <c r="AM685" i="1"/>
  <c r="AN685" i="1"/>
  <c r="AO685" i="1"/>
  <c r="AP685" i="1"/>
  <c r="AC686" i="1"/>
  <c r="AD686" i="1"/>
  <c r="AE686" i="1"/>
  <c r="AF686" i="1"/>
  <c r="AG686" i="1"/>
  <c r="AH686" i="1"/>
  <c r="AI686" i="1"/>
  <c r="AJ686" i="1"/>
  <c r="AK686" i="1"/>
  <c r="AL686" i="1"/>
  <c r="AM686" i="1"/>
  <c r="AN686" i="1"/>
  <c r="AO686" i="1"/>
  <c r="AP686" i="1"/>
  <c r="AC687" i="1"/>
  <c r="AD687" i="1"/>
  <c r="AE687" i="1"/>
  <c r="AF687" i="1"/>
  <c r="AG687" i="1"/>
  <c r="AH687" i="1"/>
  <c r="AI687" i="1"/>
  <c r="AJ687" i="1"/>
  <c r="AK687" i="1"/>
  <c r="AL687" i="1"/>
  <c r="AM687" i="1"/>
  <c r="AN687" i="1"/>
  <c r="AO687" i="1"/>
  <c r="AP687" i="1"/>
  <c r="AC688" i="1"/>
  <c r="AD688" i="1"/>
  <c r="AE688" i="1"/>
  <c r="AF688" i="1"/>
  <c r="AG688" i="1"/>
  <c r="AH688" i="1"/>
  <c r="AI688" i="1"/>
  <c r="AJ688" i="1"/>
  <c r="AK688" i="1"/>
  <c r="AL688" i="1"/>
  <c r="AM688" i="1"/>
  <c r="AN688" i="1"/>
  <c r="AO688" i="1"/>
  <c r="AP688" i="1"/>
  <c r="AC689" i="1"/>
  <c r="AD689" i="1"/>
  <c r="AE689" i="1"/>
  <c r="AF689" i="1"/>
  <c r="AG689" i="1"/>
  <c r="AH689" i="1"/>
  <c r="AI689" i="1"/>
  <c r="AJ689" i="1"/>
  <c r="AK689" i="1"/>
  <c r="AL689" i="1"/>
  <c r="AM689" i="1"/>
  <c r="AN689" i="1"/>
  <c r="AO689" i="1"/>
  <c r="AP689" i="1"/>
  <c r="AC690" i="1"/>
  <c r="AD690" i="1"/>
  <c r="AE690" i="1"/>
  <c r="AF690" i="1"/>
  <c r="AG690" i="1"/>
  <c r="AH690" i="1"/>
  <c r="AI690" i="1"/>
  <c r="AJ690" i="1"/>
  <c r="AK690" i="1"/>
  <c r="AL690" i="1"/>
  <c r="AM690" i="1"/>
  <c r="AN690" i="1"/>
  <c r="AO690" i="1"/>
  <c r="AP690" i="1"/>
  <c r="AC691" i="1"/>
  <c r="AD691" i="1"/>
  <c r="AE691" i="1"/>
  <c r="AF691" i="1"/>
  <c r="AG691" i="1"/>
  <c r="AH691" i="1"/>
  <c r="AI691" i="1"/>
  <c r="AJ691" i="1"/>
  <c r="AK691" i="1"/>
  <c r="AL691" i="1"/>
  <c r="AM691" i="1"/>
  <c r="AN691" i="1"/>
  <c r="AO691" i="1"/>
  <c r="AP691" i="1"/>
  <c r="AC692" i="1"/>
  <c r="AD692" i="1"/>
  <c r="AE692" i="1"/>
  <c r="AF692" i="1"/>
  <c r="AG692" i="1"/>
  <c r="AH692" i="1"/>
  <c r="AI692" i="1"/>
  <c r="AJ692" i="1"/>
  <c r="AK692" i="1"/>
  <c r="AL692" i="1"/>
  <c r="AM692" i="1"/>
  <c r="AN692" i="1"/>
  <c r="AO692" i="1"/>
  <c r="AP692" i="1"/>
  <c r="AC693" i="1"/>
  <c r="AD693" i="1"/>
  <c r="AE693" i="1"/>
  <c r="AF693" i="1"/>
  <c r="AG693" i="1"/>
  <c r="AH693" i="1"/>
  <c r="AI693" i="1"/>
  <c r="AJ693" i="1"/>
  <c r="AK693" i="1"/>
  <c r="AL693" i="1"/>
  <c r="AM693" i="1"/>
  <c r="AN693" i="1"/>
  <c r="AO693" i="1"/>
  <c r="AP693" i="1"/>
  <c r="AC694" i="1"/>
  <c r="AD694" i="1"/>
  <c r="AE694" i="1"/>
  <c r="AF694" i="1"/>
  <c r="AG694" i="1"/>
  <c r="AH694" i="1"/>
  <c r="AI694" i="1"/>
  <c r="AJ694" i="1"/>
  <c r="AK694" i="1"/>
  <c r="AL694" i="1"/>
  <c r="AM694" i="1"/>
  <c r="AN694" i="1"/>
  <c r="AO694" i="1"/>
  <c r="AP694" i="1"/>
  <c r="AC695" i="1"/>
  <c r="AD695" i="1"/>
  <c r="AE695" i="1"/>
  <c r="AF695" i="1"/>
  <c r="AG695" i="1"/>
  <c r="AH695" i="1"/>
  <c r="AI695" i="1"/>
  <c r="AJ695" i="1"/>
  <c r="AK695" i="1"/>
  <c r="AL695" i="1"/>
  <c r="AM695" i="1"/>
  <c r="AN695" i="1"/>
  <c r="AO695" i="1"/>
  <c r="AP695" i="1"/>
  <c r="AC696" i="1"/>
  <c r="AD696" i="1"/>
  <c r="AE696" i="1"/>
  <c r="AF696" i="1"/>
  <c r="AG696" i="1"/>
  <c r="AH696" i="1"/>
  <c r="AI696" i="1"/>
  <c r="AJ696" i="1"/>
  <c r="AK696" i="1"/>
  <c r="AL696" i="1"/>
  <c r="AM696" i="1"/>
  <c r="AN696" i="1"/>
  <c r="AO696" i="1"/>
  <c r="AP696" i="1"/>
  <c r="AC697" i="1"/>
  <c r="AD697" i="1"/>
  <c r="AE697" i="1"/>
  <c r="AF697" i="1"/>
  <c r="AG697" i="1"/>
  <c r="AH697" i="1"/>
  <c r="AI697" i="1"/>
  <c r="AJ697" i="1"/>
  <c r="AK697" i="1"/>
  <c r="AL697" i="1"/>
  <c r="AM697" i="1"/>
  <c r="AN697" i="1"/>
  <c r="AO697" i="1"/>
  <c r="AP697" i="1"/>
  <c r="AC698" i="1"/>
  <c r="AD698" i="1"/>
  <c r="AE698" i="1"/>
  <c r="AF698" i="1"/>
  <c r="AG698" i="1"/>
  <c r="AH698" i="1"/>
  <c r="AI698" i="1"/>
  <c r="AJ698" i="1"/>
  <c r="AK698" i="1"/>
  <c r="AL698" i="1"/>
  <c r="AM698" i="1"/>
  <c r="AN698" i="1"/>
  <c r="AO698" i="1"/>
  <c r="AP698" i="1"/>
  <c r="AC699" i="1"/>
  <c r="AD699" i="1"/>
  <c r="AE699" i="1"/>
  <c r="AF699" i="1"/>
  <c r="AG699" i="1"/>
  <c r="AH699" i="1"/>
  <c r="AI699" i="1"/>
  <c r="AJ699" i="1"/>
  <c r="AK699" i="1"/>
  <c r="AL699" i="1"/>
  <c r="AM699" i="1"/>
  <c r="AN699" i="1"/>
  <c r="AO699" i="1"/>
  <c r="AP699" i="1"/>
  <c r="AC700" i="1"/>
  <c r="AD700" i="1"/>
  <c r="AE700" i="1"/>
  <c r="AF700" i="1"/>
  <c r="AG700" i="1"/>
  <c r="AH700" i="1"/>
  <c r="AI700" i="1"/>
  <c r="AJ700" i="1"/>
  <c r="AK700" i="1"/>
  <c r="AL700" i="1"/>
  <c r="AM700" i="1"/>
  <c r="AN700" i="1"/>
  <c r="AO700" i="1"/>
  <c r="AP700" i="1"/>
  <c r="AC701" i="1"/>
  <c r="AD701" i="1"/>
  <c r="AE701" i="1"/>
  <c r="AF701" i="1"/>
  <c r="AG701" i="1"/>
  <c r="AH701" i="1"/>
  <c r="AI701" i="1"/>
  <c r="AJ701" i="1"/>
  <c r="AK701" i="1"/>
  <c r="AL701" i="1"/>
  <c r="AM701" i="1"/>
  <c r="AN701" i="1"/>
  <c r="AO701" i="1"/>
  <c r="AP701" i="1"/>
  <c r="AC702" i="1"/>
  <c r="AD702" i="1"/>
  <c r="AE702" i="1"/>
  <c r="AF702" i="1"/>
  <c r="AG702" i="1"/>
  <c r="AH702" i="1"/>
  <c r="AI702" i="1"/>
  <c r="AJ702" i="1"/>
  <c r="AK702" i="1"/>
  <c r="AL702" i="1"/>
  <c r="AM702" i="1"/>
  <c r="AN702" i="1"/>
  <c r="AO702" i="1"/>
  <c r="AP702" i="1"/>
  <c r="AC703" i="1"/>
  <c r="AD703" i="1"/>
  <c r="AE703" i="1"/>
  <c r="AF703" i="1"/>
  <c r="AG703" i="1"/>
  <c r="AH703" i="1"/>
  <c r="AI703" i="1"/>
  <c r="AJ703" i="1"/>
  <c r="AK703" i="1"/>
  <c r="AL703" i="1"/>
  <c r="AM703" i="1"/>
  <c r="AN703" i="1"/>
  <c r="AO703" i="1"/>
  <c r="AP703" i="1"/>
  <c r="AC704" i="1"/>
  <c r="AD704" i="1"/>
  <c r="AE704" i="1"/>
  <c r="AF704" i="1"/>
  <c r="AG704" i="1"/>
  <c r="AH704" i="1"/>
  <c r="AI704" i="1"/>
  <c r="AJ704" i="1"/>
  <c r="AK704" i="1"/>
  <c r="AL704" i="1"/>
  <c r="AM704" i="1"/>
  <c r="AN704" i="1"/>
  <c r="AO704" i="1"/>
  <c r="AP704" i="1"/>
  <c r="AC705" i="1"/>
  <c r="AD705" i="1"/>
  <c r="AE705" i="1"/>
  <c r="AF705" i="1"/>
  <c r="AG705" i="1"/>
  <c r="AH705" i="1"/>
  <c r="AI705" i="1"/>
  <c r="AJ705" i="1"/>
  <c r="AK705" i="1"/>
  <c r="AL705" i="1"/>
  <c r="AM705" i="1"/>
  <c r="AN705" i="1"/>
  <c r="AO705" i="1"/>
  <c r="AP705" i="1"/>
  <c r="AC706" i="1"/>
  <c r="AD706" i="1"/>
  <c r="AE706" i="1"/>
  <c r="AF706" i="1"/>
  <c r="AG706" i="1"/>
  <c r="AH706" i="1"/>
  <c r="AI706" i="1"/>
  <c r="AJ706" i="1"/>
  <c r="AK706" i="1"/>
  <c r="AL706" i="1"/>
  <c r="AM706" i="1"/>
  <c r="AN706" i="1"/>
  <c r="AO706" i="1"/>
  <c r="AP706" i="1"/>
  <c r="AC707" i="1"/>
  <c r="AD707" i="1"/>
  <c r="AE707" i="1"/>
  <c r="AF707" i="1"/>
  <c r="AG707" i="1"/>
  <c r="AH707" i="1"/>
  <c r="AI707" i="1"/>
  <c r="AJ707" i="1"/>
  <c r="AK707" i="1"/>
  <c r="AL707" i="1"/>
  <c r="AM707" i="1"/>
  <c r="AN707" i="1"/>
  <c r="AO707" i="1"/>
  <c r="AP707" i="1"/>
  <c r="AC708" i="1"/>
  <c r="AD708" i="1"/>
  <c r="AE708" i="1"/>
  <c r="AF708" i="1"/>
  <c r="AG708" i="1"/>
  <c r="AH708" i="1"/>
  <c r="AI708" i="1"/>
  <c r="AJ708" i="1"/>
  <c r="AK708" i="1"/>
  <c r="AL708" i="1"/>
  <c r="AM708" i="1"/>
  <c r="AN708" i="1"/>
  <c r="AO708" i="1"/>
  <c r="AP708" i="1"/>
  <c r="AC709" i="1"/>
  <c r="AD709" i="1"/>
  <c r="AE709" i="1"/>
  <c r="AF709" i="1"/>
  <c r="AG709" i="1"/>
  <c r="AH709" i="1"/>
  <c r="AI709" i="1"/>
  <c r="AJ709" i="1"/>
  <c r="AK709" i="1"/>
  <c r="AL709" i="1"/>
  <c r="AM709" i="1"/>
  <c r="AN709" i="1"/>
  <c r="AO709" i="1"/>
  <c r="AP709" i="1"/>
  <c r="AC710" i="1"/>
  <c r="AD710" i="1"/>
  <c r="AE710" i="1"/>
  <c r="AF710" i="1"/>
  <c r="AG710" i="1"/>
  <c r="AH710" i="1"/>
  <c r="AI710" i="1"/>
  <c r="AJ710" i="1"/>
  <c r="AK710" i="1"/>
  <c r="AL710" i="1"/>
  <c r="AM710" i="1"/>
  <c r="AN710" i="1"/>
  <c r="AO710" i="1"/>
  <c r="AP710" i="1"/>
  <c r="AC711" i="1"/>
  <c r="AD711" i="1"/>
  <c r="AE711" i="1"/>
  <c r="AF711" i="1"/>
  <c r="AG711" i="1"/>
  <c r="AH711" i="1"/>
  <c r="AI711" i="1"/>
  <c r="AJ711" i="1"/>
  <c r="AK711" i="1"/>
  <c r="AL711" i="1"/>
  <c r="AM711" i="1"/>
  <c r="AN711" i="1"/>
  <c r="AO711" i="1"/>
  <c r="AP711" i="1"/>
  <c r="AC712" i="1"/>
  <c r="AD712" i="1"/>
  <c r="AE712" i="1"/>
  <c r="AF712" i="1"/>
  <c r="AG712" i="1"/>
  <c r="AH712" i="1"/>
  <c r="AI712" i="1"/>
  <c r="AJ712" i="1"/>
  <c r="AK712" i="1"/>
  <c r="AL712" i="1"/>
  <c r="AM712" i="1"/>
  <c r="AN712" i="1"/>
  <c r="AO712" i="1"/>
  <c r="AP712" i="1"/>
  <c r="AC713" i="1"/>
  <c r="AD713" i="1"/>
  <c r="AE713" i="1"/>
  <c r="AF713" i="1"/>
  <c r="AG713" i="1"/>
  <c r="AH713" i="1"/>
  <c r="AI713" i="1"/>
  <c r="AJ713" i="1"/>
  <c r="AK713" i="1"/>
  <c r="AL713" i="1"/>
  <c r="AM713" i="1"/>
  <c r="AN713" i="1"/>
  <c r="AO713" i="1"/>
  <c r="AP713" i="1"/>
  <c r="AC714" i="1"/>
  <c r="AD714" i="1"/>
  <c r="AE714" i="1"/>
  <c r="AF714" i="1"/>
  <c r="AG714" i="1"/>
  <c r="AH714" i="1"/>
  <c r="AI714" i="1"/>
  <c r="AJ714" i="1"/>
  <c r="AK714" i="1"/>
  <c r="AL714" i="1"/>
  <c r="AM714" i="1"/>
  <c r="AN714" i="1"/>
  <c r="AO714" i="1"/>
  <c r="AP714" i="1"/>
  <c r="AC715" i="1"/>
  <c r="AD715" i="1"/>
  <c r="AE715" i="1"/>
  <c r="AF715" i="1"/>
  <c r="AG715" i="1"/>
  <c r="AH715" i="1"/>
  <c r="AI715" i="1"/>
  <c r="AJ715" i="1"/>
  <c r="AK715" i="1"/>
  <c r="AL715" i="1"/>
  <c r="AM715" i="1"/>
  <c r="AN715" i="1"/>
  <c r="AO715" i="1"/>
  <c r="AP715" i="1"/>
  <c r="AC716" i="1"/>
  <c r="AD716" i="1"/>
  <c r="AE716" i="1"/>
  <c r="AF716" i="1"/>
  <c r="AG716" i="1"/>
  <c r="AH716" i="1"/>
  <c r="AI716" i="1"/>
  <c r="AJ716" i="1"/>
  <c r="AK716" i="1"/>
  <c r="AL716" i="1"/>
  <c r="AM716" i="1"/>
  <c r="AN716" i="1"/>
  <c r="AO716" i="1"/>
  <c r="AP716" i="1"/>
  <c r="AC717" i="1"/>
  <c r="AD717" i="1"/>
  <c r="AE717" i="1"/>
  <c r="AF717" i="1"/>
  <c r="AG717" i="1"/>
  <c r="AH717" i="1"/>
  <c r="AI717" i="1"/>
  <c r="AJ717" i="1"/>
  <c r="AK717" i="1"/>
  <c r="AL717" i="1"/>
  <c r="AM717" i="1"/>
  <c r="AN717" i="1"/>
  <c r="AO717" i="1"/>
  <c r="AP717" i="1"/>
  <c r="AC718" i="1"/>
  <c r="AD718" i="1"/>
  <c r="AE718" i="1"/>
  <c r="AF718" i="1"/>
  <c r="AG718" i="1"/>
  <c r="AH718" i="1"/>
  <c r="AI718" i="1"/>
  <c r="AJ718" i="1"/>
  <c r="AK718" i="1"/>
  <c r="AL718" i="1"/>
  <c r="AM718" i="1"/>
  <c r="AN718" i="1"/>
  <c r="AO718" i="1"/>
  <c r="AP718" i="1"/>
  <c r="AC719" i="1"/>
  <c r="AD719" i="1"/>
  <c r="AE719" i="1"/>
  <c r="AF719" i="1"/>
  <c r="AG719" i="1"/>
  <c r="AH719" i="1"/>
  <c r="AI719" i="1"/>
  <c r="AJ719" i="1"/>
  <c r="AK719" i="1"/>
  <c r="AL719" i="1"/>
  <c r="AM719" i="1"/>
  <c r="AN719" i="1"/>
  <c r="AO719" i="1"/>
  <c r="AP719" i="1"/>
  <c r="AC720" i="1"/>
  <c r="AD720" i="1"/>
  <c r="AE720" i="1"/>
  <c r="AF720" i="1"/>
  <c r="AG720" i="1"/>
  <c r="AH720" i="1"/>
  <c r="AI720" i="1"/>
  <c r="AJ720" i="1"/>
  <c r="AK720" i="1"/>
  <c r="AL720" i="1"/>
  <c r="AM720" i="1"/>
  <c r="AN720" i="1"/>
  <c r="AO720" i="1"/>
  <c r="AP720" i="1"/>
  <c r="AC721" i="1"/>
  <c r="AD721" i="1"/>
  <c r="AE721" i="1"/>
  <c r="AF721" i="1"/>
  <c r="AG721" i="1"/>
  <c r="AH721" i="1"/>
  <c r="AI721" i="1"/>
  <c r="AJ721" i="1"/>
  <c r="AK721" i="1"/>
  <c r="AL721" i="1"/>
  <c r="AM721" i="1"/>
  <c r="AN721" i="1"/>
  <c r="AO721" i="1"/>
  <c r="AP721" i="1"/>
  <c r="AC722" i="1"/>
  <c r="AD722" i="1"/>
  <c r="AE722" i="1"/>
  <c r="AF722" i="1"/>
  <c r="AG722" i="1"/>
  <c r="AH722" i="1"/>
  <c r="AI722" i="1"/>
  <c r="AJ722" i="1"/>
  <c r="AK722" i="1"/>
  <c r="AL722" i="1"/>
  <c r="AM722" i="1"/>
  <c r="AN722" i="1"/>
  <c r="AO722" i="1"/>
  <c r="AP722" i="1"/>
  <c r="AC723" i="1"/>
  <c r="AD723" i="1"/>
  <c r="AE723" i="1"/>
  <c r="AF723" i="1"/>
  <c r="AG723" i="1"/>
  <c r="AH723" i="1"/>
  <c r="AI723" i="1"/>
  <c r="AJ723" i="1"/>
  <c r="AK723" i="1"/>
  <c r="AL723" i="1"/>
  <c r="AM723" i="1"/>
  <c r="AN723" i="1"/>
  <c r="AO723" i="1"/>
  <c r="AP723" i="1"/>
  <c r="AC724" i="1"/>
  <c r="AD724" i="1"/>
  <c r="AE724" i="1"/>
  <c r="AF724" i="1"/>
  <c r="AG724" i="1"/>
  <c r="AH724" i="1"/>
  <c r="AI724" i="1"/>
  <c r="AJ724" i="1"/>
  <c r="AK724" i="1"/>
  <c r="AL724" i="1"/>
  <c r="AM724" i="1"/>
  <c r="AN724" i="1"/>
  <c r="AO724" i="1"/>
  <c r="AP724" i="1"/>
  <c r="AC725" i="1"/>
  <c r="AD725" i="1"/>
  <c r="AE725" i="1"/>
  <c r="AF725" i="1"/>
  <c r="AG725" i="1"/>
  <c r="AH725" i="1"/>
  <c r="AI725" i="1"/>
  <c r="AJ725" i="1"/>
  <c r="AK725" i="1"/>
  <c r="AL725" i="1"/>
  <c r="AM725" i="1"/>
  <c r="AN725" i="1"/>
  <c r="AO725" i="1"/>
  <c r="AP725" i="1"/>
  <c r="AC726" i="1"/>
  <c r="AD726" i="1"/>
  <c r="AE726" i="1"/>
  <c r="AF726" i="1"/>
  <c r="AG726" i="1"/>
  <c r="AH726" i="1"/>
  <c r="AI726" i="1"/>
  <c r="AJ726" i="1"/>
  <c r="AK726" i="1"/>
  <c r="AL726" i="1"/>
  <c r="AM726" i="1"/>
  <c r="AN726" i="1"/>
  <c r="AO726" i="1"/>
  <c r="AP726" i="1"/>
  <c r="AC727" i="1"/>
  <c r="AD727" i="1"/>
  <c r="AE727" i="1"/>
  <c r="AF727" i="1"/>
  <c r="AG727" i="1"/>
  <c r="AH727" i="1"/>
  <c r="AI727" i="1"/>
  <c r="AJ727" i="1"/>
  <c r="AK727" i="1"/>
  <c r="AL727" i="1"/>
  <c r="AM727" i="1"/>
  <c r="AN727" i="1"/>
  <c r="AO727" i="1"/>
  <c r="AP727" i="1"/>
  <c r="AC728" i="1"/>
  <c r="AD728" i="1"/>
  <c r="AE728" i="1"/>
  <c r="AF728" i="1"/>
  <c r="AG728" i="1"/>
  <c r="AH728" i="1"/>
  <c r="AI728" i="1"/>
  <c r="AJ728" i="1"/>
  <c r="AK728" i="1"/>
  <c r="AL728" i="1"/>
  <c r="AM728" i="1"/>
  <c r="AN728" i="1"/>
  <c r="AO728" i="1"/>
  <c r="AP728" i="1"/>
  <c r="AC729" i="1"/>
  <c r="AD729" i="1"/>
  <c r="AE729" i="1"/>
  <c r="AF729" i="1"/>
  <c r="AG729" i="1"/>
  <c r="AH729" i="1"/>
  <c r="AI729" i="1"/>
  <c r="AJ729" i="1"/>
  <c r="AK729" i="1"/>
  <c r="AL729" i="1"/>
  <c r="AM729" i="1"/>
  <c r="AN729" i="1"/>
  <c r="AO729" i="1"/>
  <c r="AP729" i="1"/>
  <c r="AC730" i="1"/>
  <c r="AD730" i="1"/>
  <c r="AE730" i="1"/>
  <c r="AF730" i="1"/>
  <c r="AG730" i="1"/>
  <c r="AH730" i="1"/>
  <c r="AI730" i="1"/>
  <c r="AJ730" i="1"/>
  <c r="AK730" i="1"/>
  <c r="AL730" i="1"/>
  <c r="AM730" i="1"/>
  <c r="AN730" i="1"/>
  <c r="AO730" i="1"/>
  <c r="AP730" i="1"/>
  <c r="AC731" i="1"/>
  <c r="AD731" i="1"/>
  <c r="AE731" i="1"/>
  <c r="AF731" i="1"/>
  <c r="AG731" i="1"/>
  <c r="AH731" i="1"/>
  <c r="AI731" i="1"/>
  <c r="AJ731" i="1"/>
  <c r="AK731" i="1"/>
  <c r="AL731" i="1"/>
  <c r="AM731" i="1"/>
  <c r="AN731" i="1"/>
  <c r="AO731" i="1"/>
  <c r="AP731" i="1"/>
  <c r="AC732" i="1"/>
  <c r="AD732" i="1"/>
  <c r="AE732" i="1"/>
  <c r="AF732" i="1"/>
  <c r="AG732" i="1"/>
  <c r="AH732" i="1"/>
  <c r="AI732" i="1"/>
  <c r="AJ732" i="1"/>
  <c r="AK732" i="1"/>
  <c r="AL732" i="1"/>
  <c r="AM732" i="1"/>
  <c r="AN732" i="1"/>
  <c r="AO732" i="1"/>
  <c r="AP732" i="1"/>
  <c r="AC733" i="1"/>
  <c r="AD733" i="1"/>
  <c r="AE733" i="1"/>
  <c r="AF733" i="1"/>
  <c r="AG733" i="1"/>
  <c r="AH733" i="1"/>
  <c r="AI733" i="1"/>
  <c r="AJ733" i="1"/>
  <c r="AK733" i="1"/>
  <c r="AL733" i="1"/>
  <c r="AM733" i="1"/>
  <c r="AN733" i="1"/>
  <c r="AO733" i="1"/>
  <c r="AP733" i="1"/>
  <c r="AC734" i="1"/>
  <c r="AD734" i="1"/>
  <c r="AE734" i="1"/>
  <c r="AF734" i="1"/>
  <c r="AG734" i="1"/>
  <c r="AH734" i="1"/>
  <c r="AI734" i="1"/>
  <c r="AJ734" i="1"/>
  <c r="AK734" i="1"/>
  <c r="AL734" i="1"/>
  <c r="AM734" i="1"/>
  <c r="AN734" i="1"/>
  <c r="AO734" i="1"/>
  <c r="AP734" i="1"/>
  <c r="AC735" i="1"/>
  <c r="AD735" i="1"/>
  <c r="AE735" i="1"/>
  <c r="AF735" i="1"/>
  <c r="AG735" i="1"/>
  <c r="AH735" i="1"/>
  <c r="AI735" i="1"/>
  <c r="AJ735" i="1"/>
  <c r="AK735" i="1"/>
  <c r="AL735" i="1"/>
  <c r="AM735" i="1"/>
  <c r="AN735" i="1"/>
  <c r="AO735" i="1"/>
  <c r="AP735" i="1"/>
  <c r="AC736" i="1"/>
  <c r="AD736" i="1"/>
  <c r="AE736" i="1"/>
  <c r="AF736" i="1"/>
  <c r="AG736" i="1"/>
  <c r="AH736" i="1"/>
  <c r="AI736" i="1"/>
  <c r="AJ736" i="1"/>
  <c r="AK736" i="1"/>
  <c r="AL736" i="1"/>
  <c r="AM736" i="1"/>
  <c r="AN736" i="1"/>
  <c r="AO736" i="1"/>
  <c r="AP736" i="1"/>
  <c r="AC737" i="1"/>
  <c r="AD737" i="1"/>
  <c r="AE737" i="1"/>
  <c r="AF737" i="1"/>
  <c r="AG737" i="1"/>
  <c r="AH737" i="1"/>
  <c r="AI737" i="1"/>
  <c r="AJ737" i="1"/>
  <c r="AK737" i="1"/>
  <c r="AL737" i="1"/>
  <c r="AM737" i="1"/>
  <c r="AN737" i="1"/>
  <c r="AO737" i="1"/>
  <c r="AP737" i="1"/>
  <c r="AC738" i="1"/>
  <c r="AD738" i="1"/>
  <c r="AE738" i="1"/>
  <c r="AF738" i="1"/>
  <c r="AG738" i="1"/>
  <c r="AH738" i="1"/>
  <c r="AI738" i="1"/>
  <c r="AJ738" i="1"/>
  <c r="AK738" i="1"/>
  <c r="AL738" i="1"/>
  <c r="AM738" i="1"/>
  <c r="AN738" i="1"/>
  <c r="AO738" i="1"/>
  <c r="AP738" i="1"/>
  <c r="AC739" i="1"/>
  <c r="AD739" i="1"/>
  <c r="AE739" i="1"/>
  <c r="AF739" i="1"/>
  <c r="AG739" i="1"/>
  <c r="AH739" i="1"/>
  <c r="AI739" i="1"/>
  <c r="AJ739" i="1"/>
  <c r="AK739" i="1"/>
  <c r="AL739" i="1"/>
  <c r="AM739" i="1"/>
  <c r="AN739" i="1"/>
  <c r="AO739" i="1"/>
  <c r="AP739" i="1"/>
  <c r="AC740" i="1"/>
  <c r="AD740" i="1"/>
  <c r="AE740" i="1"/>
  <c r="AF740" i="1"/>
  <c r="AG740" i="1"/>
  <c r="AH740" i="1"/>
  <c r="AI740" i="1"/>
  <c r="AJ740" i="1"/>
  <c r="AK740" i="1"/>
  <c r="AL740" i="1"/>
  <c r="AM740" i="1"/>
  <c r="AN740" i="1"/>
  <c r="AO740" i="1"/>
  <c r="AP740" i="1"/>
  <c r="AC741" i="1"/>
  <c r="AD741" i="1"/>
  <c r="AE741" i="1"/>
  <c r="AF741" i="1"/>
  <c r="AG741" i="1"/>
  <c r="AH741" i="1"/>
  <c r="AI741" i="1"/>
  <c r="AJ741" i="1"/>
  <c r="AK741" i="1"/>
  <c r="AL741" i="1"/>
  <c r="AM741" i="1"/>
  <c r="AN741" i="1"/>
  <c r="AO741" i="1"/>
  <c r="AP741" i="1"/>
  <c r="AC742" i="1"/>
  <c r="AD742" i="1"/>
  <c r="AE742" i="1"/>
  <c r="AF742" i="1"/>
  <c r="AG742" i="1"/>
  <c r="AH742" i="1"/>
  <c r="AI742" i="1"/>
  <c r="AJ742" i="1"/>
  <c r="AK742" i="1"/>
  <c r="AL742" i="1"/>
  <c r="AM742" i="1"/>
  <c r="AN742" i="1"/>
  <c r="AO742" i="1"/>
  <c r="AP742" i="1"/>
  <c r="AC743" i="1"/>
  <c r="AD743" i="1"/>
  <c r="AE743" i="1"/>
  <c r="AF743" i="1"/>
  <c r="AG743" i="1"/>
  <c r="AH743" i="1"/>
  <c r="AI743" i="1"/>
  <c r="AJ743" i="1"/>
  <c r="AK743" i="1"/>
  <c r="AL743" i="1"/>
  <c r="AM743" i="1"/>
  <c r="AN743" i="1"/>
  <c r="AO743" i="1"/>
  <c r="AP743" i="1"/>
  <c r="AC744" i="1"/>
  <c r="AD744" i="1"/>
  <c r="AE744" i="1"/>
  <c r="AF744" i="1"/>
  <c r="AG744" i="1"/>
  <c r="AH744" i="1"/>
  <c r="AI744" i="1"/>
  <c r="AJ744" i="1"/>
  <c r="AK744" i="1"/>
  <c r="AL744" i="1"/>
  <c r="AM744" i="1"/>
  <c r="AN744" i="1"/>
  <c r="AO744" i="1"/>
  <c r="AP744" i="1"/>
  <c r="AC745" i="1"/>
  <c r="AD745" i="1"/>
  <c r="AE745" i="1"/>
  <c r="AF745" i="1"/>
  <c r="AG745" i="1"/>
  <c r="AH745" i="1"/>
  <c r="AI745" i="1"/>
  <c r="AJ745" i="1"/>
  <c r="AK745" i="1"/>
  <c r="AL745" i="1"/>
  <c r="AM745" i="1"/>
  <c r="AN745" i="1"/>
  <c r="AO745" i="1"/>
  <c r="AP745" i="1"/>
  <c r="AC746" i="1"/>
  <c r="AD746" i="1"/>
  <c r="AE746" i="1"/>
  <c r="AF746" i="1"/>
  <c r="AG746" i="1"/>
  <c r="AH746" i="1"/>
  <c r="AI746" i="1"/>
  <c r="AJ746" i="1"/>
  <c r="AK746" i="1"/>
  <c r="AL746" i="1"/>
  <c r="AM746" i="1"/>
  <c r="AN746" i="1"/>
  <c r="AO746" i="1"/>
  <c r="AP746" i="1"/>
  <c r="AC747" i="1"/>
  <c r="AD747" i="1"/>
  <c r="AE747" i="1"/>
  <c r="AF747" i="1"/>
  <c r="AG747" i="1"/>
  <c r="AH747" i="1"/>
  <c r="AI747" i="1"/>
  <c r="AJ747" i="1"/>
  <c r="AK747" i="1"/>
  <c r="AL747" i="1"/>
  <c r="AM747" i="1"/>
  <c r="AN747" i="1"/>
  <c r="AO747" i="1"/>
  <c r="AP747" i="1"/>
  <c r="AC748" i="1"/>
  <c r="AD748" i="1"/>
  <c r="AE748" i="1"/>
  <c r="AF748" i="1"/>
  <c r="AG748" i="1"/>
  <c r="AH748" i="1"/>
  <c r="AI748" i="1"/>
  <c r="AJ748" i="1"/>
  <c r="AK748" i="1"/>
  <c r="AL748" i="1"/>
  <c r="AM748" i="1"/>
  <c r="AN748" i="1"/>
  <c r="AO748" i="1"/>
  <c r="AP748" i="1"/>
  <c r="AC749" i="1"/>
  <c r="AD749" i="1"/>
  <c r="AE749" i="1"/>
  <c r="AF749" i="1"/>
  <c r="AG749" i="1"/>
  <c r="AH749" i="1"/>
  <c r="AI749" i="1"/>
  <c r="AJ749" i="1"/>
  <c r="AK749" i="1"/>
  <c r="AL749" i="1"/>
  <c r="AM749" i="1"/>
  <c r="AN749" i="1"/>
  <c r="AO749" i="1"/>
  <c r="AP749" i="1"/>
  <c r="AC750" i="1"/>
  <c r="AD750" i="1"/>
  <c r="AE750" i="1"/>
  <c r="AF750" i="1"/>
  <c r="AG750" i="1"/>
  <c r="AH750" i="1"/>
  <c r="AI750" i="1"/>
  <c r="AJ750" i="1"/>
  <c r="AK750" i="1"/>
  <c r="AL750" i="1"/>
  <c r="AM750" i="1"/>
  <c r="AN750" i="1"/>
  <c r="AO750" i="1"/>
  <c r="AP750" i="1"/>
  <c r="AC751" i="1"/>
  <c r="AD751" i="1"/>
  <c r="AE751" i="1"/>
  <c r="AF751" i="1"/>
  <c r="AG751" i="1"/>
  <c r="AH751" i="1"/>
  <c r="AI751" i="1"/>
  <c r="AJ751" i="1"/>
  <c r="AK751" i="1"/>
  <c r="AL751" i="1"/>
  <c r="AM751" i="1"/>
  <c r="AN751" i="1"/>
  <c r="AO751" i="1"/>
  <c r="AP751" i="1"/>
  <c r="AC752" i="1"/>
  <c r="AD752" i="1"/>
  <c r="AE752" i="1"/>
  <c r="AF752" i="1"/>
  <c r="AG752" i="1"/>
  <c r="AH752" i="1"/>
  <c r="AI752" i="1"/>
  <c r="AJ752" i="1"/>
  <c r="AK752" i="1"/>
  <c r="AL752" i="1"/>
  <c r="AM752" i="1"/>
  <c r="AN752" i="1"/>
  <c r="AO752" i="1"/>
  <c r="AP752" i="1"/>
  <c r="AC753" i="1"/>
  <c r="AD753" i="1"/>
  <c r="AE753" i="1"/>
  <c r="AF753" i="1"/>
  <c r="AG753" i="1"/>
  <c r="AH753" i="1"/>
  <c r="AI753" i="1"/>
  <c r="AJ753" i="1"/>
  <c r="AK753" i="1"/>
  <c r="AL753" i="1"/>
  <c r="AM753" i="1"/>
  <c r="AN753" i="1"/>
  <c r="AO753" i="1"/>
  <c r="AP753" i="1"/>
  <c r="AC754" i="1"/>
  <c r="AD754" i="1"/>
  <c r="AE754" i="1"/>
  <c r="AF754" i="1"/>
  <c r="AG754" i="1"/>
  <c r="AH754" i="1"/>
  <c r="AI754" i="1"/>
  <c r="AJ754" i="1"/>
  <c r="AK754" i="1"/>
  <c r="AL754" i="1"/>
  <c r="AM754" i="1"/>
  <c r="AN754" i="1"/>
  <c r="AO754" i="1"/>
  <c r="AP754" i="1"/>
  <c r="AC755" i="1"/>
  <c r="AD755" i="1"/>
  <c r="AE755" i="1"/>
  <c r="AF755" i="1"/>
  <c r="AG755" i="1"/>
  <c r="AH755" i="1"/>
  <c r="AI755" i="1"/>
  <c r="AJ755" i="1"/>
  <c r="AK755" i="1"/>
  <c r="AL755" i="1"/>
  <c r="AM755" i="1"/>
  <c r="AN755" i="1"/>
  <c r="AO755" i="1"/>
  <c r="AP755" i="1"/>
  <c r="AC756" i="1"/>
  <c r="AD756" i="1"/>
  <c r="AE756" i="1"/>
  <c r="AF756" i="1"/>
  <c r="AG756" i="1"/>
  <c r="AH756" i="1"/>
  <c r="AI756" i="1"/>
  <c r="AJ756" i="1"/>
  <c r="AK756" i="1"/>
  <c r="AL756" i="1"/>
  <c r="AM756" i="1"/>
  <c r="AN756" i="1"/>
  <c r="AO756" i="1"/>
  <c r="AP756" i="1"/>
  <c r="AC757" i="1"/>
  <c r="AD757" i="1"/>
  <c r="AE757" i="1"/>
  <c r="AF757" i="1"/>
  <c r="AG757" i="1"/>
  <c r="AH757" i="1"/>
  <c r="AI757" i="1"/>
  <c r="AJ757" i="1"/>
  <c r="AK757" i="1"/>
  <c r="AL757" i="1"/>
  <c r="AM757" i="1"/>
  <c r="AN757" i="1"/>
  <c r="AO757" i="1"/>
  <c r="AP757" i="1"/>
  <c r="AC758" i="1"/>
  <c r="AD758" i="1"/>
  <c r="AE758" i="1"/>
  <c r="AF758" i="1"/>
  <c r="AG758" i="1"/>
  <c r="AH758" i="1"/>
  <c r="AI758" i="1"/>
  <c r="AJ758" i="1"/>
  <c r="AK758" i="1"/>
  <c r="AL758" i="1"/>
  <c r="AM758" i="1"/>
  <c r="AN758" i="1"/>
  <c r="AO758" i="1"/>
  <c r="AP758" i="1"/>
  <c r="AC759" i="1"/>
  <c r="AD759" i="1"/>
  <c r="AE759" i="1"/>
  <c r="AF759" i="1"/>
  <c r="AG759" i="1"/>
  <c r="AH759" i="1"/>
  <c r="AI759" i="1"/>
  <c r="AJ759" i="1"/>
  <c r="AK759" i="1"/>
  <c r="AL759" i="1"/>
  <c r="AM759" i="1"/>
  <c r="AN759" i="1"/>
  <c r="AO759" i="1"/>
  <c r="AP759" i="1"/>
  <c r="AC760" i="1"/>
  <c r="AD760" i="1"/>
  <c r="AE760" i="1"/>
  <c r="AF760" i="1"/>
  <c r="AG760" i="1"/>
  <c r="AH760" i="1"/>
  <c r="AI760" i="1"/>
  <c r="AJ760" i="1"/>
  <c r="AK760" i="1"/>
  <c r="AL760" i="1"/>
  <c r="AM760" i="1"/>
  <c r="AN760" i="1"/>
  <c r="AO760" i="1"/>
  <c r="AP760" i="1"/>
  <c r="AC761" i="1"/>
  <c r="AD761" i="1"/>
  <c r="AE761" i="1"/>
  <c r="AF761" i="1"/>
  <c r="AG761" i="1"/>
  <c r="AH761" i="1"/>
  <c r="AI761" i="1"/>
  <c r="AJ761" i="1"/>
  <c r="AK761" i="1"/>
  <c r="AL761" i="1"/>
  <c r="AM761" i="1"/>
  <c r="AN761" i="1"/>
  <c r="AO761" i="1"/>
  <c r="AP761" i="1"/>
  <c r="AC762" i="1"/>
  <c r="AD762" i="1"/>
  <c r="AE762" i="1"/>
  <c r="AF762" i="1"/>
  <c r="AG762" i="1"/>
  <c r="AH762" i="1"/>
  <c r="AI762" i="1"/>
  <c r="AJ762" i="1"/>
  <c r="AK762" i="1"/>
  <c r="AL762" i="1"/>
  <c r="AM762" i="1"/>
  <c r="AN762" i="1"/>
  <c r="AO762" i="1"/>
  <c r="AP762" i="1"/>
  <c r="AC763" i="1"/>
  <c r="AD763" i="1"/>
  <c r="AE763" i="1"/>
  <c r="AF763" i="1"/>
  <c r="AG763" i="1"/>
  <c r="AH763" i="1"/>
  <c r="AI763" i="1"/>
  <c r="AJ763" i="1"/>
  <c r="AK763" i="1"/>
  <c r="AL763" i="1"/>
  <c r="AM763" i="1"/>
  <c r="AN763" i="1"/>
  <c r="AO763" i="1"/>
  <c r="AP763" i="1"/>
  <c r="AC764" i="1"/>
  <c r="AD764" i="1"/>
  <c r="AE764" i="1"/>
  <c r="AF764" i="1"/>
  <c r="AG764" i="1"/>
  <c r="AH764" i="1"/>
  <c r="AI764" i="1"/>
  <c r="AJ764" i="1"/>
  <c r="AK764" i="1"/>
  <c r="AL764" i="1"/>
  <c r="AM764" i="1"/>
  <c r="AN764" i="1"/>
  <c r="AO764" i="1"/>
  <c r="AP764" i="1"/>
  <c r="AC765" i="1"/>
  <c r="AD765" i="1"/>
  <c r="AE765" i="1"/>
  <c r="AF765" i="1"/>
  <c r="AG765" i="1"/>
  <c r="AH765" i="1"/>
  <c r="AI765" i="1"/>
  <c r="AJ765" i="1"/>
  <c r="AK765" i="1"/>
  <c r="AL765" i="1"/>
  <c r="AM765" i="1"/>
  <c r="AN765" i="1"/>
  <c r="AO765" i="1"/>
  <c r="AP765" i="1"/>
  <c r="AC766" i="1"/>
  <c r="AD766" i="1"/>
  <c r="AE766" i="1"/>
  <c r="AF766" i="1"/>
  <c r="AG766" i="1"/>
  <c r="AH766" i="1"/>
  <c r="AI766" i="1"/>
  <c r="AJ766" i="1"/>
  <c r="AK766" i="1"/>
  <c r="AL766" i="1"/>
  <c r="AM766" i="1"/>
  <c r="AN766" i="1"/>
  <c r="AO766" i="1"/>
  <c r="AP766" i="1"/>
  <c r="AC767" i="1"/>
  <c r="AD767" i="1"/>
  <c r="AE767" i="1"/>
  <c r="AF767" i="1"/>
  <c r="AG767" i="1"/>
  <c r="AH767" i="1"/>
  <c r="AI767" i="1"/>
  <c r="AJ767" i="1"/>
  <c r="AK767" i="1"/>
  <c r="AL767" i="1"/>
  <c r="AM767" i="1"/>
  <c r="AN767" i="1"/>
  <c r="AO767" i="1"/>
  <c r="AP767" i="1"/>
  <c r="AC768" i="1"/>
  <c r="AD768" i="1"/>
  <c r="AE768" i="1"/>
  <c r="AF768" i="1"/>
  <c r="AG768" i="1"/>
  <c r="AH768" i="1"/>
  <c r="AI768" i="1"/>
  <c r="AJ768" i="1"/>
  <c r="AK768" i="1"/>
  <c r="AL768" i="1"/>
  <c r="AM768" i="1"/>
  <c r="AN768" i="1"/>
  <c r="AO768" i="1"/>
  <c r="AP768" i="1"/>
  <c r="AC769" i="1"/>
  <c r="AD769" i="1"/>
  <c r="AE769" i="1"/>
  <c r="AF769" i="1"/>
  <c r="AG769" i="1"/>
  <c r="AH769" i="1"/>
  <c r="AI769" i="1"/>
  <c r="AJ769" i="1"/>
  <c r="AK769" i="1"/>
  <c r="AL769" i="1"/>
  <c r="AM769" i="1"/>
  <c r="AN769" i="1"/>
  <c r="AO769" i="1"/>
  <c r="AP769" i="1"/>
  <c r="AC770" i="1"/>
  <c r="AD770" i="1"/>
  <c r="AE770" i="1"/>
  <c r="AF770" i="1"/>
  <c r="AG770" i="1"/>
  <c r="AH770" i="1"/>
  <c r="AI770" i="1"/>
  <c r="AJ770" i="1"/>
  <c r="AK770" i="1"/>
  <c r="AL770" i="1"/>
  <c r="AM770" i="1"/>
  <c r="AN770" i="1"/>
  <c r="AO770" i="1"/>
  <c r="AP770" i="1"/>
  <c r="AC771" i="1"/>
  <c r="AD771" i="1"/>
  <c r="AE771" i="1"/>
  <c r="AF771" i="1"/>
  <c r="AG771" i="1"/>
  <c r="AH771" i="1"/>
  <c r="AI771" i="1"/>
  <c r="AJ771" i="1"/>
  <c r="AK771" i="1"/>
  <c r="AL771" i="1"/>
  <c r="AM771" i="1"/>
  <c r="AN771" i="1"/>
  <c r="AO771" i="1"/>
  <c r="AP771" i="1"/>
  <c r="AC772" i="1"/>
  <c r="AD772" i="1"/>
  <c r="AE772" i="1"/>
  <c r="AF772" i="1"/>
  <c r="AG772" i="1"/>
  <c r="AH772" i="1"/>
  <c r="AI772" i="1"/>
  <c r="AJ772" i="1"/>
  <c r="AK772" i="1"/>
  <c r="AL772" i="1"/>
  <c r="AM772" i="1"/>
  <c r="AN772" i="1"/>
  <c r="AO772" i="1"/>
  <c r="AP772" i="1"/>
  <c r="AC773" i="1"/>
  <c r="AD773" i="1"/>
  <c r="AE773" i="1"/>
  <c r="AF773" i="1"/>
  <c r="AG773" i="1"/>
  <c r="AH773" i="1"/>
  <c r="AI773" i="1"/>
  <c r="AJ773" i="1"/>
  <c r="AK773" i="1"/>
  <c r="AL773" i="1"/>
  <c r="AM773" i="1"/>
  <c r="AN773" i="1"/>
  <c r="AO773" i="1"/>
  <c r="AP773" i="1"/>
  <c r="AC774" i="1"/>
  <c r="AD774" i="1"/>
  <c r="AE774" i="1"/>
  <c r="AF774" i="1"/>
  <c r="AG774" i="1"/>
  <c r="AH774" i="1"/>
  <c r="AI774" i="1"/>
  <c r="AJ774" i="1"/>
  <c r="AK774" i="1"/>
  <c r="AL774" i="1"/>
  <c r="AM774" i="1"/>
  <c r="AN774" i="1"/>
  <c r="AO774" i="1"/>
  <c r="AP774" i="1"/>
  <c r="AC775" i="1"/>
  <c r="AD775" i="1"/>
  <c r="AE775" i="1"/>
  <c r="AF775" i="1"/>
  <c r="AG775" i="1"/>
  <c r="AH775" i="1"/>
  <c r="AI775" i="1"/>
  <c r="AJ775" i="1"/>
  <c r="AK775" i="1"/>
  <c r="AL775" i="1"/>
  <c r="AM775" i="1"/>
  <c r="AN775" i="1"/>
  <c r="AO775" i="1"/>
  <c r="AP775" i="1"/>
  <c r="AC776" i="1"/>
  <c r="AD776" i="1"/>
  <c r="AE776" i="1"/>
  <c r="AF776" i="1"/>
  <c r="AG776" i="1"/>
  <c r="AH776" i="1"/>
  <c r="AI776" i="1"/>
  <c r="AJ776" i="1"/>
  <c r="AK776" i="1"/>
  <c r="AL776" i="1"/>
  <c r="AM776" i="1"/>
  <c r="AN776" i="1"/>
  <c r="AO776" i="1"/>
  <c r="AP776" i="1"/>
  <c r="AC777" i="1"/>
  <c r="AD777" i="1"/>
  <c r="AE777" i="1"/>
  <c r="AF777" i="1"/>
  <c r="AG777" i="1"/>
  <c r="AH777" i="1"/>
  <c r="AI777" i="1"/>
  <c r="AJ777" i="1"/>
  <c r="AK777" i="1"/>
  <c r="AL777" i="1"/>
  <c r="AM777" i="1"/>
  <c r="AN777" i="1"/>
  <c r="AO777" i="1"/>
  <c r="AP777" i="1"/>
  <c r="AC778" i="1"/>
  <c r="AD778" i="1"/>
  <c r="AE778" i="1"/>
  <c r="AF778" i="1"/>
  <c r="AG778" i="1"/>
  <c r="AH778" i="1"/>
  <c r="AI778" i="1"/>
  <c r="AJ778" i="1"/>
  <c r="AK778" i="1"/>
  <c r="AL778" i="1"/>
  <c r="AM778" i="1"/>
  <c r="AN778" i="1"/>
  <c r="AO778" i="1"/>
  <c r="AP778" i="1"/>
  <c r="AC779" i="1"/>
  <c r="AD779" i="1"/>
  <c r="AE779" i="1"/>
  <c r="AF779" i="1"/>
  <c r="AG779" i="1"/>
  <c r="AH779" i="1"/>
  <c r="AI779" i="1"/>
  <c r="AJ779" i="1"/>
  <c r="AK779" i="1"/>
  <c r="AL779" i="1"/>
  <c r="AM779" i="1"/>
  <c r="AN779" i="1"/>
  <c r="AO779" i="1"/>
  <c r="AP779" i="1"/>
  <c r="AC780" i="1"/>
  <c r="AD780" i="1"/>
  <c r="AE780" i="1"/>
  <c r="AF780" i="1"/>
  <c r="AG780" i="1"/>
  <c r="AH780" i="1"/>
  <c r="AI780" i="1"/>
  <c r="AJ780" i="1"/>
  <c r="AK780" i="1"/>
  <c r="AL780" i="1"/>
  <c r="AM780" i="1"/>
  <c r="AN780" i="1"/>
  <c r="AO780" i="1"/>
  <c r="AP780" i="1"/>
  <c r="AC781" i="1"/>
  <c r="AD781" i="1"/>
  <c r="AE781" i="1"/>
  <c r="AF781" i="1"/>
  <c r="AG781" i="1"/>
  <c r="AH781" i="1"/>
  <c r="AI781" i="1"/>
  <c r="AJ781" i="1"/>
  <c r="AK781" i="1"/>
  <c r="AL781" i="1"/>
  <c r="AM781" i="1"/>
  <c r="AN781" i="1"/>
  <c r="AO781" i="1"/>
  <c r="AP781" i="1"/>
  <c r="AC782" i="1"/>
  <c r="AD782" i="1"/>
  <c r="AE782" i="1"/>
  <c r="AF782" i="1"/>
  <c r="AG782" i="1"/>
  <c r="AH782" i="1"/>
  <c r="AI782" i="1"/>
  <c r="AJ782" i="1"/>
  <c r="AK782" i="1"/>
  <c r="AL782" i="1"/>
  <c r="AM782" i="1"/>
  <c r="AN782" i="1"/>
  <c r="AO782" i="1"/>
  <c r="AP782" i="1"/>
  <c r="AC783" i="1"/>
  <c r="AD783" i="1"/>
  <c r="AE783" i="1"/>
  <c r="AF783" i="1"/>
  <c r="AG783" i="1"/>
  <c r="AH783" i="1"/>
  <c r="AI783" i="1"/>
  <c r="AJ783" i="1"/>
  <c r="AK783" i="1"/>
  <c r="AL783" i="1"/>
  <c r="AM783" i="1"/>
  <c r="AN783" i="1"/>
  <c r="AO783" i="1"/>
  <c r="AP783" i="1"/>
  <c r="AC784" i="1"/>
  <c r="AD784" i="1"/>
  <c r="AE784" i="1"/>
  <c r="AF784" i="1"/>
  <c r="AG784" i="1"/>
  <c r="AH784" i="1"/>
  <c r="AI784" i="1"/>
  <c r="AJ784" i="1"/>
  <c r="AK784" i="1"/>
  <c r="AL784" i="1"/>
  <c r="AM784" i="1"/>
  <c r="AN784" i="1"/>
  <c r="AO784" i="1"/>
  <c r="AP784" i="1"/>
  <c r="AC785" i="1"/>
  <c r="AD785" i="1"/>
  <c r="AE785" i="1"/>
  <c r="AF785" i="1"/>
  <c r="AG785" i="1"/>
  <c r="AH785" i="1"/>
  <c r="AI785" i="1"/>
  <c r="AJ785" i="1"/>
  <c r="AK785" i="1"/>
  <c r="AL785" i="1"/>
  <c r="AM785" i="1"/>
  <c r="AN785" i="1"/>
  <c r="AO785" i="1"/>
  <c r="AP785" i="1"/>
  <c r="AC786" i="1"/>
  <c r="AD786" i="1"/>
  <c r="AE786" i="1"/>
  <c r="AF786" i="1"/>
  <c r="AG786" i="1"/>
  <c r="AH786" i="1"/>
  <c r="AI786" i="1"/>
  <c r="AJ786" i="1"/>
  <c r="AK786" i="1"/>
  <c r="AL786" i="1"/>
  <c r="AM786" i="1"/>
  <c r="AN786" i="1"/>
  <c r="AO786" i="1"/>
  <c r="AP786" i="1"/>
  <c r="AC787" i="1"/>
  <c r="AD787" i="1"/>
  <c r="AE787" i="1"/>
  <c r="AF787" i="1"/>
  <c r="AG787" i="1"/>
  <c r="AH787" i="1"/>
  <c r="AI787" i="1"/>
  <c r="AJ787" i="1"/>
  <c r="AK787" i="1"/>
  <c r="AL787" i="1"/>
  <c r="AM787" i="1"/>
  <c r="AN787" i="1"/>
  <c r="AO787" i="1"/>
  <c r="AP787" i="1"/>
  <c r="AC788" i="1"/>
  <c r="AD788" i="1"/>
  <c r="AE788" i="1"/>
  <c r="AF788" i="1"/>
  <c r="AG788" i="1"/>
  <c r="AH788" i="1"/>
  <c r="AI788" i="1"/>
  <c r="AJ788" i="1"/>
  <c r="AK788" i="1"/>
  <c r="AL788" i="1"/>
  <c r="AM788" i="1"/>
  <c r="AN788" i="1"/>
  <c r="AO788" i="1"/>
  <c r="AP788" i="1"/>
  <c r="AC789" i="1"/>
  <c r="AD789" i="1"/>
  <c r="AE789" i="1"/>
  <c r="AF789" i="1"/>
  <c r="AG789" i="1"/>
  <c r="AH789" i="1"/>
  <c r="AI789" i="1"/>
  <c r="AJ789" i="1"/>
  <c r="AK789" i="1"/>
  <c r="AL789" i="1"/>
  <c r="AM789" i="1"/>
  <c r="AN789" i="1"/>
  <c r="AO789" i="1"/>
  <c r="AP789" i="1"/>
  <c r="AC790" i="1"/>
  <c r="AD790" i="1"/>
  <c r="AE790" i="1"/>
  <c r="AF790" i="1"/>
  <c r="AG790" i="1"/>
  <c r="AH790" i="1"/>
  <c r="AI790" i="1"/>
  <c r="AJ790" i="1"/>
  <c r="AK790" i="1"/>
  <c r="AL790" i="1"/>
  <c r="AM790" i="1"/>
  <c r="AN790" i="1"/>
  <c r="AO790" i="1"/>
  <c r="AP790" i="1"/>
  <c r="AC791" i="1"/>
  <c r="AD791" i="1"/>
  <c r="AE791" i="1"/>
  <c r="AF791" i="1"/>
  <c r="AG791" i="1"/>
  <c r="AH791" i="1"/>
  <c r="AI791" i="1"/>
  <c r="AJ791" i="1"/>
  <c r="AK791" i="1"/>
  <c r="AL791" i="1"/>
  <c r="AM791" i="1"/>
  <c r="AN791" i="1"/>
  <c r="AO791" i="1"/>
  <c r="AP791" i="1"/>
  <c r="AC792" i="1"/>
  <c r="AD792" i="1"/>
  <c r="AE792" i="1"/>
  <c r="AF792" i="1"/>
  <c r="AG792" i="1"/>
  <c r="AH792" i="1"/>
  <c r="AI792" i="1"/>
  <c r="AJ792" i="1"/>
  <c r="AK792" i="1"/>
  <c r="AL792" i="1"/>
  <c r="AM792" i="1"/>
  <c r="AN792" i="1"/>
  <c r="AO792" i="1"/>
  <c r="AP792" i="1"/>
  <c r="AC793" i="1"/>
  <c r="AD793" i="1"/>
  <c r="AE793" i="1"/>
  <c r="AF793" i="1"/>
  <c r="AG793" i="1"/>
  <c r="AH793" i="1"/>
  <c r="AI793" i="1"/>
  <c r="AJ793" i="1"/>
  <c r="AK793" i="1"/>
  <c r="AL793" i="1"/>
  <c r="AM793" i="1"/>
  <c r="AN793" i="1"/>
  <c r="AO793" i="1"/>
  <c r="AP793" i="1"/>
  <c r="AC794" i="1"/>
  <c r="AD794" i="1"/>
  <c r="AE794" i="1"/>
  <c r="AF794" i="1"/>
  <c r="AG794" i="1"/>
  <c r="AH794" i="1"/>
  <c r="AI794" i="1"/>
  <c r="AJ794" i="1"/>
  <c r="AK794" i="1"/>
  <c r="AL794" i="1"/>
  <c r="AM794" i="1"/>
  <c r="AN794" i="1"/>
  <c r="AO794" i="1"/>
  <c r="AP794" i="1"/>
  <c r="AC795" i="1"/>
  <c r="AD795" i="1"/>
  <c r="AE795" i="1"/>
  <c r="AF795" i="1"/>
  <c r="AG795" i="1"/>
  <c r="AH795" i="1"/>
  <c r="AI795" i="1"/>
  <c r="AJ795" i="1"/>
  <c r="AK795" i="1"/>
  <c r="AL795" i="1"/>
  <c r="AM795" i="1"/>
  <c r="AN795" i="1"/>
  <c r="AO795" i="1"/>
  <c r="AP795" i="1"/>
  <c r="AC796" i="1"/>
  <c r="AD796" i="1"/>
  <c r="AE796" i="1"/>
  <c r="AF796" i="1"/>
  <c r="AG796" i="1"/>
  <c r="AH796" i="1"/>
  <c r="AI796" i="1"/>
  <c r="AJ796" i="1"/>
  <c r="AK796" i="1"/>
  <c r="AL796" i="1"/>
  <c r="AM796" i="1"/>
  <c r="AN796" i="1"/>
  <c r="AO796" i="1"/>
  <c r="AP796" i="1"/>
  <c r="AC797" i="1"/>
  <c r="AD797" i="1"/>
  <c r="AE797" i="1"/>
  <c r="AF797" i="1"/>
  <c r="AG797" i="1"/>
  <c r="AH797" i="1"/>
  <c r="AI797" i="1"/>
  <c r="AJ797" i="1"/>
  <c r="AK797" i="1"/>
  <c r="AL797" i="1"/>
  <c r="AM797" i="1"/>
  <c r="AN797" i="1"/>
  <c r="AO797" i="1"/>
  <c r="AP797" i="1"/>
  <c r="AC798" i="1"/>
  <c r="AD798" i="1"/>
  <c r="AE798" i="1"/>
  <c r="AF798" i="1"/>
  <c r="AG798" i="1"/>
  <c r="AH798" i="1"/>
  <c r="AI798" i="1"/>
  <c r="AJ798" i="1"/>
  <c r="AK798" i="1"/>
  <c r="AL798" i="1"/>
  <c r="AM798" i="1"/>
  <c r="AN798" i="1"/>
  <c r="AO798" i="1"/>
  <c r="AP798" i="1"/>
  <c r="AC799" i="1"/>
  <c r="AD799" i="1"/>
  <c r="AE799" i="1"/>
  <c r="AF799" i="1"/>
  <c r="AG799" i="1"/>
  <c r="AH799" i="1"/>
  <c r="AI799" i="1"/>
  <c r="AJ799" i="1"/>
  <c r="AK799" i="1"/>
  <c r="AL799" i="1"/>
  <c r="AM799" i="1"/>
  <c r="AN799" i="1"/>
  <c r="AO799" i="1"/>
  <c r="AP799" i="1"/>
  <c r="AC800" i="1"/>
  <c r="AD800" i="1"/>
  <c r="AE800" i="1"/>
  <c r="AF800" i="1"/>
  <c r="AG800" i="1"/>
  <c r="AH800" i="1"/>
  <c r="AI800" i="1"/>
  <c r="AJ800" i="1"/>
  <c r="AK800" i="1"/>
  <c r="AL800" i="1"/>
  <c r="AM800" i="1"/>
  <c r="AN800" i="1"/>
  <c r="AO800" i="1"/>
  <c r="AP800" i="1"/>
  <c r="AC801" i="1"/>
  <c r="AD801" i="1"/>
  <c r="AE801" i="1"/>
  <c r="AF801" i="1"/>
  <c r="AG801" i="1"/>
  <c r="AH801" i="1"/>
  <c r="AI801" i="1"/>
  <c r="AJ801" i="1"/>
  <c r="AK801" i="1"/>
  <c r="AL801" i="1"/>
  <c r="AM801" i="1"/>
  <c r="AN801" i="1"/>
  <c r="AO801" i="1"/>
  <c r="AP801" i="1"/>
  <c r="AC802" i="1"/>
  <c r="AD802" i="1"/>
  <c r="AE802" i="1"/>
  <c r="AF802" i="1"/>
  <c r="AG802" i="1"/>
  <c r="AH802" i="1"/>
  <c r="AI802" i="1"/>
  <c r="AJ802" i="1"/>
  <c r="AK802" i="1"/>
  <c r="AL802" i="1"/>
  <c r="AM802" i="1"/>
  <c r="AN802" i="1"/>
  <c r="AO802" i="1"/>
  <c r="AP802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B3" i="1"/>
  <c r="AA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3" i="1"/>
  <c r="J8" i="1"/>
  <c r="J5" i="1"/>
  <c r="J6" i="1"/>
  <c r="J7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4" i="1"/>
  <c r="J3" i="1"/>
  <c r="H13" i="5" l="1"/>
  <c r="H12" i="5"/>
  <c r="H11" i="5"/>
  <c r="H9" i="5"/>
  <c r="H8" i="5"/>
  <c r="H7" i="5"/>
  <c r="H6" i="5"/>
  <c r="H5" i="5"/>
  <c r="H10" i="5"/>
  <c r="Y805" i="1"/>
  <c r="E5" i="4" s="1"/>
  <c r="AO805" i="1"/>
  <c r="E13" i="4" s="1"/>
  <c r="AM805" i="1"/>
  <c r="E12" i="4" s="1"/>
  <c r="AK805" i="1"/>
  <c r="E11" i="4" s="1"/>
  <c r="AI805" i="1"/>
  <c r="E10" i="4" s="1"/>
  <c r="AE805" i="1"/>
  <c r="E8" i="4" s="1"/>
  <c r="AC805" i="1"/>
  <c r="E7" i="4" s="1"/>
  <c r="BG805" i="1"/>
  <c r="E13" i="5" s="1"/>
  <c r="BE805" i="1"/>
  <c r="E12" i="5" s="1"/>
  <c r="BC805" i="1"/>
  <c r="E11" i="5" s="1"/>
  <c r="BA805" i="1"/>
  <c r="E10" i="5" s="1"/>
  <c r="AW805" i="1"/>
  <c r="E8" i="5" s="1"/>
  <c r="AU805" i="1"/>
  <c r="E7" i="5" s="1"/>
  <c r="AQ805" i="1"/>
  <c r="E5" i="5" s="1"/>
  <c r="AG805" i="1"/>
  <c r="E9" i="4" s="1"/>
  <c r="AY805" i="1"/>
  <c r="E9" i="5" s="1"/>
  <c r="Y804" i="1"/>
  <c r="D5" i="4" s="1"/>
  <c r="BH804" i="1"/>
  <c r="BF804" i="1"/>
  <c r="G12" i="5" s="1"/>
  <c r="BD804" i="1"/>
  <c r="G11" i="5" s="1"/>
  <c r="BB804" i="1"/>
  <c r="G10" i="5" s="1"/>
  <c r="AZ804" i="1"/>
  <c r="G9" i="5" s="1"/>
  <c r="AX804" i="1"/>
  <c r="G8" i="5" s="1"/>
  <c r="AV804" i="1"/>
  <c r="G7" i="5" s="1"/>
  <c r="AT804" i="1"/>
  <c r="G6" i="5" s="1"/>
  <c r="AR804" i="1"/>
  <c r="G5" i="5" s="1"/>
  <c r="AO804" i="1"/>
  <c r="D13" i="4" s="1"/>
  <c r="AM804" i="1"/>
  <c r="D12" i="4" s="1"/>
  <c r="AK804" i="1"/>
  <c r="D11" i="4" s="1"/>
  <c r="AI804" i="1"/>
  <c r="D10" i="4" s="1"/>
  <c r="AG804" i="1"/>
  <c r="D9" i="4" s="1"/>
  <c r="AE804" i="1"/>
  <c r="D8" i="4" s="1"/>
  <c r="AC804" i="1"/>
  <c r="D7" i="4" s="1"/>
  <c r="BG804" i="1"/>
  <c r="BE804" i="1"/>
  <c r="D12" i="5" s="1"/>
  <c r="BC804" i="1"/>
  <c r="D11" i="5" s="1"/>
  <c r="BA804" i="1"/>
  <c r="D10" i="5" s="1"/>
  <c r="AY804" i="1"/>
  <c r="D9" i="5" s="1"/>
  <c r="AW804" i="1"/>
  <c r="D8" i="5" s="1"/>
  <c r="AU804" i="1"/>
  <c r="D7" i="5" s="1"/>
  <c r="AA804" i="1"/>
  <c r="D6" i="4" s="1"/>
  <c r="D14" i="4" s="1"/>
  <c r="AA805" i="1"/>
  <c r="E6" i="4" s="1"/>
  <c r="E14" i="4" s="1"/>
  <c r="AS804" i="1"/>
  <c r="D6" i="5" s="1"/>
  <c r="AS805" i="1"/>
  <c r="E6" i="5" s="1"/>
  <c r="E14" i="5" s="1"/>
  <c r="H13" i="4"/>
  <c r="AP804" i="1"/>
  <c r="G13" i="4" s="1"/>
  <c r="H12" i="4"/>
  <c r="AN804" i="1"/>
  <c r="G12" i="4" s="1"/>
  <c r="H11" i="4"/>
  <c r="AL804" i="1"/>
  <c r="G11" i="4" s="1"/>
  <c r="H10" i="4"/>
  <c r="AJ804" i="1"/>
  <c r="G10" i="4" s="1"/>
  <c r="H9" i="4"/>
  <c r="AH804" i="1"/>
  <c r="G9" i="4" s="1"/>
  <c r="H8" i="4"/>
  <c r="AF804" i="1"/>
  <c r="G8" i="4" s="1"/>
  <c r="H7" i="4"/>
  <c r="AD804" i="1"/>
  <c r="G7" i="4" s="1"/>
  <c r="H5" i="4"/>
  <c r="Z804" i="1"/>
  <c r="G5" i="4" s="1"/>
  <c r="H6" i="4"/>
  <c r="AB804" i="1"/>
  <c r="G6" i="4" s="1"/>
  <c r="G13" i="5"/>
  <c r="G14" i="5" s="1"/>
  <c r="D13" i="5"/>
  <c r="F5" i="5"/>
  <c r="AQ804" i="1"/>
  <c r="D5" i="5" s="1"/>
  <c r="D14" i="5" s="1"/>
  <c r="F6" i="5"/>
  <c r="F8" i="5"/>
  <c r="F10" i="5"/>
  <c r="F12" i="5"/>
  <c r="F7" i="5"/>
  <c r="F9" i="5"/>
  <c r="F11" i="5"/>
  <c r="F13" i="5"/>
  <c r="F6" i="4"/>
  <c r="I6" i="4" s="1"/>
  <c r="F12" i="4"/>
  <c r="I12" i="4" s="1"/>
  <c r="F10" i="4"/>
  <c r="I10" i="4" s="1"/>
  <c r="J10" i="4" s="1"/>
  <c r="F8" i="4"/>
  <c r="I8" i="4" s="1"/>
  <c r="J8" i="4" s="1"/>
  <c r="F5" i="4"/>
  <c r="F7" i="4"/>
  <c r="I7" i="4" s="1"/>
  <c r="J7" i="4" s="1"/>
  <c r="F9" i="4"/>
  <c r="I9" i="4" s="1"/>
  <c r="J9" i="4" s="1"/>
  <c r="F11" i="4"/>
  <c r="I11" i="4" s="1"/>
  <c r="J11" i="4" s="1"/>
  <c r="F13" i="4"/>
  <c r="I13" i="4" s="1"/>
  <c r="J13" i="4" s="1"/>
  <c r="J6" i="4"/>
  <c r="J12" i="4"/>
  <c r="I5" i="4" l="1"/>
  <c r="I5" i="5"/>
  <c r="J5" i="5" s="1"/>
  <c r="I8" i="5"/>
  <c r="J8" i="5" s="1"/>
  <c r="I10" i="5"/>
  <c r="J10" i="5" s="1"/>
  <c r="I12" i="5"/>
  <c r="J12" i="5" s="1"/>
  <c r="I6" i="5"/>
  <c r="J6" i="5" s="1"/>
  <c r="I7" i="5"/>
  <c r="J7" i="5" s="1"/>
  <c r="I9" i="5"/>
  <c r="J9" i="5" s="1"/>
  <c r="I11" i="5"/>
  <c r="J11" i="5" s="1"/>
  <c r="I13" i="5"/>
  <c r="J13" i="5" s="1"/>
  <c r="H14" i="4"/>
  <c r="G14" i="4"/>
  <c r="H14" i="5"/>
  <c r="J5" i="4"/>
  <c r="J14" i="4" s="1"/>
  <c r="I14" i="4"/>
  <c r="F14" i="4"/>
  <c r="F14" i="5"/>
  <c r="J14" i="5" l="1"/>
  <c r="I14" i="5"/>
</calcChain>
</file>

<file path=xl/sharedStrings.xml><?xml version="1.0" encoding="utf-8"?>
<sst xmlns="http://schemas.openxmlformats.org/spreadsheetml/2006/main" count="405" uniqueCount="180">
  <si>
    <t>Prof B J Alappat</t>
  </si>
  <si>
    <t>Dr R Ayothiraman</t>
  </si>
  <si>
    <t>Dr G S Benipal</t>
  </si>
  <si>
    <t>Dr Suresh Bhalla</t>
  </si>
  <si>
    <t>Prof B Bhattacharjee</t>
  </si>
  <si>
    <t>Dr Munwar Basha</t>
  </si>
  <si>
    <t>Dr Shashank Bishnoi</t>
  </si>
  <si>
    <t>Dr B R Chahar</t>
  </si>
  <si>
    <t>Dr Tanusree Chakraborty</t>
  </si>
  <si>
    <t>Prof T K Datta</t>
  </si>
  <si>
    <t>Dr S K Deb</t>
  </si>
  <si>
    <t>Prof N K Garg</t>
  </si>
  <si>
    <t>PLN05</t>
  </si>
  <si>
    <t>PLN03F</t>
  </si>
  <si>
    <t>S No</t>
  </si>
  <si>
    <t>2011-2012</t>
  </si>
  <si>
    <t>2012-2013</t>
  </si>
  <si>
    <t>2013-2014</t>
  </si>
  <si>
    <t>Budget Head</t>
  </si>
  <si>
    <t>Buyer Name</t>
  </si>
  <si>
    <t>PDA</t>
  </si>
  <si>
    <t>PDF</t>
  </si>
  <si>
    <t>DDF</t>
  </si>
  <si>
    <t>Purchase For</t>
  </si>
  <si>
    <t>Computational Lab</t>
  </si>
  <si>
    <t>Structures Lab</t>
  </si>
  <si>
    <t>Transport Lab</t>
  </si>
  <si>
    <t>Environment Lab</t>
  </si>
  <si>
    <t>Survey Lab</t>
  </si>
  <si>
    <t>Geotech Lab</t>
  </si>
  <si>
    <t>Water Resources Lab</t>
  </si>
  <si>
    <t>Personal</t>
  </si>
  <si>
    <t>Office</t>
  </si>
  <si>
    <t>Audio System</t>
  </si>
  <si>
    <t>Buyer Empolyee Code</t>
  </si>
  <si>
    <t>Type of Form</t>
  </si>
  <si>
    <t>C Form</t>
  </si>
  <si>
    <t>NC Form</t>
  </si>
  <si>
    <t>Stores</t>
  </si>
  <si>
    <t>Main Accounts</t>
  </si>
  <si>
    <t>IRD Accounts</t>
  </si>
  <si>
    <t>Submitted On</t>
  </si>
  <si>
    <t>Sent To</t>
  </si>
  <si>
    <t>1. Purchase Initialization</t>
  </si>
  <si>
    <t>GIS No</t>
  </si>
  <si>
    <t>GIS Date</t>
  </si>
  <si>
    <t>Payment Date</t>
  </si>
  <si>
    <t>Dr Abhijit Ganguli</t>
  </si>
  <si>
    <t>Prof A K Gosain</t>
  </si>
  <si>
    <t>Prof Ashok Gupta</t>
  </si>
  <si>
    <t>Dr Supratic Gupta</t>
  </si>
  <si>
    <t>Dr Gazala Habib</t>
  </si>
  <si>
    <t>Prof K C Iyer</t>
  </si>
  <si>
    <t>Prof A K Jain</t>
  </si>
  <si>
    <t>Dr R R Kalaga</t>
  </si>
  <si>
    <t>Dr D R Kaushal</t>
  </si>
  <si>
    <t>Prof A K Keshari</t>
  </si>
  <si>
    <t>Prof Mukesh Khare</t>
  </si>
  <si>
    <t>Dr Rakesh Khosa</t>
  </si>
  <si>
    <t>Dr K N Jha</t>
  </si>
  <si>
    <t>Dr Arun Kumar</t>
  </si>
  <si>
    <t>Prof Alok Madan</t>
  </si>
  <si>
    <t>Dr Uma Maheswari</t>
  </si>
  <si>
    <t>Prof Shashi Mathur</t>
  </si>
  <si>
    <t>Prof A K Mittal</t>
  </si>
  <si>
    <t>Dr Vasant Matsagar</t>
  </si>
  <si>
    <t>Dr B Manna</t>
  </si>
  <si>
    <t>Prof A K Nagpal</t>
  </si>
  <si>
    <t>Dr A K Nema</t>
  </si>
  <si>
    <t>Prof G V Ramana</t>
  </si>
  <si>
    <t>Prof K S Rao</t>
  </si>
  <si>
    <t>Dr M M Rao</t>
  </si>
  <si>
    <t>Dr J T Shahu</t>
  </si>
  <si>
    <t>Prof K G Sharma</t>
  </si>
  <si>
    <t>Dr D R Sahoo</t>
  </si>
  <si>
    <t>Dr C T Dhanya</t>
  </si>
  <si>
    <t>Prof Geetam Tiwari</t>
  </si>
  <si>
    <t>Prof A K Sawhney</t>
  </si>
  <si>
    <t>Total Amount in C/NC Form</t>
  </si>
  <si>
    <t>Actual Amount Paid</t>
  </si>
  <si>
    <t>PLN03</t>
  </si>
  <si>
    <t>NPN05</t>
  </si>
  <si>
    <t>Financial Year</t>
  </si>
  <si>
    <t>Comp Lab</t>
  </si>
  <si>
    <t>Env Lab</t>
  </si>
  <si>
    <t>Geo Lab</t>
  </si>
  <si>
    <t>Str Lab</t>
  </si>
  <si>
    <t>Water Lab</t>
  </si>
  <si>
    <t>PLN 03</t>
  </si>
  <si>
    <t>Lab/Section</t>
  </si>
  <si>
    <t xml:space="preserve">Amount Available </t>
  </si>
  <si>
    <t xml:space="preserve">Budget Allocated </t>
  </si>
  <si>
    <t>Instrument</t>
  </si>
  <si>
    <t>Projector Mount</t>
  </si>
  <si>
    <t>Gas Meter</t>
  </si>
  <si>
    <t>Equipment</t>
  </si>
  <si>
    <t>Tool</t>
  </si>
  <si>
    <t>Computers</t>
  </si>
  <si>
    <t>Printer</t>
  </si>
  <si>
    <t>Fax Machine</t>
  </si>
  <si>
    <t>Laptop</t>
  </si>
  <si>
    <t>Hammer Machine</t>
  </si>
  <si>
    <t>Theodolites</t>
  </si>
  <si>
    <t>Total Station</t>
  </si>
  <si>
    <t>Online UPS</t>
  </si>
  <si>
    <t>Water Filter</t>
  </si>
  <si>
    <t>2. Submission of Documents to Stores</t>
  </si>
  <si>
    <t>PC/PFC No</t>
  </si>
  <si>
    <t>PC/PFC Date</t>
  </si>
  <si>
    <t>CIVIL ENGINEERING DEPARTMENT</t>
  </si>
  <si>
    <t>ABC Solutions</t>
  </si>
  <si>
    <t>3000893/2012/1</t>
  </si>
  <si>
    <t>Is Approved ?              By DFB or Head</t>
  </si>
  <si>
    <t>DFB</t>
  </si>
  <si>
    <t>Head</t>
  </si>
  <si>
    <t>PC/PFC Booked Amount</t>
  </si>
  <si>
    <t>Item Name/Details</t>
  </si>
  <si>
    <t>BUDGET STATUS FY 2012-2013, Budget Head: PLN03</t>
  </si>
  <si>
    <t>BUDGET STATUS FY 2012-2013, Budget Head: NPN05</t>
  </si>
  <si>
    <t>UPS Battery</t>
  </si>
  <si>
    <t>Drilling Machine Repair</t>
  </si>
  <si>
    <t>Total</t>
  </si>
  <si>
    <t>3. Processing by Stores</t>
  </si>
  <si>
    <r>
      <t>4. Inventory &amp; Payment</t>
    </r>
    <r>
      <rPr>
        <b/>
        <sz val="10"/>
        <color theme="1" tint="0.249977111117893"/>
        <rFont val="Calibri"/>
        <family val="2"/>
        <scheme val="minor"/>
      </rPr>
      <t xml:space="preserve">                                                                                       (Central Stores &amp; Main Accounts)</t>
    </r>
  </si>
  <si>
    <t>Payment Type</t>
  </si>
  <si>
    <t>For Payment</t>
  </si>
  <si>
    <t>For Reimbursement</t>
  </si>
  <si>
    <t>Advance by Cheque</t>
  </si>
  <si>
    <t>For Adjustment</t>
  </si>
  <si>
    <r>
      <t>Payment To</t>
    </r>
    <r>
      <rPr>
        <b/>
        <sz val="8"/>
        <color theme="1"/>
        <rFont val="Calibri"/>
        <family val="2"/>
        <scheme val="minor"/>
      </rPr>
      <t xml:space="preserve">                            (Vendor or Faculty Name)</t>
    </r>
  </si>
  <si>
    <t>Bentley Software</t>
  </si>
  <si>
    <t>UNDER CONSTRUCTION</t>
  </si>
  <si>
    <t>XYZ Instruments</t>
  </si>
  <si>
    <t>QWE Instruments</t>
  </si>
  <si>
    <t>ASDF Repairs</t>
  </si>
  <si>
    <t>Dr Aravind K Swamy</t>
  </si>
  <si>
    <t>PC/PFC Booked</t>
  </si>
  <si>
    <t>Purchases without PC/PFC</t>
  </si>
  <si>
    <r>
      <t>Total Amount Used</t>
    </r>
    <r>
      <rPr>
        <b/>
        <sz val="9"/>
        <color theme="1" tint="0.249977111117893"/>
        <rFont val="Calibri"/>
        <family val="2"/>
        <scheme val="minor"/>
      </rPr>
      <t xml:space="preserve">                          (Booked + Non-Booked)</t>
    </r>
  </si>
  <si>
    <t>Purchases with PC/PFC</t>
  </si>
  <si>
    <r>
      <t xml:space="preserve">Sent to Stores/Accounts          </t>
    </r>
    <r>
      <rPr>
        <b/>
        <sz val="9"/>
        <color theme="1" tint="0.249977111117893"/>
        <rFont val="Calibri"/>
        <family val="2"/>
        <scheme val="minor"/>
      </rPr>
      <t>(By Storekeeper)</t>
    </r>
  </si>
  <si>
    <t>Amount Booked</t>
  </si>
  <si>
    <t>Purchases</t>
  </si>
  <si>
    <t>Amount Used</t>
  </si>
  <si>
    <t>Chemicals for Lab</t>
  </si>
  <si>
    <t>XYZ Chemicals</t>
  </si>
  <si>
    <t>Glassware</t>
  </si>
  <si>
    <t>Borosil India</t>
  </si>
  <si>
    <t>Apple iPad 3 with Accessories</t>
  </si>
  <si>
    <t>All in One Computer</t>
  </si>
  <si>
    <t>Apple iPad 3</t>
  </si>
  <si>
    <t>Apple iMac Computer</t>
  </si>
  <si>
    <t>Apple India</t>
  </si>
  <si>
    <t>Bentley India</t>
  </si>
  <si>
    <t>Sony Centre</t>
  </si>
  <si>
    <t>Buyer Emp Code</t>
  </si>
  <si>
    <t>PC No</t>
  </si>
  <si>
    <t>PC Date</t>
  </si>
  <si>
    <t>PC Amount</t>
  </si>
  <si>
    <t>Date of Submission</t>
  </si>
  <si>
    <t>Sent Date</t>
  </si>
  <si>
    <t>Total Fund Allocated</t>
  </si>
  <si>
    <t>BUDGET STATUS FY 2012-2013, Budget Head: PLN03F</t>
  </si>
  <si>
    <t>Total Fund Available</t>
  </si>
  <si>
    <t>Total Fund Used</t>
  </si>
  <si>
    <t>Dispatch No</t>
  </si>
  <si>
    <t>Date of Dispatch</t>
  </si>
  <si>
    <t>Not Approved</t>
  </si>
  <si>
    <r>
      <t>NC Form submitted to storekeeper</t>
    </r>
    <r>
      <rPr>
        <b/>
        <sz val="9"/>
        <color theme="1" tint="0.14999847407452621"/>
        <rFont val="Calibri"/>
        <family val="2"/>
        <scheme val="minor"/>
      </rPr>
      <t xml:space="preserve">                         </t>
    </r>
  </si>
  <si>
    <r>
      <t xml:space="preserve">NC Form Sent to Central Stores              </t>
    </r>
    <r>
      <rPr>
        <b/>
        <sz val="9"/>
        <color theme="1" tint="0.14999847407452621"/>
        <rFont val="Calibri"/>
        <family val="2"/>
        <scheme val="minor"/>
      </rPr>
      <t>(By Storekeeper)</t>
    </r>
  </si>
  <si>
    <t>2012BCVL1234</t>
  </si>
  <si>
    <t>2012BCVL1235</t>
  </si>
  <si>
    <t>2012BCVL1987</t>
  </si>
  <si>
    <t>PLN06R</t>
  </si>
  <si>
    <t>BUDGET STATUS FY 2012-2013, Budget Head: PLN06R</t>
  </si>
  <si>
    <t>Yes</t>
  </si>
  <si>
    <t>No</t>
  </si>
  <si>
    <t>workstation</t>
  </si>
  <si>
    <t>HP Computers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</si>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</sst>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&quot;₹&quot;\ #,##0.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5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5"/>
      <color rgb="FFC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rgb="FF00602B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 tint="0.14999847407452621"/>
      <name val="Calibri"/>
      <family val="2"/>
      <scheme val="minor"/>
    </font>
    <font>
      <b/>
      <sz val="18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1" fontId="0" fillId="0" borderId="1" xfId="0" applyNumberFormat="1" applyBorder="1" applyProtection="1">
      <protection locked="0"/>
    </xf>
    <xf numFmtId="0" fontId="0" fillId="3" borderId="1" xfId="0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0" fillId="0" borderId="1" xfId="0" applyNumberFormat="1" applyBorder="1" applyProtection="1"/>
    <xf numFmtId="49" fontId="0" fillId="0" borderId="1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4" fontId="9" fillId="0" borderId="7" xfId="0" applyNumberFormat="1" applyFont="1" applyBorder="1" applyAlignment="1">
      <alignment horizontal="right" vertical="center"/>
    </xf>
    <xf numFmtId="4" fontId="10" fillId="0" borderId="7" xfId="0" applyNumberFormat="1" applyFont="1" applyBorder="1" applyAlignment="1">
      <alignment horizontal="right" vertical="center"/>
    </xf>
    <xf numFmtId="14" fontId="0" fillId="0" borderId="1" xfId="0" applyNumberFormat="1" applyBorder="1" applyProtection="1"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4" fontId="10" fillId="0" borderId="1" xfId="0" applyNumberFormat="1" applyFont="1" applyBorder="1" applyAlignment="1">
      <alignment horizontal="right" vertical="center"/>
    </xf>
    <xf numFmtId="0" fontId="17" fillId="0" borderId="0" xfId="0" applyFont="1"/>
    <xf numFmtId="4" fontId="0" fillId="0" borderId="1" xfId="0" applyNumberFormat="1" applyBorder="1" applyProtection="1">
      <protection locked="0"/>
    </xf>
    <xf numFmtId="4" fontId="0" fillId="3" borderId="1" xfId="0" applyNumberFormat="1" applyFill="1" applyBorder="1" applyProtection="1">
      <protection locked="0"/>
    </xf>
    <xf numFmtId="0" fontId="0" fillId="0" borderId="1" xfId="0" applyBorder="1" applyProtection="1"/>
    <xf numFmtId="3" fontId="21" fillId="0" borderId="7" xfId="0" applyNumberFormat="1" applyFont="1" applyBorder="1" applyAlignment="1" applyProtection="1">
      <alignment horizontal="center" vertical="center"/>
    </xf>
    <xf numFmtId="4" fontId="21" fillId="0" borderId="7" xfId="0" applyNumberFormat="1" applyFont="1" applyBorder="1" applyAlignment="1" applyProtection="1">
      <alignment horizontal="right" vertical="center"/>
    </xf>
    <xf numFmtId="4" fontId="8" fillId="10" borderId="7" xfId="0" applyNumberFormat="1" applyFont="1" applyFill="1" applyBorder="1" applyAlignment="1" applyProtection="1">
      <alignment horizontal="right" vertical="center"/>
      <protection locked="0"/>
    </xf>
    <xf numFmtId="4" fontId="8" fillId="10" borderId="1" xfId="0" applyNumberFormat="1" applyFont="1" applyFill="1" applyBorder="1" applyAlignment="1" applyProtection="1">
      <alignment horizontal="right" vertical="center"/>
      <protection locked="0"/>
    </xf>
    <xf numFmtId="0" fontId="0" fillId="11" borderId="1" xfId="0" applyFill="1" applyBorder="1" applyProtection="1">
      <protection hidden="1"/>
    </xf>
    <xf numFmtId="0" fontId="0" fillId="11" borderId="0" xfId="0" applyFill="1"/>
    <xf numFmtId="0" fontId="0" fillId="12" borderId="1" xfId="0" applyFill="1" applyBorder="1" applyProtection="1">
      <protection hidden="1"/>
    </xf>
    <xf numFmtId="0" fontId="0" fillId="12" borderId="0" xfId="0" applyFill="1"/>
    <xf numFmtId="0" fontId="0" fillId="12" borderId="1" xfId="0" applyFill="1" applyBorder="1"/>
    <xf numFmtId="0" fontId="0" fillId="11" borderId="1" xfId="0" applyFill="1" applyBorder="1"/>
    <xf numFmtId="0" fontId="2" fillId="0" borderId="12" xfId="0" applyFont="1" applyBorder="1" applyAlignment="1">
      <alignment horizontal="center" vertical="center"/>
    </xf>
    <xf numFmtId="4" fontId="11" fillId="10" borderId="13" xfId="0" applyNumberFormat="1" applyFont="1" applyFill="1" applyBorder="1" applyAlignment="1">
      <alignment horizontal="right" vertical="center"/>
    </xf>
    <xf numFmtId="0" fontId="2" fillId="0" borderId="14" xfId="0" applyFont="1" applyBorder="1" applyAlignment="1">
      <alignment horizontal="center" vertical="center"/>
    </xf>
    <xf numFmtId="4" fontId="11" fillId="10" borderId="15" xfId="0" applyNumberFormat="1" applyFont="1" applyFill="1" applyBorder="1" applyAlignment="1">
      <alignment horizontal="right" vertical="center"/>
    </xf>
    <xf numFmtId="0" fontId="2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vertical="center"/>
    </xf>
    <xf numFmtId="4" fontId="8" fillId="10" borderId="17" xfId="0" applyNumberFormat="1" applyFont="1" applyFill="1" applyBorder="1" applyAlignment="1" applyProtection="1">
      <alignment horizontal="right" vertical="center"/>
      <protection locked="0"/>
    </xf>
    <xf numFmtId="3" fontId="21" fillId="0" borderId="10" xfId="0" applyNumberFormat="1" applyFont="1" applyBorder="1" applyAlignment="1" applyProtection="1">
      <alignment horizontal="center" vertical="center"/>
    </xf>
    <xf numFmtId="4" fontId="10" fillId="0" borderId="17" xfId="0" applyNumberFormat="1" applyFont="1" applyBorder="1" applyAlignment="1">
      <alignment horizontal="right" vertical="center"/>
    </xf>
    <xf numFmtId="4" fontId="21" fillId="0" borderId="10" xfId="0" applyNumberFormat="1" applyFont="1" applyBorder="1" applyAlignment="1" applyProtection="1">
      <alignment horizontal="right" vertical="center"/>
    </xf>
    <xf numFmtId="4" fontId="11" fillId="10" borderId="18" xfId="0" applyNumberFormat="1" applyFont="1" applyFill="1" applyBorder="1" applyAlignment="1">
      <alignment horizontal="right" vertical="center"/>
    </xf>
    <xf numFmtId="4" fontId="14" fillId="4" borderId="8" xfId="0" applyNumberFormat="1" applyFont="1" applyFill="1" applyBorder="1"/>
    <xf numFmtId="0" fontId="14" fillId="0" borderId="8" xfId="0" applyNumberFormat="1" applyFont="1" applyBorder="1" applyAlignment="1">
      <alignment horizontal="center"/>
    </xf>
    <xf numFmtId="4" fontId="14" fillId="0" borderId="8" xfId="0" applyNumberFormat="1" applyFont="1" applyBorder="1"/>
    <xf numFmtId="4" fontId="14" fillId="0" borderId="8" xfId="0" applyNumberFormat="1" applyFont="1" applyBorder="1" applyAlignment="1">
      <alignment horizontal="right" vertical="center"/>
    </xf>
    <xf numFmtId="4" fontId="22" fillId="4" borderId="11" xfId="0" applyNumberFormat="1" applyFont="1" applyFill="1" applyBorder="1"/>
    <xf numFmtId="4" fontId="10" fillId="0" borderId="10" xfId="0" applyNumberFormat="1" applyFont="1" applyBorder="1" applyAlignment="1">
      <alignment horizontal="right" vertical="center"/>
    </xf>
    <xf numFmtId="4" fontId="11" fillId="10" borderId="21" xfId="0" applyNumberFormat="1" applyFont="1" applyFill="1" applyBorder="1" applyAlignment="1">
      <alignment horizontal="right" vertical="center"/>
    </xf>
    <xf numFmtId="0" fontId="4" fillId="4" borderId="28" xfId="0" applyFont="1" applyFill="1" applyBorder="1" applyAlignment="1">
      <alignment horizontal="center" vertical="center" wrapText="1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24" fillId="5" borderId="1" xfId="0" applyFont="1" applyFill="1" applyBorder="1" applyAlignment="1">
      <alignment horizontal="center" vertical="center" wrapText="1"/>
    </xf>
    <xf numFmtId="164" fontId="24" fillId="5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2" fontId="24" fillId="5" borderId="1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4" fontId="27" fillId="0" borderId="1" xfId="0" applyNumberFormat="1" applyFont="1" applyBorder="1"/>
    <xf numFmtId="0" fontId="26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Protection="1">
      <protection locked="0"/>
    </xf>
    <xf numFmtId="164" fontId="26" fillId="0" borderId="1" xfId="0" applyNumberFormat="1" applyFont="1" applyBorder="1" applyAlignment="1" applyProtection="1">
      <alignment horizontal="center" vertical="center"/>
      <protection locked="0"/>
    </xf>
    <xf numFmtId="4" fontId="26" fillId="0" borderId="1" xfId="0" applyNumberFormat="1" applyFont="1" applyBorder="1" applyProtection="1">
      <protection locked="0"/>
    </xf>
    <xf numFmtId="164" fontId="26" fillId="0" borderId="1" xfId="0" applyNumberFormat="1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4" fontId="2" fillId="0" borderId="1" xfId="0" applyNumberFormat="1" applyFont="1" applyBorder="1" applyProtection="1">
      <protection locked="0"/>
    </xf>
    <xf numFmtId="0" fontId="1" fillId="6" borderId="1" xfId="0" applyFont="1" applyFill="1" applyBorder="1" applyAlignment="1">
      <alignment horizontal="left" vertical="center" wrapText="1"/>
    </xf>
    <xf numFmtId="0" fontId="0" fillId="0" borderId="1" xfId="0" applyBorder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4" fontId="1" fillId="7" borderId="1" xfId="0" applyNumberFormat="1" applyFont="1" applyFill="1" applyBorder="1" applyAlignment="1">
      <alignment horizontal="center" vertical="center" wrapText="1"/>
    </xf>
    <xf numFmtId="4" fontId="0" fillId="2" borderId="0" xfId="0" applyNumberFormat="1" applyFill="1"/>
    <xf numFmtId="4" fontId="0" fillId="0" borderId="0" xfId="0" applyNumberFormat="1"/>
    <xf numFmtId="0" fontId="19" fillId="11" borderId="1" xfId="0" applyFont="1" applyFill="1" applyBorder="1" applyAlignment="1" applyProtection="1">
      <alignment horizontal="center" vertical="center" wrapText="1"/>
      <protection hidden="1"/>
    </xf>
    <xf numFmtId="0" fontId="18" fillId="11" borderId="1" xfId="0" applyFont="1" applyFill="1" applyBorder="1" applyAlignment="1" applyProtection="1">
      <alignment horizontal="center"/>
      <protection hidden="1"/>
    </xf>
    <xf numFmtId="0" fontId="18" fillId="11" borderId="1" xfId="0" applyFont="1" applyFill="1" applyBorder="1" applyAlignment="1" applyProtection="1">
      <protection hidden="1"/>
    </xf>
    <xf numFmtId="0" fontId="20" fillId="11" borderId="1" xfId="0" applyFont="1" applyFill="1" applyBorder="1" applyAlignment="1" applyProtection="1">
      <alignment horizontal="center" vertical="center" wrapText="1"/>
      <protection hidden="1"/>
    </xf>
    <xf numFmtId="0" fontId="3" fillId="5" borderId="1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3" fillId="5" borderId="2" xfId="0" applyFont="1" applyFill="1" applyBorder="1" applyAlignment="1">
      <alignment horizontal="center" vertical="center"/>
    </xf>
    <xf numFmtId="0" fontId="0" fillId="0" borderId="2" xfId="0" applyBorder="1" applyAlignment="1"/>
    <xf numFmtId="0" fontId="0" fillId="0" borderId="6" xfId="0" applyBorder="1" applyAlignment="1"/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8" fillId="12" borderId="1" xfId="0" applyFont="1" applyFill="1" applyBorder="1" applyAlignment="1" applyProtection="1">
      <alignment horizontal="center" vertical="center"/>
      <protection hidden="1"/>
    </xf>
    <xf numFmtId="0" fontId="18" fillId="12" borderId="1" xfId="0" applyFont="1" applyFill="1" applyBorder="1" applyAlignment="1" applyProtection="1">
      <alignment vertical="center"/>
      <protection hidden="1"/>
    </xf>
    <xf numFmtId="0" fontId="19" fillId="12" borderId="1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5" fillId="0" borderId="19" xfId="0" applyFont="1" applyFill="1" applyBorder="1" applyAlignment="1">
      <alignment horizontal="center" vertical="center"/>
    </xf>
    <xf numFmtId="0" fontId="0" fillId="0" borderId="20" xfId="0" applyBorder="1" applyAlignment="1"/>
    <xf numFmtId="0" fontId="4" fillId="4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4" fillId="4" borderId="24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4" fillId="4" borderId="25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0" xfId="0" applyAlignment="1"/>
    <xf numFmtId="0" fontId="0" fillId="0" borderId="9" xfId="0" applyBorder="1" applyAlignment="1"/>
    <xf numFmtId="0" fontId="0" fillId="0" borderId="20" xfId="0" applyBorder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23" fillId="5" borderId="1" xfId="0" applyFont="1" applyFill="1" applyBorder="1" applyAlignment="1"/>
    <xf numFmtId="4" fontId="25" fillId="5" borderId="3" xfId="0" applyNumberFormat="1" applyFont="1" applyFill="1" applyBorder="1" applyAlignment="1" applyProtection="1">
      <alignment horizontal="right" vertical="center"/>
      <protection locked="0"/>
    </xf>
    <xf numFmtId="4" fontId="25" fillId="5" borderId="5" xfId="0" applyNumberFormat="1" applyFont="1" applyFill="1" applyBorder="1" applyAlignment="1" applyProtection="1">
      <alignment horizontal="right" vertical="center"/>
      <protection locked="0"/>
    </xf>
    <xf numFmtId="0" fontId="27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3" fillId="5" borderId="1" xfId="0" applyFont="1" applyFill="1" applyBorder="1" applyAlignment="1">
      <alignment horizontal="left" vertical="center"/>
    </xf>
    <xf numFmtId="4" fontId="25" fillId="5" borderId="1" xfId="0" applyNumberFormat="1" applyFont="1" applyFill="1" applyBorder="1" applyAlignment="1"/>
    <xf numFmtId="0" fontId="25" fillId="5" borderId="1" xfId="0" applyFont="1" applyFill="1" applyBorder="1" applyAlignment="1"/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02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904875</xdr:colOff>
          <xdr:row>21</xdr:row>
          <xdr:rowOff>9525</xdr:rowOff>
        </xdr:from>
        <xdr:to>
          <xdr:col>6</xdr:col>
          <xdr:colOff>781050</xdr:colOff>
          <xdr:row>23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21</xdr:row>
          <xdr:rowOff>66675</xdr:rowOff>
        </xdr:from>
        <xdr:to>
          <xdr:col>6</xdr:col>
          <xdr:colOff>666750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02B"/>
  </sheetPr>
  <dimension ref="A1:BI805"/>
  <sheetViews>
    <sheetView zoomScaleNormal="100" workbookViewId="0">
      <selection activeCell="Q29" sqref="Q29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9.5703125" bestFit="1" customWidth="1"/>
    <col min="4" max="4" width="14.42578125" bestFit="1" customWidth="1"/>
    <col min="5" max="5" width="7.28515625" bestFit="1" customWidth="1"/>
    <col min="6" max="6" width="18" bestFit="1" customWidth="1"/>
    <col min="7" max="7" width="12.28515625" bestFit="1" customWidth="1"/>
    <col min="8" max="8" width="14.5703125" style="92" customWidth="1"/>
    <col min="9" max="9" width="14.5703125" customWidth="1"/>
    <col min="10" max="10" width="19.5703125" customWidth="1"/>
    <col min="11" max="11" width="36" customWidth="1"/>
    <col min="12" max="12" width="12.5703125" style="89" bestFit="1" customWidth="1"/>
    <col min="13" max="13" width="18" bestFit="1" customWidth="1"/>
    <col min="14" max="14" width="18.85546875" bestFit="1" customWidth="1"/>
    <col min="15" max="15" width="22.5703125" customWidth="1"/>
    <col min="16" max="16" width="13.42578125" customWidth="1"/>
    <col min="17" max="17" width="14" bestFit="1" customWidth="1"/>
    <col min="18" max="18" width="14" customWidth="1"/>
    <col min="19" max="19" width="18" bestFit="1" customWidth="1"/>
    <col min="20" max="20" width="19.7109375" customWidth="1"/>
    <col min="21" max="21" width="11.85546875" customWidth="1"/>
    <col min="22" max="22" width="12.42578125" customWidth="1"/>
    <col min="23" max="23" width="12.28515625" customWidth="1"/>
    <col min="25" max="26" width="14" hidden="1" customWidth="1"/>
    <col min="27" max="60" width="9.140625" hidden="1" customWidth="1"/>
  </cols>
  <sheetData>
    <row r="1" spans="1:61" ht="33.75" customHeight="1" x14ac:dyDescent="0.55000000000000004">
      <c r="A1" s="102" t="s">
        <v>43</v>
      </c>
      <c r="B1" s="103"/>
      <c r="C1" s="103"/>
      <c r="D1" s="103"/>
      <c r="E1" s="103"/>
      <c r="F1" s="103"/>
      <c r="G1" s="103"/>
      <c r="H1" s="103"/>
      <c r="I1" s="103"/>
      <c r="J1" s="103"/>
      <c r="K1" s="104"/>
      <c r="L1" s="105" t="s">
        <v>106</v>
      </c>
      <c r="M1" s="106"/>
      <c r="N1" s="106"/>
      <c r="O1" s="107"/>
      <c r="P1" s="108"/>
      <c r="Q1" s="97" t="s">
        <v>122</v>
      </c>
      <c r="R1" s="97"/>
      <c r="S1" s="97"/>
      <c r="T1" s="98" t="s">
        <v>123</v>
      </c>
      <c r="U1" s="99"/>
      <c r="V1" s="100"/>
      <c r="W1" s="101"/>
      <c r="Y1" s="94" t="s">
        <v>88</v>
      </c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5"/>
      <c r="AQ1" s="109" t="s">
        <v>81</v>
      </c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10"/>
    </row>
    <row r="2" spans="1:61" s="6" customFormat="1" ht="42.75" customHeight="1" x14ac:dyDescent="0.25">
      <c r="A2" s="9" t="s">
        <v>14</v>
      </c>
      <c r="B2" s="9" t="s">
        <v>82</v>
      </c>
      <c r="C2" s="9" t="s">
        <v>23</v>
      </c>
      <c r="D2" s="9" t="s">
        <v>112</v>
      </c>
      <c r="E2" s="9" t="s">
        <v>107</v>
      </c>
      <c r="F2" s="9" t="s">
        <v>108</v>
      </c>
      <c r="G2" s="9" t="s">
        <v>18</v>
      </c>
      <c r="H2" s="90" t="s">
        <v>115</v>
      </c>
      <c r="I2" s="9" t="s">
        <v>34</v>
      </c>
      <c r="J2" s="9" t="s">
        <v>19</v>
      </c>
      <c r="K2" s="9" t="s">
        <v>116</v>
      </c>
      <c r="L2" s="85" t="s">
        <v>35</v>
      </c>
      <c r="M2" s="8" t="s">
        <v>41</v>
      </c>
      <c r="N2" s="8" t="s">
        <v>124</v>
      </c>
      <c r="O2" s="8" t="s">
        <v>129</v>
      </c>
      <c r="P2" s="8" t="s">
        <v>78</v>
      </c>
      <c r="Q2" s="10" t="s">
        <v>42</v>
      </c>
      <c r="R2" s="10" t="s">
        <v>165</v>
      </c>
      <c r="S2" s="10" t="s">
        <v>166</v>
      </c>
      <c r="T2" s="11" t="s">
        <v>44</v>
      </c>
      <c r="U2" s="11" t="s">
        <v>45</v>
      </c>
      <c r="V2" s="11" t="s">
        <v>46</v>
      </c>
      <c r="W2" s="11" t="s">
        <v>79</v>
      </c>
      <c r="Y2" s="96" t="s">
        <v>83</v>
      </c>
      <c r="Z2" s="96"/>
      <c r="AA2" s="96" t="s">
        <v>84</v>
      </c>
      <c r="AB2" s="96"/>
      <c r="AC2" s="96" t="s">
        <v>85</v>
      </c>
      <c r="AD2" s="96"/>
      <c r="AE2" s="96" t="s">
        <v>32</v>
      </c>
      <c r="AF2" s="96"/>
      <c r="AG2" s="96" t="s">
        <v>31</v>
      </c>
      <c r="AH2" s="96"/>
      <c r="AI2" s="96" t="s">
        <v>86</v>
      </c>
      <c r="AJ2" s="96"/>
      <c r="AK2" s="93" t="s">
        <v>28</v>
      </c>
      <c r="AL2" s="93"/>
      <c r="AM2" s="93" t="s">
        <v>26</v>
      </c>
      <c r="AN2" s="93"/>
      <c r="AO2" s="93" t="s">
        <v>87</v>
      </c>
      <c r="AP2" s="93"/>
      <c r="AQ2" s="111" t="s">
        <v>83</v>
      </c>
      <c r="AR2" s="111"/>
      <c r="AS2" s="111" t="s">
        <v>84</v>
      </c>
      <c r="AT2" s="111"/>
      <c r="AU2" s="111" t="s">
        <v>85</v>
      </c>
      <c r="AV2" s="111"/>
      <c r="AW2" s="111" t="s">
        <v>32</v>
      </c>
      <c r="AX2" s="111"/>
      <c r="AY2" s="111" t="s">
        <v>31</v>
      </c>
      <c r="AZ2" s="111"/>
      <c r="BA2" s="111" t="s">
        <v>86</v>
      </c>
      <c r="BB2" s="111"/>
      <c r="BC2" s="111" t="s">
        <v>28</v>
      </c>
      <c r="BD2" s="111"/>
      <c r="BE2" s="111" t="s">
        <v>26</v>
      </c>
      <c r="BF2" s="111"/>
      <c r="BG2" s="111" t="s">
        <v>87</v>
      </c>
      <c r="BH2" s="111"/>
    </row>
    <row r="3" spans="1:61" x14ac:dyDescent="0.25">
      <c r="A3" s="3">
        <v>1</v>
      </c>
      <c r="B3" s="12" t="s">
        <v>16</v>
      </c>
      <c r="C3" s="12" t="s">
        <v>24</v>
      </c>
      <c r="D3" s="31" t="s">
        <v>113</v>
      </c>
      <c r="E3" s="4">
        <v>11894</v>
      </c>
      <c r="F3" s="13">
        <v>41084</v>
      </c>
      <c r="G3" s="21" t="s">
        <v>80</v>
      </c>
      <c r="H3" s="35">
        <v>200000</v>
      </c>
      <c r="I3" s="27">
        <v>15337</v>
      </c>
      <c r="J3" s="25" t="str">
        <f>IF(NOT(I3=""),INDEX(Master!$B$1:$B$46,MATCH(I3,Master!$A$1:$A$46,0)),"")</f>
        <v>Prof K G Sharma</v>
      </c>
      <c r="K3" s="26" t="s">
        <v>33</v>
      </c>
      <c r="L3" s="86" t="s">
        <v>37</v>
      </c>
      <c r="M3" s="13">
        <v>41146</v>
      </c>
      <c r="N3" s="13" t="s">
        <v>125</v>
      </c>
      <c r="O3" s="18" t="s">
        <v>110</v>
      </c>
      <c r="P3" s="35">
        <v>198248</v>
      </c>
      <c r="Q3" s="21" t="s">
        <v>38</v>
      </c>
      <c r="R3" s="21" t="s">
        <v>170</v>
      </c>
      <c r="S3" s="13">
        <v>41167</v>
      </c>
      <c r="T3" s="12" t="s">
        <v>111</v>
      </c>
      <c r="U3" s="30">
        <v>41177</v>
      </c>
      <c r="V3" s="12"/>
      <c r="W3" s="14"/>
      <c r="Y3" s="42">
        <f>IF(AND(C3=Master!$H$1,B3="2012-2013",E3&gt;1000,G3="PLN03"),H3,"")</f>
        <v>200000</v>
      </c>
      <c r="Z3" s="42" t="str">
        <f>IF(AND(C3=Master!$H$1,B3="2012-2013",E3="",G3="PLN03"),H3,"")</f>
        <v/>
      </c>
      <c r="AA3" s="42" t="str">
        <f>IF(AND(C3=Master!$H$2,B3="2012-2013",E3&gt;1000,G3="PLN03"),H3,"")</f>
        <v/>
      </c>
      <c r="AB3" s="42" t="str">
        <f>IF(AND(C3=Master!$H$2,B3="2012-2013",E3="",G3="PLN03"),H3,"")</f>
        <v/>
      </c>
      <c r="AC3" s="42" t="str">
        <f>IF(AND(C3=Master!$H$3,B3="2012-2013",E3&gt;1000,G3="PLN03"),H3,"")</f>
        <v/>
      </c>
      <c r="AD3" s="42" t="str">
        <f>IF(AND(C3=Master!$H$3,B3="2012-2013",E3="",G3="PLN03"),H3,"")</f>
        <v/>
      </c>
      <c r="AE3" s="42" t="str">
        <f>IF(AND(C3=Master!$H$4,B3="2012-2013",E3&gt;1000,G3="PLN03"),H3,"")</f>
        <v/>
      </c>
      <c r="AF3" s="42" t="str">
        <f>IF(AND(C3=Master!$H$4,B3="2012-2013",E3="",G3="PLN03"),H3,"")</f>
        <v/>
      </c>
      <c r="AG3" s="42" t="str">
        <f>IF(AND(C3=Master!$H$5,B3="2012-2013",E3&gt;1000,G3="PLN03"),H3,"")</f>
        <v/>
      </c>
      <c r="AH3" s="42" t="str">
        <f>IF(AND(C3=Master!$H$5,B3="2012-2013",E3="",G3="PLN03"),H3,"")</f>
        <v/>
      </c>
      <c r="AI3" s="42" t="str">
        <f>IF(AND(C3=Master!$H$6,B3="2012-2013",E3&gt;1000,G3="PLN03"),H3,"")</f>
        <v/>
      </c>
      <c r="AJ3" s="42" t="str">
        <f>IF(AND(C3=Master!$H$6,B3="2012-2013",E3="",G3="PLN03"),H3,"")</f>
        <v/>
      </c>
      <c r="AK3" s="42" t="str">
        <f>IF(AND(C3=Master!$H$7,B3="2012-2013",E3&gt;1000,G3="PLN03"),H3,"")</f>
        <v/>
      </c>
      <c r="AL3" s="42" t="str">
        <f>IF(AND(C3=Master!$H$7,B3="2012-2013",E3="",G3="PLN03"),H3,"")</f>
        <v/>
      </c>
      <c r="AM3" s="42" t="str">
        <f>IF(AND(C3=Master!$H$8,B3="2012-2013",E3&gt;1000,G3="PLN03"),H3,"")</f>
        <v/>
      </c>
      <c r="AN3" s="42" t="str">
        <f>IF(AND(C3=Master!$H$8,B3="2012-2013",E3="",G3="PLN03"),H3,"")</f>
        <v/>
      </c>
      <c r="AO3" s="42" t="str">
        <f>IF(AND(C3=Master!$H$9,B3="2012-2013",E3&gt;1000,G3="PLN03"),H3,"")</f>
        <v/>
      </c>
      <c r="AP3" s="42" t="str">
        <f>IF(AND(C3=Master!$H$9,B3="2012-2013",E3="",G3="PLN03"),H3,"")</f>
        <v/>
      </c>
      <c r="AQ3" s="44" t="str">
        <f>IF(AND(C3=Master!$H$1,B3="2012-2013",E3&gt;1000,G3="NPN05"),H3,"")</f>
        <v/>
      </c>
      <c r="AR3" s="44" t="str">
        <f>IF(AND(C3=Master!$H$1,B3="2012-2013",E3="",G3="NPN05"),H3,"")</f>
        <v/>
      </c>
      <c r="AS3" s="44" t="str">
        <f>IF(AND(C3=Master!$H$2,B3="2012-2013",E3&gt;1000,G3="NPN05"),H3,"")</f>
        <v/>
      </c>
      <c r="AT3" s="44" t="str">
        <f>IF(AND(C3=Master!$H$2,B3="2012-2013",E3="",G3="NPN05"),H3,"")</f>
        <v/>
      </c>
      <c r="AU3" s="44" t="str">
        <f>IF(AND(C3=Master!$H$3,B3="2012-2013",E3&gt;1000,G3="NPN05"),H3,"")</f>
        <v/>
      </c>
      <c r="AV3" s="44" t="str">
        <f>IF(AND(C3=Master!$H$3,B3="2012-2013",E3="",G3="NPN05"),H3,"")</f>
        <v/>
      </c>
      <c r="AW3" s="44" t="str">
        <f>IF(AND(C3=Master!$H$4,B3="2012-2013",E3&gt;1000,G3="NPN05"),H3,"")</f>
        <v/>
      </c>
      <c r="AX3" s="44" t="str">
        <f>IF(AND(C3=Master!$H$4,B3="2012-2013",E3="",G3="NPN05"),H3,"")</f>
        <v/>
      </c>
      <c r="AY3" s="44" t="str">
        <f>IF(AND(C3=Master!$H$5,B3="2012-2013",E3&gt;1000,G3="NPN05"),H3,"")</f>
        <v/>
      </c>
      <c r="AZ3" s="44" t="str">
        <f>IF(AND(C3=Master!$H$5,B3="2012-2013",E3="",G3="NPN05"),H3,"")</f>
        <v/>
      </c>
      <c r="BA3" s="44" t="str">
        <f>IF(AND(C3=Master!$H$6,B3="2012-2013",E3&gt;1000,G3="NPN05"),H3,"")</f>
        <v/>
      </c>
      <c r="BB3" s="44" t="str">
        <f>IF(AND(C3=Master!$H$6,B3="2012-2013",E3="",G3="NPN05"),H3,"")</f>
        <v/>
      </c>
      <c r="BC3" s="44" t="str">
        <f>IF(AND(C3=Master!$H$7,B3="2012-2013",E3&gt;1000,G3="NPN05"),H3,"")</f>
        <v/>
      </c>
      <c r="BD3" s="44" t="str">
        <f>IF(AND(C3=Master!$H$7,B3="2012-2013",E3="",G3="NPN05"),H3,"")</f>
        <v/>
      </c>
      <c r="BE3" s="44" t="str">
        <f>IF(AND(C3=Master!$H$8,B3="2012-2013",E3&gt;1000,G3="NPN05"),H3,"")</f>
        <v/>
      </c>
      <c r="BF3" s="44" t="str">
        <f>IF(AND(C3=Master!$H$8,B3="2012-2013",E3="",G3="NPN05"),H3,"")</f>
        <v/>
      </c>
      <c r="BG3" s="44" t="str">
        <f>IF(AND(C3=Master!$H$9,B3="2012-2013",E3&gt;1000,G3="NPN05"),H3,"")</f>
        <v/>
      </c>
      <c r="BH3" s="44" t="str">
        <f>IF(AND(C3=Master!$H$9,B3="2012-2013",E3="",G3="NPN05"),H3,"")</f>
        <v/>
      </c>
      <c r="BI3" t="str">
        <f>IF(L3="C Form",T3="NA","")</f>
        <v/>
      </c>
    </row>
    <row r="4" spans="1:61" x14ac:dyDescent="0.25">
      <c r="A4" s="3">
        <v>2</v>
      </c>
      <c r="B4" s="12" t="s">
        <v>16</v>
      </c>
      <c r="C4" s="12" t="s">
        <v>24</v>
      </c>
      <c r="D4" s="31" t="s">
        <v>114</v>
      </c>
      <c r="E4" s="4"/>
      <c r="F4" s="13"/>
      <c r="G4" s="21" t="s">
        <v>80</v>
      </c>
      <c r="H4" s="35">
        <v>17000</v>
      </c>
      <c r="I4" s="27">
        <v>15600</v>
      </c>
      <c r="J4" s="25" t="str">
        <f>IF(NOT(I4=""),INDEX(Master!$B$1:$B$46,MATCH(I4,Master!$A$1:$A$46,0)),"")</f>
        <v>Dr Rakesh Khosa</v>
      </c>
      <c r="K4" s="18" t="s">
        <v>93</v>
      </c>
      <c r="L4" s="86" t="s">
        <v>36</v>
      </c>
      <c r="M4" s="13"/>
      <c r="N4" s="13"/>
      <c r="O4" s="18"/>
      <c r="P4" s="35"/>
      <c r="Q4" s="21" t="s">
        <v>39</v>
      </c>
      <c r="R4" s="21" t="s">
        <v>171</v>
      </c>
      <c r="S4" s="13">
        <v>41172</v>
      </c>
      <c r="T4" s="37"/>
      <c r="U4" s="12"/>
      <c r="V4" s="12"/>
      <c r="W4" s="14"/>
      <c r="Y4" s="42" t="str">
        <f>IF(AND(C4=Master!$H$1,B4="2012-2013",E4&gt;1000,G4="PLN03"),H4,"")</f>
        <v/>
      </c>
      <c r="Z4" s="42">
        <f>IF(AND(C4=Master!$H$1,B4="2012-2013",E4="",G4="PLN03"),H4,"")</f>
        <v>17000</v>
      </c>
      <c r="AA4" s="42" t="str">
        <f>IF(AND(C4=Master!$H$2,B4="2012-2013",E4&gt;1000,G4="PLN03"),H4,"")</f>
        <v/>
      </c>
      <c r="AB4" s="42" t="str">
        <f>IF(AND(C4=Master!$H$2,B4="2012-2013",E4="",G4="PLN03"),H4,"")</f>
        <v/>
      </c>
      <c r="AC4" s="42" t="str">
        <f>IF(AND(C4=Master!$H$3,B4="2012-2013",E4&gt;1000,G4="PLN03"),H4,"")</f>
        <v/>
      </c>
      <c r="AD4" s="42" t="str">
        <f>IF(AND(C4=Master!$H$3,B4="2012-2013",E4="",G4="PLN03"),H4,"")</f>
        <v/>
      </c>
      <c r="AE4" s="42" t="str">
        <f>IF(AND(C4=Master!$H$4,B4="2012-2013",E4&gt;1000,G4="PLN03"),H4,"")</f>
        <v/>
      </c>
      <c r="AF4" s="42" t="str">
        <f>IF(AND(C4=Master!$H$4,B4="2012-2013",E4="",G4="PLN03"),H4,"")</f>
        <v/>
      </c>
      <c r="AG4" s="42" t="str">
        <f>IF(AND(C4=Master!$H$5,B4="2012-2013",E4&gt;1000,G4="PLN03"),H4,"")</f>
        <v/>
      </c>
      <c r="AH4" s="42" t="str">
        <f>IF(AND(C4=Master!$H$5,B4="2012-2013",E4="",G4="PLN03"),H4,"")</f>
        <v/>
      </c>
      <c r="AI4" s="42" t="str">
        <f>IF(AND(C4=Master!$H$6,B4="2012-2013",E4&gt;1000,G4="PLN03"),H4,"")</f>
        <v/>
      </c>
      <c r="AJ4" s="42" t="str">
        <f>IF(AND(C4=Master!$H$6,B4="2012-2013",E4="",G4="PLN03"),H4,"")</f>
        <v/>
      </c>
      <c r="AK4" s="42" t="str">
        <f>IF(AND(C4=Master!$H$7,B4="2012-2013",E4&gt;1000,G4="PLN03"),H4,"")</f>
        <v/>
      </c>
      <c r="AL4" s="42" t="str">
        <f>IF(AND(C4=Master!$H$7,B4="2012-2013",E4="",G4="PLN03"),H4,"")</f>
        <v/>
      </c>
      <c r="AM4" s="42" t="str">
        <f>IF(AND(C4=Master!$H$8,B4="2012-2013",E4&gt;1000,G4="PLN03"),H4,"")</f>
        <v/>
      </c>
      <c r="AN4" s="42" t="str">
        <f>IF(AND(C4=Master!$H$8,B4="2012-2013",E4="",G4="PLN03"),H4,"")</f>
        <v/>
      </c>
      <c r="AO4" s="42" t="str">
        <f>IF(AND(C4=Master!$H$9,B4="2012-2013",E4&gt;1000,G4="PLN03"),H4,"")</f>
        <v/>
      </c>
      <c r="AP4" s="42" t="str">
        <f>IF(AND(C4=Master!$H$9,B4="2012-2013",E4="",G4="PLN03"),H4,"")</f>
        <v/>
      </c>
      <c r="AQ4" s="44" t="str">
        <f>IF(AND(C4=Master!$H$1,B4="2012-2013",E4&gt;1000,G4="NPN05"),H4,"")</f>
        <v/>
      </c>
      <c r="AR4" s="44" t="str">
        <f>IF(AND(C4=Master!$H$1,B4="2012-2013",E4="",G4="NPN05"),H4,"")</f>
        <v/>
      </c>
      <c r="AS4" s="44" t="str">
        <f>IF(AND(C4=Master!$H$2,B4="2012-2013",E4&gt;1000,G4="NPN05"),H4,"")</f>
        <v/>
      </c>
      <c r="AT4" s="44" t="str">
        <f>IF(AND(C4=Master!$H$2,B4="2012-2013",E4="",G4="NPN05"),H4,"")</f>
        <v/>
      </c>
      <c r="AU4" s="44" t="str">
        <f>IF(AND(C4=Master!$H$3,B4="2012-2013",E4&gt;1000,G4="NPN05"),H4,"")</f>
        <v/>
      </c>
      <c r="AV4" s="44" t="str">
        <f>IF(AND(C4=Master!$H$3,B4="2012-2013",E4="",G4="NPN05"),H4,"")</f>
        <v/>
      </c>
      <c r="AW4" s="44" t="str">
        <f>IF(AND(C4=Master!$H$4,B4="2012-2013",E4&gt;1000,G4="NPN05"),H4,"")</f>
        <v/>
      </c>
      <c r="AX4" s="44" t="str">
        <f>IF(AND(C4=Master!$H$4,B4="2012-2013",E4="",G4="NPN05"),H4,"")</f>
        <v/>
      </c>
      <c r="AY4" s="44" t="str">
        <f>IF(AND(C4=Master!$H$5,B4="2012-2013",E4&gt;1000,G4="NPN05"),H4,"")</f>
        <v/>
      </c>
      <c r="AZ4" s="44" t="str">
        <f>IF(AND(C4=Master!$H$5,B4="2012-2013",E4="",G4="NPN05"),H4,"")</f>
        <v/>
      </c>
      <c r="BA4" s="44" t="str">
        <f>IF(AND(C4=Master!$H$6,B4="2012-2013",E4&gt;1000,G4="NPN05"),H4,"")</f>
        <v/>
      </c>
      <c r="BB4" s="44" t="str">
        <f>IF(AND(C4=Master!$H$6,B4="2012-2013",E4="",G4="NPN05"),H4,"")</f>
        <v/>
      </c>
      <c r="BC4" s="44" t="str">
        <f>IF(AND(C4=Master!$H$7,B4="2012-2013",E4&gt;1000,G4="NPN05"),H4,"")</f>
        <v/>
      </c>
      <c r="BD4" s="44" t="str">
        <f>IF(AND(C4=Master!$H$7,B4="2012-2013",E4="",G4="NPN05"),H4,"")</f>
        <v/>
      </c>
      <c r="BE4" s="44" t="str">
        <f>IF(AND(C4=Master!$H$8,B4="2012-2013",E4&gt;1000,G4="NPN05"),H4,"")</f>
        <v/>
      </c>
      <c r="BF4" s="44" t="str">
        <f>IF(AND(C4=Master!$H$8,B4="2012-2013",E4="",G4="NPN05"),H4,"")</f>
        <v/>
      </c>
      <c r="BG4" s="44" t="str">
        <f>IF(AND(C4=Master!$H$9,B4="2012-2013",E4&gt;1000,G4="NPN05"),H4,"")</f>
        <v/>
      </c>
      <c r="BH4" s="44" t="str">
        <f>IF(AND(C4=Master!$H$9,B4="2012-2013",E4="",G4="NPN05"),H4,"")</f>
        <v/>
      </c>
    </row>
    <row r="5" spans="1:61" x14ac:dyDescent="0.25">
      <c r="A5" s="3">
        <v>3</v>
      </c>
      <c r="B5" s="12" t="s">
        <v>16</v>
      </c>
      <c r="C5" s="12" t="s">
        <v>27</v>
      </c>
      <c r="D5" s="31" t="s">
        <v>113</v>
      </c>
      <c r="E5" s="4">
        <v>12584</v>
      </c>
      <c r="F5" s="13">
        <v>41112</v>
      </c>
      <c r="G5" s="21" t="s">
        <v>80</v>
      </c>
      <c r="H5" s="35">
        <v>250000</v>
      </c>
      <c r="I5" s="27">
        <v>15859</v>
      </c>
      <c r="J5" s="25" t="str">
        <f>IF(NOT(I5=""),INDEX(Master!$B$1:$B$46,MATCH(I5,Master!$A$1:$A$46,0)),"")</f>
        <v>Prof A K Mittal</v>
      </c>
      <c r="K5" s="18" t="s">
        <v>92</v>
      </c>
      <c r="L5" s="86" t="s">
        <v>37</v>
      </c>
      <c r="M5" s="13"/>
      <c r="N5" s="13"/>
      <c r="O5" s="18"/>
      <c r="P5" s="35"/>
      <c r="Q5" s="21"/>
      <c r="R5" s="21"/>
      <c r="S5" s="13"/>
      <c r="T5" s="12"/>
      <c r="U5" s="12"/>
      <c r="V5" s="12"/>
      <c r="W5" s="14"/>
      <c r="Y5" s="42" t="str">
        <f>IF(AND(C5=Master!$H$1,B5="2012-2013",E5&gt;1000,G5="PLN03"),H5,"")</f>
        <v/>
      </c>
      <c r="Z5" s="42" t="str">
        <f>IF(AND(C5=Master!$H$1,B5="2012-2013",E5="",G5="PLN03"),H5,"")</f>
        <v/>
      </c>
      <c r="AA5" s="42">
        <f>IF(AND(C5=Master!$H$2,B5="2012-2013",E5&gt;1000,G5="PLN03"),H5,"")</f>
        <v>250000</v>
      </c>
      <c r="AB5" s="42" t="str">
        <f>IF(AND(C5=Master!$H$2,B5="2012-2013",E5="",G5="PLN03"),H5,"")</f>
        <v/>
      </c>
      <c r="AC5" s="42" t="str">
        <f>IF(AND(C5=Master!$H$3,B5="2012-2013",E5&gt;1000,G5="PLN03"),H5,"")</f>
        <v/>
      </c>
      <c r="AD5" s="42" t="str">
        <f>IF(AND(C5=Master!$H$3,B5="2012-2013",E5="",G5="PLN03"),H5,"")</f>
        <v/>
      </c>
      <c r="AE5" s="42" t="str">
        <f>IF(AND(C5=Master!$H$4,B5="2012-2013",E5&gt;1000,G5="PLN03"),H5,"")</f>
        <v/>
      </c>
      <c r="AF5" s="42" t="str">
        <f>IF(AND(C5=Master!$H$4,B5="2012-2013",E5="",G5="PLN03"),H5,"")</f>
        <v/>
      </c>
      <c r="AG5" s="42" t="str">
        <f>IF(AND(C5=Master!$H$5,B5="2012-2013",E5&gt;1000,G5="PLN03"),H5,"")</f>
        <v/>
      </c>
      <c r="AH5" s="42" t="str">
        <f>IF(AND(C5=Master!$H$5,B5="2012-2013",E5="",G5="PLN03"),H5,"")</f>
        <v/>
      </c>
      <c r="AI5" s="42" t="str">
        <f>IF(AND(C5=Master!$H$6,B5="2012-2013",E5&gt;1000,G5="PLN03"),H5,"")</f>
        <v/>
      </c>
      <c r="AJ5" s="42" t="str">
        <f>IF(AND(C5=Master!$H$6,B5="2012-2013",E5="",G5="PLN03"),H5,"")</f>
        <v/>
      </c>
      <c r="AK5" s="42" t="str">
        <f>IF(AND(C5=Master!$H$7,B5="2012-2013",E5&gt;1000,G5="PLN03"),H5,"")</f>
        <v/>
      </c>
      <c r="AL5" s="42" t="str">
        <f>IF(AND(C5=Master!$H$7,B5="2012-2013",E5="",G5="PLN03"),H5,"")</f>
        <v/>
      </c>
      <c r="AM5" s="42" t="str">
        <f>IF(AND(C5=Master!$H$8,B5="2012-2013",E5&gt;1000,G5="PLN03"),H5,"")</f>
        <v/>
      </c>
      <c r="AN5" s="42" t="str">
        <f>IF(AND(C5=Master!$H$8,B5="2012-2013",E5="",G5="PLN03"),H5,"")</f>
        <v/>
      </c>
      <c r="AO5" s="42" t="str">
        <f>IF(AND(C5=Master!$H$9,B5="2012-2013",E5&gt;1000,G5="PLN03"),H5,"")</f>
        <v/>
      </c>
      <c r="AP5" s="42" t="str">
        <f>IF(AND(C5=Master!$H$9,B5="2012-2013",E5="",G5="PLN03"),H5,"")</f>
        <v/>
      </c>
      <c r="AQ5" s="44" t="str">
        <f>IF(AND(C5=Master!$H$1,B5="2012-2013",E5&gt;1000,G5="NPN05"),H5,"")</f>
        <v/>
      </c>
      <c r="AR5" s="44" t="str">
        <f>IF(AND(C5=Master!$H$1,B5="2012-2013",E5="",G5="NPN05"),H5,"")</f>
        <v/>
      </c>
      <c r="AS5" s="44" t="str">
        <f>IF(AND(C5=Master!$H$2,B5="2012-2013",E5&gt;1000,G5="NPN05"),H5,"")</f>
        <v/>
      </c>
      <c r="AT5" s="44" t="str">
        <f>IF(AND(C5=Master!$H$2,B5="2012-2013",E5="",G5="NPN05"),H5,"")</f>
        <v/>
      </c>
      <c r="AU5" s="44" t="str">
        <f>IF(AND(C5=Master!$H$3,B5="2012-2013",E5&gt;1000,G5="NPN05"),H5,"")</f>
        <v/>
      </c>
      <c r="AV5" s="44" t="str">
        <f>IF(AND(C5=Master!$H$3,B5="2012-2013",E5="",G5="NPN05"),H5,"")</f>
        <v/>
      </c>
      <c r="AW5" s="44" t="str">
        <f>IF(AND(C5=Master!$H$4,B5="2012-2013",E5&gt;1000,G5="NPN05"),H5,"")</f>
        <v/>
      </c>
      <c r="AX5" s="44" t="str">
        <f>IF(AND(C5=Master!$H$4,B5="2012-2013",E5="",G5="NPN05"),H5,"")</f>
        <v/>
      </c>
      <c r="AY5" s="44" t="str">
        <f>IF(AND(C5=Master!$H$5,B5="2012-2013",E5&gt;1000,G5="NPN05"),H5,"")</f>
        <v/>
      </c>
      <c r="AZ5" s="44" t="str">
        <f>IF(AND(C5=Master!$H$5,B5="2012-2013",E5="",G5="NPN05"),H5,"")</f>
        <v/>
      </c>
      <c r="BA5" s="44" t="str">
        <f>IF(AND(C5=Master!$H$6,B5="2012-2013",E5&gt;1000,G5="NPN05"),H5,"")</f>
        <v/>
      </c>
      <c r="BB5" s="44" t="str">
        <f>IF(AND(C5=Master!$H$6,B5="2012-2013",E5="",G5="NPN05"),H5,"")</f>
        <v/>
      </c>
      <c r="BC5" s="44" t="str">
        <f>IF(AND(C5=Master!$H$7,B5="2012-2013",E5&gt;1000,G5="NPN05"),H5,"")</f>
        <v/>
      </c>
      <c r="BD5" s="44" t="str">
        <f>IF(AND(C5=Master!$H$7,B5="2012-2013",E5="",G5="NPN05"),H5,"")</f>
        <v/>
      </c>
      <c r="BE5" s="44" t="str">
        <f>IF(AND(C5=Master!$H$8,B5="2012-2013",E5&gt;1000,G5="NPN05"),H5,"")</f>
        <v/>
      </c>
      <c r="BF5" s="44" t="str">
        <f>IF(AND(C5=Master!$H$8,B5="2012-2013",E5="",G5="NPN05"),H5,"")</f>
        <v/>
      </c>
      <c r="BG5" s="44" t="str">
        <f>IF(AND(C5=Master!$H$9,B5="2012-2013",E5&gt;1000,G5="NPN05"),H5,"")</f>
        <v/>
      </c>
      <c r="BH5" s="44" t="str">
        <f>IF(AND(C5=Master!$H$9,B5="2012-2013",E5="",G5="NPN05"),H5,"")</f>
        <v/>
      </c>
    </row>
    <row r="6" spans="1:61" x14ac:dyDescent="0.25">
      <c r="A6" s="3">
        <v>4</v>
      </c>
      <c r="B6" s="12" t="s">
        <v>16</v>
      </c>
      <c r="C6" s="12" t="s">
        <v>27</v>
      </c>
      <c r="D6" s="31" t="s">
        <v>113</v>
      </c>
      <c r="E6" s="4"/>
      <c r="F6" s="13"/>
      <c r="G6" s="21" t="s">
        <v>80</v>
      </c>
      <c r="H6" s="35">
        <v>15000</v>
      </c>
      <c r="I6" s="27">
        <v>15872</v>
      </c>
      <c r="J6" s="25" t="str">
        <f>IF(NOT(I6=""),INDEX(Master!$B$1:$B$46,MATCH(I6,Master!$A$1:$A$46,0)),"")</f>
        <v>Prof B J Alappat</v>
      </c>
      <c r="K6" s="18" t="s">
        <v>94</v>
      </c>
      <c r="L6" s="86" t="s">
        <v>37</v>
      </c>
      <c r="M6" s="13"/>
      <c r="N6" s="13"/>
      <c r="O6" s="18"/>
      <c r="P6" s="35"/>
      <c r="Q6" s="21"/>
      <c r="R6" s="21"/>
      <c r="S6" s="13"/>
      <c r="T6" s="12"/>
      <c r="U6" s="12"/>
      <c r="V6" s="12"/>
      <c r="W6" s="14"/>
      <c r="Y6" s="42" t="str">
        <f>IF(AND(C6=Master!$H$1,B6="2012-2013",E6&gt;1000,G6="PLN03"),H6,"")</f>
        <v/>
      </c>
      <c r="Z6" s="42" t="str">
        <f>IF(AND(C6=Master!$H$1,B6="2012-2013",E6="",G6="PLN03"),H6,"")</f>
        <v/>
      </c>
      <c r="AA6" s="42" t="str">
        <f>IF(AND(C6=Master!$H$2,B6="2012-2013",E6&gt;1000,G6="PLN03"),H6,"")</f>
        <v/>
      </c>
      <c r="AB6" s="42">
        <f>IF(AND(C6=Master!$H$2,B6="2012-2013",E6="",G6="PLN03"),H6,"")</f>
        <v>15000</v>
      </c>
      <c r="AC6" s="42" t="str">
        <f>IF(AND(C6=Master!$H$3,B6="2012-2013",E6&gt;1000,G6="PLN03"),H6,"")</f>
        <v/>
      </c>
      <c r="AD6" s="42" t="str">
        <f>IF(AND(C6=Master!$H$3,B6="2012-2013",E6="",G6="PLN03"),H6,"")</f>
        <v/>
      </c>
      <c r="AE6" s="42" t="str">
        <f>IF(AND(C6=Master!$H$4,B6="2012-2013",E6&gt;1000,G6="PLN03"),H6,"")</f>
        <v/>
      </c>
      <c r="AF6" s="42" t="str">
        <f>IF(AND(C6=Master!$H$4,B6="2012-2013",E6="",G6="PLN03"),H6,"")</f>
        <v/>
      </c>
      <c r="AG6" s="42" t="str">
        <f>IF(AND(C6=Master!$H$5,B6="2012-2013",E6&gt;1000,G6="PLN03"),H6,"")</f>
        <v/>
      </c>
      <c r="AH6" s="42" t="str">
        <f>IF(AND(C6=Master!$H$5,B6="2012-2013",E6="",G6="PLN03"),H6,"")</f>
        <v/>
      </c>
      <c r="AI6" s="42" t="str">
        <f>IF(AND(C6=Master!$H$6,B6="2012-2013",E6&gt;1000,G6="PLN03"),H6,"")</f>
        <v/>
      </c>
      <c r="AJ6" s="42" t="str">
        <f>IF(AND(C6=Master!$H$6,B6="2012-2013",E6="",G6="PLN03"),H6,"")</f>
        <v/>
      </c>
      <c r="AK6" s="42" t="str">
        <f>IF(AND(C6=Master!$H$7,B6="2012-2013",E6&gt;1000,G6="PLN03"),H6,"")</f>
        <v/>
      </c>
      <c r="AL6" s="42" t="str">
        <f>IF(AND(C6=Master!$H$7,B6="2012-2013",E6="",G6="PLN03"),H6,"")</f>
        <v/>
      </c>
      <c r="AM6" s="42" t="str">
        <f>IF(AND(C6=Master!$H$8,B6="2012-2013",E6&gt;1000,G6="PLN03"),H6,"")</f>
        <v/>
      </c>
      <c r="AN6" s="42" t="str">
        <f>IF(AND(C6=Master!$H$8,B6="2012-2013",E6="",G6="PLN03"),H6,"")</f>
        <v/>
      </c>
      <c r="AO6" s="42" t="str">
        <f>IF(AND(C6=Master!$H$9,B6="2012-2013",E6&gt;1000,G6="PLN03"),H6,"")</f>
        <v/>
      </c>
      <c r="AP6" s="42" t="str">
        <f>IF(AND(C6=Master!$H$9,B6="2012-2013",E6="",G6="PLN03"),H6,"")</f>
        <v/>
      </c>
      <c r="AQ6" s="44" t="str">
        <f>IF(AND(C6=Master!$H$1,B6="2012-2013",E6&gt;1000,G6="NPN05"),H6,"")</f>
        <v/>
      </c>
      <c r="AR6" s="44" t="str">
        <f>IF(AND(C6=Master!$H$1,B6="2012-2013",E6="",G6="NPN05"),H6,"")</f>
        <v/>
      </c>
      <c r="AS6" s="44" t="str">
        <f>IF(AND(C6=Master!$H$2,B6="2012-2013",E6&gt;1000,G6="NPN05"),H6,"")</f>
        <v/>
      </c>
      <c r="AT6" s="44" t="str">
        <f>IF(AND(C6=Master!$H$2,B6="2012-2013",E6="",G6="NPN05"),H6,"")</f>
        <v/>
      </c>
      <c r="AU6" s="44" t="str">
        <f>IF(AND(C6=Master!$H$3,B6="2012-2013",E6&gt;1000,G6="NPN05"),H6,"")</f>
        <v/>
      </c>
      <c r="AV6" s="44" t="str">
        <f>IF(AND(C6=Master!$H$3,B6="2012-2013",E6="",G6="NPN05"),H6,"")</f>
        <v/>
      </c>
      <c r="AW6" s="44" t="str">
        <f>IF(AND(C6=Master!$H$4,B6="2012-2013",E6&gt;1000,G6="NPN05"),H6,"")</f>
        <v/>
      </c>
      <c r="AX6" s="44" t="str">
        <f>IF(AND(C6=Master!$H$4,B6="2012-2013",E6="",G6="NPN05"),H6,"")</f>
        <v/>
      </c>
      <c r="AY6" s="44" t="str">
        <f>IF(AND(C6=Master!$H$5,B6="2012-2013",E6&gt;1000,G6="NPN05"),H6,"")</f>
        <v/>
      </c>
      <c r="AZ6" s="44" t="str">
        <f>IF(AND(C6=Master!$H$5,B6="2012-2013",E6="",G6="NPN05"),H6,"")</f>
        <v/>
      </c>
      <c r="BA6" s="44" t="str">
        <f>IF(AND(C6=Master!$H$6,B6="2012-2013",E6&gt;1000,G6="NPN05"),H6,"")</f>
        <v/>
      </c>
      <c r="BB6" s="44" t="str">
        <f>IF(AND(C6=Master!$H$6,B6="2012-2013",E6="",G6="NPN05"),H6,"")</f>
        <v/>
      </c>
      <c r="BC6" s="44" t="str">
        <f>IF(AND(C6=Master!$H$7,B6="2012-2013",E6&gt;1000,G6="NPN05"),H6,"")</f>
        <v/>
      </c>
      <c r="BD6" s="44" t="str">
        <f>IF(AND(C6=Master!$H$7,B6="2012-2013",E6="",G6="NPN05"),H6,"")</f>
        <v/>
      </c>
      <c r="BE6" s="44" t="str">
        <f>IF(AND(C6=Master!$H$8,B6="2012-2013",E6&gt;1000,G6="NPN05"),H6,"")</f>
        <v/>
      </c>
      <c r="BF6" s="44" t="str">
        <f>IF(AND(C6=Master!$H$8,B6="2012-2013",E6="",G6="NPN05"),H6,"")</f>
        <v/>
      </c>
      <c r="BG6" s="44" t="str">
        <f>IF(AND(C6=Master!$H$9,B6="2012-2013",E6&gt;1000,G6="NPN05"),H6,"")</f>
        <v/>
      </c>
      <c r="BH6" s="44" t="str">
        <f>IF(AND(C6=Master!$H$9,B6="2012-2013",E6="",G6="NPN05"),H6,"")</f>
        <v/>
      </c>
    </row>
    <row r="7" spans="1:61" x14ac:dyDescent="0.25">
      <c r="A7" s="3">
        <v>5</v>
      </c>
      <c r="B7" s="12" t="s">
        <v>16</v>
      </c>
      <c r="C7" s="12" t="s">
        <v>29</v>
      </c>
      <c r="D7" s="31" t="s">
        <v>113</v>
      </c>
      <c r="E7" s="4">
        <v>10548</v>
      </c>
      <c r="F7" s="13">
        <v>41167</v>
      </c>
      <c r="G7" s="21" t="s">
        <v>80</v>
      </c>
      <c r="H7" s="35">
        <v>600000</v>
      </c>
      <c r="I7" s="27">
        <v>15601</v>
      </c>
      <c r="J7" s="25" t="str">
        <f>IF(NOT(I7=""),INDEX(Master!$B$1:$B$46,MATCH(I7,Master!$A$1:$A$46,0)),"")</f>
        <v>Prof K S Rao</v>
      </c>
      <c r="K7" s="18" t="s">
        <v>95</v>
      </c>
      <c r="L7" s="86"/>
      <c r="M7" s="13"/>
      <c r="N7" s="13"/>
      <c r="O7" s="18"/>
      <c r="P7" s="35"/>
      <c r="Q7" s="21"/>
      <c r="R7" s="21"/>
      <c r="S7" s="13"/>
      <c r="T7" s="12"/>
      <c r="U7" s="12"/>
      <c r="V7" s="12"/>
      <c r="W7" s="14"/>
      <c r="Y7" s="42" t="str">
        <f>IF(AND(C7=Master!$H$1,B7="2012-2013",E7&gt;1000,G7="PLN03"),H7,"")</f>
        <v/>
      </c>
      <c r="Z7" s="42" t="str">
        <f>IF(AND(C7=Master!$H$1,B7="2012-2013",E7="",G7="PLN03"),H7,"")</f>
        <v/>
      </c>
      <c r="AA7" s="42" t="str">
        <f>IF(AND(C7=Master!$H$2,B7="2012-2013",E7&gt;1000,G7="PLN03"),H7,"")</f>
        <v/>
      </c>
      <c r="AB7" s="42" t="str">
        <f>IF(AND(C7=Master!$H$2,B7="2012-2013",E7="",G7="PLN03"),H7,"")</f>
        <v/>
      </c>
      <c r="AC7" s="42">
        <f>IF(AND(C7=Master!$H$3,B7="2012-2013",E7&gt;1000,G7="PLN03"),H7,"")</f>
        <v>600000</v>
      </c>
      <c r="AD7" s="42" t="str">
        <f>IF(AND(C7=Master!$H$3,B7="2012-2013",E7="",G7="PLN03"),H7,"")</f>
        <v/>
      </c>
      <c r="AE7" s="42" t="str">
        <f>IF(AND(C7=Master!$H$4,B7="2012-2013",E7&gt;1000,G7="PLN03"),H7,"")</f>
        <v/>
      </c>
      <c r="AF7" s="42" t="str">
        <f>IF(AND(C7=Master!$H$4,B7="2012-2013",E7="",G7="PLN03"),H7,"")</f>
        <v/>
      </c>
      <c r="AG7" s="42" t="str">
        <f>IF(AND(C7=Master!$H$5,B7="2012-2013",E7&gt;1000,G7="PLN03"),H7,"")</f>
        <v/>
      </c>
      <c r="AH7" s="42" t="str">
        <f>IF(AND(C7=Master!$H$5,B7="2012-2013",E7="",G7="PLN03"),H7,"")</f>
        <v/>
      </c>
      <c r="AI7" s="42" t="str">
        <f>IF(AND(C7=Master!$H$6,B7="2012-2013",E7&gt;1000,G7="PLN03"),H7,"")</f>
        <v/>
      </c>
      <c r="AJ7" s="42" t="str">
        <f>IF(AND(C7=Master!$H$6,B7="2012-2013",E7="",G7="PLN03"),H7,"")</f>
        <v/>
      </c>
      <c r="AK7" s="42" t="str">
        <f>IF(AND(C7=Master!$H$7,B7="2012-2013",E7&gt;1000,G7="PLN03"),H7,"")</f>
        <v/>
      </c>
      <c r="AL7" s="42" t="str">
        <f>IF(AND(C7=Master!$H$7,B7="2012-2013",E7="",G7="PLN03"),H7,"")</f>
        <v/>
      </c>
      <c r="AM7" s="42" t="str">
        <f>IF(AND(C7=Master!$H$8,B7="2012-2013",E7&gt;1000,G7="PLN03"),H7,"")</f>
        <v/>
      </c>
      <c r="AN7" s="42" t="str">
        <f>IF(AND(C7=Master!$H$8,B7="2012-2013",E7="",G7="PLN03"),H7,"")</f>
        <v/>
      </c>
      <c r="AO7" s="42" t="str">
        <f>IF(AND(C7=Master!$H$9,B7="2012-2013",E7&gt;1000,G7="PLN03"),H7,"")</f>
        <v/>
      </c>
      <c r="AP7" s="42" t="str">
        <f>IF(AND(C7=Master!$H$9,B7="2012-2013",E7="",G7="PLN03"),H7,"")</f>
        <v/>
      </c>
      <c r="AQ7" s="44" t="str">
        <f>IF(AND(C7=Master!$H$1,B7="2012-2013",E7&gt;1000,G7="NPN05"),H7,"")</f>
        <v/>
      </c>
      <c r="AR7" s="44" t="str">
        <f>IF(AND(C7=Master!$H$1,B7="2012-2013",E7="",G7="NPN05"),H7,"")</f>
        <v/>
      </c>
      <c r="AS7" s="44" t="str">
        <f>IF(AND(C7=Master!$H$2,B7="2012-2013",E7&gt;1000,G7="NPN05"),H7,"")</f>
        <v/>
      </c>
      <c r="AT7" s="44" t="str">
        <f>IF(AND(C7=Master!$H$2,B7="2012-2013",E7="",G7="NPN05"),H7,"")</f>
        <v/>
      </c>
      <c r="AU7" s="44" t="str">
        <f>IF(AND(C7=Master!$H$3,B7="2012-2013",E7&gt;1000,G7="NPN05"),H7,"")</f>
        <v/>
      </c>
      <c r="AV7" s="44" t="str">
        <f>IF(AND(C7=Master!$H$3,B7="2012-2013",E7="",G7="NPN05"),H7,"")</f>
        <v/>
      </c>
      <c r="AW7" s="44" t="str">
        <f>IF(AND(C7=Master!$H$4,B7="2012-2013",E7&gt;1000,G7="NPN05"),H7,"")</f>
        <v/>
      </c>
      <c r="AX7" s="44" t="str">
        <f>IF(AND(C7=Master!$H$4,B7="2012-2013",E7="",G7="NPN05"),H7,"")</f>
        <v/>
      </c>
      <c r="AY7" s="44" t="str">
        <f>IF(AND(C7=Master!$H$5,B7="2012-2013",E7&gt;1000,G7="NPN05"),H7,"")</f>
        <v/>
      </c>
      <c r="AZ7" s="44" t="str">
        <f>IF(AND(C7=Master!$H$5,B7="2012-2013",E7="",G7="NPN05"),H7,"")</f>
        <v/>
      </c>
      <c r="BA7" s="44" t="str">
        <f>IF(AND(C7=Master!$H$6,B7="2012-2013",E7&gt;1000,G7="NPN05"),H7,"")</f>
        <v/>
      </c>
      <c r="BB7" s="44" t="str">
        <f>IF(AND(C7=Master!$H$6,B7="2012-2013",E7="",G7="NPN05"),H7,"")</f>
        <v/>
      </c>
      <c r="BC7" s="44" t="str">
        <f>IF(AND(C7=Master!$H$7,B7="2012-2013",E7&gt;1000,G7="NPN05"),H7,"")</f>
        <v/>
      </c>
      <c r="BD7" s="44" t="str">
        <f>IF(AND(C7=Master!$H$7,B7="2012-2013",E7="",G7="NPN05"),H7,"")</f>
        <v/>
      </c>
      <c r="BE7" s="44" t="str">
        <f>IF(AND(C7=Master!$H$8,B7="2012-2013",E7&gt;1000,G7="NPN05"),H7,"")</f>
        <v/>
      </c>
      <c r="BF7" s="44" t="str">
        <f>IF(AND(C7=Master!$H$8,B7="2012-2013",E7="",G7="NPN05"),H7,"")</f>
        <v/>
      </c>
      <c r="BG7" s="44" t="str">
        <f>IF(AND(C7=Master!$H$9,B7="2012-2013",E7&gt;1000,G7="NPN05"),H7,"")</f>
        <v/>
      </c>
      <c r="BH7" s="44" t="str">
        <f>IF(AND(C7=Master!$H$9,B7="2012-2013",E7="",G7="NPN05"),H7,"")</f>
        <v/>
      </c>
    </row>
    <row r="8" spans="1:61" x14ac:dyDescent="0.25">
      <c r="A8" s="3">
        <v>6</v>
      </c>
      <c r="B8" s="12" t="s">
        <v>16</v>
      </c>
      <c r="C8" s="12" t="s">
        <v>29</v>
      </c>
      <c r="D8" s="31" t="s">
        <v>114</v>
      </c>
      <c r="E8" s="4"/>
      <c r="F8" s="13"/>
      <c r="G8" s="21" t="s">
        <v>81</v>
      </c>
      <c r="H8" s="35">
        <v>8000</v>
      </c>
      <c r="I8" s="27">
        <v>16244</v>
      </c>
      <c r="J8" s="25" t="str">
        <f>IF(NOT(I8=""),INDEX(Master!$B$1:$B$46,MATCH(I8,Master!$A$1:$A$46,0)),"")</f>
        <v>Dr R Ayothiraman</v>
      </c>
      <c r="K8" s="18" t="s">
        <v>96</v>
      </c>
      <c r="L8" s="86"/>
      <c r="M8" s="13"/>
      <c r="N8" s="13"/>
      <c r="O8" s="18"/>
      <c r="P8" s="35"/>
      <c r="Q8" s="21" t="s">
        <v>38</v>
      </c>
      <c r="R8" s="21" t="s">
        <v>172</v>
      </c>
      <c r="S8" s="13">
        <v>41174</v>
      </c>
      <c r="T8" s="12"/>
      <c r="U8" s="12"/>
      <c r="V8" s="12"/>
      <c r="W8" s="14"/>
      <c r="Y8" s="42" t="str">
        <f>IF(AND(C8=Master!$H$1,B8="2012-2013",E8&gt;1000,G8="PLN03"),H8,"")</f>
        <v/>
      </c>
      <c r="Z8" s="42" t="str">
        <f>IF(AND(C8=Master!$H$1,B8="2012-2013",E8="",G8="PLN03"),H8,"")</f>
        <v/>
      </c>
      <c r="AA8" s="42" t="str">
        <f>IF(AND(C8=Master!$H$2,B8="2012-2013",E8&gt;1000,G8="PLN03"),H8,"")</f>
        <v/>
      </c>
      <c r="AB8" s="42" t="str">
        <f>IF(AND(C8=Master!$H$2,B8="2012-2013",E8="",G8="PLN03"),H8,"")</f>
        <v/>
      </c>
      <c r="AC8" s="42" t="str">
        <f>IF(AND(C8=Master!$H$3,B8="2012-2013",E8&gt;1000,G8="PLN03"),H8,"")</f>
        <v/>
      </c>
      <c r="AD8" s="42" t="str">
        <f>IF(AND(C8=Master!$H$3,B8="2012-2013",E8="",G8="PLN03"),H8,"")</f>
        <v/>
      </c>
      <c r="AE8" s="42" t="str">
        <f>IF(AND(C8=Master!$H$4,B8="2012-2013",E8&gt;1000,G8="PLN03"),H8,"")</f>
        <v/>
      </c>
      <c r="AF8" s="42" t="str">
        <f>IF(AND(C8=Master!$H$4,B8="2012-2013",E8="",G8="PLN03"),H8,"")</f>
        <v/>
      </c>
      <c r="AG8" s="42" t="str">
        <f>IF(AND(C8=Master!$H$5,B8="2012-2013",E8&gt;1000,G8="PLN03"),H8,"")</f>
        <v/>
      </c>
      <c r="AH8" s="42" t="str">
        <f>IF(AND(C8=Master!$H$5,B8="2012-2013",E8="",G8="PLN03"),H8,"")</f>
        <v/>
      </c>
      <c r="AI8" s="42" t="str">
        <f>IF(AND(C8=Master!$H$6,B8="2012-2013",E8&gt;1000,G8="PLN03"),H8,"")</f>
        <v/>
      </c>
      <c r="AJ8" s="42" t="str">
        <f>IF(AND(C8=Master!$H$6,B8="2012-2013",E8="",G8="PLN03"),H8,"")</f>
        <v/>
      </c>
      <c r="AK8" s="42" t="str">
        <f>IF(AND(C8=Master!$H$7,B8="2012-2013",E8&gt;1000,G8="PLN03"),H8,"")</f>
        <v/>
      </c>
      <c r="AL8" s="42" t="str">
        <f>IF(AND(C8=Master!$H$7,B8="2012-2013",E8="",G8="PLN03"),H8,"")</f>
        <v/>
      </c>
      <c r="AM8" s="42" t="str">
        <f>IF(AND(C8=Master!$H$8,B8="2012-2013",E8&gt;1000,G8="PLN03"),H8,"")</f>
        <v/>
      </c>
      <c r="AN8" s="42" t="str">
        <f>IF(AND(C8=Master!$H$8,B8="2012-2013",E8="",G8="PLN03"),H8,"")</f>
        <v/>
      </c>
      <c r="AO8" s="42" t="str">
        <f>IF(AND(C8=Master!$H$9,B8="2012-2013",E8&gt;1000,G8="PLN03"),H8,"")</f>
        <v/>
      </c>
      <c r="AP8" s="42" t="str">
        <f>IF(AND(C8=Master!$H$9,B8="2012-2013",E8="",G8="PLN03"),H8,"")</f>
        <v/>
      </c>
      <c r="AQ8" s="44" t="str">
        <f>IF(AND(C8=Master!$H$1,B8="2012-2013",E8&gt;1000,G8="NPN05"),H8,"")</f>
        <v/>
      </c>
      <c r="AR8" s="44" t="str">
        <f>IF(AND(C8=Master!$H$1,B8="2012-2013",E8="",G8="NPN05"),H8,"")</f>
        <v/>
      </c>
      <c r="AS8" s="44" t="str">
        <f>IF(AND(C8=Master!$H$2,B8="2012-2013",E8&gt;1000,G8="NPN05"),H8,"")</f>
        <v/>
      </c>
      <c r="AT8" s="44" t="str">
        <f>IF(AND(C8=Master!$H$2,B8="2012-2013",E8="",G8="NPN05"),H8,"")</f>
        <v/>
      </c>
      <c r="AU8" s="44" t="str">
        <f>IF(AND(C8=Master!$H$3,B8="2012-2013",E8&gt;1000,G8="NPN05"),H8,"")</f>
        <v/>
      </c>
      <c r="AV8" s="44">
        <f>IF(AND(C8=Master!$H$3,B8="2012-2013",E8="",G8="NPN05"),H8,"")</f>
        <v>8000</v>
      </c>
      <c r="AW8" s="44" t="str">
        <f>IF(AND(C8=Master!$H$4,B8="2012-2013",E8&gt;1000,G8="NPN05"),H8,"")</f>
        <v/>
      </c>
      <c r="AX8" s="44" t="str">
        <f>IF(AND(C8=Master!$H$4,B8="2012-2013",E8="",G8="NPN05"),H8,"")</f>
        <v/>
      </c>
      <c r="AY8" s="44" t="str">
        <f>IF(AND(C8=Master!$H$5,B8="2012-2013",E8&gt;1000,G8="NPN05"),H8,"")</f>
        <v/>
      </c>
      <c r="AZ8" s="44" t="str">
        <f>IF(AND(C8=Master!$H$5,B8="2012-2013",E8="",G8="NPN05"),H8,"")</f>
        <v/>
      </c>
      <c r="BA8" s="44" t="str">
        <f>IF(AND(C8=Master!$H$6,B8="2012-2013",E8&gt;1000,G8="NPN05"),H8,"")</f>
        <v/>
      </c>
      <c r="BB8" s="44" t="str">
        <f>IF(AND(C8=Master!$H$6,B8="2012-2013",E8="",G8="NPN05"),H8,"")</f>
        <v/>
      </c>
      <c r="BC8" s="44" t="str">
        <f>IF(AND(C8=Master!$H$7,B8="2012-2013",E8&gt;1000,G8="NPN05"),H8,"")</f>
        <v/>
      </c>
      <c r="BD8" s="44" t="str">
        <f>IF(AND(C8=Master!$H$7,B8="2012-2013",E8="",G8="NPN05"),H8,"")</f>
        <v/>
      </c>
      <c r="BE8" s="44" t="str">
        <f>IF(AND(C8=Master!$H$8,B8="2012-2013",E8&gt;1000,G8="NPN05"),H8,"")</f>
        <v/>
      </c>
      <c r="BF8" s="44" t="str">
        <f>IF(AND(C8=Master!$H$8,B8="2012-2013",E8="",G8="NPN05"),H8,"")</f>
        <v/>
      </c>
      <c r="BG8" s="44" t="str">
        <f>IF(AND(C8=Master!$H$9,B8="2012-2013",E8&gt;1000,G8="NPN05"),H8,"")</f>
        <v/>
      </c>
      <c r="BH8" s="44" t="str">
        <f>IF(AND(C8=Master!$H$9,B8="2012-2013",E8="",G8="NPN05"),H8,"")</f>
        <v/>
      </c>
    </row>
    <row r="9" spans="1:61" x14ac:dyDescent="0.25">
      <c r="A9" s="3">
        <v>7</v>
      </c>
      <c r="B9" s="12" t="s">
        <v>16</v>
      </c>
      <c r="C9" s="12" t="s">
        <v>32</v>
      </c>
      <c r="D9" s="31" t="s">
        <v>113</v>
      </c>
      <c r="E9" s="4">
        <v>10589</v>
      </c>
      <c r="F9" s="13">
        <v>41170</v>
      </c>
      <c r="G9" s="21" t="s">
        <v>80</v>
      </c>
      <c r="H9" s="35">
        <v>150000</v>
      </c>
      <c r="I9" s="27">
        <v>15601</v>
      </c>
      <c r="J9" s="25" t="str">
        <f>IF(NOT(I9=""),INDEX(Master!$B$1:$B$46,MATCH(I9,Master!$A$1:$A$46,0)),"")</f>
        <v>Prof K S Rao</v>
      </c>
      <c r="K9" s="18" t="s">
        <v>97</v>
      </c>
      <c r="L9" s="86"/>
      <c r="M9" s="13"/>
      <c r="N9" s="13"/>
      <c r="O9" s="18"/>
      <c r="P9" s="35"/>
      <c r="Q9" s="21"/>
      <c r="R9" s="21"/>
      <c r="S9" s="13"/>
      <c r="T9" s="12"/>
      <c r="U9" s="12"/>
      <c r="V9" s="12"/>
      <c r="W9" s="14"/>
      <c r="Y9" s="42" t="str">
        <f>IF(AND(C9=Master!$H$1,B9="2012-2013",E9&gt;1000,G9="PLN03"),H9,"")</f>
        <v/>
      </c>
      <c r="Z9" s="42" t="str">
        <f>IF(AND(C9=Master!$H$1,B9="2012-2013",E9="",G9="PLN03"),H9,"")</f>
        <v/>
      </c>
      <c r="AA9" s="42" t="str">
        <f>IF(AND(C9=Master!$H$2,B9="2012-2013",E9&gt;1000,G9="PLN03"),H9,"")</f>
        <v/>
      </c>
      <c r="AB9" s="42" t="str">
        <f>IF(AND(C9=Master!$H$2,B9="2012-2013",E9="",G9="PLN03"),H9,"")</f>
        <v/>
      </c>
      <c r="AC9" s="42" t="str">
        <f>IF(AND(C9=Master!$H$3,B9="2012-2013",E9&gt;1000,G9="PLN03"),H9,"")</f>
        <v/>
      </c>
      <c r="AD9" s="42" t="str">
        <f>IF(AND(C9=Master!$H$3,B9="2012-2013",E9="",G9="PLN03"),H9,"")</f>
        <v/>
      </c>
      <c r="AE9" s="42">
        <f>IF(AND(C9=Master!$H$4,B9="2012-2013",E9&gt;1000,G9="PLN03"),H9,"")</f>
        <v>150000</v>
      </c>
      <c r="AF9" s="42" t="str">
        <f>IF(AND(C9=Master!$H$4,B9="2012-2013",E9="",G9="PLN03"),H9,"")</f>
        <v/>
      </c>
      <c r="AG9" s="42" t="str">
        <f>IF(AND(C9=Master!$H$5,B9="2012-2013",E9&gt;1000,G9="PLN03"),H9,"")</f>
        <v/>
      </c>
      <c r="AH9" s="42" t="str">
        <f>IF(AND(C9=Master!$H$5,B9="2012-2013",E9="",G9="PLN03"),H9,"")</f>
        <v/>
      </c>
      <c r="AI9" s="42" t="str">
        <f>IF(AND(C9=Master!$H$6,B9="2012-2013",E9&gt;1000,G9="PLN03"),H9,"")</f>
        <v/>
      </c>
      <c r="AJ9" s="42" t="str">
        <f>IF(AND(C9=Master!$H$6,B9="2012-2013",E9="",G9="PLN03"),H9,"")</f>
        <v/>
      </c>
      <c r="AK9" s="42" t="str">
        <f>IF(AND(C9=Master!$H$7,B9="2012-2013",E9&gt;1000,G9="PLN03"),H9,"")</f>
        <v/>
      </c>
      <c r="AL9" s="42" t="str">
        <f>IF(AND(C9=Master!$H$7,B9="2012-2013",E9="",G9="PLN03"),H9,"")</f>
        <v/>
      </c>
      <c r="AM9" s="42" t="str">
        <f>IF(AND(C9=Master!$H$8,B9="2012-2013",E9&gt;1000,G9="PLN03"),H9,"")</f>
        <v/>
      </c>
      <c r="AN9" s="42" t="str">
        <f>IF(AND(C9=Master!$H$8,B9="2012-2013",E9="",G9="PLN03"),H9,"")</f>
        <v/>
      </c>
      <c r="AO9" s="42" t="str">
        <f>IF(AND(C9=Master!$H$9,B9="2012-2013",E9&gt;1000,G9="PLN03"),H9,"")</f>
        <v/>
      </c>
      <c r="AP9" s="42" t="str">
        <f>IF(AND(C9=Master!$H$9,B9="2012-2013",E9="",G9="PLN03"),H9,"")</f>
        <v/>
      </c>
      <c r="AQ9" s="44" t="str">
        <f>IF(AND(C9=Master!$H$1,B9="2012-2013",E9&gt;1000,G9="NPN05"),H9,"")</f>
        <v/>
      </c>
      <c r="AR9" s="44" t="str">
        <f>IF(AND(C9=Master!$H$1,B9="2012-2013",E9="",G9="NPN05"),H9,"")</f>
        <v/>
      </c>
      <c r="AS9" s="44" t="str">
        <f>IF(AND(C9=Master!$H$2,B9="2012-2013",E9&gt;1000,G9="NPN05"),H9,"")</f>
        <v/>
      </c>
      <c r="AT9" s="44" t="str">
        <f>IF(AND(C9=Master!$H$2,B9="2012-2013",E9="",G9="NPN05"),H9,"")</f>
        <v/>
      </c>
      <c r="AU9" s="44" t="str">
        <f>IF(AND(C9=Master!$H$3,B9="2012-2013",E9&gt;1000,G9="NPN05"),H9,"")</f>
        <v/>
      </c>
      <c r="AV9" s="44" t="str">
        <f>IF(AND(C9=Master!$H$3,B9="2012-2013",E9="",G9="NPN05"),H9,"")</f>
        <v/>
      </c>
      <c r="AW9" s="44" t="str">
        <f>IF(AND(C9=Master!$H$4,B9="2012-2013",E9&gt;1000,G9="NPN05"),H9,"")</f>
        <v/>
      </c>
      <c r="AX9" s="44" t="str">
        <f>IF(AND(C9=Master!$H$4,B9="2012-2013",E9="",G9="NPN05"),H9,"")</f>
        <v/>
      </c>
      <c r="AY9" s="44" t="str">
        <f>IF(AND(C9=Master!$H$5,B9="2012-2013",E9&gt;1000,G9="NPN05"),H9,"")</f>
        <v/>
      </c>
      <c r="AZ9" s="44" t="str">
        <f>IF(AND(C9=Master!$H$5,B9="2012-2013",E9="",G9="NPN05"),H9,"")</f>
        <v/>
      </c>
      <c r="BA9" s="44" t="str">
        <f>IF(AND(C9=Master!$H$6,B9="2012-2013",E9&gt;1000,G9="NPN05"),H9,"")</f>
        <v/>
      </c>
      <c r="BB9" s="44" t="str">
        <f>IF(AND(C9=Master!$H$6,B9="2012-2013",E9="",G9="NPN05"),H9,"")</f>
        <v/>
      </c>
      <c r="BC9" s="44" t="str">
        <f>IF(AND(C9=Master!$H$7,B9="2012-2013",E9&gt;1000,G9="NPN05"),H9,"")</f>
        <v/>
      </c>
      <c r="BD9" s="44" t="str">
        <f>IF(AND(C9=Master!$H$7,B9="2012-2013",E9="",G9="NPN05"),H9,"")</f>
        <v/>
      </c>
      <c r="BE9" s="44" t="str">
        <f>IF(AND(C9=Master!$H$8,B9="2012-2013",E9&gt;1000,G9="NPN05"),H9,"")</f>
        <v/>
      </c>
      <c r="BF9" s="44" t="str">
        <f>IF(AND(C9=Master!$H$8,B9="2012-2013",E9="",G9="NPN05"),H9,"")</f>
        <v/>
      </c>
      <c r="BG9" s="44" t="str">
        <f>IF(AND(C9=Master!$H$9,B9="2012-2013",E9&gt;1000,G9="NPN05"),H9,"")</f>
        <v/>
      </c>
      <c r="BH9" s="44" t="str">
        <f>IF(AND(C9=Master!$H$9,B9="2012-2013",E9="",G9="NPN05"),H9,"")</f>
        <v/>
      </c>
    </row>
    <row r="10" spans="1:61" x14ac:dyDescent="0.25">
      <c r="A10" s="3">
        <v>8</v>
      </c>
      <c r="B10" s="12" t="s">
        <v>16</v>
      </c>
      <c r="C10" s="12" t="s">
        <v>32</v>
      </c>
      <c r="D10" s="31" t="s">
        <v>113</v>
      </c>
      <c r="E10" s="4"/>
      <c r="F10" s="13"/>
      <c r="G10" s="21" t="s">
        <v>80</v>
      </c>
      <c r="H10" s="35">
        <v>12000</v>
      </c>
      <c r="I10" s="27">
        <v>15601</v>
      </c>
      <c r="J10" s="25" t="str">
        <f>IF(NOT(I10=""),INDEX(Master!$B$1:$B$46,MATCH(I10,Master!$A$1:$A$46,0)),"")</f>
        <v>Prof K S Rao</v>
      </c>
      <c r="K10" s="18" t="s">
        <v>99</v>
      </c>
      <c r="L10" s="86"/>
      <c r="M10" s="13"/>
      <c r="N10" s="13"/>
      <c r="O10" s="18"/>
      <c r="P10" s="35"/>
      <c r="Q10" s="21"/>
      <c r="R10" s="21"/>
      <c r="S10" s="13"/>
      <c r="T10" s="12"/>
      <c r="U10" s="12"/>
      <c r="V10" s="12"/>
      <c r="W10" s="14"/>
      <c r="Y10" s="42" t="str">
        <f>IF(AND(C10=Master!$H$1,B10="2012-2013",E10&gt;1000,G10="PLN03"),H10,"")</f>
        <v/>
      </c>
      <c r="Z10" s="42" t="str">
        <f>IF(AND(C10=Master!$H$1,B10="2012-2013",E10="",G10="PLN03"),H10,"")</f>
        <v/>
      </c>
      <c r="AA10" s="42" t="str">
        <f>IF(AND(C10=Master!$H$2,B10="2012-2013",E10&gt;1000,G10="PLN03"),H10,"")</f>
        <v/>
      </c>
      <c r="AB10" s="42" t="str">
        <f>IF(AND(C10=Master!$H$2,B10="2012-2013",E10="",G10="PLN03"),H10,"")</f>
        <v/>
      </c>
      <c r="AC10" s="42" t="str">
        <f>IF(AND(C10=Master!$H$3,B10="2012-2013",E10&gt;1000,G10="PLN03"),H10,"")</f>
        <v/>
      </c>
      <c r="AD10" s="42" t="str">
        <f>IF(AND(C10=Master!$H$3,B10="2012-2013",E10="",G10="PLN03"),H10,"")</f>
        <v/>
      </c>
      <c r="AE10" s="42" t="str">
        <f>IF(AND(C10=Master!$H$4,B10="2012-2013",E10&gt;1000,G10="PLN03"),H10,"")</f>
        <v/>
      </c>
      <c r="AF10" s="42">
        <f>IF(AND(C10=Master!$H$4,B10="2012-2013",E10="",G10="PLN03"),H10,"")</f>
        <v>12000</v>
      </c>
      <c r="AG10" s="42" t="str">
        <f>IF(AND(C10=Master!$H$5,B10="2012-2013",E10&gt;1000,G10="PLN03"),H10,"")</f>
        <v/>
      </c>
      <c r="AH10" s="42" t="str">
        <f>IF(AND(C10=Master!$H$5,B10="2012-2013",E10="",G10="PLN03"),H10,"")</f>
        <v/>
      </c>
      <c r="AI10" s="42" t="str">
        <f>IF(AND(C10=Master!$H$6,B10="2012-2013",E10&gt;1000,G10="PLN03"),H10,"")</f>
        <v/>
      </c>
      <c r="AJ10" s="42" t="str">
        <f>IF(AND(C10=Master!$H$6,B10="2012-2013",E10="",G10="PLN03"),H10,"")</f>
        <v/>
      </c>
      <c r="AK10" s="42" t="str">
        <f>IF(AND(C10=Master!$H$7,B10="2012-2013",E10&gt;1000,G10="PLN03"),H10,"")</f>
        <v/>
      </c>
      <c r="AL10" s="42" t="str">
        <f>IF(AND(C10=Master!$H$7,B10="2012-2013",E10="",G10="PLN03"),H10,"")</f>
        <v/>
      </c>
      <c r="AM10" s="42" t="str">
        <f>IF(AND(C10=Master!$H$8,B10="2012-2013",E10&gt;1000,G10="PLN03"),H10,"")</f>
        <v/>
      </c>
      <c r="AN10" s="42" t="str">
        <f>IF(AND(C10=Master!$H$8,B10="2012-2013",E10="",G10="PLN03"),H10,"")</f>
        <v/>
      </c>
      <c r="AO10" s="42" t="str">
        <f>IF(AND(C10=Master!$H$9,B10="2012-2013",E10&gt;1000,G10="PLN03"),H10,"")</f>
        <v/>
      </c>
      <c r="AP10" s="42" t="str">
        <f>IF(AND(C10=Master!$H$9,B10="2012-2013",E10="",G10="PLN03"),H10,"")</f>
        <v/>
      </c>
      <c r="AQ10" s="44" t="str">
        <f>IF(AND(C10=Master!$H$1,B10="2012-2013",E10&gt;1000,G10="NPN05"),H10,"")</f>
        <v/>
      </c>
      <c r="AR10" s="44" t="str">
        <f>IF(AND(C10=Master!$H$1,B10="2012-2013",E10="",G10="NPN05"),H10,"")</f>
        <v/>
      </c>
      <c r="AS10" s="44" t="str">
        <f>IF(AND(C10=Master!$H$2,B10="2012-2013",E10&gt;1000,G10="NPN05"),H10,"")</f>
        <v/>
      </c>
      <c r="AT10" s="44" t="str">
        <f>IF(AND(C10=Master!$H$2,B10="2012-2013",E10="",G10="NPN05"),H10,"")</f>
        <v/>
      </c>
      <c r="AU10" s="44" t="str">
        <f>IF(AND(C10=Master!$H$3,B10="2012-2013",E10&gt;1000,G10="NPN05"),H10,"")</f>
        <v/>
      </c>
      <c r="AV10" s="44" t="str">
        <f>IF(AND(C10=Master!$H$3,B10="2012-2013",E10="",G10="NPN05"),H10,"")</f>
        <v/>
      </c>
      <c r="AW10" s="44" t="str">
        <f>IF(AND(C10=Master!$H$4,B10="2012-2013",E10&gt;1000,G10="NPN05"),H10,"")</f>
        <v/>
      </c>
      <c r="AX10" s="44" t="str">
        <f>IF(AND(C10=Master!$H$4,B10="2012-2013",E10="",G10="NPN05"),H10,"")</f>
        <v/>
      </c>
      <c r="AY10" s="44" t="str">
        <f>IF(AND(C10=Master!$H$5,B10="2012-2013",E10&gt;1000,G10="NPN05"),H10,"")</f>
        <v/>
      </c>
      <c r="AZ10" s="44" t="str">
        <f>IF(AND(C10=Master!$H$5,B10="2012-2013",E10="",G10="NPN05"),H10,"")</f>
        <v/>
      </c>
      <c r="BA10" s="44" t="str">
        <f>IF(AND(C10=Master!$H$6,B10="2012-2013",E10&gt;1000,G10="NPN05"),H10,"")</f>
        <v/>
      </c>
      <c r="BB10" s="44" t="str">
        <f>IF(AND(C10=Master!$H$6,B10="2012-2013",E10="",G10="NPN05"),H10,"")</f>
        <v/>
      </c>
      <c r="BC10" s="44" t="str">
        <f>IF(AND(C10=Master!$H$7,B10="2012-2013",E10&gt;1000,G10="NPN05"),H10,"")</f>
        <v/>
      </c>
      <c r="BD10" s="44" t="str">
        <f>IF(AND(C10=Master!$H$7,B10="2012-2013",E10="",G10="NPN05"),H10,"")</f>
        <v/>
      </c>
      <c r="BE10" s="44" t="str">
        <f>IF(AND(C10=Master!$H$8,B10="2012-2013",E10&gt;1000,G10="NPN05"),H10,"")</f>
        <v/>
      </c>
      <c r="BF10" s="44" t="str">
        <f>IF(AND(C10=Master!$H$8,B10="2012-2013",E10="",G10="NPN05"),H10,"")</f>
        <v/>
      </c>
      <c r="BG10" s="44" t="str">
        <f>IF(AND(C10=Master!$H$9,B10="2012-2013",E10&gt;1000,G10="NPN05"),H10,"")</f>
        <v/>
      </c>
      <c r="BH10" s="44" t="str">
        <f>IF(AND(C10=Master!$H$9,B10="2012-2013",E10="",G10="NPN05"),H10,"")</f>
        <v/>
      </c>
    </row>
    <row r="11" spans="1:61" x14ac:dyDescent="0.25">
      <c r="A11" s="3">
        <v>9</v>
      </c>
      <c r="B11" s="12" t="s">
        <v>16</v>
      </c>
      <c r="C11" s="12" t="s">
        <v>31</v>
      </c>
      <c r="D11" s="31" t="s">
        <v>113</v>
      </c>
      <c r="E11" s="4">
        <v>11256</v>
      </c>
      <c r="F11" s="13">
        <v>41171</v>
      </c>
      <c r="G11" s="21" t="s">
        <v>80</v>
      </c>
      <c r="H11" s="35">
        <v>60000</v>
      </c>
      <c r="I11" s="27">
        <v>15593</v>
      </c>
      <c r="J11" s="25" t="str">
        <f>IF(NOT(I11=""),INDEX(Master!$B$1:$B$46,MATCH(I11,Master!$A$1:$A$46,0)),"")</f>
        <v>Prof Shashi Mathur</v>
      </c>
      <c r="K11" s="18" t="s">
        <v>97</v>
      </c>
      <c r="L11" s="86"/>
      <c r="M11" s="13"/>
      <c r="N11" s="13"/>
      <c r="O11" s="18"/>
      <c r="P11" s="35"/>
      <c r="Q11" s="21"/>
      <c r="R11" s="21"/>
      <c r="S11" s="13"/>
      <c r="T11" s="12"/>
      <c r="U11" s="12"/>
      <c r="V11" s="12"/>
      <c r="W11" s="14"/>
      <c r="Y11" s="42" t="str">
        <f>IF(AND(C11=Master!$H$1,B11="2012-2013",E11&gt;1000,G11="PLN03"),H11,"")</f>
        <v/>
      </c>
      <c r="Z11" s="42" t="str">
        <f>IF(AND(C11=Master!$H$1,B11="2012-2013",E11="",G11="PLN03"),H11,"")</f>
        <v/>
      </c>
      <c r="AA11" s="42" t="str">
        <f>IF(AND(C11=Master!$H$2,B11="2012-2013",E11&gt;1000,G11="PLN03"),H11,"")</f>
        <v/>
      </c>
      <c r="AB11" s="42" t="str">
        <f>IF(AND(C11=Master!$H$2,B11="2012-2013",E11="",G11="PLN03"),H11,"")</f>
        <v/>
      </c>
      <c r="AC11" s="42" t="str">
        <f>IF(AND(C11=Master!$H$3,B11="2012-2013",E11&gt;1000,G11="PLN03"),H11,"")</f>
        <v/>
      </c>
      <c r="AD11" s="42" t="str">
        <f>IF(AND(C11=Master!$H$3,B11="2012-2013",E11="",G11="PLN03"),H11,"")</f>
        <v/>
      </c>
      <c r="AE11" s="42" t="str">
        <f>IF(AND(C11=Master!$H$4,B11="2012-2013",E11&gt;1000,G11="PLN03"),H11,"")</f>
        <v/>
      </c>
      <c r="AF11" s="42" t="str">
        <f>IF(AND(C11=Master!$H$4,B11="2012-2013",E11="",G11="PLN03"),H11,"")</f>
        <v/>
      </c>
      <c r="AG11" s="42">
        <f>IF(AND(C11=Master!$H$5,B11="2012-2013",E11&gt;1000,G11="PLN03"),H11,"")</f>
        <v>60000</v>
      </c>
      <c r="AH11" s="42" t="str">
        <f>IF(AND(C11=Master!$H$5,B11="2012-2013",E11="",G11="PLN03"),H11,"")</f>
        <v/>
      </c>
      <c r="AI11" s="42" t="str">
        <f>IF(AND(C11=Master!$H$6,B11="2012-2013",E11&gt;1000,G11="PLN03"),H11,"")</f>
        <v/>
      </c>
      <c r="AJ11" s="42" t="str">
        <f>IF(AND(C11=Master!$H$6,B11="2012-2013",E11="",G11="PLN03"),H11,"")</f>
        <v/>
      </c>
      <c r="AK11" s="42" t="str">
        <f>IF(AND(C11=Master!$H$7,B11="2012-2013",E11&gt;1000,G11="PLN03"),H11,"")</f>
        <v/>
      </c>
      <c r="AL11" s="42" t="str">
        <f>IF(AND(C11=Master!$H$7,B11="2012-2013",E11="",G11="PLN03"),H11,"")</f>
        <v/>
      </c>
      <c r="AM11" s="42" t="str">
        <f>IF(AND(C11=Master!$H$8,B11="2012-2013",E11&gt;1000,G11="PLN03"),H11,"")</f>
        <v/>
      </c>
      <c r="AN11" s="42" t="str">
        <f>IF(AND(C11=Master!$H$8,B11="2012-2013",E11="",G11="PLN03"),H11,"")</f>
        <v/>
      </c>
      <c r="AO11" s="42" t="str">
        <f>IF(AND(C11=Master!$H$9,B11="2012-2013",E11&gt;1000,G11="PLN03"),H11,"")</f>
        <v/>
      </c>
      <c r="AP11" s="42" t="str">
        <f>IF(AND(C11=Master!$H$9,B11="2012-2013",E11="",G11="PLN03"),H11,"")</f>
        <v/>
      </c>
      <c r="AQ11" s="44" t="str">
        <f>IF(AND(C11=Master!$H$1,B11="2012-2013",E11&gt;1000,G11="NPN05"),H11,"")</f>
        <v/>
      </c>
      <c r="AR11" s="44" t="str">
        <f>IF(AND(C11=Master!$H$1,B11="2012-2013",E11="",G11="NPN05"),H11,"")</f>
        <v/>
      </c>
      <c r="AS11" s="44" t="str">
        <f>IF(AND(C11=Master!$H$2,B11="2012-2013",E11&gt;1000,G11="NPN05"),H11,"")</f>
        <v/>
      </c>
      <c r="AT11" s="44" t="str">
        <f>IF(AND(C11=Master!$H$2,B11="2012-2013",E11="",G11="NPN05"),H11,"")</f>
        <v/>
      </c>
      <c r="AU11" s="44" t="str">
        <f>IF(AND(C11=Master!$H$3,B11="2012-2013",E11&gt;1000,G11="NPN05"),H11,"")</f>
        <v/>
      </c>
      <c r="AV11" s="44" t="str">
        <f>IF(AND(C11=Master!$H$3,B11="2012-2013",E11="",G11="NPN05"),H11,"")</f>
        <v/>
      </c>
      <c r="AW11" s="44" t="str">
        <f>IF(AND(C11=Master!$H$4,B11="2012-2013",E11&gt;1000,G11="NPN05"),H11,"")</f>
        <v/>
      </c>
      <c r="AX11" s="44" t="str">
        <f>IF(AND(C11=Master!$H$4,B11="2012-2013",E11="",G11="NPN05"),H11,"")</f>
        <v/>
      </c>
      <c r="AY11" s="44" t="str">
        <f>IF(AND(C11=Master!$H$5,B11="2012-2013",E11&gt;1000,G11="NPN05"),H11,"")</f>
        <v/>
      </c>
      <c r="AZ11" s="44" t="str">
        <f>IF(AND(C11=Master!$H$5,B11="2012-2013",E11="",G11="NPN05"),H11,"")</f>
        <v/>
      </c>
      <c r="BA11" s="44" t="str">
        <f>IF(AND(C11=Master!$H$6,B11="2012-2013",E11&gt;1000,G11="NPN05"),H11,"")</f>
        <v/>
      </c>
      <c r="BB11" s="44" t="str">
        <f>IF(AND(C11=Master!$H$6,B11="2012-2013",E11="",G11="NPN05"),H11,"")</f>
        <v/>
      </c>
      <c r="BC11" s="44" t="str">
        <f>IF(AND(C11=Master!$H$7,B11="2012-2013",E11&gt;1000,G11="NPN05"),H11,"")</f>
        <v/>
      </c>
      <c r="BD11" s="44" t="str">
        <f>IF(AND(C11=Master!$H$7,B11="2012-2013",E11="",G11="NPN05"),H11,"")</f>
        <v/>
      </c>
      <c r="BE11" s="44" t="str">
        <f>IF(AND(C11=Master!$H$8,B11="2012-2013",E11&gt;1000,G11="NPN05"),H11,"")</f>
        <v/>
      </c>
      <c r="BF11" s="44" t="str">
        <f>IF(AND(C11=Master!$H$8,B11="2012-2013",E11="",G11="NPN05"),H11,"")</f>
        <v/>
      </c>
      <c r="BG11" s="44" t="str">
        <f>IF(AND(C11=Master!$H$9,B11="2012-2013",E11&gt;1000,G11="NPN05"),H11,"")</f>
        <v/>
      </c>
      <c r="BH11" s="44" t="str">
        <f>IF(AND(C11=Master!$H$9,B11="2012-2013",E11="",G11="NPN05"),H11,"")</f>
        <v/>
      </c>
    </row>
    <row r="12" spans="1:61" x14ac:dyDescent="0.25">
      <c r="A12" s="3">
        <v>10</v>
      </c>
      <c r="B12" s="12" t="s">
        <v>16</v>
      </c>
      <c r="C12" s="12" t="s">
        <v>31</v>
      </c>
      <c r="D12" s="31" t="s">
        <v>113</v>
      </c>
      <c r="E12" s="4">
        <v>11258</v>
      </c>
      <c r="F12" s="13">
        <v>41171</v>
      </c>
      <c r="G12" s="21" t="s">
        <v>80</v>
      </c>
      <c r="H12" s="35">
        <v>60000</v>
      </c>
      <c r="I12" s="27">
        <v>15362</v>
      </c>
      <c r="J12" s="25" t="str">
        <f>IF(NOT(I12=""),INDEX(Master!$B$1:$B$46,MATCH(I12,Master!$A$1:$A$46,0)),"")</f>
        <v>Prof Mukesh Khare</v>
      </c>
      <c r="K12" s="18" t="s">
        <v>100</v>
      </c>
      <c r="L12" s="86"/>
      <c r="M12" s="13"/>
      <c r="N12" s="13"/>
      <c r="O12" s="18"/>
      <c r="P12" s="35"/>
      <c r="Q12" s="21"/>
      <c r="R12" s="21"/>
      <c r="S12" s="13"/>
      <c r="T12" s="12"/>
      <c r="U12" s="12"/>
      <c r="V12" s="12"/>
      <c r="W12" s="14"/>
      <c r="Y12" s="42" t="str">
        <f>IF(AND(C12=Master!$H$1,B12="2012-2013",E12&gt;1000,G12="PLN03"),H12,"")</f>
        <v/>
      </c>
      <c r="Z12" s="42" t="str">
        <f>IF(AND(C12=Master!$H$1,B12="2012-2013",E12="",G12="PLN03"),H12,"")</f>
        <v/>
      </c>
      <c r="AA12" s="42" t="str">
        <f>IF(AND(C12=Master!$H$2,B12="2012-2013",E12&gt;1000,G12="PLN03"),H12,"")</f>
        <v/>
      </c>
      <c r="AB12" s="42" t="str">
        <f>IF(AND(C12=Master!$H$2,B12="2012-2013",E12="",G12="PLN03"),H12,"")</f>
        <v/>
      </c>
      <c r="AC12" s="42" t="str">
        <f>IF(AND(C12=Master!$H$3,B12="2012-2013",E12&gt;1000,G12="PLN03"),H12,"")</f>
        <v/>
      </c>
      <c r="AD12" s="42" t="str">
        <f>IF(AND(C12=Master!$H$3,B12="2012-2013",E12="",G12="PLN03"),H12,"")</f>
        <v/>
      </c>
      <c r="AE12" s="42" t="str">
        <f>IF(AND(C12=Master!$H$4,B12="2012-2013",E12&gt;1000,G12="PLN03"),H12,"")</f>
        <v/>
      </c>
      <c r="AF12" s="42" t="str">
        <f>IF(AND(C12=Master!$H$4,B12="2012-2013",E12="",G12="PLN03"),H12,"")</f>
        <v/>
      </c>
      <c r="AG12" s="42">
        <f>IF(AND(C12=Master!$H$5,B12="2012-2013",E12&gt;1000,G12="PLN03"),H12,"")</f>
        <v>60000</v>
      </c>
      <c r="AH12" s="42" t="str">
        <f>IF(AND(C12=Master!$H$5,B12="2012-2013",E12="",G12="PLN03"),H12,"")</f>
        <v/>
      </c>
      <c r="AI12" s="42" t="str">
        <f>IF(AND(C12=Master!$H$6,B12="2012-2013",E12&gt;1000,G12="PLN03"),H12,"")</f>
        <v/>
      </c>
      <c r="AJ12" s="42" t="str">
        <f>IF(AND(C12=Master!$H$6,B12="2012-2013",E12="",G12="PLN03"),H12,"")</f>
        <v/>
      </c>
      <c r="AK12" s="42" t="str">
        <f>IF(AND(C12=Master!$H$7,B12="2012-2013",E12&gt;1000,G12="PLN03"),H12,"")</f>
        <v/>
      </c>
      <c r="AL12" s="42" t="str">
        <f>IF(AND(C12=Master!$H$7,B12="2012-2013",E12="",G12="PLN03"),H12,"")</f>
        <v/>
      </c>
      <c r="AM12" s="42" t="str">
        <f>IF(AND(C12=Master!$H$8,B12="2012-2013",E12&gt;1000,G12="PLN03"),H12,"")</f>
        <v/>
      </c>
      <c r="AN12" s="42" t="str">
        <f>IF(AND(C12=Master!$H$8,B12="2012-2013",E12="",G12="PLN03"),H12,"")</f>
        <v/>
      </c>
      <c r="AO12" s="42" t="str">
        <f>IF(AND(C12=Master!$H$9,B12="2012-2013",E12&gt;1000,G12="PLN03"),H12,"")</f>
        <v/>
      </c>
      <c r="AP12" s="42" t="str">
        <f>IF(AND(C12=Master!$H$9,B12="2012-2013",E12="",G12="PLN03"),H12,"")</f>
        <v/>
      </c>
      <c r="AQ12" s="44" t="str">
        <f>IF(AND(C12=Master!$H$1,B12="2012-2013",E12&gt;1000,G12="NPN05"),H12,"")</f>
        <v/>
      </c>
      <c r="AR12" s="44" t="str">
        <f>IF(AND(C12=Master!$H$1,B12="2012-2013",E12="",G12="NPN05"),H12,"")</f>
        <v/>
      </c>
      <c r="AS12" s="44" t="str">
        <f>IF(AND(C12=Master!$H$2,B12="2012-2013",E12&gt;1000,G12="NPN05"),H12,"")</f>
        <v/>
      </c>
      <c r="AT12" s="44" t="str">
        <f>IF(AND(C12=Master!$H$2,B12="2012-2013",E12="",G12="NPN05"),H12,"")</f>
        <v/>
      </c>
      <c r="AU12" s="44" t="str">
        <f>IF(AND(C12=Master!$H$3,B12="2012-2013",E12&gt;1000,G12="NPN05"),H12,"")</f>
        <v/>
      </c>
      <c r="AV12" s="44" t="str">
        <f>IF(AND(C12=Master!$H$3,B12="2012-2013",E12="",G12="NPN05"),H12,"")</f>
        <v/>
      </c>
      <c r="AW12" s="44" t="str">
        <f>IF(AND(C12=Master!$H$4,B12="2012-2013",E12&gt;1000,G12="NPN05"),H12,"")</f>
        <v/>
      </c>
      <c r="AX12" s="44" t="str">
        <f>IF(AND(C12=Master!$H$4,B12="2012-2013",E12="",G12="NPN05"),H12,"")</f>
        <v/>
      </c>
      <c r="AY12" s="44" t="str">
        <f>IF(AND(C12=Master!$H$5,B12="2012-2013",E12&gt;1000,G12="NPN05"),H12,"")</f>
        <v/>
      </c>
      <c r="AZ12" s="44" t="str">
        <f>IF(AND(C12=Master!$H$5,B12="2012-2013",E12="",G12="NPN05"),H12,"")</f>
        <v/>
      </c>
      <c r="BA12" s="44" t="str">
        <f>IF(AND(C12=Master!$H$6,B12="2012-2013",E12&gt;1000,G12="NPN05"),H12,"")</f>
        <v/>
      </c>
      <c r="BB12" s="44" t="str">
        <f>IF(AND(C12=Master!$H$6,B12="2012-2013",E12="",G12="NPN05"),H12,"")</f>
        <v/>
      </c>
      <c r="BC12" s="44" t="str">
        <f>IF(AND(C12=Master!$H$7,B12="2012-2013",E12&gt;1000,G12="NPN05"),H12,"")</f>
        <v/>
      </c>
      <c r="BD12" s="44" t="str">
        <f>IF(AND(C12=Master!$H$7,B12="2012-2013",E12="",G12="NPN05"),H12,"")</f>
        <v/>
      </c>
      <c r="BE12" s="44" t="str">
        <f>IF(AND(C12=Master!$H$8,B12="2012-2013",E12&gt;1000,G12="NPN05"),H12,"")</f>
        <v/>
      </c>
      <c r="BF12" s="44" t="str">
        <f>IF(AND(C12=Master!$H$8,B12="2012-2013",E12="",G12="NPN05"),H12,"")</f>
        <v/>
      </c>
      <c r="BG12" s="44" t="str">
        <f>IF(AND(C12=Master!$H$9,B12="2012-2013",E12&gt;1000,G12="NPN05"),H12,"")</f>
        <v/>
      </c>
      <c r="BH12" s="44" t="str">
        <f>IF(AND(C12=Master!$H$9,B12="2012-2013",E12="",G12="NPN05"),H12,"")</f>
        <v/>
      </c>
    </row>
    <row r="13" spans="1:61" x14ac:dyDescent="0.25">
      <c r="A13" s="3">
        <v>11</v>
      </c>
      <c r="B13" s="12" t="s">
        <v>16</v>
      </c>
      <c r="C13" s="12" t="s">
        <v>31</v>
      </c>
      <c r="D13" s="31" t="s">
        <v>114</v>
      </c>
      <c r="E13" s="4"/>
      <c r="F13" s="13"/>
      <c r="G13" s="21" t="s">
        <v>81</v>
      </c>
      <c r="H13" s="35">
        <v>2500</v>
      </c>
      <c r="I13" s="27">
        <v>15853</v>
      </c>
      <c r="J13" s="25" t="str">
        <f>IF(NOT(I13=""),INDEX(Master!$B$1:$B$46,MATCH(I13,Master!$A$1:$A$46,0)),"")</f>
        <v>Prof K C Iyer</v>
      </c>
      <c r="K13" s="18" t="s">
        <v>119</v>
      </c>
      <c r="L13" s="86" t="s">
        <v>36</v>
      </c>
      <c r="M13" s="13">
        <v>41172</v>
      </c>
      <c r="N13" s="13" t="s">
        <v>126</v>
      </c>
      <c r="O13" s="18" t="s">
        <v>52</v>
      </c>
      <c r="P13" s="35">
        <v>2475</v>
      </c>
      <c r="Q13" s="21" t="s">
        <v>39</v>
      </c>
      <c r="R13" s="21"/>
      <c r="S13" s="13">
        <v>41177</v>
      </c>
      <c r="T13" s="12"/>
      <c r="U13" s="12"/>
      <c r="V13" s="12"/>
      <c r="W13" s="14"/>
      <c r="Y13" s="42" t="str">
        <f>IF(AND(C13=Master!$H$1,B13="2012-2013",E13&gt;1000,G13="PLN03"),H13,"")</f>
        <v/>
      </c>
      <c r="Z13" s="42" t="str">
        <f>IF(AND(C13=Master!$H$1,B13="2012-2013",E13="",G13="PLN03"),H13,"")</f>
        <v/>
      </c>
      <c r="AA13" s="42" t="str">
        <f>IF(AND(C13=Master!$H$2,B13="2012-2013",E13&gt;1000,G13="PLN03"),H13,"")</f>
        <v/>
      </c>
      <c r="AB13" s="42" t="str">
        <f>IF(AND(C13=Master!$H$2,B13="2012-2013",E13="",G13="PLN03"),H13,"")</f>
        <v/>
      </c>
      <c r="AC13" s="42" t="str">
        <f>IF(AND(C13=Master!$H$3,B13="2012-2013",E13&gt;1000,G13="PLN03"),H13,"")</f>
        <v/>
      </c>
      <c r="AD13" s="42" t="str">
        <f>IF(AND(C13=Master!$H$3,B13="2012-2013",E13="",G13="PLN03"),H13,"")</f>
        <v/>
      </c>
      <c r="AE13" s="42" t="str">
        <f>IF(AND(C13=Master!$H$4,B13="2012-2013",E13&gt;1000,G13="PLN03"),H13,"")</f>
        <v/>
      </c>
      <c r="AF13" s="42" t="str">
        <f>IF(AND(C13=Master!$H$4,B13="2012-2013",E13="",G13="PLN03"),H13,"")</f>
        <v/>
      </c>
      <c r="AG13" s="42" t="str">
        <f>IF(AND(C13=Master!$H$5,B13="2012-2013",E13&gt;1000,G13="PLN03"),H13,"")</f>
        <v/>
      </c>
      <c r="AH13" s="42" t="str">
        <f>IF(AND(C13=Master!$H$5,B13="2012-2013",E13="",G13="PLN03"),H13,"")</f>
        <v/>
      </c>
      <c r="AI13" s="42" t="str">
        <f>IF(AND(C13=Master!$H$6,B13="2012-2013",E13&gt;1000,G13="PLN03"),H13,"")</f>
        <v/>
      </c>
      <c r="AJ13" s="42" t="str">
        <f>IF(AND(C13=Master!$H$6,B13="2012-2013",E13="",G13="PLN03"),H13,"")</f>
        <v/>
      </c>
      <c r="AK13" s="42" t="str">
        <f>IF(AND(C13=Master!$H$7,B13="2012-2013",E13&gt;1000,G13="PLN03"),H13,"")</f>
        <v/>
      </c>
      <c r="AL13" s="42" t="str">
        <f>IF(AND(C13=Master!$H$7,B13="2012-2013",E13="",G13="PLN03"),H13,"")</f>
        <v/>
      </c>
      <c r="AM13" s="42" t="str">
        <f>IF(AND(C13=Master!$H$8,B13="2012-2013",E13&gt;1000,G13="PLN03"),H13,"")</f>
        <v/>
      </c>
      <c r="AN13" s="42" t="str">
        <f>IF(AND(C13=Master!$H$8,B13="2012-2013",E13="",G13="PLN03"),H13,"")</f>
        <v/>
      </c>
      <c r="AO13" s="42" t="str">
        <f>IF(AND(C13=Master!$H$9,B13="2012-2013",E13&gt;1000,G13="PLN03"),H13,"")</f>
        <v/>
      </c>
      <c r="AP13" s="42" t="str">
        <f>IF(AND(C13=Master!$H$9,B13="2012-2013",E13="",G13="PLN03"),H13,"")</f>
        <v/>
      </c>
      <c r="AQ13" s="44" t="str">
        <f>IF(AND(C13=Master!$H$1,B13="2012-2013",E13&gt;1000,G13="NPN05"),H13,"")</f>
        <v/>
      </c>
      <c r="AR13" s="44" t="str">
        <f>IF(AND(C13=Master!$H$1,B13="2012-2013",E13="",G13="NPN05"),H13,"")</f>
        <v/>
      </c>
      <c r="AS13" s="44" t="str">
        <f>IF(AND(C13=Master!$H$2,B13="2012-2013",E13&gt;1000,G13="NPN05"),H13,"")</f>
        <v/>
      </c>
      <c r="AT13" s="44" t="str">
        <f>IF(AND(C13=Master!$H$2,B13="2012-2013",E13="",G13="NPN05"),H13,"")</f>
        <v/>
      </c>
      <c r="AU13" s="44" t="str">
        <f>IF(AND(C13=Master!$H$3,B13="2012-2013",E13&gt;1000,G13="NPN05"),H13,"")</f>
        <v/>
      </c>
      <c r="AV13" s="44" t="str">
        <f>IF(AND(C13=Master!$H$3,B13="2012-2013",E13="",G13="NPN05"),H13,"")</f>
        <v/>
      </c>
      <c r="AW13" s="44" t="str">
        <f>IF(AND(C13=Master!$H$4,B13="2012-2013",E13&gt;1000,G13="NPN05"),H13,"")</f>
        <v/>
      </c>
      <c r="AX13" s="44" t="str">
        <f>IF(AND(C13=Master!$H$4,B13="2012-2013",E13="",G13="NPN05"),H13,"")</f>
        <v/>
      </c>
      <c r="AY13" s="44" t="str">
        <f>IF(AND(C13=Master!$H$5,B13="2012-2013",E13&gt;1000,G13="NPN05"),H13,"")</f>
        <v/>
      </c>
      <c r="AZ13" s="44">
        <f>IF(AND(C13=Master!$H$5,B13="2012-2013",E13="",G13="NPN05"),H13,"")</f>
        <v>2500</v>
      </c>
      <c r="BA13" s="44" t="str">
        <f>IF(AND(C13=Master!$H$6,B13="2012-2013",E13&gt;1000,G13="NPN05"),H13,"")</f>
        <v/>
      </c>
      <c r="BB13" s="44" t="str">
        <f>IF(AND(C13=Master!$H$6,B13="2012-2013",E13="",G13="NPN05"),H13,"")</f>
        <v/>
      </c>
      <c r="BC13" s="44" t="str">
        <f>IF(AND(C13=Master!$H$7,B13="2012-2013",E13&gt;1000,G13="NPN05"),H13,"")</f>
        <v/>
      </c>
      <c r="BD13" s="44" t="str">
        <f>IF(AND(C13=Master!$H$7,B13="2012-2013",E13="",G13="NPN05"),H13,"")</f>
        <v/>
      </c>
      <c r="BE13" s="44" t="str">
        <f>IF(AND(C13=Master!$H$8,B13="2012-2013",E13&gt;1000,G13="NPN05"),H13,"")</f>
        <v/>
      </c>
      <c r="BF13" s="44" t="str">
        <f>IF(AND(C13=Master!$H$8,B13="2012-2013",E13="",G13="NPN05"),H13,"")</f>
        <v/>
      </c>
      <c r="BG13" s="44" t="str">
        <f>IF(AND(C13=Master!$H$9,B13="2012-2013",E13&gt;1000,G13="NPN05"),H13,"")</f>
        <v/>
      </c>
      <c r="BH13" s="44" t="str">
        <f>IF(AND(C13=Master!$H$9,B13="2012-2013",E13="",G13="NPN05"),H13,"")</f>
        <v/>
      </c>
    </row>
    <row r="14" spans="1:61" x14ac:dyDescent="0.25">
      <c r="A14" s="3">
        <v>12</v>
      </c>
      <c r="B14" s="12" t="s">
        <v>16</v>
      </c>
      <c r="C14" s="12" t="s">
        <v>25</v>
      </c>
      <c r="D14" s="31" t="s">
        <v>113</v>
      </c>
      <c r="E14" s="4">
        <v>10025</v>
      </c>
      <c r="F14" s="13">
        <v>41154</v>
      </c>
      <c r="G14" s="21" t="s">
        <v>80</v>
      </c>
      <c r="H14" s="35">
        <v>850000</v>
      </c>
      <c r="I14" s="27">
        <v>16247</v>
      </c>
      <c r="J14" s="25" t="str">
        <f>IF(NOT(I14=""),INDEX(Master!$B$1:$B$46,MATCH(I14,Master!$A$1:$A$46,0)),"")</f>
        <v>Dr Vasant Matsagar</v>
      </c>
      <c r="K14" s="18" t="s">
        <v>101</v>
      </c>
      <c r="L14" s="86"/>
      <c r="M14" s="13"/>
      <c r="N14" s="13"/>
      <c r="O14" s="18"/>
      <c r="P14" s="35"/>
      <c r="Q14" s="21"/>
      <c r="R14" s="21"/>
      <c r="S14" s="13"/>
      <c r="T14" s="12"/>
      <c r="U14" s="12"/>
      <c r="V14" s="12"/>
      <c r="W14" s="14"/>
      <c r="Y14" s="42" t="str">
        <f>IF(AND(C14=Master!$H$1,B14="2012-2013",E14&gt;1000,G14="PLN03"),H14,"")</f>
        <v/>
      </c>
      <c r="Z14" s="42" t="str">
        <f>IF(AND(C14=Master!$H$1,B14="2012-2013",E14="",G14="PLN03"),H14,"")</f>
        <v/>
      </c>
      <c r="AA14" s="42" t="str">
        <f>IF(AND(C14=Master!$H$2,B14="2012-2013",E14&gt;1000,G14="PLN03"),H14,"")</f>
        <v/>
      </c>
      <c r="AB14" s="42" t="str">
        <f>IF(AND(C14=Master!$H$2,B14="2012-2013",E14="",G14="PLN03"),H14,"")</f>
        <v/>
      </c>
      <c r="AC14" s="42" t="str">
        <f>IF(AND(C14=Master!$H$3,B14="2012-2013",E14&gt;1000,G14="PLN03"),H14,"")</f>
        <v/>
      </c>
      <c r="AD14" s="42" t="str">
        <f>IF(AND(C14=Master!$H$3,B14="2012-2013",E14="",G14="PLN03"),H14,"")</f>
        <v/>
      </c>
      <c r="AE14" s="42" t="str">
        <f>IF(AND(C14=Master!$H$4,B14="2012-2013",E14&gt;1000,G14="PLN03"),H14,"")</f>
        <v/>
      </c>
      <c r="AF14" s="42" t="str">
        <f>IF(AND(C14=Master!$H$4,B14="2012-2013",E14="",G14="PLN03"),H14,"")</f>
        <v/>
      </c>
      <c r="AG14" s="42" t="str">
        <f>IF(AND(C14=Master!$H$5,B14="2012-2013",E14&gt;1000,G14="PLN03"),H14,"")</f>
        <v/>
      </c>
      <c r="AH14" s="42" t="str">
        <f>IF(AND(C14=Master!$H$5,B14="2012-2013",E14="",G14="PLN03"),H14,"")</f>
        <v/>
      </c>
      <c r="AI14" s="42">
        <f>IF(AND(C14=Master!$H$6,B14="2012-2013",E14&gt;1000,G14="PLN03"),H14,"")</f>
        <v>850000</v>
      </c>
      <c r="AJ14" s="42" t="str">
        <f>IF(AND(C14=Master!$H$6,B14="2012-2013",E14="",G14="PLN03"),H14,"")</f>
        <v/>
      </c>
      <c r="AK14" s="42" t="str">
        <f>IF(AND(C14=Master!$H$7,B14="2012-2013",E14&gt;1000,G14="PLN03"),H14,"")</f>
        <v/>
      </c>
      <c r="AL14" s="42" t="str">
        <f>IF(AND(C14=Master!$H$7,B14="2012-2013",E14="",G14="PLN03"),H14,"")</f>
        <v/>
      </c>
      <c r="AM14" s="42" t="str">
        <f>IF(AND(C14=Master!$H$8,B14="2012-2013",E14&gt;1000,G14="PLN03"),H14,"")</f>
        <v/>
      </c>
      <c r="AN14" s="42" t="str">
        <f>IF(AND(C14=Master!$H$8,B14="2012-2013",E14="",G14="PLN03"),H14,"")</f>
        <v/>
      </c>
      <c r="AO14" s="42" t="str">
        <f>IF(AND(C14=Master!$H$9,B14="2012-2013",E14&gt;1000,G14="PLN03"),H14,"")</f>
        <v/>
      </c>
      <c r="AP14" s="42" t="str">
        <f>IF(AND(C14=Master!$H$9,B14="2012-2013",E14="",G14="PLN03"),H14,"")</f>
        <v/>
      </c>
      <c r="AQ14" s="44" t="str">
        <f>IF(AND(C14=Master!$H$1,B14="2012-2013",E14&gt;1000,G14="NPN05"),H14,"")</f>
        <v/>
      </c>
      <c r="AR14" s="44" t="str">
        <f>IF(AND(C14=Master!$H$1,B14="2012-2013",E14="",G14="NPN05"),H14,"")</f>
        <v/>
      </c>
      <c r="AS14" s="44" t="str">
        <f>IF(AND(C14=Master!$H$2,B14="2012-2013",E14&gt;1000,G14="NPN05"),H14,"")</f>
        <v/>
      </c>
      <c r="AT14" s="44" t="str">
        <f>IF(AND(C14=Master!$H$2,B14="2012-2013",E14="",G14="NPN05"),H14,"")</f>
        <v/>
      </c>
      <c r="AU14" s="44" t="str">
        <f>IF(AND(C14=Master!$H$3,B14="2012-2013",E14&gt;1000,G14="NPN05"),H14,"")</f>
        <v/>
      </c>
      <c r="AV14" s="44" t="str">
        <f>IF(AND(C14=Master!$H$3,B14="2012-2013",E14="",G14="NPN05"),H14,"")</f>
        <v/>
      </c>
      <c r="AW14" s="44" t="str">
        <f>IF(AND(C14=Master!$H$4,B14="2012-2013",E14&gt;1000,G14="NPN05"),H14,"")</f>
        <v/>
      </c>
      <c r="AX14" s="44" t="str">
        <f>IF(AND(C14=Master!$H$4,B14="2012-2013",E14="",G14="NPN05"),H14,"")</f>
        <v/>
      </c>
      <c r="AY14" s="44" t="str">
        <f>IF(AND(C14=Master!$H$5,B14="2012-2013",E14&gt;1000,G14="NPN05"),H14,"")</f>
        <v/>
      </c>
      <c r="AZ14" s="44" t="str">
        <f>IF(AND(C14=Master!$H$5,B14="2012-2013",E14="",G14="NPN05"),H14,"")</f>
        <v/>
      </c>
      <c r="BA14" s="44" t="str">
        <f>IF(AND(C14=Master!$H$6,B14="2012-2013",E14&gt;1000,G14="NPN05"),H14,"")</f>
        <v/>
      </c>
      <c r="BB14" s="44" t="str">
        <f>IF(AND(C14=Master!$H$6,B14="2012-2013",E14="",G14="NPN05"),H14,"")</f>
        <v/>
      </c>
      <c r="BC14" s="44" t="str">
        <f>IF(AND(C14=Master!$H$7,B14="2012-2013",E14&gt;1000,G14="NPN05"),H14,"")</f>
        <v/>
      </c>
      <c r="BD14" s="44" t="str">
        <f>IF(AND(C14=Master!$H$7,B14="2012-2013",E14="",G14="NPN05"),H14,"")</f>
        <v/>
      </c>
      <c r="BE14" s="44" t="str">
        <f>IF(AND(C14=Master!$H$8,B14="2012-2013",E14&gt;1000,G14="NPN05"),H14,"")</f>
        <v/>
      </c>
      <c r="BF14" s="44" t="str">
        <f>IF(AND(C14=Master!$H$8,B14="2012-2013",E14="",G14="NPN05"),H14,"")</f>
        <v/>
      </c>
      <c r="BG14" s="44" t="str">
        <f>IF(AND(C14=Master!$H$9,B14="2012-2013",E14&gt;1000,G14="NPN05"),H14,"")</f>
        <v/>
      </c>
      <c r="BH14" s="44" t="str">
        <f>IF(AND(C14=Master!$H$9,B14="2012-2013",E14="",G14="NPN05"),H14,"")</f>
        <v/>
      </c>
    </row>
    <row r="15" spans="1:61" x14ac:dyDescent="0.25">
      <c r="A15" s="3">
        <v>13</v>
      </c>
      <c r="B15" s="12" t="s">
        <v>16</v>
      </c>
      <c r="C15" s="12" t="s">
        <v>25</v>
      </c>
      <c r="D15" s="31" t="s">
        <v>114</v>
      </c>
      <c r="E15" s="4"/>
      <c r="F15" s="13"/>
      <c r="G15" s="21" t="s">
        <v>81</v>
      </c>
      <c r="H15" s="35">
        <v>14000</v>
      </c>
      <c r="I15" s="27">
        <v>15606</v>
      </c>
      <c r="J15" s="25" t="str">
        <f>IF(NOT(I15=""),INDEX(Master!$B$1:$B$46,MATCH(I15,Master!$A$1:$A$46,0)),"")</f>
        <v>Prof Ashok Gupta</v>
      </c>
      <c r="K15" s="18" t="s">
        <v>120</v>
      </c>
      <c r="L15" s="86" t="s">
        <v>36</v>
      </c>
      <c r="M15" s="13">
        <v>41136</v>
      </c>
      <c r="N15" s="13" t="s">
        <v>125</v>
      </c>
      <c r="O15" s="18" t="s">
        <v>134</v>
      </c>
      <c r="P15" s="35">
        <v>11225</v>
      </c>
      <c r="Q15" s="21" t="s">
        <v>39</v>
      </c>
      <c r="R15" s="21"/>
      <c r="S15" s="13">
        <v>41177</v>
      </c>
      <c r="T15" s="12"/>
      <c r="U15" s="12"/>
      <c r="V15" s="12"/>
      <c r="W15" s="14"/>
      <c r="Y15" s="42" t="str">
        <f>IF(AND(C15=Master!$H$1,B15="2012-2013",E15&gt;1000,G15="PLN03"),H15,"")</f>
        <v/>
      </c>
      <c r="Z15" s="42" t="str">
        <f>IF(AND(C15=Master!$H$1,B15="2012-2013",E15="",G15="PLN03"),H15,"")</f>
        <v/>
      </c>
      <c r="AA15" s="42" t="str">
        <f>IF(AND(C15=Master!$H$2,B15="2012-2013",E15&gt;1000,G15="PLN03"),H15,"")</f>
        <v/>
      </c>
      <c r="AB15" s="42" t="str">
        <f>IF(AND(C15=Master!$H$2,B15="2012-2013",E15="",G15="PLN03"),H15,"")</f>
        <v/>
      </c>
      <c r="AC15" s="42" t="str">
        <f>IF(AND(C15=Master!$H$3,B15="2012-2013",E15&gt;1000,G15="PLN03"),H15,"")</f>
        <v/>
      </c>
      <c r="AD15" s="42" t="str">
        <f>IF(AND(C15=Master!$H$3,B15="2012-2013",E15="",G15="PLN03"),H15,"")</f>
        <v/>
      </c>
      <c r="AE15" s="42" t="str">
        <f>IF(AND(C15=Master!$H$4,B15="2012-2013",E15&gt;1000,G15="PLN03"),H15,"")</f>
        <v/>
      </c>
      <c r="AF15" s="42" t="str">
        <f>IF(AND(C15=Master!$H$4,B15="2012-2013",E15="",G15="PLN03"),H15,"")</f>
        <v/>
      </c>
      <c r="AG15" s="42" t="str">
        <f>IF(AND(C15=Master!$H$5,B15="2012-2013",E15&gt;1000,G15="PLN03"),H15,"")</f>
        <v/>
      </c>
      <c r="AH15" s="42" t="str">
        <f>IF(AND(C15=Master!$H$5,B15="2012-2013",E15="",G15="PLN03"),H15,"")</f>
        <v/>
      </c>
      <c r="AI15" s="42" t="str">
        <f>IF(AND(C15=Master!$H$6,B15="2012-2013",E15&gt;1000,G15="PLN03"),H15,"")</f>
        <v/>
      </c>
      <c r="AJ15" s="42" t="str">
        <f>IF(AND(C15=Master!$H$6,B15="2012-2013",E15="",G15="PLN03"),H15,"")</f>
        <v/>
      </c>
      <c r="AK15" s="42" t="str">
        <f>IF(AND(C15=Master!$H$7,B15="2012-2013",E15&gt;1000,G15="PLN03"),H15,"")</f>
        <v/>
      </c>
      <c r="AL15" s="42" t="str">
        <f>IF(AND(C15=Master!$H$7,B15="2012-2013",E15="",G15="PLN03"),H15,"")</f>
        <v/>
      </c>
      <c r="AM15" s="42" t="str">
        <f>IF(AND(C15=Master!$H$8,B15="2012-2013",E15&gt;1000,G15="PLN03"),H15,"")</f>
        <v/>
      </c>
      <c r="AN15" s="42" t="str">
        <f>IF(AND(C15=Master!$H$8,B15="2012-2013",E15="",G15="PLN03"),H15,"")</f>
        <v/>
      </c>
      <c r="AO15" s="42" t="str">
        <f>IF(AND(C15=Master!$H$9,B15="2012-2013",E15&gt;1000,G15="PLN03"),H15,"")</f>
        <v/>
      </c>
      <c r="AP15" s="42" t="str">
        <f>IF(AND(C15=Master!$H$9,B15="2012-2013",E15="",G15="PLN03"),H15,"")</f>
        <v/>
      </c>
      <c r="AQ15" s="44" t="str">
        <f>IF(AND(C15=Master!$H$1,B15="2012-2013",E15&gt;1000,G15="NPN05"),H15,"")</f>
        <v/>
      </c>
      <c r="AR15" s="44" t="str">
        <f>IF(AND(C15=Master!$H$1,B15="2012-2013",E15="",G15="NPN05"),H15,"")</f>
        <v/>
      </c>
      <c r="AS15" s="44" t="str">
        <f>IF(AND(C15=Master!$H$2,B15="2012-2013",E15&gt;1000,G15="NPN05"),H15,"")</f>
        <v/>
      </c>
      <c r="AT15" s="44" t="str">
        <f>IF(AND(C15=Master!$H$2,B15="2012-2013",E15="",G15="NPN05"),H15,"")</f>
        <v/>
      </c>
      <c r="AU15" s="44" t="str">
        <f>IF(AND(C15=Master!$H$3,B15="2012-2013",E15&gt;1000,G15="NPN05"),H15,"")</f>
        <v/>
      </c>
      <c r="AV15" s="44" t="str">
        <f>IF(AND(C15=Master!$H$3,B15="2012-2013",E15="",G15="NPN05"),H15,"")</f>
        <v/>
      </c>
      <c r="AW15" s="44" t="str">
        <f>IF(AND(C15=Master!$H$4,B15="2012-2013",E15&gt;1000,G15="NPN05"),H15,"")</f>
        <v/>
      </c>
      <c r="AX15" s="44" t="str">
        <f>IF(AND(C15=Master!$H$4,B15="2012-2013",E15="",G15="NPN05"),H15,"")</f>
        <v/>
      </c>
      <c r="AY15" s="44" t="str">
        <f>IF(AND(C15=Master!$H$5,B15="2012-2013",E15&gt;1000,G15="NPN05"),H15,"")</f>
        <v/>
      </c>
      <c r="AZ15" s="44" t="str">
        <f>IF(AND(C15=Master!$H$5,B15="2012-2013",E15="",G15="NPN05"),H15,"")</f>
        <v/>
      </c>
      <c r="BA15" s="44" t="str">
        <f>IF(AND(C15=Master!$H$6,B15="2012-2013",E15&gt;1000,G15="NPN05"),H15,"")</f>
        <v/>
      </c>
      <c r="BB15" s="44">
        <f>IF(AND(C15=Master!$H$6,B15="2012-2013",E15="",G15="NPN05"),H15,"")</f>
        <v>14000</v>
      </c>
      <c r="BC15" s="44" t="str">
        <f>IF(AND(C15=Master!$H$7,B15="2012-2013",E15&gt;1000,G15="NPN05"),H15,"")</f>
        <v/>
      </c>
      <c r="BD15" s="44" t="str">
        <f>IF(AND(C15=Master!$H$7,B15="2012-2013",E15="",G15="NPN05"),H15,"")</f>
        <v/>
      </c>
      <c r="BE15" s="44" t="str">
        <f>IF(AND(C15=Master!$H$8,B15="2012-2013",E15&gt;1000,G15="NPN05"),H15,"")</f>
        <v/>
      </c>
      <c r="BF15" s="44" t="str">
        <f>IF(AND(C15=Master!$H$8,B15="2012-2013",E15="",G15="NPN05"),H15,"")</f>
        <v/>
      </c>
      <c r="BG15" s="44" t="str">
        <f>IF(AND(C15=Master!$H$9,B15="2012-2013",E15&gt;1000,G15="NPN05"),H15,"")</f>
        <v/>
      </c>
      <c r="BH15" s="44" t="str">
        <f>IF(AND(C15=Master!$H$9,B15="2012-2013",E15="",G15="NPN05"),H15,"")</f>
        <v/>
      </c>
    </row>
    <row r="16" spans="1:61" x14ac:dyDescent="0.25">
      <c r="A16" s="3">
        <v>14</v>
      </c>
      <c r="B16" s="12" t="s">
        <v>16</v>
      </c>
      <c r="C16" s="12" t="s">
        <v>28</v>
      </c>
      <c r="D16" s="31" t="s">
        <v>113</v>
      </c>
      <c r="E16" s="4">
        <v>10789</v>
      </c>
      <c r="F16" s="13">
        <v>41138</v>
      </c>
      <c r="G16" s="21" t="s">
        <v>80</v>
      </c>
      <c r="H16" s="35">
        <v>75000</v>
      </c>
      <c r="I16" s="27">
        <v>15859</v>
      </c>
      <c r="J16" s="25" t="str">
        <f>IF(NOT(I16=""),INDEX(Master!$B$1:$B$46,MATCH(I16,Master!$A$1:$A$46,0)),"")</f>
        <v>Prof A K Mittal</v>
      </c>
      <c r="K16" s="18" t="s">
        <v>102</v>
      </c>
      <c r="L16" s="86" t="s">
        <v>37</v>
      </c>
      <c r="M16" s="13">
        <v>41172</v>
      </c>
      <c r="N16" s="13" t="s">
        <v>125</v>
      </c>
      <c r="O16" s="18" t="s">
        <v>132</v>
      </c>
      <c r="P16" s="35">
        <v>69000</v>
      </c>
      <c r="Q16" s="21" t="s">
        <v>38</v>
      </c>
      <c r="R16" s="21"/>
      <c r="S16" s="13">
        <v>41178</v>
      </c>
      <c r="T16" s="12"/>
      <c r="U16" s="12"/>
      <c r="V16" s="12"/>
      <c r="W16" s="14"/>
      <c r="Y16" s="42" t="str">
        <f>IF(AND(C16=Master!$H$1,B16="2012-2013",E16&gt;1000,G16="PLN03"),H16,"")</f>
        <v/>
      </c>
      <c r="Z16" s="42" t="str">
        <f>IF(AND(C16=Master!$H$1,B16="2012-2013",E16="",G16="PLN03"),H16,"")</f>
        <v/>
      </c>
      <c r="AA16" s="42" t="str">
        <f>IF(AND(C16=Master!$H$2,B16="2012-2013",E16&gt;1000,G16="PLN03"),H16,"")</f>
        <v/>
      </c>
      <c r="AB16" s="42" t="str">
        <f>IF(AND(C16=Master!$H$2,B16="2012-2013",E16="",G16="PLN03"),H16,"")</f>
        <v/>
      </c>
      <c r="AC16" s="42" t="str">
        <f>IF(AND(C16=Master!$H$3,B16="2012-2013",E16&gt;1000,G16="PLN03"),H16,"")</f>
        <v/>
      </c>
      <c r="AD16" s="42" t="str">
        <f>IF(AND(C16=Master!$H$3,B16="2012-2013",E16="",G16="PLN03"),H16,"")</f>
        <v/>
      </c>
      <c r="AE16" s="42" t="str">
        <f>IF(AND(C16=Master!$H$4,B16="2012-2013",E16&gt;1000,G16="PLN03"),H16,"")</f>
        <v/>
      </c>
      <c r="AF16" s="42" t="str">
        <f>IF(AND(C16=Master!$H$4,B16="2012-2013",E16="",G16="PLN03"),H16,"")</f>
        <v/>
      </c>
      <c r="AG16" s="42" t="str">
        <f>IF(AND(C16=Master!$H$5,B16="2012-2013",E16&gt;1000,G16="PLN03"),H16,"")</f>
        <v/>
      </c>
      <c r="AH16" s="42" t="str">
        <f>IF(AND(C16=Master!$H$5,B16="2012-2013",E16="",G16="PLN03"),H16,"")</f>
        <v/>
      </c>
      <c r="AI16" s="42" t="str">
        <f>IF(AND(C16=Master!$H$6,B16="2012-2013",E16&gt;1000,G16="PLN03"),H16,"")</f>
        <v/>
      </c>
      <c r="AJ16" s="42" t="str">
        <f>IF(AND(C16=Master!$H$6,B16="2012-2013",E16="",G16="PLN03"),H16,"")</f>
        <v/>
      </c>
      <c r="AK16" s="42">
        <f>IF(AND(C16=Master!$H$7,B16="2012-2013",E16&gt;1000,G16="PLN03"),H16,"")</f>
        <v>75000</v>
      </c>
      <c r="AL16" s="42" t="str">
        <f>IF(AND(C16=Master!$H$7,B16="2012-2013",E16="",G16="PLN03"),H16,"")</f>
        <v/>
      </c>
      <c r="AM16" s="42" t="str">
        <f>IF(AND(C16=Master!$H$8,B16="2012-2013",E16&gt;1000,G16="PLN03"),H16,"")</f>
        <v/>
      </c>
      <c r="AN16" s="42" t="str">
        <f>IF(AND(C16=Master!$H$8,B16="2012-2013",E16="",G16="PLN03"),H16,"")</f>
        <v/>
      </c>
      <c r="AO16" s="42" t="str">
        <f>IF(AND(C16=Master!$H$9,B16="2012-2013",E16&gt;1000,G16="PLN03"),H16,"")</f>
        <v/>
      </c>
      <c r="AP16" s="42" t="str">
        <f>IF(AND(C16=Master!$H$9,B16="2012-2013",E16="",G16="PLN03"),H16,"")</f>
        <v/>
      </c>
      <c r="AQ16" s="44" t="str">
        <f>IF(AND(C16=Master!$H$1,B16="2012-2013",E16&gt;1000,G16="NPN05"),H16,"")</f>
        <v/>
      </c>
      <c r="AR16" s="44" t="str">
        <f>IF(AND(C16=Master!$H$1,B16="2012-2013",E16="",G16="NPN05"),H16,"")</f>
        <v/>
      </c>
      <c r="AS16" s="44" t="str">
        <f>IF(AND(C16=Master!$H$2,B16="2012-2013",E16&gt;1000,G16="NPN05"),H16,"")</f>
        <v/>
      </c>
      <c r="AT16" s="44" t="str">
        <f>IF(AND(C16=Master!$H$2,B16="2012-2013",E16="",G16="NPN05"),H16,"")</f>
        <v/>
      </c>
      <c r="AU16" s="44" t="str">
        <f>IF(AND(C16=Master!$H$3,B16="2012-2013",E16&gt;1000,G16="NPN05"),H16,"")</f>
        <v/>
      </c>
      <c r="AV16" s="44" t="str">
        <f>IF(AND(C16=Master!$H$3,B16="2012-2013",E16="",G16="NPN05"),H16,"")</f>
        <v/>
      </c>
      <c r="AW16" s="44" t="str">
        <f>IF(AND(C16=Master!$H$4,B16="2012-2013",E16&gt;1000,G16="NPN05"),H16,"")</f>
        <v/>
      </c>
      <c r="AX16" s="44" t="str">
        <f>IF(AND(C16=Master!$H$4,B16="2012-2013",E16="",G16="NPN05"),H16,"")</f>
        <v/>
      </c>
      <c r="AY16" s="44" t="str">
        <f>IF(AND(C16=Master!$H$5,B16="2012-2013",E16&gt;1000,G16="NPN05"),H16,"")</f>
        <v/>
      </c>
      <c r="AZ16" s="44" t="str">
        <f>IF(AND(C16=Master!$H$5,B16="2012-2013",E16="",G16="NPN05"),H16,"")</f>
        <v/>
      </c>
      <c r="BA16" s="44" t="str">
        <f>IF(AND(C16=Master!$H$6,B16="2012-2013",E16&gt;1000,G16="NPN05"),H16,"")</f>
        <v/>
      </c>
      <c r="BB16" s="44" t="str">
        <f>IF(AND(C16=Master!$H$6,B16="2012-2013",E16="",G16="NPN05"),H16,"")</f>
        <v/>
      </c>
      <c r="BC16" s="44" t="str">
        <f>IF(AND(C16=Master!$H$7,B16="2012-2013",E16&gt;1000,G16="NPN05"),H16,"")</f>
        <v/>
      </c>
      <c r="BD16" s="44" t="str">
        <f>IF(AND(C16=Master!$H$7,B16="2012-2013",E16="",G16="NPN05"),H16,"")</f>
        <v/>
      </c>
      <c r="BE16" s="44" t="str">
        <f>IF(AND(C16=Master!$H$8,B16="2012-2013",E16&gt;1000,G16="NPN05"),H16,"")</f>
        <v/>
      </c>
      <c r="BF16" s="44" t="str">
        <f>IF(AND(C16=Master!$H$8,B16="2012-2013",E16="",G16="NPN05"),H16,"")</f>
        <v/>
      </c>
      <c r="BG16" s="44" t="str">
        <f>IF(AND(C16=Master!$H$9,B16="2012-2013",E16&gt;1000,G16="NPN05"),H16,"")</f>
        <v/>
      </c>
      <c r="BH16" s="44" t="str">
        <f>IF(AND(C16=Master!$H$9,B16="2012-2013",E16="",G16="NPN05"),H16,"")</f>
        <v/>
      </c>
    </row>
    <row r="17" spans="1:60" x14ac:dyDescent="0.25">
      <c r="A17" s="3">
        <v>15</v>
      </c>
      <c r="B17" s="12" t="s">
        <v>16</v>
      </c>
      <c r="C17" s="12" t="s">
        <v>28</v>
      </c>
      <c r="D17" s="31" t="s">
        <v>113</v>
      </c>
      <c r="E17" s="4">
        <v>10794</v>
      </c>
      <c r="F17" s="13">
        <v>41138</v>
      </c>
      <c r="G17" s="21" t="s">
        <v>80</v>
      </c>
      <c r="H17" s="35">
        <v>250000</v>
      </c>
      <c r="I17" s="27">
        <v>15859</v>
      </c>
      <c r="J17" s="25" t="str">
        <f>IF(NOT(I17=""),INDEX(Master!$B$1:$B$46,MATCH(I17,Master!$A$1:$A$46,0)),"")</f>
        <v>Prof A K Mittal</v>
      </c>
      <c r="K17" s="18" t="s">
        <v>103</v>
      </c>
      <c r="L17" s="86" t="s">
        <v>37</v>
      </c>
      <c r="M17" s="13">
        <v>41174</v>
      </c>
      <c r="N17" s="13" t="s">
        <v>125</v>
      </c>
      <c r="O17" s="18" t="s">
        <v>133</v>
      </c>
      <c r="P17" s="35">
        <v>240450</v>
      </c>
      <c r="Q17" s="21" t="s">
        <v>38</v>
      </c>
      <c r="R17" s="21"/>
      <c r="S17" s="13">
        <v>41179</v>
      </c>
      <c r="T17" s="12"/>
      <c r="U17" s="12"/>
      <c r="V17" s="12"/>
      <c r="W17" s="14"/>
      <c r="Y17" s="42" t="str">
        <f>IF(AND(C17=Master!$H$1,B17="2012-2013",E17&gt;1000,G17="PLN03"),H17,"")</f>
        <v/>
      </c>
      <c r="Z17" s="42" t="str">
        <f>IF(AND(C17=Master!$H$1,B17="2012-2013",E17="",G17="PLN03"),H17,"")</f>
        <v/>
      </c>
      <c r="AA17" s="42" t="str">
        <f>IF(AND(C17=Master!$H$2,B17="2012-2013",E17&gt;1000,G17="PLN03"),H17,"")</f>
        <v/>
      </c>
      <c r="AB17" s="42" t="str">
        <f>IF(AND(C17=Master!$H$2,B17="2012-2013",E17="",G17="PLN03"),H17,"")</f>
        <v/>
      </c>
      <c r="AC17" s="42" t="str">
        <f>IF(AND(C17=Master!$H$3,B17="2012-2013",E17&gt;1000,G17="PLN03"),H17,"")</f>
        <v/>
      </c>
      <c r="AD17" s="42" t="str">
        <f>IF(AND(C17=Master!$H$3,B17="2012-2013",E17="",G17="PLN03"),H17,"")</f>
        <v/>
      </c>
      <c r="AE17" s="42" t="str">
        <f>IF(AND(C17=Master!$H$4,B17="2012-2013",E17&gt;1000,G17="PLN03"),H17,"")</f>
        <v/>
      </c>
      <c r="AF17" s="42" t="str">
        <f>IF(AND(C17=Master!$H$4,B17="2012-2013",E17="",G17="PLN03"),H17,"")</f>
        <v/>
      </c>
      <c r="AG17" s="42" t="str">
        <f>IF(AND(C17=Master!$H$5,B17="2012-2013",E17&gt;1000,G17="PLN03"),H17,"")</f>
        <v/>
      </c>
      <c r="AH17" s="42" t="str">
        <f>IF(AND(C17=Master!$H$5,B17="2012-2013",E17="",G17="PLN03"),H17,"")</f>
        <v/>
      </c>
      <c r="AI17" s="42" t="str">
        <f>IF(AND(C17=Master!$H$6,B17="2012-2013",E17&gt;1000,G17="PLN03"),H17,"")</f>
        <v/>
      </c>
      <c r="AJ17" s="42" t="str">
        <f>IF(AND(C17=Master!$H$6,B17="2012-2013",E17="",G17="PLN03"),H17,"")</f>
        <v/>
      </c>
      <c r="AK17" s="42">
        <f>IF(AND(C17=Master!$H$7,B17="2012-2013",E17&gt;1000,G17="PLN03"),H17,"")</f>
        <v>250000</v>
      </c>
      <c r="AL17" s="42" t="str">
        <f>IF(AND(C17=Master!$H$7,B17="2012-2013",E17="",G17="PLN03"),H17,"")</f>
        <v/>
      </c>
      <c r="AM17" s="42" t="str">
        <f>IF(AND(C17=Master!$H$8,B17="2012-2013",E17&gt;1000,G17="PLN03"),H17,"")</f>
        <v/>
      </c>
      <c r="AN17" s="42" t="str">
        <f>IF(AND(C17=Master!$H$8,B17="2012-2013",E17="",G17="PLN03"),H17,"")</f>
        <v/>
      </c>
      <c r="AO17" s="42" t="str">
        <f>IF(AND(C17=Master!$H$9,B17="2012-2013",E17&gt;1000,G17="PLN03"),H17,"")</f>
        <v/>
      </c>
      <c r="AP17" s="42" t="str">
        <f>IF(AND(C17=Master!$H$9,B17="2012-2013",E17="",G17="PLN03"),H17,"")</f>
        <v/>
      </c>
      <c r="AQ17" s="44" t="str">
        <f>IF(AND(C17=Master!$H$1,B17="2012-2013",E17&gt;1000,G17="NPN05"),H17,"")</f>
        <v/>
      </c>
      <c r="AR17" s="44" t="str">
        <f>IF(AND(C17=Master!$H$1,B17="2012-2013",E17="",G17="NPN05"),H17,"")</f>
        <v/>
      </c>
      <c r="AS17" s="44" t="str">
        <f>IF(AND(C17=Master!$H$2,B17="2012-2013",E17&gt;1000,G17="NPN05"),H17,"")</f>
        <v/>
      </c>
      <c r="AT17" s="44" t="str">
        <f>IF(AND(C17=Master!$H$2,B17="2012-2013",E17="",G17="NPN05"),H17,"")</f>
        <v/>
      </c>
      <c r="AU17" s="44" t="str">
        <f>IF(AND(C17=Master!$H$3,B17="2012-2013",E17&gt;1000,G17="NPN05"),H17,"")</f>
        <v/>
      </c>
      <c r="AV17" s="44" t="str">
        <f>IF(AND(C17=Master!$H$3,B17="2012-2013",E17="",G17="NPN05"),H17,"")</f>
        <v/>
      </c>
      <c r="AW17" s="44" t="str">
        <f>IF(AND(C17=Master!$H$4,B17="2012-2013",E17&gt;1000,G17="NPN05"),H17,"")</f>
        <v/>
      </c>
      <c r="AX17" s="44" t="str">
        <f>IF(AND(C17=Master!$H$4,B17="2012-2013",E17="",G17="NPN05"),H17,"")</f>
        <v/>
      </c>
      <c r="AY17" s="44" t="str">
        <f>IF(AND(C17=Master!$H$5,B17="2012-2013",E17&gt;1000,G17="NPN05"),H17,"")</f>
        <v/>
      </c>
      <c r="AZ17" s="44" t="str">
        <f>IF(AND(C17=Master!$H$5,B17="2012-2013",E17="",G17="NPN05"),H17,"")</f>
        <v/>
      </c>
      <c r="BA17" s="44" t="str">
        <f>IF(AND(C17=Master!$H$6,B17="2012-2013",E17&gt;1000,G17="NPN05"),H17,"")</f>
        <v/>
      </c>
      <c r="BB17" s="44" t="str">
        <f>IF(AND(C17=Master!$H$6,B17="2012-2013",E17="",G17="NPN05"),H17,"")</f>
        <v/>
      </c>
      <c r="BC17" s="44" t="str">
        <f>IF(AND(C17=Master!$H$7,B17="2012-2013",E17&gt;1000,G17="NPN05"),H17,"")</f>
        <v/>
      </c>
      <c r="BD17" s="44" t="str">
        <f>IF(AND(C17=Master!$H$7,B17="2012-2013",E17="",G17="NPN05"),H17,"")</f>
        <v/>
      </c>
      <c r="BE17" s="44" t="str">
        <f>IF(AND(C17=Master!$H$8,B17="2012-2013",E17&gt;1000,G17="NPN05"),H17,"")</f>
        <v/>
      </c>
      <c r="BF17" s="44" t="str">
        <f>IF(AND(C17=Master!$H$8,B17="2012-2013",E17="",G17="NPN05"),H17,"")</f>
        <v/>
      </c>
      <c r="BG17" s="44" t="str">
        <f>IF(AND(C17=Master!$H$9,B17="2012-2013",E17&gt;1000,G17="NPN05"),H17,"")</f>
        <v/>
      </c>
      <c r="BH17" s="44" t="str">
        <f>IF(AND(C17=Master!$H$9,B17="2012-2013",E17="",G17="NPN05"),H17,"")</f>
        <v/>
      </c>
    </row>
    <row r="18" spans="1:60" x14ac:dyDescent="0.25">
      <c r="A18" s="3">
        <v>16</v>
      </c>
      <c r="B18" s="12" t="s">
        <v>16</v>
      </c>
      <c r="C18" s="12" t="s">
        <v>26</v>
      </c>
      <c r="D18" s="31" t="s">
        <v>113</v>
      </c>
      <c r="E18" s="4">
        <v>12568</v>
      </c>
      <c r="F18" s="13">
        <v>41177</v>
      </c>
      <c r="G18" s="21" t="s">
        <v>80</v>
      </c>
      <c r="H18" s="35">
        <v>350000</v>
      </c>
      <c r="I18" s="27">
        <v>15974</v>
      </c>
      <c r="J18" s="25" t="str">
        <f>IF(NOT(I18=""),INDEX(Master!$B$1:$B$46,MATCH(I18,Master!$A$1:$A$46,0)),"")</f>
        <v>Dr R R Kalaga</v>
      </c>
      <c r="K18" s="18" t="s">
        <v>97</v>
      </c>
      <c r="L18" s="86"/>
      <c r="M18" s="13"/>
      <c r="N18" s="13"/>
      <c r="O18" s="18"/>
      <c r="P18" s="35"/>
      <c r="Q18" s="21"/>
      <c r="R18" s="21"/>
      <c r="S18" s="13"/>
      <c r="T18" s="12"/>
      <c r="U18" s="12"/>
      <c r="V18" s="12"/>
      <c r="W18" s="14"/>
      <c r="Y18" s="42" t="str">
        <f>IF(AND(C18=Master!$H$1,B18="2012-2013",E18&gt;1000,G18="PLN03"),H18,"")</f>
        <v/>
      </c>
      <c r="Z18" s="42" t="str">
        <f>IF(AND(C18=Master!$H$1,B18="2012-2013",E18="",G18="PLN03"),H18,"")</f>
        <v/>
      </c>
      <c r="AA18" s="42" t="str">
        <f>IF(AND(C18=Master!$H$2,B18="2012-2013",E18&gt;1000,G18="PLN03"),H18,"")</f>
        <v/>
      </c>
      <c r="AB18" s="42" t="str">
        <f>IF(AND(C18=Master!$H$2,B18="2012-2013",E18="",G18="PLN03"),H18,"")</f>
        <v/>
      </c>
      <c r="AC18" s="42" t="str">
        <f>IF(AND(C18=Master!$H$3,B18="2012-2013",E18&gt;1000,G18="PLN03"),H18,"")</f>
        <v/>
      </c>
      <c r="AD18" s="42" t="str">
        <f>IF(AND(C18=Master!$H$3,B18="2012-2013",E18="",G18="PLN03"),H18,"")</f>
        <v/>
      </c>
      <c r="AE18" s="42" t="str">
        <f>IF(AND(C18=Master!$H$4,B18="2012-2013",E18&gt;1000,G18="PLN03"),H18,"")</f>
        <v/>
      </c>
      <c r="AF18" s="42" t="str">
        <f>IF(AND(C18=Master!$H$4,B18="2012-2013",E18="",G18="PLN03"),H18,"")</f>
        <v/>
      </c>
      <c r="AG18" s="42" t="str">
        <f>IF(AND(C18=Master!$H$5,B18="2012-2013",E18&gt;1000,G18="PLN03"),H18,"")</f>
        <v/>
      </c>
      <c r="AH18" s="42" t="str">
        <f>IF(AND(C18=Master!$H$5,B18="2012-2013",E18="",G18="PLN03"),H18,"")</f>
        <v/>
      </c>
      <c r="AI18" s="42" t="str">
        <f>IF(AND(C18=Master!$H$6,B18="2012-2013",E18&gt;1000,G18="PLN03"),H18,"")</f>
        <v/>
      </c>
      <c r="AJ18" s="42" t="str">
        <f>IF(AND(C18=Master!$H$6,B18="2012-2013",E18="",G18="PLN03"),H18,"")</f>
        <v/>
      </c>
      <c r="AK18" s="42" t="str">
        <f>IF(AND(C18=Master!$H$7,B18="2012-2013",E18&gt;1000,G18="PLN03"),H18,"")</f>
        <v/>
      </c>
      <c r="AL18" s="42" t="str">
        <f>IF(AND(C18=Master!$H$7,B18="2012-2013",E18="",G18="PLN03"),H18,"")</f>
        <v/>
      </c>
      <c r="AM18" s="42">
        <f>IF(AND(C18=Master!$H$8,B18="2012-2013",E18&gt;1000,G18="PLN03"),H18,"")</f>
        <v>350000</v>
      </c>
      <c r="AN18" s="42" t="str">
        <f>IF(AND(C18=Master!$H$8,B18="2012-2013",E18="",G18="PLN03"),H18,"")</f>
        <v/>
      </c>
      <c r="AO18" s="42" t="str">
        <f>IF(AND(C18=Master!$H$9,B18="2012-2013",E18&gt;1000,G18="PLN03"),H18,"")</f>
        <v/>
      </c>
      <c r="AP18" s="42" t="str">
        <f>IF(AND(C18=Master!$H$9,B18="2012-2013",E18="",G18="PLN03"),H18,"")</f>
        <v/>
      </c>
      <c r="AQ18" s="44" t="str">
        <f>IF(AND(C18=Master!$H$1,B18="2012-2013",E18&gt;1000,G18="NPN05"),H18,"")</f>
        <v/>
      </c>
      <c r="AR18" s="44" t="str">
        <f>IF(AND(C18=Master!$H$1,B18="2012-2013",E18="",G18="NPN05"),H18,"")</f>
        <v/>
      </c>
      <c r="AS18" s="44" t="str">
        <f>IF(AND(C18=Master!$H$2,B18="2012-2013",E18&gt;1000,G18="NPN05"),H18,"")</f>
        <v/>
      </c>
      <c r="AT18" s="44" t="str">
        <f>IF(AND(C18=Master!$H$2,B18="2012-2013",E18="",G18="NPN05"),H18,"")</f>
        <v/>
      </c>
      <c r="AU18" s="44" t="str">
        <f>IF(AND(C18=Master!$H$3,B18="2012-2013",E18&gt;1000,G18="NPN05"),H18,"")</f>
        <v/>
      </c>
      <c r="AV18" s="44" t="str">
        <f>IF(AND(C18=Master!$H$3,B18="2012-2013",E18="",G18="NPN05"),H18,"")</f>
        <v/>
      </c>
      <c r="AW18" s="44" t="str">
        <f>IF(AND(C18=Master!$H$4,B18="2012-2013",E18&gt;1000,G18="NPN05"),H18,"")</f>
        <v/>
      </c>
      <c r="AX18" s="44" t="str">
        <f>IF(AND(C18=Master!$H$4,B18="2012-2013",E18="",G18="NPN05"),H18,"")</f>
        <v/>
      </c>
      <c r="AY18" s="44" t="str">
        <f>IF(AND(C18=Master!$H$5,B18="2012-2013",E18&gt;1000,G18="NPN05"),H18,"")</f>
        <v/>
      </c>
      <c r="AZ18" s="44" t="str">
        <f>IF(AND(C18=Master!$H$5,B18="2012-2013",E18="",G18="NPN05"),H18,"")</f>
        <v/>
      </c>
      <c r="BA18" s="44" t="str">
        <f>IF(AND(C18=Master!$H$6,B18="2012-2013",E18&gt;1000,G18="NPN05"),H18,"")</f>
        <v/>
      </c>
      <c r="BB18" s="44" t="str">
        <f>IF(AND(C18=Master!$H$6,B18="2012-2013",E18="",G18="NPN05"),H18,"")</f>
        <v/>
      </c>
      <c r="BC18" s="44" t="str">
        <f>IF(AND(C18=Master!$H$7,B18="2012-2013",E18&gt;1000,G18="NPN05"),H18,"")</f>
        <v/>
      </c>
      <c r="BD18" s="44" t="str">
        <f>IF(AND(C18=Master!$H$7,B18="2012-2013",E18="",G18="NPN05"),H18,"")</f>
        <v/>
      </c>
      <c r="BE18" s="44" t="str">
        <f>IF(AND(C18=Master!$H$8,B18="2012-2013",E18&gt;1000,G18="NPN05"),H18,"")</f>
        <v/>
      </c>
      <c r="BF18" s="44" t="str">
        <f>IF(AND(C18=Master!$H$8,B18="2012-2013",E18="",G18="NPN05"),H18,"")</f>
        <v/>
      </c>
      <c r="BG18" s="44" t="str">
        <f>IF(AND(C18=Master!$H$9,B18="2012-2013",E18&gt;1000,G18="NPN05"),H18,"")</f>
        <v/>
      </c>
      <c r="BH18" s="44" t="str">
        <f>IF(AND(C18=Master!$H$9,B18="2012-2013",E18="",G18="NPN05"),H18,"")</f>
        <v/>
      </c>
    </row>
    <row r="19" spans="1:60" x14ac:dyDescent="0.25">
      <c r="A19" s="3">
        <v>17</v>
      </c>
      <c r="B19" s="12" t="s">
        <v>16</v>
      </c>
      <c r="C19" s="12" t="s">
        <v>26</v>
      </c>
      <c r="D19" s="31" t="s">
        <v>113</v>
      </c>
      <c r="E19" s="4">
        <v>12584</v>
      </c>
      <c r="F19" s="13">
        <v>41177</v>
      </c>
      <c r="G19" s="21" t="s">
        <v>80</v>
      </c>
      <c r="H19" s="35">
        <v>25000</v>
      </c>
      <c r="I19" s="27">
        <v>15974</v>
      </c>
      <c r="J19" s="25" t="str">
        <f>IF(NOT(I19=""),INDEX(Master!$B$1:$B$46,MATCH(I19,Master!$A$1:$A$46,0)),"")</f>
        <v>Dr R R Kalaga</v>
      </c>
      <c r="K19" s="18" t="s">
        <v>98</v>
      </c>
      <c r="L19" s="86"/>
      <c r="M19" s="13"/>
      <c r="N19" s="13"/>
      <c r="O19" s="18"/>
      <c r="P19" s="35"/>
      <c r="Q19" s="21"/>
      <c r="R19" s="21"/>
      <c r="S19" s="13"/>
      <c r="T19" s="12"/>
      <c r="U19" s="12"/>
      <c r="V19" s="12"/>
      <c r="W19" s="14"/>
      <c r="Y19" s="42" t="str">
        <f>IF(AND(C19=Master!$H$1,B19="2012-2013",E19&gt;1000,G19="PLN03"),H19,"")</f>
        <v/>
      </c>
      <c r="Z19" s="42" t="str">
        <f>IF(AND(C19=Master!$H$1,B19="2012-2013",E19="",G19="PLN03"),H19,"")</f>
        <v/>
      </c>
      <c r="AA19" s="42" t="str">
        <f>IF(AND(C19=Master!$H$2,B19="2012-2013",E19&gt;1000,G19="PLN03"),H19,"")</f>
        <v/>
      </c>
      <c r="AB19" s="42" t="str">
        <f>IF(AND(C19=Master!$H$2,B19="2012-2013",E19="",G19="PLN03"),H19,"")</f>
        <v/>
      </c>
      <c r="AC19" s="42" t="str">
        <f>IF(AND(C19=Master!$H$3,B19="2012-2013",E19&gt;1000,G19="PLN03"),H19,"")</f>
        <v/>
      </c>
      <c r="AD19" s="42" t="str">
        <f>IF(AND(C19=Master!$H$3,B19="2012-2013",E19="",G19="PLN03"),H19,"")</f>
        <v/>
      </c>
      <c r="AE19" s="42" t="str">
        <f>IF(AND(C19=Master!$H$4,B19="2012-2013",E19&gt;1000,G19="PLN03"),H19,"")</f>
        <v/>
      </c>
      <c r="AF19" s="42" t="str">
        <f>IF(AND(C19=Master!$H$4,B19="2012-2013",E19="",G19="PLN03"),H19,"")</f>
        <v/>
      </c>
      <c r="AG19" s="42" t="str">
        <f>IF(AND(C19=Master!$H$5,B19="2012-2013",E19&gt;1000,G19="PLN03"),H19,"")</f>
        <v/>
      </c>
      <c r="AH19" s="42" t="str">
        <f>IF(AND(C19=Master!$H$5,B19="2012-2013",E19="",G19="PLN03"),H19,"")</f>
        <v/>
      </c>
      <c r="AI19" s="42" t="str">
        <f>IF(AND(C19=Master!$H$6,B19="2012-2013",E19&gt;1000,G19="PLN03"),H19,"")</f>
        <v/>
      </c>
      <c r="AJ19" s="42" t="str">
        <f>IF(AND(C19=Master!$H$6,B19="2012-2013",E19="",G19="PLN03"),H19,"")</f>
        <v/>
      </c>
      <c r="AK19" s="42" t="str">
        <f>IF(AND(C19=Master!$H$7,B19="2012-2013",E19&gt;1000,G19="PLN03"),H19,"")</f>
        <v/>
      </c>
      <c r="AL19" s="42" t="str">
        <f>IF(AND(C19=Master!$H$7,B19="2012-2013",E19="",G19="PLN03"),H19,"")</f>
        <v/>
      </c>
      <c r="AM19" s="42">
        <f>IF(AND(C19=Master!$H$8,B19="2012-2013",E19&gt;1000,G19="PLN03"),H19,"")</f>
        <v>25000</v>
      </c>
      <c r="AN19" s="42" t="str">
        <f>IF(AND(C19=Master!$H$8,B19="2012-2013",E19="",G19="PLN03"),H19,"")</f>
        <v/>
      </c>
      <c r="AO19" s="42" t="str">
        <f>IF(AND(C19=Master!$H$9,B19="2012-2013",E19&gt;1000,G19="PLN03"),H19,"")</f>
        <v/>
      </c>
      <c r="AP19" s="42" t="str">
        <f>IF(AND(C19=Master!$H$9,B19="2012-2013",E19="",G19="PLN03"),H19,"")</f>
        <v/>
      </c>
      <c r="AQ19" s="44" t="str">
        <f>IF(AND(C19=Master!$H$1,B19="2012-2013",E19&gt;1000,G19="NPN05"),H19,"")</f>
        <v/>
      </c>
      <c r="AR19" s="44" t="str">
        <f>IF(AND(C19=Master!$H$1,B19="2012-2013",E19="",G19="NPN05"),H19,"")</f>
        <v/>
      </c>
      <c r="AS19" s="44" t="str">
        <f>IF(AND(C19=Master!$H$2,B19="2012-2013",E19&gt;1000,G19="NPN05"),H19,"")</f>
        <v/>
      </c>
      <c r="AT19" s="44" t="str">
        <f>IF(AND(C19=Master!$H$2,B19="2012-2013",E19="",G19="NPN05"),H19,"")</f>
        <v/>
      </c>
      <c r="AU19" s="44" t="str">
        <f>IF(AND(C19=Master!$H$3,B19="2012-2013",E19&gt;1000,G19="NPN05"),H19,"")</f>
        <v/>
      </c>
      <c r="AV19" s="44" t="str">
        <f>IF(AND(C19=Master!$H$3,B19="2012-2013",E19="",G19="NPN05"),H19,"")</f>
        <v/>
      </c>
      <c r="AW19" s="44" t="str">
        <f>IF(AND(C19=Master!$H$4,B19="2012-2013",E19&gt;1000,G19="NPN05"),H19,"")</f>
        <v/>
      </c>
      <c r="AX19" s="44" t="str">
        <f>IF(AND(C19=Master!$H$4,B19="2012-2013",E19="",G19="NPN05"),H19,"")</f>
        <v/>
      </c>
      <c r="AY19" s="44" t="str">
        <f>IF(AND(C19=Master!$H$5,B19="2012-2013",E19&gt;1000,G19="NPN05"),H19,"")</f>
        <v/>
      </c>
      <c r="AZ19" s="44" t="str">
        <f>IF(AND(C19=Master!$H$5,B19="2012-2013",E19="",G19="NPN05"),H19,"")</f>
        <v/>
      </c>
      <c r="BA19" s="44" t="str">
        <f>IF(AND(C19=Master!$H$6,B19="2012-2013",E19&gt;1000,G19="NPN05"),H19,"")</f>
        <v/>
      </c>
      <c r="BB19" s="44" t="str">
        <f>IF(AND(C19=Master!$H$6,B19="2012-2013",E19="",G19="NPN05"),H19,"")</f>
        <v/>
      </c>
      <c r="BC19" s="44" t="str">
        <f>IF(AND(C19=Master!$H$7,B19="2012-2013",E19&gt;1000,G19="NPN05"),H19,"")</f>
        <v/>
      </c>
      <c r="BD19" s="44" t="str">
        <f>IF(AND(C19=Master!$H$7,B19="2012-2013",E19="",G19="NPN05"),H19,"")</f>
        <v/>
      </c>
      <c r="BE19" s="44" t="str">
        <f>IF(AND(C19=Master!$H$8,B19="2012-2013",E19&gt;1000,G19="NPN05"),H19,"")</f>
        <v/>
      </c>
      <c r="BF19" s="44" t="str">
        <f>IF(AND(C19=Master!$H$8,B19="2012-2013",E19="",G19="NPN05"),H19,"")</f>
        <v/>
      </c>
      <c r="BG19" s="44" t="str">
        <f>IF(AND(C19=Master!$H$9,B19="2012-2013",E19&gt;1000,G19="NPN05"),H19,"")</f>
        <v/>
      </c>
      <c r="BH19" s="44" t="str">
        <f>IF(AND(C19=Master!$H$9,B19="2012-2013",E19="",G19="NPN05"),H19,"")</f>
        <v/>
      </c>
    </row>
    <row r="20" spans="1:60" x14ac:dyDescent="0.25">
      <c r="A20" s="3">
        <v>18</v>
      </c>
      <c r="B20" s="12" t="s">
        <v>16</v>
      </c>
      <c r="C20" s="12" t="s">
        <v>30</v>
      </c>
      <c r="D20" s="31" t="s">
        <v>113</v>
      </c>
      <c r="E20" s="4">
        <v>12478</v>
      </c>
      <c r="F20" s="13">
        <v>41176</v>
      </c>
      <c r="G20" s="21" t="s">
        <v>80</v>
      </c>
      <c r="H20" s="35">
        <v>200000</v>
      </c>
      <c r="I20" s="27">
        <v>16046</v>
      </c>
      <c r="J20" s="25" t="str">
        <f>IF(NOT(I20=""),INDEX(Master!$B$1:$B$46,MATCH(I20,Master!$A$1:$A$46,0)),"")</f>
        <v>Dr D R Kaushal</v>
      </c>
      <c r="K20" s="18" t="s">
        <v>104</v>
      </c>
      <c r="L20" s="86"/>
      <c r="M20" s="13"/>
      <c r="N20" s="13"/>
      <c r="O20" s="18"/>
      <c r="P20" s="35"/>
      <c r="Q20" s="21"/>
      <c r="R20" s="21"/>
      <c r="S20" s="13"/>
      <c r="T20" s="12"/>
      <c r="U20" s="12"/>
      <c r="V20" s="12"/>
      <c r="W20" s="14"/>
      <c r="Y20" s="42" t="str">
        <f>IF(AND(C20=Master!$H$1,B20="2012-2013",E20&gt;1000,G20="PLN03"),H20,"")</f>
        <v/>
      </c>
      <c r="Z20" s="42" t="str">
        <f>IF(AND(C20=Master!$H$1,B20="2012-2013",E20="",G20="PLN03"),H20,"")</f>
        <v/>
      </c>
      <c r="AA20" s="42" t="str">
        <f>IF(AND(C20=Master!$H$2,B20="2012-2013",E20&gt;1000,G20="PLN03"),H20,"")</f>
        <v/>
      </c>
      <c r="AB20" s="42" t="str">
        <f>IF(AND(C20=Master!$H$2,B20="2012-2013",E20="",G20="PLN03"),H20,"")</f>
        <v/>
      </c>
      <c r="AC20" s="42" t="str">
        <f>IF(AND(C20=Master!$H$3,B20="2012-2013",E20&gt;1000,G20="PLN03"),H20,"")</f>
        <v/>
      </c>
      <c r="AD20" s="42" t="str">
        <f>IF(AND(C20=Master!$H$3,B20="2012-2013",E20="",G20="PLN03"),H20,"")</f>
        <v/>
      </c>
      <c r="AE20" s="42" t="str">
        <f>IF(AND(C20=Master!$H$4,B20="2012-2013",E20&gt;1000,G20="PLN03"),H20,"")</f>
        <v/>
      </c>
      <c r="AF20" s="42" t="str">
        <f>IF(AND(C20=Master!$H$4,B20="2012-2013",E20="",G20="PLN03"),H20,"")</f>
        <v/>
      </c>
      <c r="AG20" s="42" t="str">
        <f>IF(AND(C20=Master!$H$5,B20="2012-2013",E20&gt;1000,G20="PLN03"),H20,"")</f>
        <v/>
      </c>
      <c r="AH20" s="42" t="str">
        <f>IF(AND(C20=Master!$H$5,B20="2012-2013",E20="",G20="PLN03"),H20,"")</f>
        <v/>
      </c>
      <c r="AI20" s="42" t="str">
        <f>IF(AND(C20=Master!$H$6,B20="2012-2013",E20&gt;1000,G20="PLN03"),H20,"")</f>
        <v/>
      </c>
      <c r="AJ20" s="42" t="str">
        <f>IF(AND(C20=Master!$H$6,B20="2012-2013",E20="",G20="PLN03"),H20,"")</f>
        <v/>
      </c>
      <c r="AK20" s="42" t="str">
        <f>IF(AND(C20=Master!$H$7,B20="2012-2013",E20&gt;1000,G20="PLN03"),H20,"")</f>
        <v/>
      </c>
      <c r="AL20" s="42" t="str">
        <f>IF(AND(C20=Master!$H$7,B20="2012-2013",E20="",G20="PLN03"),H20,"")</f>
        <v/>
      </c>
      <c r="AM20" s="42" t="str">
        <f>IF(AND(C20=Master!$H$8,B20="2012-2013",E20&gt;1000,G20="PLN03"),H20,"")</f>
        <v/>
      </c>
      <c r="AN20" s="42" t="str">
        <f>IF(AND(C20=Master!$H$8,B20="2012-2013",E20="",G20="PLN03"),H20,"")</f>
        <v/>
      </c>
      <c r="AO20" s="42">
        <f>IF(AND(C20=Master!$H$9,B20="2012-2013",E20&gt;1000,G20="PLN03"),H20,"")</f>
        <v>200000</v>
      </c>
      <c r="AP20" s="42" t="str">
        <f>IF(AND(C20=Master!$H$9,B20="2012-2013",E20="",G20="PLN03"),H20,"")</f>
        <v/>
      </c>
      <c r="AQ20" s="44" t="str">
        <f>IF(AND(C20=Master!$H$1,B20="2012-2013",E20&gt;1000,G20="NPN05"),H20,"")</f>
        <v/>
      </c>
      <c r="AR20" s="44" t="str">
        <f>IF(AND(C20=Master!$H$1,B20="2012-2013",E20="",G20="NPN05"),H20,"")</f>
        <v/>
      </c>
      <c r="AS20" s="44" t="str">
        <f>IF(AND(C20=Master!$H$2,B20="2012-2013",E20&gt;1000,G20="NPN05"),H20,"")</f>
        <v/>
      </c>
      <c r="AT20" s="44" t="str">
        <f>IF(AND(C20=Master!$H$2,B20="2012-2013",E20="",G20="NPN05"),H20,"")</f>
        <v/>
      </c>
      <c r="AU20" s="44" t="str">
        <f>IF(AND(C20=Master!$H$3,B20="2012-2013",E20&gt;1000,G20="NPN05"),H20,"")</f>
        <v/>
      </c>
      <c r="AV20" s="44" t="str">
        <f>IF(AND(C20=Master!$H$3,B20="2012-2013",E20="",G20="NPN05"),H20,"")</f>
        <v/>
      </c>
      <c r="AW20" s="44" t="str">
        <f>IF(AND(C20=Master!$H$4,B20="2012-2013",E20&gt;1000,G20="NPN05"),H20,"")</f>
        <v/>
      </c>
      <c r="AX20" s="44" t="str">
        <f>IF(AND(C20=Master!$H$4,B20="2012-2013",E20="",G20="NPN05"),H20,"")</f>
        <v/>
      </c>
      <c r="AY20" s="44" t="str">
        <f>IF(AND(C20=Master!$H$5,B20="2012-2013",E20&gt;1000,G20="NPN05"),H20,"")</f>
        <v/>
      </c>
      <c r="AZ20" s="44" t="str">
        <f>IF(AND(C20=Master!$H$5,B20="2012-2013",E20="",G20="NPN05"),H20,"")</f>
        <v/>
      </c>
      <c r="BA20" s="44" t="str">
        <f>IF(AND(C20=Master!$H$6,B20="2012-2013",E20&gt;1000,G20="NPN05"),H20,"")</f>
        <v/>
      </c>
      <c r="BB20" s="44" t="str">
        <f>IF(AND(C20=Master!$H$6,B20="2012-2013",E20="",G20="NPN05"),H20,"")</f>
        <v/>
      </c>
      <c r="BC20" s="44" t="str">
        <f>IF(AND(C20=Master!$H$7,B20="2012-2013",E20&gt;1000,G20="NPN05"),H20,"")</f>
        <v/>
      </c>
      <c r="BD20" s="44" t="str">
        <f>IF(AND(C20=Master!$H$7,B20="2012-2013",E20="",G20="NPN05"),H20,"")</f>
        <v/>
      </c>
      <c r="BE20" s="44" t="str">
        <f>IF(AND(C20=Master!$H$8,B20="2012-2013",E20&gt;1000,G20="NPN05"),H20,"")</f>
        <v/>
      </c>
      <c r="BF20" s="44" t="str">
        <f>IF(AND(C20=Master!$H$8,B20="2012-2013",E20="",G20="NPN05"),H20,"")</f>
        <v/>
      </c>
      <c r="BG20" s="44" t="str">
        <f>IF(AND(C20=Master!$H$9,B20="2012-2013",E20&gt;1000,G20="NPN05"),H20,"")</f>
        <v/>
      </c>
      <c r="BH20" s="44" t="str">
        <f>IF(AND(C20=Master!$H$9,B20="2012-2013",E20="",G20="NPN05"),H20,"")</f>
        <v/>
      </c>
    </row>
    <row r="21" spans="1:60" x14ac:dyDescent="0.25">
      <c r="A21" s="3">
        <v>19</v>
      </c>
      <c r="B21" s="12" t="s">
        <v>16</v>
      </c>
      <c r="C21" s="12" t="s">
        <v>30</v>
      </c>
      <c r="D21" s="31" t="s">
        <v>114</v>
      </c>
      <c r="E21" s="4"/>
      <c r="F21" s="13"/>
      <c r="G21" s="21" t="s">
        <v>80</v>
      </c>
      <c r="H21" s="35">
        <v>18000</v>
      </c>
      <c r="I21" s="27">
        <v>16046</v>
      </c>
      <c r="J21" s="25" t="str">
        <f>IF(NOT(I21=""),INDEX(Master!$B$1:$B$46,MATCH(I21,Master!$A$1:$A$46,0)),"")</f>
        <v>Dr D R Kaushal</v>
      </c>
      <c r="K21" s="18" t="s">
        <v>105</v>
      </c>
      <c r="L21" s="86"/>
      <c r="M21" s="13"/>
      <c r="N21" s="13"/>
      <c r="O21" s="18"/>
      <c r="P21" s="35"/>
      <c r="Q21" s="21"/>
      <c r="R21" s="21"/>
      <c r="S21" s="13"/>
      <c r="T21" s="12"/>
      <c r="U21" s="12"/>
      <c r="V21" s="12"/>
      <c r="W21" s="14"/>
      <c r="Y21" s="42" t="str">
        <f>IF(AND(C21=Master!$H$1,B21="2012-2013",E21&gt;1000,G21="PLN03"),H21,"")</f>
        <v/>
      </c>
      <c r="Z21" s="42" t="str">
        <f>IF(AND(C21=Master!$H$1,B21="2012-2013",E21="",G21="PLN03"),H21,"")</f>
        <v/>
      </c>
      <c r="AA21" s="42" t="str">
        <f>IF(AND(C21=Master!$H$2,B21="2012-2013",E21&gt;1000,G21="PLN03"),H21,"")</f>
        <v/>
      </c>
      <c r="AB21" s="42" t="str">
        <f>IF(AND(C21=Master!$H$2,B21="2012-2013",E21="",G21="PLN03"),H21,"")</f>
        <v/>
      </c>
      <c r="AC21" s="42" t="str">
        <f>IF(AND(C21=Master!$H$3,B21="2012-2013",E21&gt;1000,G21="PLN03"),H21,"")</f>
        <v/>
      </c>
      <c r="AD21" s="42" t="str">
        <f>IF(AND(C21=Master!$H$3,B21="2012-2013",E21="",G21="PLN03"),H21,"")</f>
        <v/>
      </c>
      <c r="AE21" s="42" t="str">
        <f>IF(AND(C21=Master!$H$4,B21="2012-2013",E21&gt;1000,G21="PLN03"),H21,"")</f>
        <v/>
      </c>
      <c r="AF21" s="42" t="str">
        <f>IF(AND(C21=Master!$H$4,B21="2012-2013",E21="",G21="PLN03"),H21,"")</f>
        <v/>
      </c>
      <c r="AG21" s="42" t="str">
        <f>IF(AND(C21=Master!$H$5,B21="2012-2013",E21&gt;1000,G21="PLN03"),H21,"")</f>
        <v/>
      </c>
      <c r="AH21" s="42" t="str">
        <f>IF(AND(C21=Master!$H$5,B21="2012-2013",E21="",G21="PLN03"),H21,"")</f>
        <v/>
      </c>
      <c r="AI21" s="42" t="str">
        <f>IF(AND(C21=Master!$H$6,B21="2012-2013",E21&gt;1000,G21="PLN03"),H21,"")</f>
        <v/>
      </c>
      <c r="AJ21" s="42" t="str">
        <f>IF(AND(C21=Master!$H$6,B21="2012-2013",E21="",G21="PLN03"),H21,"")</f>
        <v/>
      </c>
      <c r="AK21" s="42" t="str">
        <f>IF(AND(C21=Master!$H$7,B21="2012-2013",E21&gt;1000,G21="PLN03"),H21,"")</f>
        <v/>
      </c>
      <c r="AL21" s="42" t="str">
        <f>IF(AND(C21=Master!$H$7,B21="2012-2013",E21="",G21="PLN03"),H21,"")</f>
        <v/>
      </c>
      <c r="AM21" s="42" t="str">
        <f>IF(AND(C21=Master!$H$8,B21="2012-2013",E21&gt;1000,G21="PLN03"),H21,"")</f>
        <v/>
      </c>
      <c r="AN21" s="42" t="str">
        <f>IF(AND(C21=Master!$H$8,B21="2012-2013",E21="",G21="PLN03"),H21,"")</f>
        <v/>
      </c>
      <c r="AO21" s="42" t="str">
        <f>IF(AND(C21=Master!$H$9,B21="2012-2013",E21&gt;1000,G21="PLN03"),H21,"")</f>
        <v/>
      </c>
      <c r="AP21" s="42">
        <f>IF(AND(C21=Master!$H$9,B21="2012-2013",E21="",G21="PLN03"),H21,"")</f>
        <v>18000</v>
      </c>
      <c r="AQ21" s="44" t="str">
        <f>IF(AND(C21=Master!$H$1,B21="2012-2013",E21&gt;1000,G21="NPN05"),H21,"")</f>
        <v/>
      </c>
      <c r="AR21" s="44" t="str">
        <f>IF(AND(C21=Master!$H$1,B21="2012-2013",E21="",G21="NPN05"),H21,"")</f>
        <v/>
      </c>
      <c r="AS21" s="44" t="str">
        <f>IF(AND(C21=Master!$H$2,B21="2012-2013",E21&gt;1000,G21="NPN05"),H21,"")</f>
        <v/>
      </c>
      <c r="AT21" s="44" t="str">
        <f>IF(AND(C21=Master!$H$2,B21="2012-2013",E21="",G21="NPN05"),H21,"")</f>
        <v/>
      </c>
      <c r="AU21" s="44" t="str">
        <f>IF(AND(C21=Master!$H$3,B21="2012-2013",E21&gt;1000,G21="NPN05"),H21,"")</f>
        <v/>
      </c>
      <c r="AV21" s="44" t="str">
        <f>IF(AND(C21=Master!$H$3,B21="2012-2013",E21="",G21="NPN05"),H21,"")</f>
        <v/>
      </c>
      <c r="AW21" s="44" t="str">
        <f>IF(AND(C21=Master!$H$4,B21="2012-2013",E21&gt;1000,G21="NPN05"),H21,"")</f>
        <v/>
      </c>
      <c r="AX21" s="44" t="str">
        <f>IF(AND(C21=Master!$H$4,B21="2012-2013",E21="",G21="NPN05"),H21,"")</f>
        <v/>
      </c>
      <c r="AY21" s="44" t="str">
        <f>IF(AND(C21=Master!$H$5,B21="2012-2013",E21&gt;1000,G21="NPN05"),H21,"")</f>
        <v/>
      </c>
      <c r="AZ21" s="44" t="str">
        <f>IF(AND(C21=Master!$H$5,B21="2012-2013",E21="",G21="NPN05"),H21,"")</f>
        <v/>
      </c>
      <c r="BA21" s="44" t="str">
        <f>IF(AND(C21=Master!$H$6,B21="2012-2013",E21&gt;1000,G21="NPN05"),H21,"")</f>
        <v/>
      </c>
      <c r="BB21" s="44" t="str">
        <f>IF(AND(C21=Master!$H$6,B21="2012-2013",E21="",G21="NPN05"),H21,"")</f>
        <v/>
      </c>
      <c r="BC21" s="44" t="str">
        <f>IF(AND(C21=Master!$H$7,B21="2012-2013",E21&gt;1000,G21="NPN05"),H21,"")</f>
        <v/>
      </c>
      <c r="BD21" s="44" t="str">
        <f>IF(AND(C21=Master!$H$7,B21="2012-2013",E21="",G21="NPN05"),H21,"")</f>
        <v/>
      </c>
      <c r="BE21" s="44" t="str">
        <f>IF(AND(C21=Master!$H$8,B21="2012-2013",E21&gt;1000,G21="NPN05"),H21,"")</f>
        <v/>
      </c>
      <c r="BF21" s="44" t="str">
        <f>IF(AND(C21=Master!$H$8,B21="2012-2013",E21="",G21="NPN05"),H21,"")</f>
        <v/>
      </c>
      <c r="BG21" s="44" t="str">
        <f>IF(AND(C21=Master!$H$9,B21="2012-2013",E21&gt;1000,G21="NPN05"),H21,"")</f>
        <v/>
      </c>
      <c r="BH21" s="44" t="str">
        <f>IF(AND(C21=Master!$H$9,B21="2012-2013",E21="",G21="NPN05"),H21,"")</f>
        <v/>
      </c>
    </row>
    <row r="22" spans="1:60" x14ac:dyDescent="0.25">
      <c r="A22" s="3">
        <v>20</v>
      </c>
      <c r="B22" s="12" t="s">
        <v>16</v>
      </c>
      <c r="C22" s="12" t="s">
        <v>24</v>
      </c>
      <c r="D22" s="31" t="s">
        <v>113</v>
      </c>
      <c r="E22" s="4">
        <v>10354</v>
      </c>
      <c r="F22" s="13">
        <v>41110</v>
      </c>
      <c r="G22" s="21" t="s">
        <v>80</v>
      </c>
      <c r="H22" s="35">
        <v>200000</v>
      </c>
      <c r="I22" s="27">
        <v>15600</v>
      </c>
      <c r="J22" s="25" t="str">
        <f>IF(NOT(I22=""),INDEX(Master!$B$1:$B$46,MATCH(I22,Master!$A$1:$A$46,0)),"")</f>
        <v>Dr Rakesh Khosa</v>
      </c>
      <c r="K22" s="18" t="s">
        <v>130</v>
      </c>
      <c r="L22" s="86" t="s">
        <v>37</v>
      </c>
      <c r="M22" s="13">
        <v>41162</v>
      </c>
      <c r="N22" s="13" t="s">
        <v>125</v>
      </c>
      <c r="O22" s="18" t="s">
        <v>153</v>
      </c>
      <c r="P22" s="35">
        <v>202248</v>
      </c>
      <c r="Q22" s="21" t="s">
        <v>39</v>
      </c>
      <c r="R22" s="21"/>
      <c r="S22" s="13">
        <v>41176</v>
      </c>
      <c r="T22" s="12"/>
      <c r="U22" s="12"/>
      <c r="V22" s="12"/>
      <c r="W22" s="14"/>
      <c r="Y22" s="42">
        <f>IF(AND(C22=Master!$H$1,B22="2012-2013",E22&gt;1000,G22="PLN03"),H22,"")</f>
        <v>200000</v>
      </c>
      <c r="Z22" s="42" t="str">
        <f>IF(AND(C22=Master!$H$1,B22="2012-2013",E22="",G22="PLN03"),H22,"")</f>
        <v/>
      </c>
      <c r="AA22" s="42" t="str">
        <f>IF(AND(C22=Master!$H$2,B22="2012-2013",E22&gt;1000,G22="PLN03"),H22,"")</f>
        <v/>
      </c>
      <c r="AB22" s="42" t="str">
        <f>IF(AND(C22=Master!$H$2,B22="2012-2013",E22="",G22="PLN03"),H22,"")</f>
        <v/>
      </c>
      <c r="AC22" s="42" t="str">
        <f>IF(AND(C22=Master!$H$3,B22="2012-2013",E22&gt;1000,G22="PLN03"),H22,"")</f>
        <v/>
      </c>
      <c r="AD22" s="42" t="str">
        <f>IF(AND(C22=Master!$H$3,B22="2012-2013",E22="",G22="PLN03"),H22,"")</f>
        <v/>
      </c>
      <c r="AE22" s="42" t="str">
        <f>IF(AND(C22=Master!$H$4,B22="2012-2013",E22&gt;1000,G22="PLN03"),H22,"")</f>
        <v/>
      </c>
      <c r="AF22" s="42" t="str">
        <f>IF(AND(C22=Master!$H$4,B22="2012-2013",E22="",G22="PLN03"),H22,"")</f>
        <v/>
      </c>
      <c r="AG22" s="42" t="str">
        <f>IF(AND(C22=Master!$H$5,B22="2012-2013",E22&gt;1000,G22="PLN03"),H22,"")</f>
        <v/>
      </c>
      <c r="AH22" s="42" t="str">
        <f>IF(AND(C22=Master!$H$5,B22="2012-2013",E22="",G22="PLN03"),H22,"")</f>
        <v/>
      </c>
      <c r="AI22" s="42" t="str">
        <f>IF(AND(C22=Master!$H$6,B22="2012-2013",E22&gt;1000,G22="PLN03"),H22,"")</f>
        <v/>
      </c>
      <c r="AJ22" s="42" t="str">
        <f>IF(AND(C22=Master!$H$6,B22="2012-2013",E22="",G22="PLN03"),H22,"")</f>
        <v/>
      </c>
      <c r="AK22" s="42" t="str">
        <f>IF(AND(C22=Master!$H$7,B22="2012-2013",E22&gt;1000,G22="PLN03"),H22,"")</f>
        <v/>
      </c>
      <c r="AL22" s="42" t="str">
        <f>IF(AND(C22=Master!$H$7,B22="2012-2013",E22="",G22="PLN03"),H22,"")</f>
        <v/>
      </c>
      <c r="AM22" s="42" t="str">
        <f>IF(AND(C22=Master!$H$8,B22="2012-2013",E22&gt;1000,G22="PLN03"),H22,"")</f>
        <v/>
      </c>
      <c r="AN22" s="42" t="str">
        <f>IF(AND(C22=Master!$H$8,B22="2012-2013",E22="",G22="PLN03"),H22,"")</f>
        <v/>
      </c>
      <c r="AO22" s="42" t="str">
        <f>IF(AND(C22=Master!$H$9,B22="2012-2013",E22&gt;1000,G22="PLN03"),H22,"")</f>
        <v/>
      </c>
      <c r="AP22" s="42" t="str">
        <f>IF(AND(C22=Master!$H$9,B22="2012-2013",E22="",G22="PLN03"),H22,"")</f>
        <v/>
      </c>
      <c r="AQ22" s="44" t="str">
        <f>IF(AND(C22=Master!$H$1,B22="2012-2013",E22&gt;1000,G22="NPN05"),H22,"")</f>
        <v/>
      </c>
      <c r="AR22" s="44" t="str">
        <f>IF(AND(C22=Master!$H$1,B22="2012-2013",E22="",G22="NPN05"),H22,"")</f>
        <v/>
      </c>
      <c r="AS22" s="44" t="str">
        <f>IF(AND(C22=Master!$H$2,B22="2012-2013",E22&gt;1000,G22="NPN05"),H22,"")</f>
        <v/>
      </c>
      <c r="AT22" s="44" t="str">
        <f>IF(AND(C22=Master!$H$2,B22="2012-2013",E22="",G22="NPN05"),H22,"")</f>
        <v/>
      </c>
      <c r="AU22" s="44" t="str">
        <f>IF(AND(C22=Master!$H$3,B22="2012-2013",E22&gt;1000,G22="NPN05"),H22,"")</f>
        <v/>
      </c>
      <c r="AV22" s="44" t="str">
        <f>IF(AND(C22=Master!$H$3,B22="2012-2013",E22="",G22="NPN05"),H22,"")</f>
        <v/>
      </c>
      <c r="AW22" s="44" t="str">
        <f>IF(AND(C22=Master!$H$4,B22="2012-2013",E22&gt;1000,G22="NPN05"),H22,"")</f>
        <v/>
      </c>
      <c r="AX22" s="44" t="str">
        <f>IF(AND(C22=Master!$H$4,B22="2012-2013",E22="",G22="NPN05"),H22,"")</f>
        <v/>
      </c>
      <c r="AY22" s="44" t="str">
        <f>IF(AND(C22=Master!$H$5,B22="2012-2013",E22&gt;1000,G22="NPN05"),H22,"")</f>
        <v/>
      </c>
      <c r="AZ22" s="44" t="str">
        <f>IF(AND(C22=Master!$H$5,B22="2012-2013",E22="",G22="NPN05"),H22,"")</f>
        <v/>
      </c>
      <c r="BA22" s="44" t="str">
        <f>IF(AND(C22=Master!$H$6,B22="2012-2013",E22&gt;1000,G22="NPN05"),H22,"")</f>
        <v/>
      </c>
      <c r="BB22" s="44" t="str">
        <f>IF(AND(C22=Master!$H$6,B22="2012-2013",E22="",G22="NPN05"),H22,"")</f>
        <v/>
      </c>
      <c r="BC22" s="44" t="str">
        <f>IF(AND(C22=Master!$H$7,B22="2012-2013",E22&gt;1000,G22="NPN05"),H22,"")</f>
        <v/>
      </c>
      <c r="BD22" s="44" t="str">
        <f>IF(AND(C22=Master!$H$7,B22="2012-2013",E22="",G22="NPN05"),H22,"")</f>
        <v/>
      </c>
      <c r="BE22" s="44" t="str">
        <f>IF(AND(C22=Master!$H$8,B22="2012-2013",E22&gt;1000,G22="NPN05"),H22,"")</f>
        <v/>
      </c>
      <c r="BF22" s="44" t="str">
        <f>IF(AND(C22=Master!$H$8,B22="2012-2013",E22="",G22="NPN05"),H22,"")</f>
        <v/>
      </c>
      <c r="BG22" s="44" t="str">
        <f>IF(AND(C22=Master!$H$9,B22="2012-2013",E22&gt;1000,G22="NPN05"),H22,"")</f>
        <v/>
      </c>
      <c r="BH22" s="44" t="str">
        <f>IF(AND(C22=Master!$H$9,B22="2012-2013",E22="",G22="NPN05"),H22,"")</f>
        <v/>
      </c>
    </row>
    <row r="23" spans="1:60" x14ac:dyDescent="0.25">
      <c r="A23" s="3">
        <v>21</v>
      </c>
      <c r="B23" s="12" t="s">
        <v>16</v>
      </c>
      <c r="C23" s="12" t="s">
        <v>27</v>
      </c>
      <c r="D23" s="31" t="s">
        <v>113</v>
      </c>
      <c r="E23" s="4">
        <v>12897</v>
      </c>
      <c r="F23" s="13">
        <v>41141</v>
      </c>
      <c r="G23" s="21" t="s">
        <v>81</v>
      </c>
      <c r="H23" s="35">
        <v>150000</v>
      </c>
      <c r="I23" s="27">
        <v>15859</v>
      </c>
      <c r="J23" s="25" t="str">
        <f>IF(NOT(I23=""),INDEX(Master!$B$1:$B$46,MATCH(I23,Master!$A$1:$A$46,0)),"")</f>
        <v>Prof A K Mittal</v>
      </c>
      <c r="K23" s="18" t="s">
        <v>144</v>
      </c>
      <c r="L23" s="86" t="s">
        <v>37</v>
      </c>
      <c r="M23" s="13">
        <v>41177</v>
      </c>
      <c r="N23" s="13" t="s">
        <v>125</v>
      </c>
      <c r="O23" s="18" t="s">
        <v>145</v>
      </c>
      <c r="P23" s="35">
        <v>144980</v>
      </c>
      <c r="Q23" s="21"/>
      <c r="R23" s="21"/>
      <c r="S23" s="13"/>
      <c r="T23" s="12"/>
      <c r="U23" s="12"/>
      <c r="V23" s="12"/>
      <c r="W23" s="14"/>
      <c r="Y23" s="42" t="str">
        <f>IF(AND(C23=Master!$H$1,B23="2012-2013",E23&gt;1000,G23="PLN03"),H23,"")</f>
        <v/>
      </c>
      <c r="Z23" s="42" t="str">
        <f>IF(AND(C23=Master!$H$1,B23="2012-2013",E23="",G23="PLN03"),H23,"")</f>
        <v/>
      </c>
      <c r="AA23" s="42" t="str">
        <f>IF(AND(C23=Master!$H$2,B23="2012-2013",E23&gt;1000,G23="PLN03"),H23,"")</f>
        <v/>
      </c>
      <c r="AB23" s="42" t="str">
        <f>IF(AND(C23=Master!$H$2,B23="2012-2013",E23="",G23="PLN03"),H23,"")</f>
        <v/>
      </c>
      <c r="AC23" s="42" t="str">
        <f>IF(AND(C23=Master!$H$3,B23="2012-2013",E23&gt;1000,G23="PLN03"),H23,"")</f>
        <v/>
      </c>
      <c r="AD23" s="42" t="str">
        <f>IF(AND(C23=Master!$H$3,B23="2012-2013",E23="",G23="PLN03"),H23,"")</f>
        <v/>
      </c>
      <c r="AE23" s="42" t="str">
        <f>IF(AND(C23=Master!$H$4,B23="2012-2013",E23&gt;1000,G23="PLN03"),H23,"")</f>
        <v/>
      </c>
      <c r="AF23" s="42" t="str">
        <f>IF(AND(C23=Master!$H$4,B23="2012-2013",E23="",G23="PLN03"),H23,"")</f>
        <v/>
      </c>
      <c r="AG23" s="42" t="str">
        <f>IF(AND(C23=Master!$H$5,B23="2012-2013",E23&gt;1000,G23="PLN03"),H23,"")</f>
        <v/>
      </c>
      <c r="AH23" s="42" t="str">
        <f>IF(AND(C23=Master!$H$5,B23="2012-2013",E23="",G23="PLN03"),H23,"")</f>
        <v/>
      </c>
      <c r="AI23" s="42" t="str">
        <f>IF(AND(C23=Master!$H$6,B23="2012-2013",E23&gt;1000,G23="PLN03"),H23,"")</f>
        <v/>
      </c>
      <c r="AJ23" s="42" t="str">
        <f>IF(AND(C23=Master!$H$6,B23="2012-2013",E23="",G23="PLN03"),H23,"")</f>
        <v/>
      </c>
      <c r="AK23" s="42" t="str">
        <f>IF(AND(C23=Master!$H$7,B23="2012-2013",E23&gt;1000,G23="PLN03"),H23,"")</f>
        <v/>
      </c>
      <c r="AL23" s="42" t="str">
        <f>IF(AND(C23=Master!$H$7,B23="2012-2013",E23="",G23="PLN03"),H23,"")</f>
        <v/>
      </c>
      <c r="AM23" s="42" t="str">
        <f>IF(AND(C23=Master!$H$8,B23="2012-2013",E23&gt;1000,G23="PLN03"),H23,"")</f>
        <v/>
      </c>
      <c r="AN23" s="42" t="str">
        <f>IF(AND(C23=Master!$H$8,B23="2012-2013",E23="",G23="PLN03"),H23,"")</f>
        <v/>
      </c>
      <c r="AO23" s="42" t="str">
        <f>IF(AND(C23=Master!$H$9,B23="2012-2013",E23&gt;1000,G23="PLN03"),H23,"")</f>
        <v/>
      </c>
      <c r="AP23" s="42" t="str">
        <f>IF(AND(C23=Master!$H$9,B23="2012-2013",E23="",G23="PLN03"),H23,"")</f>
        <v/>
      </c>
      <c r="AQ23" s="44" t="str">
        <f>IF(AND(C23=Master!$H$1,B23="2012-2013",E23&gt;1000,G23="NPN05"),H23,"")</f>
        <v/>
      </c>
      <c r="AR23" s="44" t="str">
        <f>IF(AND(C23=Master!$H$1,B23="2012-2013",E23="",G23="NPN05"),H23,"")</f>
        <v/>
      </c>
      <c r="AS23" s="44">
        <f>IF(AND(C23=Master!$H$2,B23="2012-2013",E23&gt;1000,G23="NPN05"),H23,"")</f>
        <v>150000</v>
      </c>
      <c r="AT23" s="44" t="str">
        <f>IF(AND(C23=Master!$H$2,B23="2012-2013",E23="",G23="NPN05"),H23,"")</f>
        <v/>
      </c>
      <c r="AU23" s="44" t="str">
        <f>IF(AND(C23=Master!$H$3,B23="2012-2013",E23&gt;1000,G23="NPN05"),H23,"")</f>
        <v/>
      </c>
      <c r="AV23" s="44" t="str">
        <f>IF(AND(C23=Master!$H$3,B23="2012-2013",E23="",G23="NPN05"),H23,"")</f>
        <v/>
      </c>
      <c r="AW23" s="44" t="str">
        <f>IF(AND(C23=Master!$H$4,B23="2012-2013",E23&gt;1000,G23="NPN05"),H23,"")</f>
        <v/>
      </c>
      <c r="AX23" s="44" t="str">
        <f>IF(AND(C23=Master!$H$4,B23="2012-2013",E23="",G23="NPN05"),H23,"")</f>
        <v/>
      </c>
      <c r="AY23" s="44" t="str">
        <f>IF(AND(C23=Master!$H$5,B23="2012-2013",E23&gt;1000,G23="NPN05"),H23,"")</f>
        <v/>
      </c>
      <c r="AZ23" s="44" t="str">
        <f>IF(AND(C23=Master!$H$5,B23="2012-2013",E23="",G23="NPN05"),H23,"")</f>
        <v/>
      </c>
      <c r="BA23" s="44" t="str">
        <f>IF(AND(C23=Master!$H$6,B23="2012-2013",E23&gt;1000,G23="NPN05"),H23,"")</f>
        <v/>
      </c>
      <c r="BB23" s="44" t="str">
        <f>IF(AND(C23=Master!$H$6,B23="2012-2013",E23="",G23="NPN05"),H23,"")</f>
        <v/>
      </c>
      <c r="BC23" s="44" t="str">
        <f>IF(AND(C23=Master!$H$7,B23="2012-2013",E23&gt;1000,G23="NPN05"),H23,"")</f>
        <v/>
      </c>
      <c r="BD23" s="44" t="str">
        <f>IF(AND(C23=Master!$H$7,B23="2012-2013",E23="",G23="NPN05"),H23,"")</f>
        <v/>
      </c>
      <c r="BE23" s="44" t="str">
        <f>IF(AND(C23=Master!$H$8,B23="2012-2013",E23&gt;1000,G23="NPN05"),H23,"")</f>
        <v/>
      </c>
      <c r="BF23" s="44" t="str">
        <f>IF(AND(C23=Master!$H$8,B23="2012-2013",E23="",G23="NPN05"),H23,"")</f>
        <v/>
      </c>
      <c r="BG23" s="44" t="str">
        <f>IF(AND(C23=Master!$H$9,B23="2012-2013",E23&gt;1000,G23="NPN05"),H23,"")</f>
        <v/>
      </c>
      <c r="BH23" s="44" t="str">
        <f>IF(AND(C23=Master!$H$9,B23="2012-2013",E23="",G23="NPN05"),H23,"")</f>
        <v/>
      </c>
    </row>
    <row r="24" spans="1:60" x14ac:dyDescent="0.25">
      <c r="A24" s="3">
        <v>22</v>
      </c>
      <c r="B24" s="12" t="s">
        <v>16</v>
      </c>
      <c r="C24" s="12" t="s">
        <v>27</v>
      </c>
      <c r="D24" s="31" t="s">
        <v>113</v>
      </c>
      <c r="E24" s="4"/>
      <c r="F24" s="13"/>
      <c r="G24" s="21" t="s">
        <v>81</v>
      </c>
      <c r="H24" s="35">
        <v>18000</v>
      </c>
      <c r="I24" s="27">
        <v>15859</v>
      </c>
      <c r="J24" s="25" t="str">
        <f>IF(NOT(I24=""),INDEX(Master!$B$1:$B$46,MATCH(I24,Master!$A$1:$A$46,0)),"")</f>
        <v>Prof A K Mittal</v>
      </c>
      <c r="K24" s="18" t="s">
        <v>146</v>
      </c>
      <c r="L24" s="86" t="s">
        <v>37</v>
      </c>
      <c r="M24" s="13">
        <v>41177</v>
      </c>
      <c r="N24" s="13" t="s">
        <v>125</v>
      </c>
      <c r="O24" s="18" t="s">
        <v>147</v>
      </c>
      <c r="P24" s="35">
        <v>18000</v>
      </c>
      <c r="Q24" s="21"/>
      <c r="R24" s="21"/>
      <c r="S24" s="13"/>
      <c r="T24" s="12"/>
      <c r="U24" s="12"/>
      <c r="V24" s="12"/>
      <c r="W24" s="14"/>
      <c r="Y24" s="42" t="str">
        <f>IF(AND(C24=Master!$H$1,B24="2012-2013",E24&gt;1000,G24="PLN03"),H24,"")</f>
        <v/>
      </c>
      <c r="Z24" s="42" t="str">
        <f>IF(AND(C24=Master!$H$1,B24="2012-2013",E24="",G24="PLN03"),H24,"")</f>
        <v/>
      </c>
      <c r="AA24" s="42" t="str">
        <f>IF(AND(C24=Master!$H$2,B24="2012-2013",E24&gt;1000,G24="PLN03"),H24,"")</f>
        <v/>
      </c>
      <c r="AB24" s="42" t="str">
        <f>IF(AND(C24=Master!$H$2,B24="2012-2013",E24="",G24="PLN03"),H24,"")</f>
        <v/>
      </c>
      <c r="AC24" s="42" t="str">
        <f>IF(AND(C24=Master!$H$3,B24="2012-2013",E24&gt;1000,G24="PLN03"),H24,"")</f>
        <v/>
      </c>
      <c r="AD24" s="42" t="str">
        <f>IF(AND(C24=Master!$H$3,B24="2012-2013",E24="",G24="PLN03"),H24,"")</f>
        <v/>
      </c>
      <c r="AE24" s="42" t="str">
        <f>IF(AND(C24=Master!$H$4,B24="2012-2013",E24&gt;1000,G24="PLN03"),H24,"")</f>
        <v/>
      </c>
      <c r="AF24" s="42" t="str">
        <f>IF(AND(C24=Master!$H$4,B24="2012-2013",E24="",G24="PLN03"),H24,"")</f>
        <v/>
      </c>
      <c r="AG24" s="42" t="str">
        <f>IF(AND(C24=Master!$H$5,B24="2012-2013",E24&gt;1000,G24="PLN03"),H24,"")</f>
        <v/>
      </c>
      <c r="AH24" s="42" t="str">
        <f>IF(AND(C24=Master!$H$5,B24="2012-2013",E24="",G24="PLN03"),H24,"")</f>
        <v/>
      </c>
      <c r="AI24" s="42" t="str">
        <f>IF(AND(C24=Master!$H$6,B24="2012-2013",E24&gt;1000,G24="PLN03"),H24,"")</f>
        <v/>
      </c>
      <c r="AJ24" s="42" t="str">
        <f>IF(AND(C24=Master!$H$6,B24="2012-2013",E24="",G24="PLN03"),H24,"")</f>
        <v/>
      </c>
      <c r="AK24" s="42" t="str">
        <f>IF(AND(C24=Master!$H$7,B24="2012-2013",E24&gt;1000,G24="PLN03"),H24,"")</f>
        <v/>
      </c>
      <c r="AL24" s="42" t="str">
        <f>IF(AND(C24=Master!$H$7,B24="2012-2013",E24="",G24="PLN03"),H24,"")</f>
        <v/>
      </c>
      <c r="AM24" s="42" t="str">
        <f>IF(AND(C24=Master!$H$8,B24="2012-2013",E24&gt;1000,G24="PLN03"),H24,"")</f>
        <v/>
      </c>
      <c r="AN24" s="42" t="str">
        <f>IF(AND(C24=Master!$H$8,B24="2012-2013",E24="",G24="PLN03"),H24,"")</f>
        <v/>
      </c>
      <c r="AO24" s="42" t="str">
        <f>IF(AND(C24=Master!$H$9,B24="2012-2013",E24&gt;1000,G24="PLN03"),H24,"")</f>
        <v/>
      </c>
      <c r="AP24" s="42" t="str">
        <f>IF(AND(C24=Master!$H$9,B24="2012-2013",E24="",G24="PLN03"),H24,"")</f>
        <v/>
      </c>
      <c r="AQ24" s="44" t="str">
        <f>IF(AND(C24=Master!$H$1,B24="2012-2013",E24&gt;1000,G24="NPN05"),H24,"")</f>
        <v/>
      </c>
      <c r="AR24" s="44" t="str">
        <f>IF(AND(C24=Master!$H$1,B24="2012-2013",E24="",G24="NPN05"),H24,"")</f>
        <v/>
      </c>
      <c r="AS24" s="44" t="str">
        <f>IF(AND(C24=Master!$H$2,B24="2012-2013",E24&gt;1000,G24="NPN05"),H24,"")</f>
        <v/>
      </c>
      <c r="AT24" s="44">
        <f>IF(AND(C24=Master!$H$2,B24="2012-2013",E24="",G24="NPN05"),H24,"")</f>
        <v>18000</v>
      </c>
      <c r="AU24" s="44" t="str">
        <f>IF(AND(C24=Master!$H$3,B24="2012-2013",E24&gt;1000,G24="NPN05"),H24,"")</f>
        <v/>
      </c>
      <c r="AV24" s="44" t="str">
        <f>IF(AND(C24=Master!$H$3,B24="2012-2013",E24="",G24="NPN05"),H24,"")</f>
        <v/>
      </c>
      <c r="AW24" s="44" t="str">
        <f>IF(AND(C24=Master!$H$4,B24="2012-2013",E24&gt;1000,G24="NPN05"),H24,"")</f>
        <v/>
      </c>
      <c r="AX24" s="44" t="str">
        <f>IF(AND(C24=Master!$H$4,B24="2012-2013",E24="",G24="NPN05"),H24,"")</f>
        <v/>
      </c>
      <c r="AY24" s="44" t="str">
        <f>IF(AND(C24=Master!$H$5,B24="2012-2013",E24&gt;1000,G24="NPN05"),H24,"")</f>
        <v/>
      </c>
      <c r="AZ24" s="44" t="str">
        <f>IF(AND(C24=Master!$H$5,B24="2012-2013",E24="",G24="NPN05"),H24,"")</f>
        <v/>
      </c>
      <c r="BA24" s="44" t="str">
        <f>IF(AND(C24=Master!$H$6,B24="2012-2013",E24&gt;1000,G24="NPN05"),H24,"")</f>
        <v/>
      </c>
      <c r="BB24" s="44" t="str">
        <f>IF(AND(C24=Master!$H$6,B24="2012-2013",E24="",G24="NPN05"),H24,"")</f>
        <v/>
      </c>
      <c r="BC24" s="44" t="str">
        <f>IF(AND(C24=Master!$H$7,B24="2012-2013",E24&gt;1000,G24="NPN05"),H24,"")</f>
        <v/>
      </c>
      <c r="BD24" s="44" t="str">
        <f>IF(AND(C24=Master!$H$7,B24="2012-2013",E24="",G24="NPN05"),H24,"")</f>
        <v/>
      </c>
      <c r="BE24" s="44" t="str">
        <f>IF(AND(C24=Master!$H$8,B24="2012-2013",E24&gt;1000,G24="NPN05"),H24,"")</f>
        <v/>
      </c>
      <c r="BF24" s="44" t="str">
        <f>IF(AND(C24=Master!$H$8,B24="2012-2013",E24="",G24="NPN05"),H24,"")</f>
        <v/>
      </c>
      <c r="BG24" s="44" t="str">
        <f>IF(AND(C24=Master!$H$9,B24="2012-2013",E24&gt;1000,G24="NPN05"),H24,"")</f>
        <v/>
      </c>
      <c r="BH24" s="44" t="str">
        <f>IF(AND(C24=Master!$H$9,B24="2012-2013",E24="",G24="NPN05"),H24,"")</f>
        <v/>
      </c>
    </row>
    <row r="25" spans="1:60" x14ac:dyDescent="0.25">
      <c r="A25" s="3">
        <v>23</v>
      </c>
      <c r="B25" s="12" t="s">
        <v>16</v>
      </c>
      <c r="C25" s="12" t="s">
        <v>31</v>
      </c>
      <c r="D25" s="31" t="s">
        <v>113</v>
      </c>
      <c r="E25" s="4">
        <v>11648</v>
      </c>
      <c r="F25" s="13">
        <v>41153</v>
      </c>
      <c r="G25" s="21" t="s">
        <v>13</v>
      </c>
      <c r="H25" s="35">
        <v>60000</v>
      </c>
      <c r="I25" s="27">
        <v>15593</v>
      </c>
      <c r="J25" s="25" t="str">
        <f>IF(NOT(I25=""),INDEX(Master!$B$1:$B$46,MATCH(I25,Master!$A$1:$A$46,0)),"")</f>
        <v>Prof Shashi Mathur</v>
      </c>
      <c r="K25" s="18" t="s">
        <v>148</v>
      </c>
      <c r="L25" s="86" t="s">
        <v>37</v>
      </c>
      <c r="M25" s="13">
        <v>41167</v>
      </c>
      <c r="N25" s="13" t="s">
        <v>125</v>
      </c>
      <c r="O25" s="18" t="s">
        <v>152</v>
      </c>
      <c r="P25" s="35">
        <v>58875</v>
      </c>
      <c r="Q25" s="21" t="s">
        <v>38</v>
      </c>
      <c r="R25" s="21"/>
      <c r="S25" s="13">
        <v>41176</v>
      </c>
      <c r="T25" s="12"/>
      <c r="U25" s="12"/>
      <c r="V25" s="12"/>
      <c r="W25" s="14"/>
      <c r="Y25" s="42" t="str">
        <f>IF(AND(C25=Master!$H$1,B25="2012-2013",E25&gt;1000,G25="PLN03"),H25,"")</f>
        <v/>
      </c>
      <c r="Z25" s="42" t="str">
        <f>IF(AND(C25=Master!$H$1,B25="2012-2013",E25="",G25="PLN03"),H25,"")</f>
        <v/>
      </c>
      <c r="AA25" s="42" t="str">
        <f>IF(AND(C25=Master!$H$2,B25="2012-2013",E25&gt;1000,G25="PLN03"),H25,"")</f>
        <v/>
      </c>
      <c r="AB25" s="42" t="str">
        <f>IF(AND(C25=Master!$H$2,B25="2012-2013",E25="",G25="PLN03"),H25,"")</f>
        <v/>
      </c>
      <c r="AC25" s="42" t="str">
        <f>IF(AND(C25=Master!$H$3,B25="2012-2013",E25&gt;1000,G25="PLN03"),H25,"")</f>
        <v/>
      </c>
      <c r="AD25" s="42" t="str">
        <f>IF(AND(C25=Master!$H$3,B25="2012-2013",E25="",G25="PLN03"),H25,"")</f>
        <v/>
      </c>
      <c r="AE25" s="42" t="str">
        <f>IF(AND(C25=Master!$H$4,B25="2012-2013",E25&gt;1000,G25="PLN03"),H25,"")</f>
        <v/>
      </c>
      <c r="AF25" s="42" t="str">
        <f>IF(AND(C25=Master!$H$4,B25="2012-2013",E25="",G25="PLN03"),H25,"")</f>
        <v/>
      </c>
      <c r="AG25" s="42" t="str">
        <f>IF(AND(C25=Master!$H$5,B25="2012-2013",E25&gt;1000,G25="PLN03"),H25,"")</f>
        <v/>
      </c>
      <c r="AH25" s="42" t="str">
        <f>IF(AND(C25=Master!$H$5,B25="2012-2013",E25="",G25="PLN03"),H25,"")</f>
        <v/>
      </c>
      <c r="AI25" s="42" t="str">
        <f>IF(AND(C25=Master!$H$6,B25="2012-2013",E25&gt;1000,G25="PLN03"),H25,"")</f>
        <v/>
      </c>
      <c r="AJ25" s="42" t="str">
        <f>IF(AND(C25=Master!$H$6,B25="2012-2013",E25="",G25="PLN03"),H25,"")</f>
        <v/>
      </c>
      <c r="AK25" s="42" t="str">
        <f>IF(AND(C25=Master!$H$7,B25="2012-2013",E25&gt;1000,G25="PLN03"),H25,"")</f>
        <v/>
      </c>
      <c r="AL25" s="42" t="str">
        <f>IF(AND(C25=Master!$H$7,B25="2012-2013",E25="",G25="PLN03"),H25,"")</f>
        <v/>
      </c>
      <c r="AM25" s="42" t="str">
        <f>IF(AND(C25=Master!$H$8,B25="2012-2013",E25&gt;1000,G25="PLN03"),H25,"")</f>
        <v/>
      </c>
      <c r="AN25" s="42" t="str">
        <f>IF(AND(C25=Master!$H$8,B25="2012-2013",E25="",G25="PLN03"),H25,"")</f>
        <v/>
      </c>
      <c r="AO25" s="42" t="str">
        <f>IF(AND(C25=Master!$H$9,B25="2012-2013",E25&gt;1000,G25="PLN03"),H25,"")</f>
        <v/>
      </c>
      <c r="AP25" s="42" t="str">
        <f>IF(AND(C25=Master!$H$9,B25="2012-2013",E25="",G25="PLN03"),H25,"")</f>
        <v/>
      </c>
      <c r="AQ25" s="44" t="str">
        <f>IF(AND(C25=Master!$H$1,B25="2012-2013",E25&gt;1000,G25="NPN05"),H25,"")</f>
        <v/>
      </c>
      <c r="AR25" s="44" t="str">
        <f>IF(AND(C25=Master!$H$1,B25="2012-2013",E25="",G25="NPN05"),H25,"")</f>
        <v/>
      </c>
      <c r="AS25" s="44" t="str">
        <f>IF(AND(C25=Master!$H$2,B25="2012-2013",E25&gt;1000,G25="NPN05"),H25,"")</f>
        <v/>
      </c>
      <c r="AT25" s="44" t="str">
        <f>IF(AND(C25=Master!$H$2,B25="2012-2013",E25="",G25="NPN05"),H25,"")</f>
        <v/>
      </c>
      <c r="AU25" s="44" t="str">
        <f>IF(AND(C25=Master!$H$3,B25="2012-2013",E25&gt;1000,G25="NPN05"),H25,"")</f>
        <v/>
      </c>
      <c r="AV25" s="44" t="str">
        <f>IF(AND(C25=Master!$H$3,B25="2012-2013",E25="",G25="NPN05"),H25,"")</f>
        <v/>
      </c>
      <c r="AW25" s="44" t="str">
        <f>IF(AND(C25=Master!$H$4,B25="2012-2013",E25&gt;1000,G25="NPN05"),H25,"")</f>
        <v/>
      </c>
      <c r="AX25" s="44" t="str">
        <f>IF(AND(C25=Master!$H$4,B25="2012-2013",E25="",G25="NPN05"),H25,"")</f>
        <v/>
      </c>
      <c r="AY25" s="44" t="str">
        <f>IF(AND(C25=Master!$H$5,B25="2012-2013",E25&gt;1000,G25="NPN05"),H25,"")</f>
        <v/>
      </c>
      <c r="AZ25" s="44" t="str">
        <f>IF(AND(C25=Master!$H$5,B25="2012-2013",E25="",G25="NPN05"),H25,"")</f>
        <v/>
      </c>
      <c r="BA25" s="44" t="str">
        <f>IF(AND(C25=Master!$H$6,B25="2012-2013",E25&gt;1000,G25="NPN05"),H25,"")</f>
        <v/>
      </c>
      <c r="BB25" s="44" t="str">
        <f>IF(AND(C25=Master!$H$6,B25="2012-2013",E25="",G25="NPN05"),H25,"")</f>
        <v/>
      </c>
      <c r="BC25" s="44" t="str">
        <f>IF(AND(C25=Master!$H$7,B25="2012-2013",E25&gt;1000,G25="NPN05"),H25,"")</f>
        <v/>
      </c>
      <c r="BD25" s="44" t="str">
        <f>IF(AND(C25=Master!$H$7,B25="2012-2013",E25="",G25="NPN05"),H25,"")</f>
        <v/>
      </c>
      <c r="BE25" s="44" t="str">
        <f>IF(AND(C25=Master!$H$8,B25="2012-2013",E25&gt;1000,G25="NPN05"),H25,"")</f>
        <v/>
      </c>
      <c r="BF25" s="44" t="str">
        <f>IF(AND(C25=Master!$H$8,B25="2012-2013",E25="",G25="NPN05"),H25,"")</f>
        <v/>
      </c>
      <c r="BG25" s="44" t="str">
        <f>IF(AND(C25=Master!$H$9,B25="2012-2013",E25&gt;1000,G25="NPN05"),H25,"")</f>
        <v/>
      </c>
      <c r="BH25" s="44" t="str">
        <f>IF(AND(C25=Master!$H$9,B25="2012-2013",E25="",G25="NPN05"),H25,"")</f>
        <v/>
      </c>
    </row>
    <row r="26" spans="1:60" x14ac:dyDescent="0.25">
      <c r="A26" s="3">
        <v>24</v>
      </c>
      <c r="B26" s="12" t="s">
        <v>16</v>
      </c>
      <c r="C26" s="12" t="s">
        <v>31</v>
      </c>
      <c r="D26" s="31" t="s">
        <v>113</v>
      </c>
      <c r="E26" s="4">
        <v>11649</v>
      </c>
      <c r="F26" s="13">
        <v>41153</v>
      </c>
      <c r="G26" s="21" t="s">
        <v>13</v>
      </c>
      <c r="H26" s="35">
        <v>60000</v>
      </c>
      <c r="I26" s="27">
        <v>15362</v>
      </c>
      <c r="J26" s="25" t="str">
        <f>IF(NOT(I26=""),INDEX(Master!$B$1:$B$46,MATCH(I26,Master!$A$1:$A$46,0)),"")</f>
        <v>Prof Mukesh Khare</v>
      </c>
      <c r="K26" s="18" t="s">
        <v>149</v>
      </c>
      <c r="L26" s="86" t="s">
        <v>37</v>
      </c>
      <c r="M26" s="13">
        <v>41172</v>
      </c>
      <c r="N26" s="13" t="s">
        <v>125</v>
      </c>
      <c r="O26" s="18" t="s">
        <v>154</v>
      </c>
      <c r="P26" s="35">
        <v>59800</v>
      </c>
      <c r="Q26" s="21"/>
      <c r="R26" s="21"/>
      <c r="S26" s="13"/>
      <c r="T26" s="12"/>
      <c r="U26" s="12"/>
      <c r="V26" s="12"/>
      <c r="W26" s="14"/>
      <c r="Y26" s="42" t="str">
        <f>IF(AND(C26=Master!$H$1,B26="2012-2013",E26&gt;1000,G26="PLN03"),H26,"")</f>
        <v/>
      </c>
      <c r="Z26" s="42" t="str">
        <f>IF(AND(C26=Master!$H$1,B26="2012-2013",E26="",G26="PLN03"),H26,"")</f>
        <v/>
      </c>
      <c r="AA26" s="42" t="str">
        <f>IF(AND(C26=Master!$H$2,B26="2012-2013",E26&gt;1000,G26="PLN03"),H26,"")</f>
        <v/>
      </c>
      <c r="AB26" s="42" t="str">
        <f>IF(AND(C26=Master!$H$2,B26="2012-2013",E26="",G26="PLN03"),H26,"")</f>
        <v/>
      </c>
      <c r="AC26" s="42" t="str">
        <f>IF(AND(C26=Master!$H$3,B26="2012-2013",E26&gt;1000,G26="PLN03"),H26,"")</f>
        <v/>
      </c>
      <c r="AD26" s="42" t="str">
        <f>IF(AND(C26=Master!$H$3,B26="2012-2013",E26="",G26="PLN03"),H26,"")</f>
        <v/>
      </c>
      <c r="AE26" s="42" t="str">
        <f>IF(AND(C26=Master!$H$4,B26="2012-2013",E26&gt;1000,G26="PLN03"),H26,"")</f>
        <v/>
      </c>
      <c r="AF26" s="42" t="str">
        <f>IF(AND(C26=Master!$H$4,B26="2012-2013",E26="",G26="PLN03"),H26,"")</f>
        <v/>
      </c>
      <c r="AG26" s="42" t="str">
        <f>IF(AND(C26=Master!$H$5,B26="2012-2013",E26&gt;1000,G26="PLN03"),H26,"")</f>
        <v/>
      </c>
      <c r="AH26" s="42" t="str">
        <f>IF(AND(C26=Master!$H$5,B26="2012-2013",E26="",G26="PLN03"),H26,"")</f>
        <v/>
      </c>
      <c r="AI26" s="42" t="str">
        <f>IF(AND(C26=Master!$H$6,B26="2012-2013",E26&gt;1000,G26="PLN03"),H26,"")</f>
        <v/>
      </c>
      <c r="AJ26" s="42" t="str">
        <f>IF(AND(C26=Master!$H$6,B26="2012-2013",E26="",G26="PLN03"),H26,"")</f>
        <v/>
      </c>
      <c r="AK26" s="42" t="str">
        <f>IF(AND(C26=Master!$H$7,B26="2012-2013",E26&gt;1000,G26="PLN03"),H26,"")</f>
        <v/>
      </c>
      <c r="AL26" s="42" t="str">
        <f>IF(AND(C26=Master!$H$7,B26="2012-2013",E26="",G26="PLN03"),H26,"")</f>
        <v/>
      </c>
      <c r="AM26" s="42" t="str">
        <f>IF(AND(C26=Master!$H$8,B26="2012-2013",E26&gt;1000,G26="PLN03"),H26,"")</f>
        <v/>
      </c>
      <c r="AN26" s="42" t="str">
        <f>IF(AND(C26=Master!$H$8,B26="2012-2013",E26="",G26="PLN03"),H26,"")</f>
        <v/>
      </c>
      <c r="AO26" s="42" t="str">
        <f>IF(AND(C26=Master!$H$9,B26="2012-2013",E26&gt;1000,G26="PLN03"),H26,"")</f>
        <v/>
      </c>
      <c r="AP26" s="42" t="str">
        <f>IF(AND(C26=Master!$H$9,B26="2012-2013",E26="",G26="PLN03"),H26,"")</f>
        <v/>
      </c>
      <c r="AQ26" s="44" t="str">
        <f>IF(AND(C26=Master!$H$1,B26="2012-2013",E26&gt;1000,G26="NPN05"),H26,"")</f>
        <v/>
      </c>
      <c r="AR26" s="44" t="str">
        <f>IF(AND(C26=Master!$H$1,B26="2012-2013",E26="",G26="NPN05"),H26,"")</f>
        <v/>
      </c>
      <c r="AS26" s="44" t="str">
        <f>IF(AND(C26=Master!$H$2,B26="2012-2013",E26&gt;1000,G26="NPN05"),H26,"")</f>
        <v/>
      </c>
      <c r="AT26" s="44" t="str">
        <f>IF(AND(C26=Master!$H$2,B26="2012-2013",E26="",G26="NPN05"),H26,"")</f>
        <v/>
      </c>
      <c r="AU26" s="44" t="str">
        <f>IF(AND(C26=Master!$H$3,B26="2012-2013",E26&gt;1000,G26="NPN05"),H26,"")</f>
        <v/>
      </c>
      <c r="AV26" s="44" t="str">
        <f>IF(AND(C26=Master!$H$3,B26="2012-2013",E26="",G26="NPN05"),H26,"")</f>
        <v/>
      </c>
      <c r="AW26" s="44" t="str">
        <f>IF(AND(C26=Master!$H$4,B26="2012-2013",E26&gt;1000,G26="NPN05"),H26,"")</f>
        <v/>
      </c>
      <c r="AX26" s="44" t="str">
        <f>IF(AND(C26=Master!$H$4,B26="2012-2013",E26="",G26="NPN05"),H26,"")</f>
        <v/>
      </c>
      <c r="AY26" s="44" t="str">
        <f>IF(AND(C26=Master!$H$5,B26="2012-2013",E26&gt;1000,G26="NPN05"),H26,"")</f>
        <v/>
      </c>
      <c r="AZ26" s="44" t="str">
        <f>IF(AND(C26=Master!$H$5,B26="2012-2013",E26="",G26="NPN05"),H26,"")</f>
        <v/>
      </c>
      <c r="BA26" s="44" t="str">
        <f>IF(AND(C26=Master!$H$6,B26="2012-2013",E26&gt;1000,G26="NPN05"),H26,"")</f>
        <v/>
      </c>
      <c r="BB26" s="44" t="str">
        <f>IF(AND(C26=Master!$H$6,B26="2012-2013",E26="",G26="NPN05"),H26,"")</f>
        <v/>
      </c>
      <c r="BC26" s="44" t="str">
        <f>IF(AND(C26=Master!$H$7,B26="2012-2013",E26&gt;1000,G26="NPN05"),H26,"")</f>
        <v/>
      </c>
      <c r="BD26" s="44" t="str">
        <f>IF(AND(C26=Master!$H$7,B26="2012-2013",E26="",G26="NPN05"),H26,"")</f>
        <v/>
      </c>
      <c r="BE26" s="44" t="str">
        <f>IF(AND(C26=Master!$H$8,B26="2012-2013",E26&gt;1000,G26="NPN05"),H26,"")</f>
        <v/>
      </c>
      <c r="BF26" s="44" t="str">
        <f>IF(AND(C26=Master!$H$8,B26="2012-2013",E26="",G26="NPN05"),H26,"")</f>
        <v/>
      </c>
      <c r="BG26" s="44" t="str">
        <f>IF(AND(C26=Master!$H$9,B26="2012-2013",E26&gt;1000,G26="NPN05"),H26,"")</f>
        <v/>
      </c>
      <c r="BH26" s="44" t="str">
        <f>IF(AND(C26=Master!$H$9,B26="2012-2013",E26="",G26="NPN05"),H26,"")</f>
        <v/>
      </c>
    </row>
    <row r="27" spans="1:60" x14ac:dyDescent="0.25">
      <c r="A27" s="3">
        <v>25</v>
      </c>
      <c r="B27" s="12" t="s">
        <v>16</v>
      </c>
      <c r="C27" s="12" t="s">
        <v>31</v>
      </c>
      <c r="D27" s="31" t="s">
        <v>113</v>
      </c>
      <c r="E27" s="4">
        <v>11690</v>
      </c>
      <c r="F27" s="13">
        <v>41162</v>
      </c>
      <c r="G27" s="21" t="s">
        <v>13</v>
      </c>
      <c r="H27" s="35">
        <v>60000</v>
      </c>
      <c r="I27" s="27">
        <v>15337</v>
      </c>
      <c r="J27" s="25" t="str">
        <f>IF(NOT(I27=""),INDEX(Master!$B$1:$B$46,MATCH(I27,Master!$A$1:$A$46,0)),"")</f>
        <v>Prof K G Sharma</v>
      </c>
      <c r="K27" s="18" t="s">
        <v>150</v>
      </c>
      <c r="L27" s="86"/>
      <c r="M27" s="13"/>
      <c r="N27" s="13"/>
      <c r="O27" s="18"/>
      <c r="P27" s="35"/>
      <c r="Q27" s="21"/>
      <c r="R27" s="21"/>
      <c r="S27" s="13"/>
      <c r="T27" s="12"/>
      <c r="U27" s="12"/>
      <c r="V27" s="12"/>
      <c r="W27" s="14"/>
      <c r="Y27" s="42" t="str">
        <f>IF(AND(C27=Master!$H$1,B27="2012-2013",E27&gt;1000,G27="PLN03"),H27,"")</f>
        <v/>
      </c>
      <c r="Z27" s="42" t="str">
        <f>IF(AND(C27=Master!$H$1,B27="2012-2013",E27="",G27="PLN03"),H27,"")</f>
        <v/>
      </c>
      <c r="AA27" s="42" t="str">
        <f>IF(AND(C27=Master!$H$2,B27="2012-2013",E27&gt;1000,G27="PLN03"),H27,"")</f>
        <v/>
      </c>
      <c r="AB27" s="42" t="str">
        <f>IF(AND(C27=Master!$H$2,B27="2012-2013",E27="",G27="PLN03"),H27,"")</f>
        <v/>
      </c>
      <c r="AC27" s="42" t="str">
        <f>IF(AND(C27=Master!$H$3,B27="2012-2013",E27&gt;1000,G27="PLN03"),H27,"")</f>
        <v/>
      </c>
      <c r="AD27" s="42" t="str">
        <f>IF(AND(C27=Master!$H$3,B27="2012-2013",E27="",G27="PLN03"),H27,"")</f>
        <v/>
      </c>
      <c r="AE27" s="42" t="str">
        <f>IF(AND(C27=Master!$H$4,B27="2012-2013",E27&gt;1000,G27="PLN03"),H27,"")</f>
        <v/>
      </c>
      <c r="AF27" s="42" t="str">
        <f>IF(AND(C27=Master!$H$4,B27="2012-2013",E27="",G27="PLN03"),H27,"")</f>
        <v/>
      </c>
      <c r="AG27" s="42" t="str">
        <f>IF(AND(C27=Master!$H$5,B27="2012-2013",E27&gt;1000,G27="PLN03"),H27,"")</f>
        <v/>
      </c>
      <c r="AH27" s="42" t="str">
        <f>IF(AND(C27=Master!$H$5,B27="2012-2013",E27="",G27="PLN03"),H27,"")</f>
        <v/>
      </c>
      <c r="AI27" s="42" t="str">
        <f>IF(AND(C27=Master!$H$6,B27="2012-2013",E27&gt;1000,G27="PLN03"),H27,"")</f>
        <v/>
      </c>
      <c r="AJ27" s="42" t="str">
        <f>IF(AND(C27=Master!$H$6,B27="2012-2013",E27="",G27="PLN03"),H27,"")</f>
        <v/>
      </c>
      <c r="AK27" s="42" t="str">
        <f>IF(AND(C27=Master!$H$7,B27="2012-2013",E27&gt;1000,G27="PLN03"),H27,"")</f>
        <v/>
      </c>
      <c r="AL27" s="42" t="str">
        <f>IF(AND(C27=Master!$H$7,B27="2012-2013",E27="",G27="PLN03"),H27,"")</f>
        <v/>
      </c>
      <c r="AM27" s="42" t="str">
        <f>IF(AND(C27=Master!$H$8,B27="2012-2013",E27&gt;1000,G27="PLN03"),H27,"")</f>
        <v/>
      </c>
      <c r="AN27" s="42" t="str">
        <f>IF(AND(C27=Master!$H$8,B27="2012-2013",E27="",G27="PLN03"),H27,"")</f>
        <v/>
      </c>
      <c r="AO27" s="42" t="str">
        <f>IF(AND(C27=Master!$H$9,B27="2012-2013",E27&gt;1000,G27="PLN03"),H27,"")</f>
        <v/>
      </c>
      <c r="AP27" s="42" t="str">
        <f>IF(AND(C27=Master!$H$9,B27="2012-2013",E27="",G27="PLN03"),H27,"")</f>
        <v/>
      </c>
      <c r="AQ27" s="44" t="str">
        <f>IF(AND(C27=Master!$H$1,B27="2012-2013",E27&gt;1000,G27="NPN05"),H27,"")</f>
        <v/>
      </c>
      <c r="AR27" s="44" t="str">
        <f>IF(AND(C27=Master!$H$1,B27="2012-2013",E27="",G27="NPN05"),H27,"")</f>
        <v/>
      </c>
      <c r="AS27" s="44" t="str">
        <f>IF(AND(C27=Master!$H$2,B27="2012-2013",E27&gt;1000,G27="NPN05"),H27,"")</f>
        <v/>
      </c>
      <c r="AT27" s="44" t="str">
        <f>IF(AND(C27=Master!$H$2,B27="2012-2013",E27="",G27="NPN05"),H27,"")</f>
        <v/>
      </c>
      <c r="AU27" s="44" t="str">
        <f>IF(AND(C27=Master!$H$3,B27="2012-2013",E27&gt;1000,G27="NPN05"),H27,"")</f>
        <v/>
      </c>
      <c r="AV27" s="44" t="str">
        <f>IF(AND(C27=Master!$H$3,B27="2012-2013",E27="",G27="NPN05"),H27,"")</f>
        <v/>
      </c>
      <c r="AW27" s="44" t="str">
        <f>IF(AND(C27=Master!$H$4,B27="2012-2013",E27&gt;1000,G27="NPN05"),H27,"")</f>
        <v/>
      </c>
      <c r="AX27" s="44" t="str">
        <f>IF(AND(C27=Master!$H$4,B27="2012-2013",E27="",G27="NPN05"),H27,"")</f>
        <v/>
      </c>
      <c r="AY27" s="44" t="str">
        <f>IF(AND(C27=Master!$H$5,B27="2012-2013",E27&gt;1000,G27="NPN05"),H27,"")</f>
        <v/>
      </c>
      <c r="AZ27" s="44" t="str">
        <f>IF(AND(C27=Master!$H$5,B27="2012-2013",E27="",G27="NPN05"),H27,"")</f>
        <v/>
      </c>
      <c r="BA27" s="44" t="str">
        <f>IF(AND(C27=Master!$H$6,B27="2012-2013",E27&gt;1000,G27="NPN05"),H27,"")</f>
        <v/>
      </c>
      <c r="BB27" s="44" t="str">
        <f>IF(AND(C27=Master!$H$6,B27="2012-2013",E27="",G27="NPN05"),H27,"")</f>
        <v/>
      </c>
      <c r="BC27" s="44" t="str">
        <f>IF(AND(C27=Master!$H$7,B27="2012-2013",E27&gt;1000,G27="NPN05"),H27,"")</f>
        <v/>
      </c>
      <c r="BD27" s="44" t="str">
        <f>IF(AND(C27=Master!$H$7,B27="2012-2013",E27="",G27="NPN05"),H27,"")</f>
        <v/>
      </c>
      <c r="BE27" s="44" t="str">
        <f>IF(AND(C27=Master!$H$8,B27="2012-2013",E27&gt;1000,G27="NPN05"),H27,"")</f>
        <v/>
      </c>
      <c r="BF27" s="44" t="str">
        <f>IF(AND(C27=Master!$H$8,B27="2012-2013",E27="",G27="NPN05"),H27,"")</f>
        <v/>
      </c>
      <c r="BG27" s="44" t="str">
        <f>IF(AND(C27=Master!$H$9,B27="2012-2013",E27&gt;1000,G27="NPN05"),H27,"")</f>
        <v/>
      </c>
      <c r="BH27" s="44" t="str">
        <f>IF(AND(C27=Master!$H$9,B27="2012-2013",E27="",G27="NPN05"),H27,"")</f>
        <v/>
      </c>
    </row>
    <row r="28" spans="1:60" x14ac:dyDescent="0.25">
      <c r="A28" s="3">
        <v>26</v>
      </c>
      <c r="B28" s="12" t="s">
        <v>16</v>
      </c>
      <c r="C28" s="12" t="s">
        <v>31</v>
      </c>
      <c r="D28" s="31" t="s">
        <v>113</v>
      </c>
      <c r="E28" s="4">
        <v>11720</v>
      </c>
      <c r="F28" s="13">
        <v>41172</v>
      </c>
      <c r="G28" s="21" t="s">
        <v>13</v>
      </c>
      <c r="H28" s="35">
        <v>60000</v>
      </c>
      <c r="I28" s="27">
        <v>16042</v>
      </c>
      <c r="J28" s="25" t="str">
        <f>IF(NOT(I28=""),INDEX(Master!$B$1:$B$46,MATCH(I28,Master!$A$1:$A$46,0)),"")</f>
        <v>Dr B R Chahar</v>
      </c>
      <c r="K28" s="18" t="s">
        <v>151</v>
      </c>
      <c r="L28" s="86"/>
      <c r="M28" s="13"/>
      <c r="N28" s="13"/>
      <c r="O28" s="18"/>
      <c r="P28" s="35"/>
      <c r="Q28" s="21"/>
      <c r="R28" s="21"/>
      <c r="S28" s="13"/>
      <c r="T28" s="12"/>
      <c r="U28" s="12"/>
      <c r="V28" s="12"/>
      <c r="W28" s="14"/>
      <c r="Y28" s="42" t="str">
        <f>IF(AND(C28=Master!$H$1,B28="2012-2013",E28&gt;1000,G28="PLN03"),H28,"")</f>
        <v/>
      </c>
      <c r="Z28" s="42" t="str">
        <f>IF(AND(C28=Master!$H$1,B28="2012-2013",E28="",G28="PLN03"),H28,"")</f>
        <v/>
      </c>
      <c r="AA28" s="42" t="str">
        <f>IF(AND(C28=Master!$H$2,B28="2012-2013",E28&gt;1000,G28="PLN03"),H28,"")</f>
        <v/>
      </c>
      <c r="AB28" s="42" t="str">
        <f>IF(AND(C28=Master!$H$2,B28="2012-2013",E28="",G28="PLN03"),H28,"")</f>
        <v/>
      </c>
      <c r="AC28" s="42" t="str">
        <f>IF(AND(C28=Master!$H$3,B28="2012-2013",E28&gt;1000,G28="PLN03"),H28,"")</f>
        <v/>
      </c>
      <c r="AD28" s="42" t="str">
        <f>IF(AND(C28=Master!$H$3,B28="2012-2013",E28="",G28="PLN03"),H28,"")</f>
        <v/>
      </c>
      <c r="AE28" s="42" t="str">
        <f>IF(AND(C28=Master!$H$4,B28="2012-2013",E28&gt;1000,G28="PLN03"),H28,"")</f>
        <v/>
      </c>
      <c r="AF28" s="42" t="str">
        <f>IF(AND(C28=Master!$H$4,B28="2012-2013",E28="",G28="PLN03"),H28,"")</f>
        <v/>
      </c>
      <c r="AG28" s="42" t="str">
        <f>IF(AND(C28=Master!$H$5,B28="2012-2013",E28&gt;1000,G28="PLN03"),H28,"")</f>
        <v/>
      </c>
      <c r="AH28" s="42" t="str">
        <f>IF(AND(C28=Master!$H$5,B28="2012-2013",E28="",G28="PLN03"),H28,"")</f>
        <v/>
      </c>
      <c r="AI28" s="42" t="str">
        <f>IF(AND(C28=Master!$H$6,B28="2012-2013",E28&gt;1000,G28="PLN03"),H28,"")</f>
        <v/>
      </c>
      <c r="AJ28" s="42" t="str">
        <f>IF(AND(C28=Master!$H$6,B28="2012-2013",E28="",G28="PLN03"),H28,"")</f>
        <v/>
      </c>
      <c r="AK28" s="42" t="str">
        <f>IF(AND(C28=Master!$H$7,B28="2012-2013",E28&gt;1000,G28="PLN03"),H28,"")</f>
        <v/>
      </c>
      <c r="AL28" s="42" t="str">
        <f>IF(AND(C28=Master!$H$7,B28="2012-2013",E28="",G28="PLN03"),H28,"")</f>
        <v/>
      </c>
      <c r="AM28" s="42" t="str">
        <f>IF(AND(C28=Master!$H$8,B28="2012-2013",E28&gt;1000,G28="PLN03"),H28,"")</f>
        <v/>
      </c>
      <c r="AN28" s="42" t="str">
        <f>IF(AND(C28=Master!$H$8,B28="2012-2013",E28="",G28="PLN03"),H28,"")</f>
        <v/>
      </c>
      <c r="AO28" s="42" t="str">
        <f>IF(AND(C28=Master!$H$9,B28="2012-2013",E28&gt;1000,G28="PLN03"),H28,"")</f>
        <v/>
      </c>
      <c r="AP28" s="42" t="str">
        <f>IF(AND(C28=Master!$H$9,B28="2012-2013",E28="",G28="PLN03"),H28,"")</f>
        <v/>
      </c>
      <c r="AQ28" s="44" t="str">
        <f>IF(AND(C28=Master!$H$1,B28="2012-2013",E28&gt;1000,G28="NPN05"),H28,"")</f>
        <v/>
      </c>
      <c r="AR28" s="44" t="str">
        <f>IF(AND(C28=Master!$H$1,B28="2012-2013",E28="",G28="NPN05"),H28,"")</f>
        <v/>
      </c>
      <c r="AS28" s="44" t="str">
        <f>IF(AND(C28=Master!$H$2,B28="2012-2013",E28&gt;1000,G28="NPN05"),H28,"")</f>
        <v/>
      </c>
      <c r="AT28" s="44" t="str">
        <f>IF(AND(C28=Master!$H$2,B28="2012-2013",E28="",G28="NPN05"),H28,"")</f>
        <v/>
      </c>
      <c r="AU28" s="44" t="str">
        <f>IF(AND(C28=Master!$H$3,B28="2012-2013",E28&gt;1000,G28="NPN05"),H28,"")</f>
        <v/>
      </c>
      <c r="AV28" s="44" t="str">
        <f>IF(AND(C28=Master!$H$3,B28="2012-2013",E28="",G28="NPN05"),H28,"")</f>
        <v/>
      </c>
      <c r="AW28" s="44" t="str">
        <f>IF(AND(C28=Master!$H$4,B28="2012-2013",E28&gt;1000,G28="NPN05"),H28,"")</f>
        <v/>
      </c>
      <c r="AX28" s="44" t="str">
        <f>IF(AND(C28=Master!$H$4,B28="2012-2013",E28="",G28="NPN05"),H28,"")</f>
        <v/>
      </c>
      <c r="AY28" s="44" t="str">
        <f>IF(AND(C28=Master!$H$5,B28="2012-2013",E28&gt;1000,G28="NPN05"),H28,"")</f>
        <v/>
      </c>
      <c r="AZ28" s="44" t="str">
        <f>IF(AND(C28=Master!$H$5,B28="2012-2013",E28="",G28="NPN05"),H28,"")</f>
        <v/>
      </c>
      <c r="BA28" s="44" t="str">
        <f>IF(AND(C28=Master!$H$6,B28="2012-2013",E28&gt;1000,G28="NPN05"),H28,"")</f>
        <v/>
      </c>
      <c r="BB28" s="44" t="str">
        <f>IF(AND(C28=Master!$H$6,B28="2012-2013",E28="",G28="NPN05"),H28,"")</f>
        <v/>
      </c>
      <c r="BC28" s="44" t="str">
        <f>IF(AND(C28=Master!$H$7,B28="2012-2013",E28&gt;1000,G28="NPN05"),H28,"")</f>
        <v/>
      </c>
      <c r="BD28" s="44" t="str">
        <f>IF(AND(C28=Master!$H$7,B28="2012-2013",E28="",G28="NPN05"),H28,"")</f>
        <v/>
      </c>
      <c r="BE28" s="44" t="str">
        <f>IF(AND(C28=Master!$H$8,B28="2012-2013",E28&gt;1000,G28="NPN05"),H28,"")</f>
        <v/>
      </c>
      <c r="BF28" s="44" t="str">
        <f>IF(AND(C28=Master!$H$8,B28="2012-2013",E28="",G28="NPN05"),H28,"")</f>
        <v/>
      </c>
      <c r="BG28" s="44" t="str">
        <f>IF(AND(C28=Master!$H$9,B28="2012-2013",E28&gt;1000,G28="NPN05"),H28,"")</f>
        <v/>
      </c>
      <c r="BH28" s="44" t="str">
        <f>IF(AND(C28=Master!$H$9,B28="2012-2013",E28="",G28="NPN05"),H28,"")</f>
        <v/>
      </c>
    </row>
    <row r="29" spans="1:60" x14ac:dyDescent="0.25">
      <c r="A29" s="3">
        <v>27</v>
      </c>
      <c r="B29" s="12" t="s">
        <v>16</v>
      </c>
      <c r="C29" s="12" t="s">
        <v>31</v>
      </c>
      <c r="D29" s="31" t="s">
        <v>114</v>
      </c>
      <c r="E29" s="4">
        <v>19087</v>
      </c>
      <c r="F29" s="13">
        <v>41192</v>
      </c>
      <c r="G29" s="21" t="s">
        <v>173</v>
      </c>
      <c r="H29" s="35">
        <v>500000</v>
      </c>
      <c r="I29" s="27">
        <v>16390</v>
      </c>
      <c r="J29" s="25" t="str">
        <f>IF(NOT(I29=""),INDEX(Master!$B$1:$B$46,MATCH(I29,Master!$A$1:$A$46,0)),"")</f>
        <v>Dr Aravind K Swamy</v>
      </c>
      <c r="K29" s="18" t="s">
        <v>177</v>
      </c>
      <c r="L29" s="86" t="s">
        <v>37</v>
      </c>
      <c r="M29" s="13">
        <v>41223</v>
      </c>
      <c r="N29" s="13" t="s">
        <v>125</v>
      </c>
      <c r="O29" s="18" t="s">
        <v>178</v>
      </c>
      <c r="P29" s="35">
        <v>478980</v>
      </c>
      <c r="Q29" s="21"/>
      <c r="R29" s="21"/>
      <c r="S29" s="13"/>
      <c r="T29" s="12"/>
      <c r="U29" s="12"/>
      <c r="V29" s="12"/>
      <c r="W29" s="14"/>
      <c r="Y29" s="42" t="str">
        <f>IF(AND(C29=Master!$H$1,B29="2012-2013",E29&gt;1000,G29="PLN03"),H29,"")</f>
        <v/>
      </c>
      <c r="Z29" s="42" t="str">
        <f>IF(AND(C29=Master!$H$1,B29="2012-2013",E29="",G29="PLN03"),H29,"")</f>
        <v/>
      </c>
      <c r="AA29" s="42" t="str">
        <f>IF(AND(C29=Master!$H$2,B29="2012-2013",E29&gt;1000,G29="PLN03"),H29,"")</f>
        <v/>
      </c>
      <c r="AB29" s="42" t="str">
        <f>IF(AND(C29=Master!$H$2,B29="2012-2013",E29="",G29="PLN03"),H29,"")</f>
        <v/>
      </c>
      <c r="AC29" s="42" t="str">
        <f>IF(AND(C29=Master!$H$3,B29="2012-2013",E29&gt;1000,G29="PLN03"),H29,"")</f>
        <v/>
      </c>
      <c r="AD29" s="42" t="str">
        <f>IF(AND(C29=Master!$H$3,B29="2012-2013",E29="",G29="PLN03"),H29,"")</f>
        <v/>
      </c>
      <c r="AE29" s="42" t="str">
        <f>IF(AND(C29=Master!$H$4,B29="2012-2013",E29&gt;1000,G29="PLN03"),H29,"")</f>
        <v/>
      </c>
      <c r="AF29" s="42" t="str">
        <f>IF(AND(C29=Master!$H$4,B29="2012-2013",E29="",G29="PLN03"),H29,"")</f>
        <v/>
      </c>
      <c r="AG29" s="42" t="str">
        <f>IF(AND(C29=Master!$H$5,B29="2012-2013",E29&gt;1000,G29="PLN03"),H29,"")</f>
        <v/>
      </c>
      <c r="AH29" s="42" t="str">
        <f>IF(AND(C29=Master!$H$5,B29="2012-2013",E29="",G29="PLN03"),H29,"")</f>
        <v/>
      </c>
      <c r="AI29" s="42" t="str">
        <f>IF(AND(C29=Master!$H$6,B29="2012-2013",E29&gt;1000,G29="PLN03"),H29,"")</f>
        <v/>
      </c>
      <c r="AJ29" s="42" t="str">
        <f>IF(AND(C29=Master!$H$6,B29="2012-2013",E29="",G29="PLN03"),H29,"")</f>
        <v/>
      </c>
      <c r="AK29" s="42" t="str">
        <f>IF(AND(C29=Master!$H$7,B29="2012-2013",E29&gt;1000,G29="PLN03"),H29,"")</f>
        <v/>
      </c>
      <c r="AL29" s="42" t="str">
        <f>IF(AND(C29=Master!$H$7,B29="2012-2013",E29="",G29="PLN03"),H29,"")</f>
        <v/>
      </c>
      <c r="AM29" s="42" t="str">
        <f>IF(AND(C29=Master!$H$8,B29="2012-2013",E29&gt;1000,G29="PLN03"),H29,"")</f>
        <v/>
      </c>
      <c r="AN29" s="42" t="str">
        <f>IF(AND(C29=Master!$H$8,B29="2012-2013",E29="",G29="PLN03"),H29,"")</f>
        <v/>
      </c>
      <c r="AO29" s="42" t="str">
        <f>IF(AND(C29=Master!$H$9,B29="2012-2013",E29&gt;1000,G29="PLN03"),H29,"")</f>
        <v/>
      </c>
      <c r="AP29" s="42" t="str">
        <f>IF(AND(C29=Master!$H$9,B29="2012-2013",E29="",G29="PLN03"),H29,"")</f>
        <v/>
      </c>
      <c r="AQ29" s="44" t="str">
        <f>IF(AND(C29=Master!$H$1,B29="2012-2013",E29&gt;1000,G29="NPN05"),H29,"")</f>
        <v/>
      </c>
      <c r="AR29" s="44" t="str">
        <f>IF(AND(C29=Master!$H$1,B29="2012-2013",E29="",G29="NPN05"),H29,"")</f>
        <v/>
      </c>
      <c r="AS29" s="44" t="str">
        <f>IF(AND(C29=Master!$H$2,B29="2012-2013",E29&gt;1000,G29="NPN05"),H29,"")</f>
        <v/>
      </c>
      <c r="AT29" s="44" t="str">
        <f>IF(AND(C29=Master!$H$2,B29="2012-2013",E29="",G29="NPN05"),H29,"")</f>
        <v/>
      </c>
      <c r="AU29" s="44" t="str">
        <f>IF(AND(C29=Master!$H$3,B29="2012-2013",E29&gt;1000,G29="NPN05"),H29,"")</f>
        <v/>
      </c>
      <c r="AV29" s="44" t="str">
        <f>IF(AND(C29=Master!$H$3,B29="2012-2013",E29="",G29="NPN05"),H29,"")</f>
        <v/>
      </c>
      <c r="AW29" s="44" t="str">
        <f>IF(AND(C29=Master!$H$4,B29="2012-2013",E29&gt;1000,G29="NPN05"),H29,"")</f>
        <v/>
      </c>
      <c r="AX29" s="44" t="str">
        <f>IF(AND(C29=Master!$H$4,B29="2012-2013",E29="",G29="NPN05"),H29,"")</f>
        <v/>
      </c>
      <c r="AY29" s="44" t="str">
        <f>IF(AND(C29=Master!$H$5,B29="2012-2013",E29&gt;1000,G29="NPN05"),H29,"")</f>
        <v/>
      </c>
      <c r="AZ29" s="44" t="str">
        <f>IF(AND(C29=Master!$H$5,B29="2012-2013",E29="",G29="NPN05"),H29,"")</f>
        <v/>
      </c>
      <c r="BA29" s="44" t="str">
        <f>IF(AND(C29=Master!$H$6,B29="2012-2013",E29&gt;1000,G29="NPN05"),H29,"")</f>
        <v/>
      </c>
      <c r="BB29" s="44" t="str">
        <f>IF(AND(C29=Master!$H$6,B29="2012-2013",E29="",G29="NPN05"),H29,"")</f>
        <v/>
      </c>
      <c r="BC29" s="44" t="str">
        <f>IF(AND(C29=Master!$H$7,B29="2012-2013",E29&gt;1000,G29="NPN05"),H29,"")</f>
        <v/>
      </c>
      <c r="BD29" s="44" t="str">
        <f>IF(AND(C29=Master!$H$7,B29="2012-2013",E29="",G29="NPN05"),H29,"")</f>
        <v/>
      </c>
      <c r="BE29" s="44" t="str">
        <f>IF(AND(C29=Master!$H$8,B29="2012-2013",E29&gt;1000,G29="NPN05"),H29,"")</f>
        <v/>
      </c>
      <c r="BF29" s="44" t="str">
        <f>IF(AND(C29=Master!$H$8,B29="2012-2013",E29="",G29="NPN05"),H29,"")</f>
        <v/>
      </c>
      <c r="BG29" s="44" t="str">
        <f>IF(AND(C29=Master!$H$9,B29="2012-2013",E29&gt;1000,G29="NPN05"),H29,"")</f>
        <v/>
      </c>
      <c r="BH29" s="44" t="str">
        <f>IF(AND(C29=Master!$H$9,B29="2012-2013",E29="",G29="NPN05"),H29,"")</f>
        <v/>
      </c>
    </row>
    <row r="30" spans="1:60" x14ac:dyDescent="0.25">
      <c r="A30" s="3">
        <v>28</v>
      </c>
      <c r="B30" s="12"/>
      <c r="C30" s="12"/>
      <c r="D30" s="31"/>
      <c r="E30" s="4"/>
      <c r="F30" s="13"/>
      <c r="G30" s="21"/>
      <c r="H30" s="35"/>
      <c r="I30" s="27"/>
      <c r="J30" s="25" t="str">
        <f>IF(NOT(I30=""),INDEX(Master!$B$1:$B$46,MATCH(I30,Master!$A$1:$A$46,0)),"")</f>
        <v/>
      </c>
      <c r="K30" s="18"/>
      <c r="L30" s="86"/>
      <c r="M30" s="13"/>
      <c r="N30" s="13"/>
      <c r="O30" s="18"/>
      <c r="P30" s="35"/>
      <c r="Q30" s="21"/>
      <c r="R30" s="21"/>
      <c r="S30" s="13"/>
      <c r="T30" s="12"/>
      <c r="U30" s="12"/>
      <c r="V30" s="12"/>
      <c r="W30" s="14"/>
      <c r="Y30" s="42" t="str">
        <f>IF(AND(C30=Master!$H$1,B30="2012-2013",E30&gt;1000,G30="PLN03"),H30,"")</f>
        <v/>
      </c>
      <c r="Z30" s="42" t="str">
        <f>IF(AND(C30=Master!$H$1,B30="2012-2013",E30="",G30="PLN03"),H30,"")</f>
        <v/>
      </c>
      <c r="AA30" s="42" t="str">
        <f>IF(AND(C30=Master!$H$2,B30="2012-2013",E30&gt;1000,G30="PLN03"),H30,"")</f>
        <v/>
      </c>
      <c r="AB30" s="42" t="str">
        <f>IF(AND(C30=Master!$H$2,B30="2012-2013",E30="",G30="PLN03"),H30,"")</f>
        <v/>
      </c>
      <c r="AC30" s="42" t="str">
        <f>IF(AND(C30=Master!$H$3,B30="2012-2013",E30&gt;1000,G30="PLN03"),H30,"")</f>
        <v/>
      </c>
      <c r="AD30" s="42" t="str">
        <f>IF(AND(C30=Master!$H$3,B30="2012-2013",E30="",G30="PLN03"),H30,"")</f>
        <v/>
      </c>
      <c r="AE30" s="42" t="str">
        <f>IF(AND(C30=Master!$H$4,B30="2012-2013",E30&gt;1000,G30="PLN03"),H30,"")</f>
        <v/>
      </c>
      <c r="AF30" s="42" t="str">
        <f>IF(AND(C30=Master!$H$4,B30="2012-2013",E30="",G30="PLN03"),H30,"")</f>
        <v/>
      </c>
      <c r="AG30" s="42" t="str">
        <f>IF(AND(C30=Master!$H$5,B30="2012-2013",E30&gt;1000,G30="PLN03"),H30,"")</f>
        <v/>
      </c>
      <c r="AH30" s="42" t="str">
        <f>IF(AND(C30=Master!$H$5,B30="2012-2013",E30="",G30="PLN03"),H30,"")</f>
        <v/>
      </c>
      <c r="AI30" s="42" t="str">
        <f>IF(AND(C30=Master!$H$6,B30="2012-2013",E30&gt;1000,G30="PLN03"),H30,"")</f>
        <v/>
      </c>
      <c r="AJ30" s="42" t="str">
        <f>IF(AND(C30=Master!$H$6,B30="2012-2013",E30="",G30="PLN03"),H30,"")</f>
        <v/>
      </c>
      <c r="AK30" s="42" t="str">
        <f>IF(AND(C30=Master!$H$7,B30="2012-2013",E30&gt;1000,G30="PLN03"),H30,"")</f>
        <v/>
      </c>
      <c r="AL30" s="42" t="str">
        <f>IF(AND(C30=Master!$H$7,B30="2012-2013",E30="",G30="PLN03"),H30,"")</f>
        <v/>
      </c>
      <c r="AM30" s="42" t="str">
        <f>IF(AND(C30=Master!$H$8,B30="2012-2013",E30&gt;1000,G30="PLN03"),H30,"")</f>
        <v/>
      </c>
      <c r="AN30" s="42" t="str">
        <f>IF(AND(C30=Master!$H$8,B30="2012-2013",E30="",G30="PLN03"),H30,"")</f>
        <v/>
      </c>
      <c r="AO30" s="42" t="str">
        <f>IF(AND(C30=Master!$H$9,B30="2012-2013",E30&gt;1000,G30="PLN03"),H30,"")</f>
        <v/>
      </c>
      <c r="AP30" s="42" t="str">
        <f>IF(AND(C30=Master!$H$9,B30="2012-2013",E30="",G30="PLN03"),H30,"")</f>
        <v/>
      </c>
      <c r="AQ30" s="44" t="str">
        <f>IF(AND(C30=Master!$H$1,B30="2012-2013",E30&gt;1000,G30="NPN05"),H30,"")</f>
        <v/>
      </c>
      <c r="AR30" s="44" t="str">
        <f>IF(AND(C30=Master!$H$1,B30="2012-2013",E30="",G30="NPN05"),H30,"")</f>
        <v/>
      </c>
      <c r="AS30" s="44" t="str">
        <f>IF(AND(C30=Master!$H$2,B30="2012-2013",E30&gt;1000,G30="NPN05"),H30,"")</f>
        <v/>
      </c>
      <c r="AT30" s="44" t="str">
        <f>IF(AND(C30=Master!$H$2,B30="2012-2013",E30="",G30="NPN05"),H30,"")</f>
        <v/>
      </c>
      <c r="AU30" s="44" t="str">
        <f>IF(AND(C30=Master!$H$3,B30="2012-2013",E30&gt;1000,G30="NPN05"),H30,"")</f>
        <v/>
      </c>
      <c r="AV30" s="44" t="str">
        <f>IF(AND(C30=Master!$H$3,B30="2012-2013",E30="",G30="NPN05"),H30,"")</f>
        <v/>
      </c>
      <c r="AW30" s="44" t="str">
        <f>IF(AND(C30=Master!$H$4,B30="2012-2013",E30&gt;1000,G30="NPN05"),H30,"")</f>
        <v/>
      </c>
      <c r="AX30" s="44" t="str">
        <f>IF(AND(C30=Master!$H$4,B30="2012-2013",E30="",G30="NPN05"),H30,"")</f>
        <v/>
      </c>
      <c r="AY30" s="44" t="str">
        <f>IF(AND(C30=Master!$H$5,B30="2012-2013",E30&gt;1000,G30="NPN05"),H30,"")</f>
        <v/>
      </c>
      <c r="AZ30" s="44" t="str">
        <f>IF(AND(C30=Master!$H$5,B30="2012-2013",E30="",G30="NPN05"),H30,"")</f>
        <v/>
      </c>
      <c r="BA30" s="44" t="str">
        <f>IF(AND(C30=Master!$H$6,B30="2012-2013",E30&gt;1000,G30="NPN05"),H30,"")</f>
        <v/>
      </c>
      <c r="BB30" s="44" t="str">
        <f>IF(AND(C30=Master!$H$6,B30="2012-2013",E30="",G30="NPN05"),H30,"")</f>
        <v/>
      </c>
      <c r="BC30" s="44" t="str">
        <f>IF(AND(C30=Master!$H$7,B30="2012-2013",E30&gt;1000,G30="NPN05"),H30,"")</f>
        <v/>
      </c>
      <c r="BD30" s="44" t="str">
        <f>IF(AND(C30=Master!$H$7,B30="2012-2013",E30="",G30="NPN05"),H30,"")</f>
        <v/>
      </c>
      <c r="BE30" s="44" t="str">
        <f>IF(AND(C30=Master!$H$8,B30="2012-2013",E30&gt;1000,G30="NPN05"),H30,"")</f>
        <v/>
      </c>
      <c r="BF30" s="44" t="str">
        <f>IF(AND(C30=Master!$H$8,B30="2012-2013",E30="",G30="NPN05"),H30,"")</f>
        <v/>
      </c>
      <c r="BG30" s="44" t="str">
        <f>IF(AND(C30=Master!$H$9,B30="2012-2013",E30&gt;1000,G30="NPN05"),H30,"")</f>
        <v/>
      </c>
      <c r="BH30" s="44" t="str">
        <f>IF(AND(C30=Master!$H$9,B30="2012-2013",E30="",G30="NPN05"),H30,"")</f>
        <v/>
      </c>
    </row>
    <row r="31" spans="1:60" x14ac:dyDescent="0.25">
      <c r="A31" s="3">
        <v>29</v>
      </c>
      <c r="B31" s="12"/>
      <c r="C31" s="12"/>
      <c r="D31" s="31"/>
      <c r="E31" s="4"/>
      <c r="F31" s="13"/>
      <c r="G31" s="21"/>
      <c r="H31" s="35"/>
      <c r="I31" s="27"/>
      <c r="J31" s="25" t="str">
        <f>IF(NOT(I31=""),INDEX(Master!$B$1:$B$46,MATCH(I31,Master!$A$1:$A$46,0)),"")</f>
        <v/>
      </c>
      <c r="K31" s="18"/>
      <c r="L31" s="86"/>
      <c r="M31" s="13"/>
      <c r="N31" s="13"/>
      <c r="O31" s="18"/>
      <c r="P31" s="35"/>
      <c r="Q31" s="21"/>
      <c r="R31" s="21"/>
      <c r="S31" s="13"/>
      <c r="T31" s="12"/>
      <c r="U31" s="12"/>
      <c r="V31" s="12"/>
      <c r="W31" s="14"/>
      <c r="Y31" s="42" t="str">
        <f>IF(AND(C31=Master!$H$1,B31="2012-2013",E31&gt;1000,G31="PLN03"),H31,"")</f>
        <v/>
      </c>
      <c r="Z31" s="42" t="str">
        <f>IF(AND(C31=Master!$H$1,B31="2012-2013",E31="",G31="PLN03"),H31,"")</f>
        <v/>
      </c>
      <c r="AA31" s="42" t="str">
        <f>IF(AND(C31=Master!$H$2,B31="2012-2013",E31&gt;1000,G31="PLN03"),H31,"")</f>
        <v/>
      </c>
      <c r="AB31" s="42" t="str">
        <f>IF(AND(C31=Master!$H$2,B31="2012-2013",E31="",G31="PLN03"),H31,"")</f>
        <v/>
      </c>
      <c r="AC31" s="42" t="str">
        <f>IF(AND(C31=Master!$H$3,B31="2012-2013",E31&gt;1000,G31="PLN03"),H31,"")</f>
        <v/>
      </c>
      <c r="AD31" s="42" t="str">
        <f>IF(AND(C31=Master!$H$3,B31="2012-2013",E31="",G31="PLN03"),H31,"")</f>
        <v/>
      </c>
      <c r="AE31" s="42" t="str">
        <f>IF(AND(C31=Master!$H$4,B31="2012-2013",E31&gt;1000,G31="PLN03"),H31,"")</f>
        <v/>
      </c>
      <c r="AF31" s="42" t="str">
        <f>IF(AND(C31=Master!$H$4,B31="2012-2013",E31="",G31="PLN03"),H31,"")</f>
        <v/>
      </c>
      <c r="AG31" s="42" t="str">
        <f>IF(AND(C31=Master!$H$5,B31="2012-2013",E31&gt;1000,G31="PLN03"),H31,"")</f>
        <v/>
      </c>
      <c r="AH31" s="42" t="str">
        <f>IF(AND(C31=Master!$H$5,B31="2012-2013",E31="",G31="PLN03"),H31,"")</f>
        <v/>
      </c>
      <c r="AI31" s="42" t="str">
        <f>IF(AND(C31=Master!$H$6,B31="2012-2013",E31&gt;1000,G31="PLN03"),H31,"")</f>
        <v/>
      </c>
      <c r="AJ31" s="42" t="str">
        <f>IF(AND(C31=Master!$H$6,B31="2012-2013",E31="",G31="PLN03"),H31,"")</f>
        <v/>
      </c>
      <c r="AK31" s="42" t="str">
        <f>IF(AND(C31=Master!$H$7,B31="2012-2013",E31&gt;1000,G31="PLN03"),H31,"")</f>
        <v/>
      </c>
      <c r="AL31" s="42" t="str">
        <f>IF(AND(C31=Master!$H$7,B31="2012-2013",E31="",G31="PLN03"),H31,"")</f>
        <v/>
      </c>
      <c r="AM31" s="42" t="str">
        <f>IF(AND(C31=Master!$H$8,B31="2012-2013",E31&gt;1000,G31="PLN03"),H31,"")</f>
        <v/>
      </c>
      <c r="AN31" s="42" t="str">
        <f>IF(AND(C31=Master!$H$8,B31="2012-2013",E31="",G31="PLN03"),H31,"")</f>
        <v/>
      </c>
      <c r="AO31" s="42" t="str">
        <f>IF(AND(C31=Master!$H$9,B31="2012-2013",E31&gt;1000,G31="PLN03"),H31,"")</f>
        <v/>
      </c>
      <c r="AP31" s="42" t="str">
        <f>IF(AND(C31=Master!$H$9,B31="2012-2013",E31="",G31="PLN03"),H31,"")</f>
        <v/>
      </c>
      <c r="AQ31" s="44" t="str">
        <f>IF(AND(C31=Master!$H$1,B31="2012-2013",E31&gt;1000,G31="NPN05"),H31,"")</f>
        <v/>
      </c>
      <c r="AR31" s="44" t="str">
        <f>IF(AND(C31=Master!$H$1,B31="2012-2013",E31="",G31="NPN05"),H31,"")</f>
        <v/>
      </c>
      <c r="AS31" s="44" t="str">
        <f>IF(AND(C31=Master!$H$2,B31="2012-2013",E31&gt;1000,G31="NPN05"),H31,"")</f>
        <v/>
      </c>
      <c r="AT31" s="44" t="str">
        <f>IF(AND(C31=Master!$H$2,B31="2012-2013",E31="",G31="NPN05"),H31,"")</f>
        <v/>
      </c>
      <c r="AU31" s="44" t="str">
        <f>IF(AND(C31=Master!$H$3,B31="2012-2013",E31&gt;1000,G31="NPN05"),H31,"")</f>
        <v/>
      </c>
      <c r="AV31" s="44" t="str">
        <f>IF(AND(C31=Master!$H$3,B31="2012-2013",E31="",G31="NPN05"),H31,"")</f>
        <v/>
      </c>
      <c r="AW31" s="44" t="str">
        <f>IF(AND(C31=Master!$H$4,B31="2012-2013",E31&gt;1000,G31="NPN05"),H31,"")</f>
        <v/>
      </c>
      <c r="AX31" s="44" t="str">
        <f>IF(AND(C31=Master!$H$4,B31="2012-2013",E31="",G31="NPN05"),H31,"")</f>
        <v/>
      </c>
      <c r="AY31" s="44" t="str">
        <f>IF(AND(C31=Master!$H$5,B31="2012-2013",E31&gt;1000,G31="NPN05"),H31,"")</f>
        <v/>
      </c>
      <c r="AZ31" s="44" t="str">
        <f>IF(AND(C31=Master!$H$5,B31="2012-2013",E31="",G31="NPN05"),H31,"")</f>
        <v/>
      </c>
      <c r="BA31" s="44" t="str">
        <f>IF(AND(C31=Master!$H$6,B31="2012-2013",E31&gt;1000,G31="NPN05"),H31,"")</f>
        <v/>
      </c>
      <c r="BB31" s="44" t="str">
        <f>IF(AND(C31=Master!$H$6,B31="2012-2013",E31="",G31="NPN05"),H31,"")</f>
        <v/>
      </c>
      <c r="BC31" s="44" t="str">
        <f>IF(AND(C31=Master!$H$7,B31="2012-2013",E31&gt;1000,G31="NPN05"),H31,"")</f>
        <v/>
      </c>
      <c r="BD31" s="44" t="str">
        <f>IF(AND(C31=Master!$H$7,B31="2012-2013",E31="",G31="NPN05"),H31,"")</f>
        <v/>
      </c>
      <c r="BE31" s="44" t="str">
        <f>IF(AND(C31=Master!$H$8,B31="2012-2013",E31&gt;1000,G31="NPN05"),H31,"")</f>
        <v/>
      </c>
      <c r="BF31" s="44" t="str">
        <f>IF(AND(C31=Master!$H$8,B31="2012-2013",E31="",G31="NPN05"),H31,"")</f>
        <v/>
      </c>
      <c r="BG31" s="44" t="str">
        <f>IF(AND(C31=Master!$H$9,B31="2012-2013",E31&gt;1000,G31="NPN05"),H31,"")</f>
        <v/>
      </c>
      <c r="BH31" s="44" t="str">
        <f>IF(AND(C31=Master!$H$9,B31="2012-2013",E31="",G31="NPN05"),H31,"")</f>
        <v/>
      </c>
    </row>
    <row r="32" spans="1:60" x14ac:dyDescent="0.25">
      <c r="A32" s="3">
        <v>30</v>
      </c>
      <c r="B32" s="12"/>
      <c r="C32" s="12"/>
      <c r="D32" s="31"/>
      <c r="E32" s="4"/>
      <c r="F32" s="13"/>
      <c r="G32" s="21"/>
      <c r="H32" s="35"/>
      <c r="I32" s="27"/>
      <c r="J32" s="25" t="str">
        <f>IF(NOT(I32=""),INDEX(Master!$B$1:$B$46,MATCH(I32,Master!$A$1:$A$46,0)),"")</f>
        <v/>
      </c>
      <c r="K32" s="18"/>
      <c r="L32" s="86"/>
      <c r="M32" s="13"/>
      <c r="N32" s="13"/>
      <c r="O32" s="18"/>
      <c r="P32" s="35"/>
      <c r="Q32" s="21"/>
      <c r="R32" s="21"/>
      <c r="S32" s="13"/>
      <c r="T32" s="12"/>
      <c r="U32" s="12"/>
      <c r="V32" s="12"/>
      <c r="W32" s="14"/>
      <c r="Y32" s="42" t="str">
        <f>IF(AND(C32=Master!$H$1,B32="2012-2013",E32&gt;1000,G32="PLN03"),H32,"")</f>
        <v/>
      </c>
      <c r="Z32" s="42" t="str">
        <f>IF(AND(C32=Master!$H$1,B32="2012-2013",E32="",G32="PLN03"),H32,"")</f>
        <v/>
      </c>
      <c r="AA32" s="42" t="str">
        <f>IF(AND(C32=Master!$H$2,B32="2012-2013",E32&gt;1000,G32="PLN03"),H32,"")</f>
        <v/>
      </c>
      <c r="AB32" s="42" t="str">
        <f>IF(AND(C32=Master!$H$2,B32="2012-2013",E32="",G32="PLN03"),H32,"")</f>
        <v/>
      </c>
      <c r="AC32" s="42" t="str">
        <f>IF(AND(C32=Master!$H$3,B32="2012-2013",E32&gt;1000,G32="PLN03"),H32,"")</f>
        <v/>
      </c>
      <c r="AD32" s="42" t="str">
        <f>IF(AND(C32=Master!$H$3,B32="2012-2013",E32="",G32="PLN03"),H32,"")</f>
        <v/>
      </c>
      <c r="AE32" s="42" t="str">
        <f>IF(AND(C32=Master!$H$4,B32="2012-2013",E32&gt;1000,G32="PLN03"),H32,"")</f>
        <v/>
      </c>
      <c r="AF32" s="42" t="str">
        <f>IF(AND(C32=Master!$H$4,B32="2012-2013",E32="",G32="PLN03"),H32,"")</f>
        <v/>
      </c>
      <c r="AG32" s="42" t="str">
        <f>IF(AND(C32=Master!$H$5,B32="2012-2013",E32&gt;1000,G32="PLN03"),H32,"")</f>
        <v/>
      </c>
      <c r="AH32" s="42" t="str">
        <f>IF(AND(C32=Master!$H$5,B32="2012-2013",E32="",G32="PLN03"),H32,"")</f>
        <v/>
      </c>
      <c r="AI32" s="42" t="str">
        <f>IF(AND(C32=Master!$H$6,B32="2012-2013",E32&gt;1000,G32="PLN03"),H32,"")</f>
        <v/>
      </c>
      <c r="AJ32" s="42" t="str">
        <f>IF(AND(C32=Master!$H$6,B32="2012-2013",E32="",G32="PLN03"),H32,"")</f>
        <v/>
      </c>
      <c r="AK32" s="42" t="str">
        <f>IF(AND(C32=Master!$H$7,B32="2012-2013",E32&gt;1000,G32="PLN03"),H32,"")</f>
        <v/>
      </c>
      <c r="AL32" s="42" t="str">
        <f>IF(AND(C32=Master!$H$7,B32="2012-2013",E32="",G32="PLN03"),H32,"")</f>
        <v/>
      </c>
      <c r="AM32" s="42" t="str">
        <f>IF(AND(C32=Master!$H$8,B32="2012-2013",E32&gt;1000,G32="PLN03"),H32,"")</f>
        <v/>
      </c>
      <c r="AN32" s="42" t="str">
        <f>IF(AND(C32=Master!$H$8,B32="2012-2013",E32="",G32="PLN03"),H32,"")</f>
        <v/>
      </c>
      <c r="AO32" s="42" t="str">
        <f>IF(AND(C32=Master!$H$9,B32="2012-2013",E32&gt;1000,G32="PLN03"),H32,"")</f>
        <v/>
      </c>
      <c r="AP32" s="42" t="str">
        <f>IF(AND(C32=Master!$H$9,B32="2012-2013",E32="",G32="PLN03"),H32,"")</f>
        <v/>
      </c>
      <c r="AQ32" s="44" t="str">
        <f>IF(AND(C32=Master!$H$1,B32="2012-2013",E32&gt;1000,G32="NPN05"),H32,"")</f>
        <v/>
      </c>
      <c r="AR32" s="44" t="str">
        <f>IF(AND(C32=Master!$H$1,B32="2012-2013",E32="",G32="NPN05"),H32,"")</f>
        <v/>
      </c>
      <c r="AS32" s="44" t="str">
        <f>IF(AND(C32=Master!$H$2,B32="2012-2013",E32&gt;1000,G32="NPN05"),H32,"")</f>
        <v/>
      </c>
      <c r="AT32" s="44" t="str">
        <f>IF(AND(C32=Master!$H$2,B32="2012-2013",E32="",G32="NPN05"),H32,"")</f>
        <v/>
      </c>
      <c r="AU32" s="44" t="str">
        <f>IF(AND(C32=Master!$H$3,B32="2012-2013",E32&gt;1000,G32="NPN05"),H32,"")</f>
        <v/>
      </c>
      <c r="AV32" s="44" t="str">
        <f>IF(AND(C32=Master!$H$3,B32="2012-2013",E32="",G32="NPN05"),H32,"")</f>
        <v/>
      </c>
      <c r="AW32" s="44" t="str">
        <f>IF(AND(C32=Master!$H$4,B32="2012-2013",E32&gt;1000,G32="NPN05"),H32,"")</f>
        <v/>
      </c>
      <c r="AX32" s="44" t="str">
        <f>IF(AND(C32=Master!$H$4,B32="2012-2013",E32="",G32="NPN05"),H32,"")</f>
        <v/>
      </c>
      <c r="AY32" s="44" t="str">
        <f>IF(AND(C32=Master!$H$5,B32="2012-2013",E32&gt;1000,G32="NPN05"),H32,"")</f>
        <v/>
      </c>
      <c r="AZ32" s="44" t="str">
        <f>IF(AND(C32=Master!$H$5,B32="2012-2013",E32="",G32="NPN05"),H32,"")</f>
        <v/>
      </c>
      <c r="BA32" s="44" t="str">
        <f>IF(AND(C32=Master!$H$6,B32="2012-2013",E32&gt;1000,G32="NPN05"),H32,"")</f>
        <v/>
      </c>
      <c r="BB32" s="44" t="str">
        <f>IF(AND(C32=Master!$H$6,B32="2012-2013",E32="",G32="NPN05"),H32,"")</f>
        <v/>
      </c>
      <c r="BC32" s="44" t="str">
        <f>IF(AND(C32=Master!$H$7,B32="2012-2013",E32&gt;1000,G32="NPN05"),H32,"")</f>
        <v/>
      </c>
      <c r="BD32" s="44" t="str">
        <f>IF(AND(C32=Master!$H$7,B32="2012-2013",E32="",G32="NPN05"),H32,"")</f>
        <v/>
      </c>
      <c r="BE32" s="44" t="str">
        <f>IF(AND(C32=Master!$H$8,B32="2012-2013",E32&gt;1000,G32="NPN05"),H32,"")</f>
        <v/>
      </c>
      <c r="BF32" s="44" t="str">
        <f>IF(AND(C32=Master!$H$8,B32="2012-2013",E32="",G32="NPN05"),H32,"")</f>
        <v/>
      </c>
      <c r="BG32" s="44" t="str">
        <f>IF(AND(C32=Master!$H$9,B32="2012-2013",E32&gt;1000,G32="NPN05"),H32,"")</f>
        <v/>
      </c>
      <c r="BH32" s="44" t="str">
        <f>IF(AND(C32=Master!$H$9,B32="2012-2013",E32="",G32="NPN05"),H32,"")</f>
        <v/>
      </c>
    </row>
    <row r="33" spans="1:60" x14ac:dyDescent="0.25">
      <c r="A33" s="3">
        <v>31</v>
      </c>
      <c r="B33" s="12"/>
      <c r="C33" s="12"/>
      <c r="D33" s="31"/>
      <c r="E33" s="4"/>
      <c r="F33" s="13"/>
      <c r="G33" s="21"/>
      <c r="H33" s="35"/>
      <c r="I33" s="27"/>
      <c r="J33" s="25" t="str">
        <f>IF(NOT(I33=""),INDEX(Master!$B$1:$B$46,MATCH(I33,Master!$A$1:$A$46,0)),"")</f>
        <v/>
      </c>
      <c r="K33" s="18"/>
      <c r="L33" s="86"/>
      <c r="M33" s="13"/>
      <c r="N33" s="13"/>
      <c r="O33" s="18"/>
      <c r="P33" s="35"/>
      <c r="Q33" s="21"/>
      <c r="R33" s="21"/>
      <c r="S33" s="13"/>
      <c r="T33" s="12"/>
      <c r="U33" s="12"/>
      <c r="V33" s="12"/>
      <c r="W33" s="14"/>
      <c r="Y33" s="42" t="str">
        <f>IF(AND(C33=Master!$H$1,B33="2012-2013",E33&gt;1000,G33="PLN03"),H33,"")</f>
        <v/>
      </c>
      <c r="Z33" s="42" t="str">
        <f>IF(AND(C33=Master!$H$1,B33="2012-2013",E33="",G33="PLN03"),H33,"")</f>
        <v/>
      </c>
      <c r="AA33" s="42" t="str">
        <f>IF(AND(C33=Master!$H$2,B33="2012-2013",E33&gt;1000,G33="PLN03"),H33,"")</f>
        <v/>
      </c>
      <c r="AB33" s="42" t="str">
        <f>IF(AND(C33=Master!$H$2,B33="2012-2013",E33="",G33="PLN03"),H33,"")</f>
        <v/>
      </c>
      <c r="AC33" s="42" t="str">
        <f>IF(AND(C33=Master!$H$3,B33="2012-2013",E33&gt;1000,G33="PLN03"),H33,"")</f>
        <v/>
      </c>
      <c r="AD33" s="42" t="str">
        <f>IF(AND(C33=Master!$H$3,B33="2012-2013",E33="",G33="PLN03"),H33,"")</f>
        <v/>
      </c>
      <c r="AE33" s="42" t="str">
        <f>IF(AND(C33=Master!$H$4,B33="2012-2013",E33&gt;1000,G33="PLN03"),H33,"")</f>
        <v/>
      </c>
      <c r="AF33" s="42" t="str">
        <f>IF(AND(C33=Master!$H$4,B33="2012-2013",E33="",G33="PLN03"),H33,"")</f>
        <v/>
      </c>
      <c r="AG33" s="42" t="str">
        <f>IF(AND(C33=Master!$H$5,B33="2012-2013",E33&gt;1000,G33="PLN03"),H33,"")</f>
        <v/>
      </c>
      <c r="AH33" s="42" t="str">
        <f>IF(AND(C33=Master!$H$5,B33="2012-2013",E33="",G33="PLN03"),H33,"")</f>
        <v/>
      </c>
      <c r="AI33" s="42" t="str">
        <f>IF(AND(C33=Master!$H$6,B33="2012-2013",E33&gt;1000,G33="PLN03"),H33,"")</f>
        <v/>
      </c>
      <c r="AJ33" s="42" t="str">
        <f>IF(AND(C33=Master!$H$6,B33="2012-2013",E33="",G33="PLN03"),H33,"")</f>
        <v/>
      </c>
      <c r="AK33" s="42" t="str">
        <f>IF(AND(C33=Master!$H$7,B33="2012-2013",E33&gt;1000,G33="PLN03"),H33,"")</f>
        <v/>
      </c>
      <c r="AL33" s="42" t="str">
        <f>IF(AND(C33=Master!$H$7,B33="2012-2013",E33="",G33="PLN03"),H33,"")</f>
        <v/>
      </c>
      <c r="AM33" s="42" t="str">
        <f>IF(AND(C33=Master!$H$8,B33="2012-2013",E33&gt;1000,G33="PLN03"),H33,"")</f>
        <v/>
      </c>
      <c r="AN33" s="42" t="str">
        <f>IF(AND(C33=Master!$H$8,B33="2012-2013",E33="",G33="PLN03"),H33,"")</f>
        <v/>
      </c>
      <c r="AO33" s="42" t="str">
        <f>IF(AND(C33=Master!$H$9,B33="2012-2013",E33&gt;1000,G33="PLN03"),H33,"")</f>
        <v/>
      </c>
      <c r="AP33" s="42" t="str">
        <f>IF(AND(C33=Master!$H$9,B33="2012-2013",E33="",G33="PLN03"),H33,"")</f>
        <v/>
      </c>
      <c r="AQ33" s="44" t="str">
        <f>IF(AND(C33=Master!$H$1,B33="2012-2013",E33&gt;1000,G33="NPN05"),H33,"")</f>
        <v/>
      </c>
      <c r="AR33" s="44" t="str">
        <f>IF(AND(C33=Master!$H$1,B33="2012-2013",E33="",G33="NPN05"),H33,"")</f>
        <v/>
      </c>
      <c r="AS33" s="44" t="str">
        <f>IF(AND(C33=Master!$H$2,B33="2012-2013",E33&gt;1000,G33="NPN05"),H33,"")</f>
        <v/>
      </c>
      <c r="AT33" s="44" t="str">
        <f>IF(AND(C33=Master!$H$2,B33="2012-2013",E33="",G33="NPN05"),H33,"")</f>
        <v/>
      </c>
      <c r="AU33" s="44" t="str">
        <f>IF(AND(C33=Master!$H$3,B33="2012-2013",E33&gt;1000,G33="NPN05"),H33,"")</f>
        <v/>
      </c>
      <c r="AV33" s="44" t="str">
        <f>IF(AND(C33=Master!$H$3,B33="2012-2013",E33="",G33="NPN05"),H33,"")</f>
        <v/>
      </c>
      <c r="AW33" s="44" t="str">
        <f>IF(AND(C33=Master!$H$4,B33="2012-2013",E33&gt;1000,G33="NPN05"),H33,"")</f>
        <v/>
      </c>
      <c r="AX33" s="44" t="str">
        <f>IF(AND(C33=Master!$H$4,B33="2012-2013",E33="",G33="NPN05"),H33,"")</f>
        <v/>
      </c>
      <c r="AY33" s="44" t="str">
        <f>IF(AND(C33=Master!$H$5,B33="2012-2013",E33&gt;1000,G33="NPN05"),H33,"")</f>
        <v/>
      </c>
      <c r="AZ33" s="44" t="str">
        <f>IF(AND(C33=Master!$H$5,B33="2012-2013",E33="",G33="NPN05"),H33,"")</f>
        <v/>
      </c>
      <c r="BA33" s="44" t="str">
        <f>IF(AND(C33=Master!$H$6,B33="2012-2013",E33&gt;1000,G33="NPN05"),H33,"")</f>
        <v/>
      </c>
      <c r="BB33" s="44" t="str">
        <f>IF(AND(C33=Master!$H$6,B33="2012-2013",E33="",G33="NPN05"),H33,"")</f>
        <v/>
      </c>
      <c r="BC33" s="44" t="str">
        <f>IF(AND(C33=Master!$H$7,B33="2012-2013",E33&gt;1000,G33="NPN05"),H33,"")</f>
        <v/>
      </c>
      <c r="BD33" s="44" t="str">
        <f>IF(AND(C33=Master!$H$7,B33="2012-2013",E33="",G33="NPN05"),H33,"")</f>
        <v/>
      </c>
      <c r="BE33" s="44" t="str">
        <f>IF(AND(C33=Master!$H$8,B33="2012-2013",E33&gt;1000,G33="NPN05"),H33,"")</f>
        <v/>
      </c>
      <c r="BF33" s="44" t="str">
        <f>IF(AND(C33=Master!$H$8,B33="2012-2013",E33="",G33="NPN05"),H33,"")</f>
        <v/>
      </c>
      <c r="BG33" s="44" t="str">
        <f>IF(AND(C33=Master!$H$9,B33="2012-2013",E33&gt;1000,G33="NPN05"),H33,"")</f>
        <v/>
      </c>
      <c r="BH33" s="44" t="str">
        <f>IF(AND(C33=Master!$H$9,B33="2012-2013",E33="",G33="NPN05"),H33,"")</f>
        <v/>
      </c>
    </row>
    <row r="34" spans="1:60" x14ac:dyDescent="0.25">
      <c r="A34" s="3">
        <v>32</v>
      </c>
      <c r="B34" s="12"/>
      <c r="C34" s="12"/>
      <c r="D34" s="31"/>
      <c r="E34" s="4"/>
      <c r="F34" s="13"/>
      <c r="G34" s="21"/>
      <c r="H34" s="35"/>
      <c r="I34" s="27"/>
      <c r="J34" s="25" t="str">
        <f>IF(NOT(I34=""),INDEX(Master!$B$1:$B$46,MATCH(I34,Master!$A$1:$A$46,0)),"")</f>
        <v/>
      </c>
      <c r="K34" s="18"/>
      <c r="L34" s="86"/>
      <c r="M34" s="13"/>
      <c r="N34" s="13"/>
      <c r="O34" s="18"/>
      <c r="P34" s="35"/>
      <c r="Q34" s="21"/>
      <c r="R34" s="21"/>
      <c r="S34" s="13"/>
      <c r="T34" s="12"/>
      <c r="U34" s="12"/>
      <c r="V34" s="12"/>
      <c r="W34" s="14"/>
      <c r="Y34" s="42" t="str">
        <f>IF(AND(C34=Master!$H$1,B34="2012-2013",E34&gt;1000,G34="PLN03"),H34,"")</f>
        <v/>
      </c>
      <c r="Z34" s="42" t="str">
        <f>IF(AND(C34=Master!$H$1,B34="2012-2013",E34="",G34="PLN03"),H34,"")</f>
        <v/>
      </c>
      <c r="AA34" s="42" t="str">
        <f>IF(AND(C34=Master!$H$2,B34="2012-2013",E34&gt;1000,G34="PLN03"),H34,"")</f>
        <v/>
      </c>
      <c r="AB34" s="42" t="str">
        <f>IF(AND(C34=Master!$H$2,B34="2012-2013",E34="",G34="PLN03"),H34,"")</f>
        <v/>
      </c>
      <c r="AC34" s="42" t="str">
        <f>IF(AND(C34=Master!$H$3,B34="2012-2013",E34&gt;1000,G34="PLN03"),H34,"")</f>
        <v/>
      </c>
      <c r="AD34" s="42" t="str">
        <f>IF(AND(C34=Master!$H$3,B34="2012-2013",E34="",G34="PLN03"),H34,"")</f>
        <v/>
      </c>
      <c r="AE34" s="42" t="str">
        <f>IF(AND(C34=Master!$H$4,B34="2012-2013",E34&gt;1000,G34="PLN03"),H34,"")</f>
        <v/>
      </c>
      <c r="AF34" s="42" t="str">
        <f>IF(AND(C34=Master!$H$4,B34="2012-2013",E34="",G34="PLN03"),H34,"")</f>
        <v/>
      </c>
      <c r="AG34" s="42" t="str">
        <f>IF(AND(C34=Master!$H$5,B34="2012-2013",E34&gt;1000,G34="PLN03"),H34,"")</f>
        <v/>
      </c>
      <c r="AH34" s="42" t="str">
        <f>IF(AND(C34=Master!$H$5,B34="2012-2013",E34="",G34="PLN03"),H34,"")</f>
        <v/>
      </c>
      <c r="AI34" s="42" t="str">
        <f>IF(AND(C34=Master!$H$6,B34="2012-2013",E34&gt;1000,G34="PLN03"),H34,"")</f>
        <v/>
      </c>
      <c r="AJ34" s="42" t="str">
        <f>IF(AND(C34=Master!$H$6,B34="2012-2013",E34="",G34="PLN03"),H34,"")</f>
        <v/>
      </c>
      <c r="AK34" s="42" t="str">
        <f>IF(AND(C34=Master!$H$7,B34="2012-2013",E34&gt;1000,G34="PLN03"),H34,"")</f>
        <v/>
      </c>
      <c r="AL34" s="42" t="str">
        <f>IF(AND(C34=Master!$H$7,B34="2012-2013",E34="",G34="PLN03"),H34,"")</f>
        <v/>
      </c>
      <c r="AM34" s="42" t="str">
        <f>IF(AND(C34=Master!$H$8,B34="2012-2013",E34&gt;1000,G34="PLN03"),H34,"")</f>
        <v/>
      </c>
      <c r="AN34" s="42" t="str">
        <f>IF(AND(C34=Master!$H$8,B34="2012-2013",E34="",G34="PLN03"),H34,"")</f>
        <v/>
      </c>
      <c r="AO34" s="42" t="str">
        <f>IF(AND(C34=Master!$H$9,B34="2012-2013",E34&gt;1000,G34="PLN03"),H34,"")</f>
        <v/>
      </c>
      <c r="AP34" s="42" t="str">
        <f>IF(AND(C34=Master!$H$9,B34="2012-2013",E34="",G34="PLN03"),H34,"")</f>
        <v/>
      </c>
      <c r="AQ34" s="44" t="str">
        <f>IF(AND(C34=Master!$H$1,B34="2012-2013",E34&gt;1000,G34="NPN05"),H34,"")</f>
        <v/>
      </c>
      <c r="AR34" s="44" t="str">
        <f>IF(AND(C34=Master!$H$1,B34="2012-2013",E34="",G34="NPN05"),H34,"")</f>
        <v/>
      </c>
      <c r="AS34" s="44" t="str">
        <f>IF(AND(C34=Master!$H$2,B34="2012-2013",E34&gt;1000,G34="NPN05"),H34,"")</f>
        <v/>
      </c>
      <c r="AT34" s="44" t="str">
        <f>IF(AND(C34=Master!$H$2,B34="2012-2013",E34="",G34="NPN05"),H34,"")</f>
        <v/>
      </c>
      <c r="AU34" s="44" t="str">
        <f>IF(AND(C34=Master!$H$3,B34="2012-2013",E34&gt;1000,G34="NPN05"),H34,"")</f>
        <v/>
      </c>
      <c r="AV34" s="44" t="str">
        <f>IF(AND(C34=Master!$H$3,B34="2012-2013",E34="",G34="NPN05"),H34,"")</f>
        <v/>
      </c>
      <c r="AW34" s="44" t="str">
        <f>IF(AND(C34=Master!$H$4,B34="2012-2013",E34&gt;1000,G34="NPN05"),H34,"")</f>
        <v/>
      </c>
      <c r="AX34" s="44" t="str">
        <f>IF(AND(C34=Master!$H$4,B34="2012-2013",E34="",G34="NPN05"),H34,"")</f>
        <v/>
      </c>
      <c r="AY34" s="44" t="str">
        <f>IF(AND(C34=Master!$H$5,B34="2012-2013",E34&gt;1000,G34="NPN05"),H34,"")</f>
        <v/>
      </c>
      <c r="AZ34" s="44" t="str">
        <f>IF(AND(C34=Master!$H$5,B34="2012-2013",E34="",G34="NPN05"),H34,"")</f>
        <v/>
      </c>
      <c r="BA34" s="44" t="str">
        <f>IF(AND(C34=Master!$H$6,B34="2012-2013",E34&gt;1000,G34="NPN05"),H34,"")</f>
        <v/>
      </c>
      <c r="BB34" s="44" t="str">
        <f>IF(AND(C34=Master!$H$6,B34="2012-2013",E34="",G34="NPN05"),H34,"")</f>
        <v/>
      </c>
      <c r="BC34" s="44" t="str">
        <f>IF(AND(C34=Master!$H$7,B34="2012-2013",E34&gt;1000,G34="NPN05"),H34,"")</f>
        <v/>
      </c>
      <c r="BD34" s="44" t="str">
        <f>IF(AND(C34=Master!$H$7,B34="2012-2013",E34="",G34="NPN05"),H34,"")</f>
        <v/>
      </c>
      <c r="BE34" s="44" t="str">
        <f>IF(AND(C34=Master!$H$8,B34="2012-2013",E34&gt;1000,G34="NPN05"),H34,"")</f>
        <v/>
      </c>
      <c r="BF34" s="44" t="str">
        <f>IF(AND(C34=Master!$H$8,B34="2012-2013",E34="",G34="NPN05"),H34,"")</f>
        <v/>
      </c>
      <c r="BG34" s="44" t="str">
        <f>IF(AND(C34=Master!$H$9,B34="2012-2013",E34&gt;1000,G34="NPN05"),H34,"")</f>
        <v/>
      </c>
      <c r="BH34" s="44" t="str">
        <f>IF(AND(C34=Master!$H$9,B34="2012-2013",E34="",G34="NPN05"),H34,"")</f>
        <v/>
      </c>
    </row>
    <row r="35" spans="1:60" x14ac:dyDescent="0.25">
      <c r="A35" s="3">
        <v>33</v>
      </c>
      <c r="B35" s="12"/>
      <c r="C35" s="12"/>
      <c r="D35" s="31"/>
      <c r="E35" s="4"/>
      <c r="F35" s="13"/>
      <c r="G35" s="21"/>
      <c r="H35" s="35"/>
      <c r="I35" s="27"/>
      <c r="J35" s="25" t="str">
        <f>IF(NOT(I35=""),INDEX(Master!$B$1:$B$46,MATCH(I35,Master!$A$1:$A$46,0)),"")</f>
        <v/>
      </c>
      <c r="K35" s="18"/>
      <c r="L35" s="86"/>
      <c r="M35" s="13"/>
      <c r="N35" s="13"/>
      <c r="O35" s="18"/>
      <c r="P35" s="35"/>
      <c r="Q35" s="21"/>
      <c r="R35" s="21"/>
      <c r="S35" s="13"/>
      <c r="T35" s="12"/>
      <c r="U35" s="12"/>
      <c r="V35" s="12"/>
      <c r="W35" s="14"/>
      <c r="Y35" s="42" t="str">
        <f>IF(AND(C35=Master!$H$1,B35="2012-2013",E35&gt;1000,G35="PLN03"),H35,"")</f>
        <v/>
      </c>
      <c r="Z35" s="42" t="str">
        <f>IF(AND(C35=Master!$H$1,B35="2012-2013",E35="",G35="PLN03"),H35,"")</f>
        <v/>
      </c>
      <c r="AA35" s="42" t="str">
        <f>IF(AND(C35=Master!$H$2,B35="2012-2013",E35&gt;1000,G35="PLN03"),H35,"")</f>
        <v/>
      </c>
      <c r="AB35" s="42" t="str">
        <f>IF(AND(C35=Master!$H$2,B35="2012-2013",E35="",G35="PLN03"),H35,"")</f>
        <v/>
      </c>
      <c r="AC35" s="42" t="str">
        <f>IF(AND(C35=Master!$H$3,B35="2012-2013",E35&gt;1000,G35="PLN03"),H35,"")</f>
        <v/>
      </c>
      <c r="AD35" s="42" t="str">
        <f>IF(AND(C35=Master!$H$3,B35="2012-2013",E35="",G35="PLN03"),H35,"")</f>
        <v/>
      </c>
      <c r="AE35" s="42" t="str">
        <f>IF(AND(C35=Master!$H$4,B35="2012-2013",E35&gt;1000,G35="PLN03"),H35,"")</f>
        <v/>
      </c>
      <c r="AF35" s="42" t="str">
        <f>IF(AND(C35=Master!$H$4,B35="2012-2013",E35="",G35="PLN03"),H35,"")</f>
        <v/>
      </c>
      <c r="AG35" s="42" t="str">
        <f>IF(AND(C35=Master!$H$5,B35="2012-2013",E35&gt;1000,G35="PLN03"),H35,"")</f>
        <v/>
      </c>
      <c r="AH35" s="42" t="str">
        <f>IF(AND(C35=Master!$H$5,B35="2012-2013",E35="",G35="PLN03"),H35,"")</f>
        <v/>
      </c>
      <c r="AI35" s="42" t="str">
        <f>IF(AND(C35=Master!$H$6,B35="2012-2013",E35&gt;1000,G35="PLN03"),H35,"")</f>
        <v/>
      </c>
      <c r="AJ35" s="42" t="str">
        <f>IF(AND(C35=Master!$H$6,B35="2012-2013",E35="",G35="PLN03"),H35,"")</f>
        <v/>
      </c>
      <c r="AK35" s="42" t="str">
        <f>IF(AND(C35=Master!$H$7,B35="2012-2013",E35&gt;1000,G35="PLN03"),H35,"")</f>
        <v/>
      </c>
      <c r="AL35" s="42" t="str">
        <f>IF(AND(C35=Master!$H$7,B35="2012-2013",E35="",G35="PLN03"),H35,"")</f>
        <v/>
      </c>
      <c r="AM35" s="42" t="str">
        <f>IF(AND(C35=Master!$H$8,B35="2012-2013",E35&gt;1000,G35="PLN03"),H35,"")</f>
        <v/>
      </c>
      <c r="AN35" s="42" t="str">
        <f>IF(AND(C35=Master!$H$8,B35="2012-2013",E35="",G35="PLN03"),H35,"")</f>
        <v/>
      </c>
      <c r="AO35" s="42" t="str">
        <f>IF(AND(C35=Master!$H$9,B35="2012-2013",E35&gt;1000,G35="PLN03"),H35,"")</f>
        <v/>
      </c>
      <c r="AP35" s="42" t="str">
        <f>IF(AND(C35=Master!$H$9,B35="2012-2013",E35="",G35="PLN03"),H35,"")</f>
        <v/>
      </c>
      <c r="AQ35" s="44" t="str">
        <f>IF(AND(C35=Master!$H$1,B35="2012-2013",E35&gt;1000,G35="NPN05"),H35,"")</f>
        <v/>
      </c>
      <c r="AR35" s="44" t="str">
        <f>IF(AND(C35=Master!$H$1,B35="2012-2013",E35="",G35="NPN05"),H35,"")</f>
        <v/>
      </c>
      <c r="AS35" s="44" t="str">
        <f>IF(AND(C35=Master!$H$2,B35="2012-2013",E35&gt;1000,G35="NPN05"),H35,"")</f>
        <v/>
      </c>
      <c r="AT35" s="44" t="str">
        <f>IF(AND(C35=Master!$H$2,B35="2012-2013",E35="",G35="NPN05"),H35,"")</f>
        <v/>
      </c>
      <c r="AU35" s="44" t="str">
        <f>IF(AND(C35=Master!$H$3,B35="2012-2013",E35&gt;1000,G35="NPN05"),H35,"")</f>
        <v/>
      </c>
      <c r="AV35" s="44" t="str">
        <f>IF(AND(C35=Master!$H$3,B35="2012-2013",E35="",G35="NPN05"),H35,"")</f>
        <v/>
      </c>
      <c r="AW35" s="44" t="str">
        <f>IF(AND(C35=Master!$H$4,B35="2012-2013",E35&gt;1000,G35="NPN05"),H35,"")</f>
        <v/>
      </c>
      <c r="AX35" s="44" t="str">
        <f>IF(AND(C35=Master!$H$4,B35="2012-2013",E35="",G35="NPN05"),H35,"")</f>
        <v/>
      </c>
      <c r="AY35" s="44" t="str">
        <f>IF(AND(C35=Master!$H$5,B35="2012-2013",E35&gt;1000,G35="NPN05"),H35,"")</f>
        <v/>
      </c>
      <c r="AZ35" s="44" t="str">
        <f>IF(AND(C35=Master!$H$5,B35="2012-2013",E35="",G35="NPN05"),H35,"")</f>
        <v/>
      </c>
      <c r="BA35" s="44" t="str">
        <f>IF(AND(C35=Master!$H$6,B35="2012-2013",E35&gt;1000,G35="NPN05"),H35,"")</f>
        <v/>
      </c>
      <c r="BB35" s="44" t="str">
        <f>IF(AND(C35=Master!$H$6,B35="2012-2013",E35="",G35="NPN05"),H35,"")</f>
        <v/>
      </c>
      <c r="BC35" s="44" t="str">
        <f>IF(AND(C35=Master!$H$7,B35="2012-2013",E35&gt;1000,G35="NPN05"),H35,"")</f>
        <v/>
      </c>
      <c r="BD35" s="44" t="str">
        <f>IF(AND(C35=Master!$H$7,B35="2012-2013",E35="",G35="NPN05"),H35,"")</f>
        <v/>
      </c>
      <c r="BE35" s="44" t="str">
        <f>IF(AND(C35=Master!$H$8,B35="2012-2013",E35&gt;1000,G35="NPN05"),H35,"")</f>
        <v/>
      </c>
      <c r="BF35" s="44" t="str">
        <f>IF(AND(C35=Master!$H$8,B35="2012-2013",E35="",G35="NPN05"),H35,"")</f>
        <v/>
      </c>
      <c r="BG35" s="44" t="str">
        <f>IF(AND(C35=Master!$H$9,B35="2012-2013",E35&gt;1000,G35="NPN05"),H35,"")</f>
        <v/>
      </c>
      <c r="BH35" s="44" t="str">
        <f>IF(AND(C35=Master!$H$9,B35="2012-2013",E35="",G35="NPN05"),H35,"")</f>
        <v/>
      </c>
    </row>
    <row r="36" spans="1:60" x14ac:dyDescent="0.25">
      <c r="A36" s="3">
        <v>34</v>
      </c>
      <c r="B36" s="12"/>
      <c r="C36" s="12"/>
      <c r="D36" s="31"/>
      <c r="E36" s="4"/>
      <c r="F36" s="13"/>
      <c r="G36" s="21"/>
      <c r="H36" s="35"/>
      <c r="I36" s="27"/>
      <c r="J36" s="25" t="str">
        <f>IF(NOT(I36=""),INDEX(Master!$B$1:$B$46,MATCH(I36,Master!$A$1:$A$46,0)),"")</f>
        <v/>
      </c>
      <c r="K36" s="18"/>
      <c r="L36" s="86"/>
      <c r="M36" s="13"/>
      <c r="N36" s="13"/>
      <c r="O36" s="18"/>
      <c r="P36" s="35"/>
      <c r="Q36" s="21"/>
      <c r="R36" s="21"/>
      <c r="S36" s="13"/>
      <c r="T36" s="12"/>
      <c r="U36" s="12"/>
      <c r="V36" s="12"/>
      <c r="W36" s="14"/>
      <c r="Y36" s="42" t="str">
        <f>IF(AND(C36=Master!$H$1,B36="2012-2013",E36&gt;1000,G36="PLN03"),H36,"")</f>
        <v/>
      </c>
      <c r="Z36" s="42" t="str">
        <f>IF(AND(C36=Master!$H$1,B36="2012-2013",E36="",G36="PLN03"),H36,"")</f>
        <v/>
      </c>
      <c r="AA36" s="42" t="str">
        <f>IF(AND(C36=Master!$H$2,B36="2012-2013",E36&gt;1000,G36="PLN03"),H36,"")</f>
        <v/>
      </c>
      <c r="AB36" s="42" t="str">
        <f>IF(AND(C36=Master!$H$2,B36="2012-2013",E36="",G36="PLN03"),H36,"")</f>
        <v/>
      </c>
      <c r="AC36" s="42" t="str">
        <f>IF(AND(C36=Master!$H$3,B36="2012-2013",E36&gt;1000,G36="PLN03"),H36,"")</f>
        <v/>
      </c>
      <c r="AD36" s="42" t="str">
        <f>IF(AND(C36=Master!$H$3,B36="2012-2013",E36="",G36="PLN03"),H36,"")</f>
        <v/>
      </c>
      <c r="AE36" s="42" t="str">
        <f>IF(AND(C36=Master!$H$4,B36="2012-2013",E36&gt;1000,G36="PLN03"),H36,"")</f>
        <v/>
      </c>
      <c r="AF36" s="42" t="str">
        <f>IF(AND(C36=Master!$H$4,B36="2012-2013",E36="",G36="PLN03"),H36,"")</f>
        <v/>
      </c>
      <c r="AG36" s="42" t="str">
        <f>IF(AND(C36=Master!$H$5,B36="2012-2013",E36&gt;1000,G36="PLN03"),H36,"")</f>
        <v/>
      </c>
      <c r="AH36" s="42" t="str">
        <f>IF(AND(C36=Master!$H$5,B36="2012-2013",E36="",G36="PLN03"),H36,"")</f>
        <v/>
      </c>
      <c r="AI36" s="42" t="str">
        <f>IF(AND(C36=Master!$H$6,B36="2012-2013",E36&gt;1000,G36="PLN03"),H36,"")</f>
        <v/>
      </c>
      <c r="AJ36" s="42" t="str">
        <f>IF(AND(C36=Master!$H$6,B36="2012-2013",E36="",G36="PLN03"),H36,"")</f>
        <v/>
      </c>
      <c r="AK36" s="42" t="str">
        <f>IF(AND(C36=Master!$H$7,B36="2012-2013",E36&gt;1000,G36="PLN03"),H36,"")</f>
        <v/>
      </c>
      <c r="AL36" s="42" t="str">
        <f>IF(AND(C36=Master!$H$7,B36="2012-2013",E36="",G36="PLN03"),H36,"")</f>
        <v/>
      </c>
      <c r="AM36" s="42" t="str">
        <f>IF(AND(C36=Master!$H$8,B36="2012-2013",E36&gt;1000,G36="PLN03"),H36,"")</f>
        <v/>
      </c>
      <c r="AN36" s="42" t="str">
        <f>IF(AND(C36=Master!$H$8,B36="2012-2013",E36="",G36="PLN03"),H36,"")</f>
        <v/>
      </c>
      <c r="AO36" s="42" t="str">
        <f>IF(AND(C36=Master!$H$9,B36="2012-2013",E36&gt;1000,G36="PLN03"),H36,"")</f>
        <v/>
      </c>
      <c r="AP36" s="42" t="str">
        <f>IF(AND(C36=Master!$H$9,B36="2012-2013",E36="",G36="PLN03"),H36,"")</f>
        <v/>
      </c>
      <c r="AQ36" s="44" t="str">
        <f>IF(AND(C36=Master!$H$1,B36="2012-2013",E36&gt;1000,G36="NPN05"),H36,"")</f>
        <v/>
      </c>
      <c r="AR36" s="44" t="str">
        <f>IF(AND(C36=Master!$H$1,B36="2012-2013",E36="",G36="NPN05"),H36,"")</f>
        <v/>
      </c>
      <c r="AS36" s="44" t="str">
        <f>IF(AND(C36=Master!$H$2,B36="2012-2013",E36&gt;1000,G36="NPN05"),H36,"")</f>
        <v/>
      </c>
      <c r="AT36" s="44" t="str">
        <f>IF(AND(C36=Master!$H$2,B36="2012-2013",E36="",G36="NPN05"),H36,"")</f>
        <v/>
      </c>
      <c r="AU36" s="44" t="str">
        <f>IF(AND(C36=Master!$H$3,B36="2012-2013",E36&gt;1000,G36="NPN05"),H36,"")</f>
        <v/>
      </c>
      <c r="AV36" s="44" t="str">
        <f>IF(AND(C36=Master!$H$3,B36="2012-2013",E36="",G36="NPN05"),H36,"")</f>
        <v/>
      </c>
      <c r="AW36" s="44" t="str">
        <f>IF(AND(C36=Master!$H$4,B36="2012-2013",E36&gt;1000,G36="NPN05"),H36,"")</f>
        <v/>
      </c>
      <c r="AX36" s="44" t="str">
        <f>IF(AND(C36=Master!$H$4,B36="2012-2013",E36="",G36="NPN05"),H36,"")</f>
        <v/>
      </c>
      <c r="AY36" s="44" t="str">
        <f>IF(AND(C36=Master!$H$5,B36="2012-2013",E36&gt;1000,G36="NPN05"),H36,"")</f>
        <v/>
      </c>
      <c r="AZ36" s="44" t="str">
        <f>IF(AND(C36=Master!$H$5,B36="2012-2013",E36="",G36="NPN05"),H36,"")</f>
        <v/>
      </c>
      <c r="BA36" s="44" t="str">
        <f>IF(AND(C36=Master!$H$6,B36="2012-2013",E36&gt;1000,G36="NPN05"),H36,"")</f>
        <v/>
      </c>
      <c r="BB36" s="44" t="str">
        <f>IF(AND(C36=Master!$H$6,B36="2012-2013",E36="",G36="NPN05"),H36,"")</f>
        <v/>
      </c>
      <c r="BC36" s="44" t="str">
        <f>IF(AND(C36=Master!$H$7,B36="2012-2013",E36&gt;1000,G36="NPN05"),H36,"")</f>
        <v/>
      </c>
      <c r="BD36" s="44" t="str">
        <f>IF(AND(C36=Master!$H$7,B36="2012-2013",E36="",G36="NPN05"),H36,"")</f>
        <v/>
      </c>
      <c r="BE36" s="44" t="str">
        <f>IF(AND(C36=Master!$H$8,B36="2012-2013",E36&gt;1000,G36="NPN05"),H36,"")</f>
        <v/>
      </c>
      <c r="BF36" s="44" t="str">
        <f>IF(AND(C36=Master!$H$8,B36="2012-2013",E36="",G36="NPN05"),H36,"")</f>
        <v/>
      </c>
      <c r="BG36" s="44" t="str">
        <f>IF(AND(C36=Master!$H$9,B36="2012-2013",E36&gt;1000,G36="NPN05"),H36,"")</f>
        <v/>
      </c>
      <c r="BH36" s="44" t="str">
        <f>IF(AND(C36=Master!$H$9,B36="2012-2013",E36="",G36="NPN05"),H36,"")</f>
        <v/>
      </c>
    </row>
    <row r="37" spans="1:60" x14ac:dyDescent="0.25">
      <c r="A37" s="3">
        <v>35</v>
      </c>
      <c r="B37" s="12"/>
      <c r="C37" s="12"/>
      <c r="D37" s="31"/>
      <c r="E37" s="4"/>
      <c r="F37" s="13"/>
      <c r="G37" s="21"/>
      <c r="H37" s="35"/>
      <c r="I37" s="27"/>
      <c r="J37" s="25" t="str">
        <f>IF(NOT(I37=""),INDEX(Master!$B$1:$B$46,MATCH(I37,Master!$A$1:$A$46,0)),"")</f>
        <v/>
      </c>
      <c r="K37" s="18"/>
      <c r="L37" s="86"/>
      <c r="M37" s="13"/>
      <c r="N37" s="13"/>
      <c r="O37" s="18"/>
      <c r="P37" s="35"/>
      <c r="Q37" s="21"/>
      <c r="R37" s="21"/>
      <c r="S37" s="13"/>
      <c r="T37" s="12"/>
      <c r="U37" s="12"/>
      <c r="V37" s="12"/>
      <c r="W37" s="14"/>
      <c r="Y37" s="42" t="str">
        <f>IF(AND(C37=Master!$H$1,B37="2012-2013",E37&gt;1000,G37="PLN03"),H37,"")</f>
        <v/>
      </c>
      <c r="Z37" s="42" t="str">
        <f>IF(AND(C37=Master!$H$1,B37="2012-2013",E37="",G37="PLN03"),H37,"")</f>
        <v/>
      </c>
      <c r="AA37" s="42" t="str">
        <f>IF(AND(C37=Master!$H$2,B37="2012-2013",E37&gt;1000,G37="PLN03"),H37,"")</f>
        <v/>
      </c>
      <c r="AB37" s="42" t="str">
        <f>IF(AND(C37=Master!$H$2,B37="2012-2013",E37="",G37="PLN03"),H37,"")</f>
        <v/>
      </c>
      <c r="AC37" s="42" t="str">
        <f>IF(AND(C37=Master!$H$3,B37="2012-2013",E37&gt;1000,G37="PLN03"),H37,"")</f>
        <v/>
      </c>
      <c r="AD37" s="42" t="str">
        <f>IF(AND(C37=Master!$H$3,B37="2012-2013",E37="",G37="PLN03"),H37,"")</f>
        <v/>
      </c>
      <c r="AE37" s="42" t="str">
        <f>IF(AND(C37=Master!$H$4,B37="2012-2013",E37&gt;1000,G37="PLN03"),H37,"")</f>
        <v/>
      </c>
      <c r="AF37" s="42" t="str">
        <f>IF(AND(C37=Master!$H$4,B37="2012-2013",E37="",G37="PLN03"),H37,"")</f>
        <v/>
      </c>
      <c r="AG37" s="42" t="str">
        <f>IF(AND(C37=Master!$H$5,B37="2012-2013",E37&gt;1000,G37="PLN03"),H37,"")</f>
        <v/>
      </c>
      <c r="AH37" s="42" t="str">
        <f>IF(AND(C37=Master!$H$5,B37="2012-2013",E37="",G37="PLN03"),H37,"")</f>
        <v/>
      </c>
      <c r="AI37" s="42" t="str">
        <f>IF(AND(C37=Master!$H$6,B37="2012-2013",E37&gt;1000,G37="PLN03"),H37,"")</f>
        <v/>
      </c>
      <c r="AJ37" s="42" t="str">
        <f>IF(AND(C37=Master!$H$6,B37="2012-2013",E37="",G37="PLN03"),H37,"")</f>
        <v/>
      </c>
      <c r="AK37" s="42" t="str">
        <f>IF(AND(C37=Master!$H$7,B37="2012-2013",E37&gt;1000,G37="PLN03"),H37,"")</f>
        <v/>
      </c>
      <c r="AL37" s="42" t="str">
        <f>IF(AND(C37=Master!$H$7,B37="2012-2013",E37="",G37="PLN03"),H37,"")</f>
        <v/>
      </c>
      <c r="AM37" s="42" t="str">
        <f>IF(AND(C37=Master!$H$8,B37="2012-2013",E37&gt;1000,G37="PLN03"),H37,"")</f>
        <v/>
      </c>
      <c r="AN37" s="42" t="str">
        <f>IF(AND(C37=Master!$H$8,B37="2012-2013",E37="",G37="PLN03"),H37,"")</f>
        <v/>
      </c>
      <c r="AO37" s="42" t="str">
        <f>IF(AND(C37=Master!$H$9,B37="2012-2013",E37&gt;1000,G37="PLN03"),H37,"")</f>
        <v/>
      </c>
      <c r="AP37" s="42" t="str">
        <f>IF(AND(C37=Master!$H$9,B37="2012-2013",E37="",G37="PLN03"),H37,"")</f>
        <v/>
      </c>
      <c r="AQ37" s="44" t="str">
        <f>IF(AND(C37=Master!$H$1,B37="2012-2013",E37&gt;1000,G37="NPN05"),H37,"")</f>
        <v/>
      </c>
      <c r="AR37" s="44" t="str">
        <f>IF(AND(C37=Master!$H$1,B37="2012-2013",E37="",G37="NPN05"),H37,"")</f>
        <v/>
      </c>
      <c r="AS37" s="44" t="str">
        <f>IF(AND(C37=Master!$H$2,B37="2012-2013",E37&gt;1000,G37="NPN05"),H37,"")</f>
        <v/>
      </c>
      <c r="AT37" s="44" t="str">
        <f>IF(AND(C37=Master!$H$2,B37="2012-2013",E37="",G37="NPN05"),H37,"")</f>
        <v/>
      </c>
      <c r="AU37" s="44" t="str">
        <f>IF(AND(C37=Master!$H$3,B37="2012-2013",E37&gt;1000,G37="NPN05"),H37,"")</f>
        <v/>
      </c>
      <c r="AV37" s="44" t="str">
        <f>IF(AND(C37=Master!$H$3,B37="2012-2013",E37="",G37="NPN05"),H37,"")</f>
        <v/>
      </c>
      <c r="AW37" s="44" t="str">
        <f>IF(AND(C37=Master!$H$4,B37="2012-2013",E37&gt;1000,G37="NPN05"),H37,"")</f>
        <v/>
      </c>
      <c r="AX37" s="44" t="str">
        <f>IF(AND(C37=Master!$H$4,B37="2012-2013",E37="",G37="NPN05"),H37,"")</f>
        <v/>
      </c>
      <c r="AY37" s="44" t="str">
        <f>IF(AND(C37=Master!$H$5,B37="2012-2013",E37&gt;1000,G37="NPN05"),H37,"")</f>
        <v/>
      </c>
      <c r="AZ37" s="44" t="str">
        <f>IF(AND(C37=Master!$H$5,B37="2012-2013",E37="",G37="NPN05"),H37,"")</f>
        <v/>
      </c>
      <c r="BA37" s="44" t="str">
        <f>IF(AND(C37=Master!$H$6,B37="2012-2013",E37&gt;1000,G37="NPN05"),H37,"")</f>
        <v/>
      </c>
      <c r="BB37" s="44" t="str">
        <f>IF(AND(C37=Master!$H$6,B37="2012-2013",E37="",G37="NPN05"),H37,"")</f>
        <v/>
      </c>
      <c r="BC37" s="44" t="str">
        <f>IF(AND(C37=Master!$H$7,B37="2012-2013",E37&gt;1000,G37="NPN05"),H37,"")</f>
        <v/>
      </c>
      <c r="BD37" s="44" t="str">
        <f>IF(AND(C37=Master!$H$7,B37="2012-2013",E37="",G37="NPN05"),H37,"")</f>
        <v/>
      </c>
      <c r="BE37" s="44" t="str">
        <f>IF(AND(C37=Master!$H$8,B37="2012-2013",E37&gt;1000,G37="NPN05"),H37,"")</f>
        <v/>
      </c>
      <c r="BF37" s="44" t="str">
        <f>IF(AND(C37=Master!$H$8,B37="2012-2013",E37="",G37="NPN05"),H37,"")</f>
        <v/>
      </c>
      <c r="BG37" s="44" t="str">
        <f>IF(AND(C37=Master!$H$9,B37="2012-2013",E37&gt;1000,G37="NPN05"),H37,"")</f>
        <v/>
      </c>
      <c r="BH37" s="44" t="str">
        <f>IF(AND(C37=Master!$H$9,B37="2012-2013",E37="",G37="NPN05"),H37,"")</f>
        <v/>
      </c>
    </row>
    <row r="38" spans="1:60" x14ac:dyDescent="0.25">
      <c r="A38" s="3">
        <v>36</v>
      </c>
      <c r="B38" s="12"/>
      <c r="C38" s="12"/>
      <c r="D38" s="31"/>
      <c r="E38" s="4"/>
      <c r="F38" s="13"/>
      <c r="G38" s="21"/>
      <c r="H38" s="35"/>
      <c r="I38" s="27"/>
      <c r="J38" s="25" t="str">
        <f>IF(NOT(I38=""),INDEX(Master!$B$1:$B$46,MATCH(I38,Master!$A$1:$A$46,0)),"")</f>
        <v/>
      </c>
      <c r="K38" s="18"/>
      <c r="L38" s="86"/>
      <c r="M38" s="13"/>
      <c r="N38" s="13"/>
      <c r="O38" s="18"/>
      <c r="P38" s="35"/>
      <c r="Q38" s="21"/>
      <c r="R38" s="21"/>
      <c r="S38" s="13"/>
      <c r="T38" s="12"/>
      <c r="U38" s="12"/>
      <c r="V38" s="12"/>
      <c r="W38" s="14"/>
      <c r="Y38" s="42" t="str">
        <f>IF(AND(C38=Master!$H$1,B38="2012-2013",E38&gt;1000,G38="PLN03"),H38,"")</f>
        <v/>
      </c>
      <c r="Z38" s="42" t="str">
        <f>IF(AND(C38=Master!$H$1,B38="2012-2013",E38="",G38="PLN03"),H38,"")</f>
        <v/>
      </c>
      <c r="AA38" s="42" t="str">
        <f>IF(AND(C38=Master!$H$2,B38="2012-2013",E38&gt;1000,G38="PLN03"),H38,"")</f>
        <v/>
      </c>
      <c r="AB38" s="42" t="str">
        <f>IF(AND(C38=Master!$H$2,B38="2012-2013",E38="",G38="PLN03"),H38,"")</f>
        <v/>
      </c>
      <c r="AC38" s="42" t="str">
        <f>IF(AND(C38=Master!$H$3,B38="2012-2013",E38&gt;1000,G38="PLN03"),H38,"")</f>
        <v/>
      </c>
      <c r="AD38" s="42" t="str">
        <f>IF(AND(C38=Master!$H$3,B38="2012-2013",E38="",G38="PLN03"),H38,"")</f>
        <v/>
      </c>
      <c r="AE38" s="42" t="str">
        <f>IF(AND(C38=Master!$H$4,B38="2012-2013",E38&gt;1000,G38="PLN03"),H38,"")</f>
        <v/>
      </c>
      <c r="AF38" s="42" t="str">
        <f>IF(AND(C38=Master!$H$4,B38="2012-2013",E38="",G38="PLN03"),H38,"")</f>
        <v/>
      </c>
      <c r="AG38" s="42" t="str">
        <f>IF(AND(C38=Master!$H$5,B38="2012-2013",E38&gt;1000,G38="PLN03"),H38,"")</f>
        <v/>
      </c>
      <c r="AH38" s="42" t="str">
        <f>IF(AND(C38=Master!$H$5,B38="2012-2013",E38="",G38="PLN03"),H38,"")</f>
        <v/>
      </c>
      <c r="AI38" s="42" t="str">
        <f>IF(AND(C38=Master!$H$6,B38="2012-2013",E38&gt;1000,G38="PLN03"),H38,"")</f>
        <v/>
      </c>
      <c r="AJ38" s="42" t="str">
        <f>IF(AND(C38=Master!$H$6,B38="2012-2013",E38="",G38="PLN03"),H38,"")</f>
        <v/>
      </c>
      <c r="AK38" s="42" t="str">
        <f>IF(AND(C38=Master!$H$7,B38="2012-2013",E38&gt;1000,G38="PLN03"),H38,"")</f>
        <v/>
      </c>
      <c r="AL38" s="42" t="str">
        <f>IF(AND(C38=Master!$H$7,B38="2012-2013",E38="",G38="PLN03"),H38,"")</f>
        <v/>
      </c>
      <c r="AM38" s="42" t="str">
        <f>IF(AND(C38=Master!$H$8,B38="2012-2013",E38&gt;1000,G38="PLN03"),H38,"")</f>
        <v/>
      </c>
      <c r="AN38" s="42" t="str">
        <f>IF(AND(C38=Master!$H$8,B38="2012-2013",E38="",G38="PLN03"),H38,"")</f>
        <v/>
      </c>
      <c r="AO38" s="42" t="str">
        <f>IF(AND(C38=Master!$H$9,B38="2012-2013",E38&gt;1000,G38="PLN03"),H38,"")</f>
        <v/>
      </c>
      <c r="AP38" s="42" t="str">
        <f>IF(AND(C38=Master!$H$9,B38="2012-2013",E38="",G38="PLN03"),H38,"")</f>
        <v/>
      </c>
      <c r="AQ38" s="44" t="str">
        <f>IF(AND(C38=Master!$H$1,B38="2012-2013",E38&gt;1000,G38="NPN05"),H38,"")</f>
        <v/>
      </c>
      <c r="AR38" s="44" t="str">
        <f>IF(AND(C38=Master!$H$1,B38="2012-2013",E38="",G38="NPN05"),H38,"")</f>
        <v/>
      </c>
      <c r="AS38" s="44" t="str">
        <f>IF(AND(C38=Master!$H$2,B38="2012-2013",E38&gt;1000,G38="NPN05"),H38,"")</f>
        <v/>
      </c>
      <c r="AT38" s="44" t="str">
        <f>IF(AND(C38=Master!$H$2,B38="2012-2013",E38="",G38="NPN05"),H38,"")</f>
        <v/>
      </c>
      <c r="AU38" s="44" t="str">
        <f>IF(AND(C38=Master!$H$3,B38="2012-2013",E38&gt;1000,G38="NPN05"),H38,"")</f>
        <v/>
      </c>
      <c r="AV38" s="44" t="str">
        <f>IF(AND(C38=Master!$H$3,B38="2012-2013",E38="",G38="NPN05"),H38,"")</f>
        <v/>
      </c>
      <c r="AW38" s="44" t="str">
        <f>IF(AND(C38=Master!$H$4,B38="2012-2013",E38&gt;1000,G38="NPN05"),H38,"")</f>
        <v/>
      </c>
      <c r="AX38" s="44" t="str">
        <f>IF(AND(C38=Master!$H$4,B38="2012-2013",E38="",G38="NPN05"),H38,"")</f>
        <v/>
      </c>
      <c r="AY38" s="44" t="str">
        <f>IF(AND(C38=Master!$H$5,B38="2012-2013",E38&gt;1000,G38="NPN05"),H38,"")</f>
        <v/>
      </c>
      <c r="AZ38" s="44" t="str">
        <f>IF(AND(C38=Master!$H$5,B38="2012-2013",E38="",G38="NPN05"),H38,"")</f>
        <v/>
      </c>
      <c r="BA38" s="44" t="str">
        <f>IF(AND(C38=Master!$H$6,B38="2012-2013",E38&gt;1000,G38="NPN05"),H38,"")</f>
        <v/>
      </c>
      <c r="BB38" s="44" t="str">
        <f>IF(AND(C38=Master!$H$6,B38="2012-2013",E38="",G38="NPN05"),H38,"")</f>
        <v/>
      </c>
      <c r="BC38" s="44" t="str">
        <f>IF(AND(C38=Master!$H$7,B38="2012-2013",E38&gt;1000,G38="NPN05"),H38,"")</f>
        <v/>
      </c>
      <c r="BD38" s="44" t="str">
        <f>IF(AND(C38=Master!$H$7,B38="2012-2013",E38="",G38="NPN05"),H38,"")</f>
        <v/>
      </c>
      <c r="BE38" s="44" t="str">
        <f>IF(AND(C38=Master!$H$8,B38="2012-2013",E38&gt;1000,G38="NPN05"),H38,"")</f>
        <v/>
      </c>
      <c r="BF38" s="44" t="str">
        <f>IF(AND(C38=Master!$H$8,B38="2012-2013",E38="",G38="NPN05"),H38,"")</f>
        <v/>
      </c>
      <c r="BG38" s="44" t="str">
        <f>IF(AND(C38=Master!$H$9,B38="2012-2013",E38&gt;1000,G38="NPN05"),H38,"")</f>
        <v/>
      </c>
      <c r="BH38" s="44" t="str">
        <f>IF(AND(C38=Master!$H$9,B38="2012-2013",E38="",G38="NPN05"),H38,"")</f>
        <v/>
      </c>
    </row>
    <row r="39" spans="1:60" x14ac:dyDescent="0.25">
      <c r="A39" s="3">
        <v>37</v>
      </c>
      <c r="B39" s="12"/>
      <c r="C39" s="12"/>
      <c r="D39" s="31"/>
      <c r="E39" s="4"/>
      <c r="F39" s="13"/>
      <c r="G39" s="21"/>
      <c r="H39" s="35"/>
      <c r="I39" s="27"/>
      <c r="J39" s="25" t="str">
        <f>IF(NOT(I39=""),INDEX(Master!$B$1:$B$46,MATCH(I39,Master!$A$1:$A$46,0)),"")</f>
        <v/>
      </c>
      <c r="K39" s="18"/>
      <c r="L39" s="86"/>
      <c r="M39" s="13"/>
      <c r="N39" s="13"/>
      <c r="O39" s="18"/>
      <c r="P39" s="35"/>
      <c r="Q39" s="21"/>
      <c r="R39" s="21"/>
      <c r="S39" s="13"/>
      <c r="T39" s="12"/>
      <c r="U39" s="12"/>
      <c r="V39" s="12"/>
      <c r="W39" s="14"/>
      <c r="Y39" s="42" t="str">
        <f>IF(AND(C39=Master!$H$1,B39="2012-2013",E39&gt;1000,G39="PLN03"),H39,"")</f>
        <v/>
      </c>
      <c r="Z39" s="42" t="str">
        <f>IF(AND(C39=Master!$H$1,B39="2012-2013",E39="",G39="PLN03"),H39,"")</f>
        <v/>
      </c>
      <c r="AA39" s="42" t="str">
        <f>IF(AND(C39=Master!$H$2,B39="2012-2013",E39&gt;1000,G39="PLN03"),H39,"")</f>
        <v/>
      </c>
      <c r="AB39" s="42" t="str">
        <f>IF(AND(C39=Master!$H$2,B39="2012-2013",E39="",G39="PLN03"),H39,"")</f>
        <v/>
      </c>
      <c r="AC39" s="42" t="str">
        <f>IF(AND(C39=Master!$H$3,B39="2012-2013",E39&gt;1000,G39="PLN03"),H39,"")</f>
        <v/>
      </c>
      <c r="AD39" s="42" t="str">
        <f>IF(AND(C39=Master!$H$3,B39="2012-2013",E39="",G39="PLN03"),H39,"")</f>
        <v/>
      </c>
      <c r="AE39" s="42" t="str">
        <f>IF(AND(C39=Master!$H$4,B39="2012-2013",E39&gt;1000,G39="PLN03"),H39,"")</f>
        <v/>
      </c>
      <c r="AF39" s="42" t="str">
        <f>IF(AND(C39=Master!$H$4,B39="2012-2013",E39="",G39="PLN03"),H39,"")</f>
        <v/>
      </c>
      <c r="AG39" s="42" t="str">
        <f>IF(AND(C39=Master!$H$5,B39="2012-2013",E39&gt;1000,G39="PLN03"),H39,"")</f>
        <v/>
      </c>
      <c r="AH39" s="42" t="str">
        <f>IF(AND(C39=Master!$H$5,B39="2012-2013",E39="",G39="PLN03"),H39,"")</f>
        <v/>
      </c>
      <c r="AI39" s="42" t="str">
        <f>IF(AND(C39=Master!$H$6,B39="2012-2013",E39&gt;1000,G39="PLN03"),H39,"")</f>
        <v/>
      </c>
      <c r="AJ39" s="42" t="str">
        <f>IF(AND(C39=Master!$H$6,B39="2012-2013",E39="",G39="PLN03"),H39,"")</f>
        <v/>
      </c>
      <c r="AK39" s="42" t="str">
        <f>IF(AND(C39=Master!$H$7,B39="2012-2013",E39&gt;1000,G39="PLN03"),H39,"")</f>
        <v/>
      </c>
      <c r="AL39" s="42" t="str">
        <f>IF(AND(C39=Master!$H$7,B39="2012-2013",E39="",G39="PLN03"),H39,"")</f>
        <v/>
      </c>
      <c r="AM39" s="42" t="str">
        <f>IF(AND(C39=Master!$H$8,B39="2012-2013",E39&gt;1000,G39="PLN03"),H39,"")</f>
        <v/>
      </c>
      <c r="AN39" s="42" t="str">
        <f>IF(AND(C39=Master!$H$8,B39="2012-2013",E39="",G39="PLN03"),H39,"")</f>
        <v/>
      </c>
      <c r="AO39" s="42" t="str">
        <f>IF(AND(C39=Master!$H$9,B39="2012-2013",E39&gt;1000,G39="PLN03"),H39,"")</f>
        <v/>
      </c>
      <c r="AP39" s="42" t="str">
        <f>IF(AND(C39=Master!$H$9,B39="2012-2013",E39="",G39="PLN03"),H39,"")</f>
        <v/>
      </c>
      <c r="AQ39" s="44" t="str">
        <f>IF(AND(C39=Master!$H$1,B39="2012-2013",E39&gt;1000,G39="NPN05"),H39,"")</f>
        <v/>
      </c>
      <c r="AR39" s="44" t="str">
        <f>IF(AND(C39=Master!$H$1,B39="2012-2013",E39="",G39="NPN05"),H39,"")</f>
        <v/>
      </c>
      <c r="AS39" s="44" t="str">
        <f>IF(AND(C39=Master!$H$2,B39="2012-2013",E39&gt;1000,G39="NPN05"),H39,"")</f>
        <v/>
      </c>
      <c r="AT39" s="44" t="str">
        <f>IF(AND(C39=Master!$H$2,B39="2012-2013",E39="",G39="NPN05"),H39,"")</f>
        <v/>
      </c>
      <c r="AU39" s="44" t="str">
        <f>IF(AND(C39=Master!$H$3,B39="2012-2013",E39&gt;1000,G39="NPN05"),H39,"")</f>
        <v/>
      </c>
      <c r="AV39" s="44" t="str">
        <f>IF(AND(C39=Master!$H$3,B39="2012-2013",E39="",G39="NPN05"),H39,"")</f>
        <v/>
      </c>
      <c r="AW39" s="44" t="str">
        <f>IF(AND(C39=Master!$H$4,B39="2012-2013",E39&gt;1000,G39="NPN05"),H39,"")</f>
        <v/>
      </c>
      <c r="AX39" s="44" t="str">
        <f>IF(AND(C39=Master!$H$4,B39="2012-2013",E39="",G39="NPN05"),H39,"")</f>
        <v/>
      </c>
      <c r="AY39" s="44" t="str">
        <f>IF(AND(C39=Master!$H$5,B39="2012-2013",E39&gt;1000,G39="NPN05"),H39,"")</f>
        <v/>
      </c>
      <c r="AZ39" s="44" t="str">
        <f>IF(AND(C39=Master!$H$5,B39="2012-2013",E39="",G39="NPN05"),H39,"")</f>
        <v/>
      </c>
      <c r="BA39" s="44" t="str">
        <f>IF(AND(C39=Master!$H$6,B39="2012-2013",E39&gt;1000,G39="NPN05"),H39,"")</f>
        <v/>
      </c>
      <c r="BB39" s="44" t="str">
        <f>IF(AND(C39=Master!$H$6,B39="2012-2013",E39="",G39="NPN05"),H39,"")</f>
        <v/>
      </c>
      <c r="BC39" s="44" t="str">
        <f>IF(AND(C39=Master!$H$7,B39="2012-2013",E39&gt;1000,G39="NPN05"),H39,"")</f>
        <v/>
      </c>
      <c r="BD39" s="44" t="str">
        <f>IF(AND(C39=Master!$H$7,B39="2012-2013",E39="",G39="NPN05"),H39,"")</f>
        <v/>
      </c>
      <c r="BE39" s="44" t="str">
        <f>IF(AND(C39=Master!$H$8,B39="2012-2013",E39&gt;1000,G39="NPN05"),H39,"")</f>
        <v/>
      </c>
      <c r="BF39" s="44" t="str">
        <f>IF(AND(C39=Master!$H$8,B39="2012-2013",E39="",G39="NPN05"),H39,"")</f>
        <v/>
      </c>
      <c r="BG39" s="44" t="str">
        <f>IF(AND(C39=Master!$H$9,B39="2012-2013",E39&gt;1000,G39="NPN05"),H39,"")</f>
        <v/>
      </c>
      <c r="BH39" s="44" t="str">
        <f>IF(AND(C39=Master!$H$9,B39="2012-2013",E39="",G39="NPN05"),H39,"")</f>
        <v/>
      </c>
    </row>
    <row r="40" spans="1:60" x14ac:dyDescent="0.25">
      <c r="A40" s="3">
        <v>38</v>
      </c>
      <c r="B40" s="12"/>
      <c r="C40" s="12"/>
      <c r="D40" s="31"/>
      <c r="E40" s="4"/>
      <c r="F40" s="13"/>
      <c r="G40" s="21"/>
      <c r="H40" s="35"/>
      <c r="I40" s="27"/>
      <c r="J40" s="25" t="str">
        <f>IF(NOT(I40=""),INDEX(Master!$B$1:$B$46,MATCH(I40,Master!$A$1:$A$46,0)),"")</f>
        <v/>
      </c>
      <c r="K40" s="18"/>
      <c r="L40" s="86"/>
      <c r="M40" s="13"/>
      <c r="N40" s="13"/>
      <c r="O40" s="18"/>
      <c r="P40" s="35"/>
      <c r="Q40" s="21"/>
      <c r="R40" s="21"/>
      <c r="S40" s="13"/>
      <c r="T40" s="12"/>
      <c r="U40" s="12"/>
      <c r="V40" s="12"/>
      <c r="W40" s="14"/>
      <c r="Y40" s="42" t="str">
        <f>IF(AND(C40=Master!$H$1,B40="2012-2013",E40&gt;1000,G40="PLN03"),H40,"")</f>
        <v/>
      </c>
      <c r="Z40" s="42" t="str">
        <f>IF(AND(C40=Master!$H$1,B40="2012-2013",E40="",G40="PLN03"),H40,"")</f>
        <v/>
      </c>
      <c r="AA40" s="42" t="str">
        <f>IF(AND(C40=Master!$H$2,B40="2012-2013",E40&gt;1000,G40="PLN03"),H40,"")</f>
        <v/>
      </c>
      <c r="AB40" s="42" t="str">
        <f>IF(AND(C40=Master!$H$2,B40="2012-2013",E40="",G40="PLN03"),H40,"")</f>
        <v/>
      </c>
      <c r="AC40" s="42" t="str">
        <f>IF(AND(C40=Master!$H$3,B40="2012-2013",E40&gt;1000,G40="PLN03"),H40,"")</f>
        <v/>
      </c>
      <c r="AD40" s="42" t="str">
        <f>IF(AND(C40=Master!$H$3,B40="2012-2013",E40="",G40="PLN03"),H40,"")</f>
        <v/>
      </c>
      <c r="AE40" s="42" t="str">
        <f>IF(AND(C40=Master!$H$4,B40="2012-2013",E40&gt;1000,G40="PLN03"),H40,"")</f>
        <v/>
      </c>
      <c r="AF40" s="42" t="str">
        <f>IF(AND(C40=Master!$H$4,B40="2012-2013",E40="",G40="PLN03"),H40,"")</f>
        <v/>
      </c>
      <c r="AG40" s="42" t="str">
        <f>IF(AND(C40=Master!$H$5,B40="2012-2013",E40&gt;1000,G40="PLN03"),H40,"")</f>
        <v/>
      </c>
      <c r="AH40" s="42" t="str">
        <f>IF(AND(C40=Master!$H$5,B40="2012-2013",E40="",G40="PLN03"),H40,"")</f>
        <v/>
      </c>
      <c r="AI40" s="42" t="str">
        <f>IF(AND(C40=Master!$H$6,B40="2012-2013",E40&gt;1000,G40="PLN03"),H40,"")</f>
        <v/>
      </c>
      <c r="AJ40" s="42" t="str">
        <f>IF(AND(C40=Master!$H$6,B40="2012-2013",E40="",G40="PLN03"),H40,"")</f>
        <v/>
      </c>
      <c r="AK40" s="42" t="str">
        <f>IF(AND(C40=Master!$H$7,B40="2012-2013",E40&gt;1000,G40="PLN03"),H40,"")</f>
        <v/>
      </c>
      <c r="AL40" s="42" t="str">
        <f>IF(AND(C40=Master!$H$7,B40="2012-2013",E40="",G40="PLN03"),H40,"")</f>
        <v/>
      </c>
      <c r="AM40" s="42" t="str">
        <f>IF(AND(C40=Master!$H$8,B40="2012-2013",E40&gt;1000,G40="PLN03"),H40,"")</f>
        <v/>
      </c>
      <c r="AN40" s="42" t="str">
        <f>IF(AND(C40=Master!$H$8,B40="2012-2013",E40="",G40="PLN03"),H40,"")</f>
        <v/>
      </c>
      <c r="AO40" s="42" t="str">
        <f>IF(AND(C40=Master!$H$9,B40="2012-2013",E40&gt;1000,G40="PLN03"),H40,"")</f>
        <v/>
      </c>
      <c r="AP40" s="42" t="str">
        <f>IF(AND(C40=Master!$H$9,B40="2012-2013",E40="",G40="PLN03"),H40,"")</f>
        <v/>
      </c>
      <c r="AQ40" s="44" t="str">
        <f>IF(AND(C40=Master!$H$1,B40="2012-2013",E40&gt;1000,G40="NPN05"),H40,"")</f>
        <v/>
      </c>
      <c r="AR40" s="44" t="str">
        <f>IF(AND(C40=Master!$H$1,B40="2012-2013",E40="",G40="NPN05"),H40,"")</f>
        <v/>
      </c>
      <c r="AS40" s="44" t="str">
        <f>IF(AND(C40=Master!$H$2,B40="2012-2013",E40&gt;1000,G40="NPN05"),H40,"")</f>
        <v/>
      </c>
      <c r="AT40" s="44" t="str">
        <f>IF(AND(C40=Master!$H$2,B40="2012-2013",E40="",G40="NPN05"),H40,"")</f>
        <v/>
      </c>
      <c r="AU40" s="44" t="str">
        <f>IF(AND(C40=Master!$H$3,B40="2012-2013",E40&gt;1000,G40="NPN05"),H40,"")</f>
        <v/>
      </c>
      <c r="AV40" s="44" t="str">
        <f>IF(AND(C40=Master!$H$3,B40="2012-2013",E40="",G40="NPN05"),H40,"")</f>
        <v/>
      </c>
      <c r="AW40" s="44" t="str">
        <f>IF(AND(C40=Master!$H$4,B40="2012-2013",E40&gt;1000,G40="NPN05"),H40,"")</f>
        <v/>
      </c>
      <c r="AX40" s="44" t="str">
        <f>IF(AND(C40=Master!$H$4,B40="2012-2013",E40="",G40="NPN05"),H40,"")</f>
        <v/>
      </c>
      <c r="AY40" s="44" t="str">
        <f>IF(AND(C40=Master!$H$5,B40="2012-2013",E40&gt;1000,G40="NPN05"),H40,"")</f>
        <v/>
      </c>
      <c r="AZ40" s="44" t="str">
        <f>IF(AND(C40=Master!$H$5,B40="2012-2013",E40="",G40="NPN05"),H40,"")</f>
        <v/>
      </c>
      <c r="BA40" s="44" t="str">
        <f>IF(AND(C40=Master!$H$6,B40="2012-2013",E40&gt;1000,G40="NPN05"),H40,"")</f>
        <v/>
      </c>
      <c r="BB40" s="44" t="str">
        <f>IF(AND(C40=Master!$H$6,B40="2012-2013",E40="",G40="NPN05"),H40,"")</f>
        <v/>
      </c>
      <c r="BC40" s="44" t="str">
        <f>IF(AND(C40=Master!$H$7,B40="2012-2013",E40&gt;1000,G40="NPN05"),H40,"")</f>
        <v/>
      </c>
      <c r="BD40" s="44" t="str">
        <f>IF(AND(C40=Master!$H$7,B40="2012-2013",E40="",G40="NPN05"),H40,"")</f>
        <v/>
      </c>
      <c r="BE40" s="44" t="str">
        <f>IF(AND(C40=Master!$H$8,B40="2012-2013",E40&gt;1000,G40="NPN05"),H40,"")</f>
        <v/>
      </c>
      <c r="BF40" s="44" t="str">
        <f>IF(AND(C40=Master!$H$8,B40="2012-2013",E40="",G40="NPN05"),H40,"")</f>
        <v/>
      </c>
      <c r="BG40" s="44" t="str">
        <f>IF(AND(C40=Master!$H$9,B40="2012-2013",E40&gt;1000,G40="NPN05"),H40,"")</f>
        <v/>
      </c>
      <c r="BH40" s="44" t="str">
        <f>IF(AND(C40=Master!$H$9,B40="2012-2013",E40="",G40="NPN05"),H40,"")</f>
        <v/>
      </c>
    </row>
    <row r="41" spans="1:60" x14ac:dyDescent="0.25">
      <c r="A41" s="3">
        <v>39</v>
      </c>
      <c r="B41" s="12"/>
      <c r="C41" s="12"/>
      <c r="D41" s="31"/>
      <c r="E41" s="4"/>
      <c r="F41" s="13"/>
      <c r="G41" s="21"/>
      <c r="H41" s="35"/>
      <c r="I41" s="27"/>
      <c r="J41" s="25" t="str">
        <f>IF(NOT(I41=""),INDEX(Master!$B$1:$B$46,MATCH(I41,Master!$A$1:$A$46,0)),"")</f>
        <v/>
      </c>
      <c r="K41" s="18"/>
      <c r="L41" s="86"/>
      <c r="M41" s="13"/>
      <c r="N41" s="13"/>
      <c r="O41" s="18"/>
      <c r="P41" s="35"/>
      <c r="Q41" s="21"/>
      <c r="R41" s="21"/>
      <c r="S41" s="13"/>
      <c r="T41" s="12"/>
      <c r="U41" s="12"/>
      <c r="V41" s="12"/>
      <c r="W41" s="14"/>
      <c r="Y41" s="42" t="str">
        <f>IF(AND(C41=Master!$H$1,B41="2012-2013",E41&gt;1000,G41="PLN03"),H41,"")</f>
        <v/>
      </c>
      <c r="Z41" s="42" t="str">
        <f>IF(AND(C41=Master!$H$1,B41="2012-2013",E41="",G41="PLN03"),H41,"")</f>
        <v/>
      </c>
      <c r="AA41" s="42" t="str">
        <f>IF(AND(C41=Master!$H$2,B41="2012-2013",E41&gt;1000,G41="PLN03"),H41,"")</f>
        <v/>
      </c>
      <c r="AB41" s="42" t="str">
        <f>IF(AND(C41=Master!$H$2,B41="2012-2013",E41="",G41="PLN03"),H41,"")</f>
        <v/>
      </c>
      <c r="AC41" s="42" t="str">
        <f>IF(AND(C41=Master!$H$3,B41="2012-2013",E41&gt;1000,G41="PLN03"),H41,"")</f>
        <v/>
      </c>
      <c r="AD41" s="42" t="str">
        <f>IF(AND(C41=Master!$H$3,B41="2012-2013",E41="",G41="PLN03"),H41,"")</f>
        <v/>
      </c>
      <c r="AE41" s="42" t="str">
        <f>IF(AND(C41=Master!$H$4,B41="2012-2013",E41&gt;1000,G41="PLN03"),H41,"")</f>
        <v/>
      </c>
      <c r="AF41" s="42" t="str">
        <f>IF(AND(C41=Master!$H$4,B41="2012-2013",E41="",G41="PLN03"),H41,"")</f>
        <v/>
      </c>
      <c r="AG41" s="42" t="str">
        <f>IF(AND(C41=Master!$H$5,B41="2012-2013",E41&gt;1000,G41="PLN03"),H41,"")</f>
        <v/>
      </c>
      <c r="AH41" s="42" t="str">
        <f>IF(AND(C41=Master!$H$5,B41="2012-2013",E41="",G41="PLN03"),H41,"")</f>
        <v/>
      </c>
      <c r="AI41" s="42" t="str">
        <f>IF(AND(C41=Master!$H$6,B41="2012-2013",E41&gt;1000,G41="PLN03"),H41,"")</f>
        <v/>
      </c>
      <c r="AJ41" s="42" t="str">
        <f>IF(AND(C41=Master!$H$6,B41="2012-2013",E41="",G41="PLN03"),H41,"")</f>
        <v/>
      </c>
      <c r="AK41" s="42" t="str">
        <f>IF(AND(C41=Master!$H$7,B41="2012-2013",E41&gt;1000,G41="PLN03"),H41,"")</f>
        <v/>
      </c>
      <c r="AL41" s="42" t="str">
        <f>IF(AND(C41=Master!$H$7,B41="2012-2013",E41="",G41="PLN03"),H41,"")</f>
        <v/>
      </c>
      <c r="AM41" s="42" t="str">
        <f>IF(AND(C41=Master!$H$8,B41="2012-2013",E41&gt;1000,G41="PLN03"),H41,"")</f>
        <v/>
      </c>
      <c r="AN41" s="42" t="str">
        <f>IF(AND(C41=Master!$H$8,B41="2012-2013",E41="",G41="PLN03"),H41,"")</f>
        <v/>
      </c>
      <c r="AO41" s="42" t="str">
        <f>IF(AND(C41=Master!$H$9,B41="2012-2013",E41&gt;1000,G41="PLN03"),H41,"")</f>
        <v/>
      </c>
      <c r="AP41" s="42" t="str">
        <f>IF(AND(C41=Master!$H$9,B41="2012-2013",E41="",G41="PLN03"),H41,"")</f>
        <v/>
      </c>
      <c r="AQ41" s="44" t="str">
        <f>IF(AND(C41=Master!$H$1,B41="2012-2013",E41&gt;1000,G41="NPN05"),H41,"")</f>
        <v/>
      </c>
      <c r="AR41" s="44" t="str">
        <f>IF(AND(C41=Master!$H$1,B41="2012-2013",E41="",G41="NPN05"),H41,"")</f>
        <v/>
      </c>
      <c r="AS41" s="44" t="str">
        <f>IF(AND(C41=Master!$H$2,B41="2012-2013",E41&gt;1000,G41="NPN05"),H41,"")</f>
        <v/>
      </c>
      <c r="AT41" s="44" t="str">
        <f>IF(AND(C41=Master!$H$2,B41="2012-2013",E41="",G41="NPN05"),H41,"")</f>
        <v/>
      </c>
      <c r="AU41" s="44" t="str">
        <f>IF(AND(C41=Master!$H$3,B41="2012-2013",E41&gt;1000,G41="NPN05"),H41,"")</f>
        <v/>
      </c>
      <c r="AV41" s="44" t="str">
        <f>IF(AND(C41=Master!$H$3,B41="2012-2013",E41="",G41="NPN05"),H41,"")</f>
        <v/>
      </c>
      <c r="AW41" s="44" t="str">
        <f>IF(AND(C41=Master!$H$4,B41="2012-2013",E41&gt;1000,G41="NPN05"),H41,"")</f>
        <v/>
      </c>
      <c r="AX41" s="44" t="str">
        <f>IF(AND(C41=Master!$H$4,B41="2012-2013",E41="",G41="NPN05"),H41,"")</f>
        <v/>
      </c>
      <c r="AY41" s="44" t="str">
        <f>IF(AND(C41=Master!$H$5,B41="2012-2013",E41&gt;1000,G41="NPN05"),H41,"")</f>
        <v/>
      </c>
      <c r="AZ41" s="44" t="str">
        <f>IF(AND(C41=Master!$H$5,B41="2012-2013",E41="",G41="NPN05"),H41,"")</f>
        <v/>
      </c>
      <c r="BA41" s="44" t="str">
        <f>IF(AND(C41=Master!$H$6,B41="2012-2013",E41&gt;1000,G41="NPN05"),H41,"")</f>
        <v/>
      </c>
      <c r="BB41" s="44" t="str">
        <f>IF(AND(C41=Master!$H$6,B41="2012-2013",E41="",G41="NPN05"),H41,"")</f>
        <v/>
      </c>
      <c r="BC41" s="44" t="str">
        <f>IF(AND(C41=Master!$H$7,B41="2012-2013",E41&gt;1000,G41="NPN05"),H41,"")</f>
        <v/>
      </c>
      <c r="BD41" s="44" t="str">
        <f>IF(AND(C41=Master!$H$7,B41="2012-2013",E41="",G41="NPN05"),H41,"")</f>
        <v/>
      </c>
      <c r="BE41" s="44" t="str">
        <f>IF(AND(C41=Master!$H$8,B41="2012-2013",E41&gt;1000,G41="NPN05"),H41,"")</f>
        <v/>
      </c>
      <c r="BF41" s="44" t="str">
        <f>IF(AND(C41=Master!$H$8,B41="2012-2013",E41="",G41="NPN05"),H41,"")</f>
        <v/>
      </c>
      <c r="BG41" s="44" t="str">
        <f>IF(AND(C41=Master!$H$9,B41="2012-2013",E41&gt;1000,G41="NPN05"),H41,"")</f>
        <v/>
      </c>
      <c r="BH41" s="44" t="str">
        <f>IF(AND(C41=Master!$H$9,B41="2012-2013",E41="",G41="NPN05"),H41,"")</f>
        <v/>
      </c>
    </row>
    <row r="42" spans="1:60" x14ac:dyDescent="0.25">
      <c r="A42" s="3">
        <v>40</v>
      </c>
      <c r="B42" s="12"/>
      <c r="C42" s="12"/>
      <c r="D42" s="31"/>
      <c r="E42" s="4"/>
      <c r="F42" s="13"/>
      <c r="G42" s="21"/>
      <c r="H42" s="35"/>
      <c r="I42" s="27"/>
      <c r="J42" s="25" t="str">
        <f>IF(NOT(I42=""),INDEX(Master!$B$1:$B$46,MATCH(I42,Master!$A$1:$A$46,0)),"")</f>
        <v/>
      </c>
      <c r="K42" s="18"/>
      <c r="L42" s="86"/>
      <c r="M42" s="13"/>
      <c r="N42" s="13"/>
      <c r="O42" s="18"/>
      <c r="P42" s="35"/>
      <c r="Q42" s="21"/>
      <c r="R42" s="21"/>
      <c r="S42" s="13"/>
      <c r="T42" s="12"/>
      <c r="U42" s="12"/>
      <c r="V42" s="12"/>
      <c r="W42" s="14"/>
      <c r="Y42" s="42" t="str">
        <f>IF(AND(C42=Master!$H$1,B42="2012-2013",E42&gt;1000,G42="PLN03"),H42,"")</f>
        <v/>
      </c>
      <c r="Z42" s="42" t="str">
        <f>IF(AND(C42=Master!$H$1,B42="2012-2013",E42="",G42="PLN03"),H42,"")</f>
        <v/>
      </c>
      <c r="AA42" s="42" t="str">
        <f>IF(AND(C42=Master!$H$2,B42="2012-2013",E42&gt;1000,G42="PLN03"),H42,"")</f>
        <v/>
      </c>
      <c r="AB42" s="42" t="str">
        <f>IF(AND(C42=Master!$H$2,B42="2012-2013",E42="",G42="PLN03"),H42,"")</f>
        <v/>
      </c>
      <c r="AC42" s="42" t="str">
        <f>IF(AND(C42=Master!$H$3,B42="2012-2013",E42&gt;1000,G42="PLN03"),H42,"")</f>
        <v/>
      </c>
      <c r="AD42" s="42" t="str">
        <f>IF(AND(C42=Master!$H$3,B42="2012-2013",E42="",G42="PLN03"),H42,"")</f>
        <v/>
      </c>
      <c r="AE42" s="42" t="str">
        <f>IF(AND(C42=Master!$H$4,B42="2012-2013",E42&gt;1000,G42="PLN03"),H42,"")</f>
        <v/>
      </c>
      <c r="AF42" s="42" t="str">
        <f>IF(AND(C42=Master!$H$4,B42="2012-2013",E42="",G42="PLN03"),H42,"")</f>
        <v/>
      </c>
      <c r="AG42" s="42" t="str">
        <f>IF(AND(C42=Master!$H$5,B42="2012-2013",E42&gt;1000,G42="PLN03"),H42,"")</f>
        <v/>
      </c>
      <c r="AH42" s="42" t="str">
        <f>IF(AND(C42=Master!$H$5,B42="2012-2013",E42="",G42="PLN03"),H42,"")</f>
        <v/>
      </c>
      <c r="AI42" s="42" t="str">
        <f>IF(AND(C42=Master!$H$6,B42="2012-2013",E42&gt;1000,G42="PLN03"),H42,"")</f>
        <v/>
      </c>
      <c r="AJ42" s="42" t="str">
        <f>IF(AND(C42=Master!$H$6,B42="2012-2013",E42="",G42="PLN03"),H42,"")</f>
        <v/>
      </c>
      <c r="AK42" s="42" t="str">
        <f>IF(AND(C42=Master!$H$7,B42="2012-2013",E42&gt;1000,G42="PLN03"),H42,"")</f>
        <v/>
      </c>
      <c r="AL42" s="42" t="str">
        <f>IF(AND(C42=Master!$H$7,B42="2012-2013",E42="",G42="PLN03"),H42,"")</f>
        <v/>
      </c>
      <c r="AM42" s="42" t="str">
        <f>IF(AND(C42=Master!$H$8,B42="2012-2013",E42&gt;1000,G42="PLN03"),H42,"")</f>
        <v/>
      </c>
      <c r="AN42" s="42" t="str">
        <f>IF(AND(C42=Master!$H$8,B42="2012-2013",E42="",G42="PLN03"),H42,"")</f>
        <v/>
      </c>
      <c r="AO42" s="42" t="str">
        <f>IF(AND(C42=Master!$H$9,B42="2012-2013",E42&gt;1000,G42="PLN03"),H42,"")</f>
        <v/>
      </c>
      <c r="AP42" s="42" t="str">
        <f>IF(AND(C42=Master!$H$9,B42="2012-2013",E42="",G42="PLN03"),H42,"")</f>
        <v/>
      </c>
      <c r="AQ42" s="44" t="str">
        <f>IF(AND(C42=Master!$H$1,B42="2012-2013",E42&gt;1000,G42="NPN05"),H42,"")</f>
        <v/>
      </c>
      <c r="AR42" s="44" t="str">
        <f>IF(AND(C42=Master!$H$1,B42="2012-2013",E42="",G42="NPN05"),H42,"")</f>
        <v/>
      </c>
      <c r="AS42" s="44" t="str">
        <f>IF(AND(C42=Master!$H$2,B42="2012-2013",E42&gt;1000,G42="NPN05"),H42,"")</f>
        <v/>
      </c>
      <c r="AT42" s="44" t="str">
        <f>IF(AND(C42=Master!$H$2,B42="2012-2013",E42="",G42="NPN05"),H42,"")</f>
        <v/>
      </c>
      <c r="AU42" s="44" t="str">
        <f>IF(AND(C42=Master!$H$3,B42="2012-2013",E42&gt;1000,G42="NPN05"),H42,"")</f>
        <v/>
      </c>
      <c r="AV42" s="44" t="str">
        <f>IF(AND(C42=Master!$H$3,B42="2012-2013",E42="",G42="NPN05"),H42,"")</f>
        <v/>
      </c>
      <c r="AW42" s="44" t="str">
        <f>IF(AND(C42=Master!$H$4,B42="2012-2013",E42&gt;1000,G42="NPN05"),H42,"")</f>
        <v/>
      </c>
      <c r="AX42" s="44" t="str">
        <f>IF(AND(C42=Master!$H$4,B42="2012-2013",E42="",G42="NPN05"),H42,"")</f>
        <v/>
      </c>
      <c r="AY42" s="44" t="str">
        <f>IF(AND(C42=Master!$H$5,B42="2012-2013",E42&gt;1000,G42="NPN05"),H42,"")</f>
        <v/>
      </c>
      <c r="AZ42" s="44" t="str">
        <f>IF(AND(C42=Master!$H$5,B42="2012-2013",E42="",G42="NPN05"),H42,"")</f>
        <v/>
      </c>
      <c r="BA42" s="44" t="str">
        <f>IF(AND(C42=Master!$H$6,B42="2012-2013",E42&gt;1000,G42="NPN05"),H42,"")</f>
        <v/>
      </c>
      <c r="BB42" s="44" t="str">
        <f>IF(AND(C42=Master!$H$6,B42="2012-2013",E42="",G42="NPN05"),H42,"")</f>
        <v/>
      </c>
      <c r="BC42" s="44" t="str">
        <f>IF(AND(C42=Master!$H$7,B42="2012-2013",E42&gt;1000,G42="NPN05"),H42,"")</f>
        <v/>
      </c>
      <c r="BD42" s="44" t="str">
        <f>IF(AND(C42=Master!$H$7,B42="2012-2013",E42="",G42="NPN05"),H42,"")</f>
        <v/>
      </c>
      <c r="BE42" s="44" t="str">
        <f>IF(AND(C42=Master!$H$8,B42="2012-2013",E42&gt;1000,G42="NPN05"),H42,"")</f>
        <v/>
      </c>
      <c r="BF42" s="44" t="str">
        <f>IF(AND(C42=Master!$H$8,B42="2012-2013",E42="",G42="NPN05"),H42,"")</f>
        <v/>
      </c>
      <c r="BG42" s="44" t="str">
        <f>IF(AND(C42=Master!$H$9,B42="2012-2013",E42&gt;1000,G42="NPN05"),H42,"")</f>
        <v/>
      </c>
      <c r="BH42" s="44" t="str">
        <f>IF(AND(C42=Master!$H$9,B42="2012-2013",E42="",G42="NPN05"),H42,"")</f>
        <v/>
      </c>
    </row>
    <row r="43" spans="1:60" x14ac:dyDescent="0.25">
      <c r="A43" s="3">
        <v>41</v>
      </c>
      <c r="B43" s="12"/>
      <c r="C43" s="12"/>
      <c r="D43" s="31"/>
      <c r="E43" s="4"/>
      <c r="F43" s="13"/>
      <c r="G43" s="21"/>
      <c r="H43" s="35"/>
      <c r="I43" s="27"/>
      <c r="J43" s="25" t="str">
        <f>IF(NOT(I43=""),INDEX(Master!$B$1:$B$46,MATCH(I43,Master!$A$1:$A$46,0)),"")</f>
        <v/>
      </c>
      <c r="K43" s="18"/>
      <c r="L43" s="86"/>
      <c r="M43" s="13"/>
      <c r="N43" s="13"/>
      <c r="O43" s="18"/>
      <c r="P43" s="35"/>
      <c r="Q43" s="21"/>
      <c r="R43" s="21"/>
      <c r="S43" s="13"/>
      <c r="T43" s="12"/>
      <c r="U43" s="12"/>
      <c r="V43" s="12"/>
      <c r="W43" s="14"/>
      <c r="Y43" s="42" t="str">
        <f>IF(AND(C43=Master!$H$1,B43="2012-2013",E43&gt;1000,G43="PLN03"),H43,"")</f>
        <v/>
      </c>
      <c r="Z43" s="42" t="str">
        <f>IF(AND(C43=Master!$H$1,B43="2012-2013",E43="",G43="PLN03"),H43,"")</f>
        <v/>
      </c>
      <c r="AA43" s="42" t="str">
        <f>IF(AND(C43=Master!$H$2,B43="2012-2013",E43&gt;1000,G43="PLN03"),H43,"")</f>
        <v/>
      </c>
      <c r="AB43" s="42" t="str">
        <f>IF(AND(C43=Master!$H$2,B43="2012-2013",E43="",G43="PLN03"),H43,"")</f>
        <v/>
      </c>
      <c r="AC43" s="42" t="str">
        <f>IF(AND(C43=Master!$H$3,B43="2012-2013",E43&gt;1000,G43="PLN03"),H43,"")</f>
        <v/>
      </c>
      <c r="AD43" s="42" t="str">
        <f>IF(AND(C43=Master!$H$3,B43="2012-2013",E43="",G43="PLN03"),H43,"")</f>
        <v/>
      </c>
      <c r="AE43" s="42" t="str">
        <f>IF(AND(C43=Master!$H$4,B43="2012-2013",E43&gt;1000,G43="PLN03"),H43,"")</f>
        <v/>
      </c>
      <c r="AF43" s="42" t="str">
        <f>IF(AND(C43=Master!$H$4,B43="2012-2013",E43="",G43="PLN03"),H43,"")</f>
        <v/>
      </c>
      <c r="AG43" s="42" t="str">
        <f>IF(AND(C43=Master!$H$5,B43="2012-2013",E43&gt;1000,G43="PLN03"),H43,"")</f>
        <v/>
      </c>
      <c r="AH43" s="42" t="str">
        <f>IF(AND(C43=Master!$H$5,B43="2012-2013",E43="",G43="PLN03"),H43,"")</f>
        <v/>
      </c>
      <c r="AI43" s="42" t="str">
        <f>IF(AND(C43=Master!$H$6,B43="2012-2013",E43&gt;1000,G43="PLN03"),H43,"")</f>
        <v/>
      </c>
      <c r="AJ43" s="42" t="str">
        <f>IF(AND(C43=Master!$H$6,B43="2012-2013",E43="",G43="PLN03"),H43,"")</f>
        <v/>
      </c>
      <c r="AK43" s="42" t="str">
        <f>IF(AND(C43=Master!$H$7,B43="2012-2013",E43&gt;1000,G43="PLN03"),H43,"")</f>
        <v/>
      </c>
      <c r="AL43" s="42" t="str">
        <f>IF(AND(C43=Master!$H$7,B43="2012-2013",E43="",G43="PLN03"),H43,"")</f>
        <v/>
      </c>
      <c r="AM43" s="42" t="str">
        <f>IF(AND(C43=Master!$H$8,B43="2012-2013",E43&gt;1000,G43="PLN03"),H43,"")</f>
        <v/>
      </c>
      <c r="AN43" s="42" t="str">
        <f>IF(AND(C43=Master!$H$8,B43="2012-2013",E43="",G43="PLN03"),H43,"")</f>
        <v/>
      </c>
      <c r="AO43" s="42" t="str">
        <f>IF(AND(C43=Master!$H$9,B43="2012-2013",E43&gt;1000,G43="PLN03"),H43,"")</f>
        <v/>
      </c>
      <c r="AP43" s="42" t="str">
        <f>IF(AND(C43=Master!$H$9,B43="2012-2013",E43="",G43="PLN03"),H43,"")</f>
        <v/>
      </c>
      <c r="AQ43" s="44" t="str">
        <f>IF(AND(C43=Master!$H$1,B43="2012-2013",E43&gt;1000,G43="NPN05"),H43,"")</f>
        <v/>
      </c>
      <c r="AR43" s="44" t="str">
        <f>IF(AND(C43=Master!$H$1,B43="2012-2013",E43="",G43="NPN05"),H43,"")</f>
        <v/>
      </c>
      <c r="AS43" s="44" t="str">
        <f>IF(AND(C43=Master!$H$2,B43="2012-2013",E43&gt;1000,G43="NPN05"),H43,"")</f>
        <v/>
      </c>
      <c r="AT43" s="44" t="str">
        <f>IF(AND(C43=Master!$H$2,B43="2012-2013",E43="",G43="NPN05"),H43,"")</f>
        <v/>
      </c>
      <c r="AU43" s="44" t="str">
        <f>IF(AND(C43=Master!$H$3,B43="2012-2013",E43&gt;1000,G43="NPN05"),H43,"")</f>
        <v/>
      </c>
      <c r="AV43" s="44" t="str">
        <f>IF(AND(C43=Master!$H$3,B43="2012-2013",E43="",G43="NPN05"),H43,"")</f>
        <v/>
      </c>
      <c r="AW43" s="44" t="str">
        <f>IF(AND(C43=Master!$H$4,B43="2012-2013",E43&gt;1000,G43="NPN05"),H43,"")</f>
        <v/>
      </c>
      <c r="AX43" s="44" t="str">
        <f>IF(AND(C43=Master!$H$4,B43="2012-2013",E43="",G43="NPN05"),H43,"")</f>
        <v/>
      </c>
      <c r="AY43" s="44" t="str">
        <f>IF(AND(C43=Master!$H$5,B43="2012-2013",E43&gt;1000,G43="NPN05"),H43,"")</f>
        <v/>
      </c>
      <c r="AZ43" s="44" t="str">
        <f>IF(AND(C43=Master!$H$5,B43="2012-2013",E43="",G43="NPN05"),H43,"")</f>
        <v/>
      </c>
      <c r="BA43" s="44" t="str">
        <f>IF(AND(C43=Master!$H$6,B43="2012-2013",E43&gt;1000,G43="NPN05"),H43,"")</f>
        <v/>
      </c>
      <c r="BB43" s="44" t="str">
        <f>IF(AND(C43=Master!$H$6,B43="2012-2013",E43="",G43="NPN05"),H43,"")</f>
        <v/>
      </c>
      <c r="BC43" s="44" t="str">
        <f>IF(AND(C43=Master!$H$7,B43="2012-2013",E43&gt;1000,G43="NPN05"),H43,"")</f>
        <v/>
      </c>
      <c r="BD43" s="44" t="str">
        <f>IF(AND(C43=Master!$H$7,B43="2012-2013",E43="",G43="NPN05"),H43,"")</f>
        <v/>
      </c>
      <c r="BE43" s="44" t="str">
        <f>IF(AND(C43=Master!$H$8,B43="2012-2013",E43&gt;1000,G43="NPN05"),H43,"")</f>
        <v/>
      </c>
      <c r="BF43" s="44" t="str">
        <f>IF(AND(C43=Master!$H$8,B43="2012-2013",E43="",G43="NPN05"),H43,"")</f>
        <v/>
      </c>
      <c r="BG43" s="44" t="str">
        <f>IF(AND(C43=Master!$H$9,B43="2012-2013",E43&gt;1000,G43="NPN05"),H43,"")</f>
        <v/>
      </c>
      <c r="BH43" s="44" t="str">
        <f>IF(AND(C43=Master!$H$9,B43="2012-2013",E43="",G43="NPN05"),H43,"")</f>
        <v/>
      </c>
    </row>
    <row r="44" spans="1:60" x14ac:dyDescent="0.25">
      <c r="A44" s="3">
        <v>42</v>
      </c>
      <c r="B44" s="12"/>
      <c r="C44" s="12"/>
      <c r="D44" s="31"/>
      <c r="E44" s="4"/>
      <c r="F44" s="13"/>
      <c r="G44" s="21"/>
      <c r="H44" s="35"/>
      <c r="I44" s="27"/>
      <c r="J44" s="25" t="str">
        <f>IF(NOT(I44=""),INDEX(Master!$B$1:$B$46,MATCH(I44,Master!$A$1:$A$46,0)),"")</f>
        <v/>
      </c>
      <c r="K44" s="18"/>
      <c r="L44" s="86"/>
      <c r="M44" s="13"/>
      <c r="N44" s="13"/>
      <c r="O44" s="18"/>
      <c r="P44" s="35"/>
      <c r="Q44" s="21"/>
      <c r="R44" s="21"/>
      <c r="S44" s="13"/>
      <c r="T44" s="12"/>
      <c r="U44" s="12"/>
      <c r="V44" s="12"/>
      <c r="W44" s="14"/>
      <c r="Y44" s="42" t="str">
        <f>IF(AND(C44=Master!$H$1,B44="2012-2013",E44&gt;1000,G44="PLN03"),H44,"")</f>
        <v/>
      </c>
      <c r="Z44" s="42" t="str">
        <f>IF(AND(C44=Master!$H$1,B44="2012-2013",E44="",G44="PLN03"),H44,"")</f>
        <v/>
      </c>
      <c r="AA44" s="42" t="str">
        <f>IF(AND(C44=Master!$H$2,B44="2012-2013",E44&gt;1000,G44="PLN03"),H44,"")</f>
        <v/>
      </c>
      <c r="AB44" s="42" t="str">
        <f>IF(AND(C44=Master!$H$2,B44="2012-2013",E44="",G44="PLN03"),H44,"")</f>
        <v/>
      </c>
      <c r="AC44" s="42" t="str">
        <f>IF(AND(C44=Master!$H$3,B44="2012-2013",E44&gt;1000,G44="PLN03"),H44,"")</f>
        <v/>
      </c>
      <c r="AD44" s="42" t="str">
        <f>IF(AND(C44=Master!$H$3,B44="2012-2013",E44="",G44="PLN03"),H44,"")</f>
        <v/>
      </c>
      <c r="AE44" s="42" t="str">
        <f>IF(AND(C44=Master!$H$4,B44="2012-2013",E44&gt;1000,G44="PLN03"),H44,"")</f>
        <v/>
      </c>
      <c r="AF44" s="42" t="str">
        <f>IF(AND(C44=Master!$H$4,B44="2012-2013",E44="",G44="PLN03"),H44,"")</f>
        <v/>
      </c>
      <c r="AG44" s="42" t="str">
        <f>IF(AND(C44=Master!$H$5,B44="2012-2013",E44&gt;1000,G44="PLN03"),H44,"")</f>
        <v/>
      </c>
      <c r="AH44" s="42" t="str">
        <f>IF(AND(C44=Master!$H$5,B44="2012-2013",E44="",G44="PLN03"),H44,"")</f>
        <v/>
      </c>
      <c r="AI44" s="42" t="str">
        <f>IF(AND(C44=Master!$H$6,B44="2012-2013",E44&gt;1000,G44="PLN03"),H44,"")</f>
        <v/>
      </c>
      <c r="AJ44" s="42" t="str">
        <f>IF(AND(C44=Master!$H$6,B44="2012-2013",E44="",G44="PLN03"),H44,"")</f>
        <v/>
      </c>
      <c r="AK44" s="42" t="str">
        <f>IF(AND(C44=Master!$H$7,B44="2012-2013",E44&gt;1000,G44="PLN03"),H44,"")</f>
        <v/>
      </c>
      <c r="AL44" s="42" t="str">
        <f>IF(AND(C44=Master!$H$7,B44="2012-2013",E44="",G44="PLN03"),H44,"")</f>
        <v/>
      </c>
      <c r="AM44" s="42" t="str">
        <f>IF(AND(C44=Master!$H$8,B44="2012-2013",E44&gt;1000,G44="PLN03"),H44,"")</f>
        <v/>
      </c>
      <c r="AN44" s="42" t="str">
        <f>IF(AND(C44=Master!$H$8,B44="2012-2013",E44="",G44="PLN03"),H44,"")</f>
        <v/>
      </c>
      <c r="AO44" s="42" t="str">
        <f>IF(AND(C44=Master!$H$9,B44="2012-2013",E44&gt;1000,G44="PLN03"),H44,"")</f>
        <v/>
      </c>
      <c r="AP44" s="42" t="str">
        <f>IF(AND(C44=Master!$H$9,B44="2012-2013",E44="",G44="PLN03"),H44,"")</f>
        <v/>
      </c>
      <c r="AQ44" s="44" t="str">
        <f>IF(AND(C44=Master!$H$1,B44="2012-2013",E44&gt;1000,G44="NPN05"),H44,"")</f>
        <v/>
      </c>
      <c r="AR44" s="44" t="str">
        <f>IF(AND(C44=Master!$H$1,B44="2012-2013",E44="",G44="NPN05"),H44,"")</f>
        <v/>
      </c>
      <c r="AS44" s="44" t="str">
        <f>IF(AND(C44=Master!$H$2,B44="2012-2013",E44&gt;1000,G44="NPN05"),H44,"")</f>
        <v/>
      </c>
      <c r="AT44" s="44" t="str">
        <f>IF(AND(C44=Master!$H$2,B44="2012-2013",E44="",G44="NPN05"),H44,"")</f>
        <v/>
      </c>
      <c r="AU44" s="44" t="str">
        <f>IF(AND(C44=Master!$H$3,B44="2012-2013",E44&gt;1000,G44="NPN05"),H44,"")</f>
        <v/>
      </c>
      <c r="AV44" s="44" t="str">
        <f>IF(AND(C44=Master!$H$3,B44="2012-2013",E44="",G44="NPN05"),H44,"")</f>
        <v/>
      </c>
      <c r="AW44" s="44" t="str">
        <f>IF(AND(C44=Master!$H$4,B44="2012-2013",E44&gt;1000,G44="NPN05"),H44,"")</f>
        <v/>
      </c>
      <c r="AX44" s="44" t="str">
        <f>IF(AND(C44=Master!$H$4,B44="2012-2013",E44="",G44="NPN05"),H44,"")</f>
        <v/>
      </c>
      <c r="AY44" s="44" t="str">
        <f>IF(AND(C44=Master!$H$5,B44="2012-2013",E44&gt;1000,G44="NPN05"),H44,"")</f>
        <v/>
      </c>
      <c r="AZ44" s="44" t="str">
        <f>IF(AND(C44=Master!$H$5,B44="2012-2013",E44="",G44="NPN05"),H44,"")</f>
        <v/>
      </c>
      <c r="BA44" s="44" t="str">
        <f>IF(AND(C44=Master!$H$6,B44="2012-2013",E44&gt;1000,G44="NPN05"),H44,"")</f>
        <v/>
      </c>
      <c r="BB44" s="44" t="str">
        <f>IF(AND(C44=Master!$H$6,B44="2012-2013",E44="",G44="NPN05"),H44,"")</f>
        <v/>
      </c>
      <c r="BC44" s="44" t="str">
        <f>IF(AND(C44=Master!$H$7,B44="2012-2013",E44&gt;1000,G44="NPN05"),H44,"")</f>
        <v/>
      </c>
      <c r="BD44" s="44" t="str">
        <f>IF(AND(C44=Master!$H$7,B44="2012-2013",E44="",G44="NPN05"),H44,"")</f>
        <v/>
      </c>
      <c r="BE44" s="44" t="str">
        <f>IF(AND(C44=Master!$H$8,B44="2012-2013",E44&gt;1000,G44="NPN05"),H44,"")</f>
        <v/>
      </c>
      <c r="BF44" s="44" t="str">
        <f>IF(AND(C44=Master!$H$8,B44="2012-2013",E44="",G44="NPN05"),H44,"")</f>
        <v/>
      </c>
      <c r="BG44" s="44" t="str">
        <f>IF(AND(C44=Master!$H$9,B44="2012-2013",E44&gt;1000,G44="NPN05"),H44,"")</f>
        <v/>
      </c>
      <c r="BH44" s="44" t="str">
        <f>IF(AND(C44=Master!$H$9,B44="2012-2013",E44="",G44="NPN05"),H44,"")</f>
        <v/>
      </c>
    </row>
    <row r="45" spans="1:60" x14ac:dyDescent="0.25">
      <c r="A45" s="3">
        <v>43</v>
      </c>
      <c r="B45" s="12"/>
      <c r="C45" s="12"/>
      <c r="D45" s="31"/>
      <c r="E45" s="4"/>
      <c r="F45" s="13"/>
      <c r="G45" s="21"/>
      <c r="H45" s="35"/>
      <c r="I45" s="27"/>
      <c r="J45" s="25" t="str">
        <f>IF(NOT(I45=""),INDEX(Master!$B$1:$B$46,MATCH(I45,Master!$A$1:$A$46,0)),"")</f>
        <v/>
      </c>
      <c r="K45" s="18"/>
      <c r="L45" s="86"/>
      <c r="M45" s="13"/>
      <c r="N45" s="13"/>
      <c r="O45" s="18"/>
      <c r="P45" s="35"/>
      <c r="Q45" s="21"/>
      <c r="R45" s="21"/>
      <c r="S45" s="13"/>
      <c r="T45" s="12"/>
      <c r="U45" s="12"/>
      <c r="V45" s="12"/>
      <c r="W45" s="14"/>
      <c r="Y45" s="42" t="str">
        <f>IF(AND(C45=Master!$H$1,B45="2012-2013",E45&gt;1000,G45="PLN03"),H45,"")</f>
        <v/>
      </c>
      <c r="Z45" s="42" t="str">
        <f>IF(AND(C45=Master!$H$1,B45="2012-2013",E45="",G45="PLN03"),H45,"")</f>
        <v/>
      </c>
      <c r="AA45" s="42" t="str">
        <f>IF(AND(C45=Master!$H$2,B45="2012-2013",E45&gt;1000,G45="PLN03"),H45,"")</f>
        <v/>
      </c>
      <c r="AB45" s="42" t="str">
        <f>IF(AND(C45=Master!$H$2,B45="2012-2013",E45="",G45="PLN03"),H45,"")</f>
        <v/>
      </c>
      <c r="AC45" s="42" t="str">
        <f>IF(AND(C45=Master!$H$3,B45="2012-2013",E45&gt;1000,G45="PLN03"),H45,"")</f>
        <v/>
      </c>
      <c r="AD45" s="42" t="str">
        <f>IF(AND(C45=Master!$H$3,B45="2012-2013",E45="",G45="PLN03"),H45,"")</f>
        <v/>
      </c>
      <c r="AE45" s="42" t="str">
        <f>IF(AND(C45=Master!$H$4,B45="2012-2013",E45&gt;1000,G45="PLN03"),H45,"")</f>
        <v/>
      </c>
      <c r="AF45" s="42" t="str">
        <f>IF(AND(C45=Master!$H$4,B45="2012-2013",E45="",G45="PLN03"),H45,"")</f>
        <v/>
      </c>
      <c r="AG45" s="42" t="str">
        <f>IF(AND(C45=Master!$H$5,B45="2012-2013",E45&gt;1000,G45="PLN03"),H45,"")</f>
        <v/>
      </c>
      <c r="AH45" s="42" t="str">
        <f>IF(AND(C45=Master!$H$5,B45="2012-2013",E45="",G45="PLN03"),H45,"")</f>
        <v/>
      </c>
      <c r="AI45" s="42" t="str">
        <f>IF(AND(C45=Master!$H$6,B45="2012-2013",E45&gt;1000,G45="PLN03"),H45,"")</f>
        <v/>
      </c>
      <c r="AJ45" s="42" t="str">
        <f>IF(AND(C45=Master!$H$6,B45="2012-2013",E45="",G45="PLN03"),H45,"")</f>
        <v/>
      </c>
      <c r="AK45" s="42" t="str">
        <f>IF(AND(C45=Master!$H$7,B45="2012-2013",E45&gt;1000,G45="PLN03"),H45,"")</f>
        <v/>
      </c>
      <c r="AL45" s="42" t="str">
        <f>IF(AND(C45=Master!$H$7,B45="2012-2013",E45="",G45="PLN03"),H45,"")</f>
        <v/>
      </c>
      <c r="AM45" s="42" t="str">
        <f>IF(AND(C45=Master!$H$8,B45="2012-2013",E45&gt;1000,G45="PLN03"),H45,"")</f>
        <v/>
      </c>
      <c r="AN45" s="42" t="str">
        <f>IF(AND(C45=Master!$H$8,B45="2012-2013",E45="",G45="PLN03"),H45,"")</f>
        <v/>
      </c>
      <c r="AO45" s="42" t="str">
        <f>IF(AND(C45=Master!$H$9,B45="2012-2013",E45&gt;1000,G45="PLN03"),H45,"")</f>
        <v/>
      </c>
      <c r="AP45" s="42" t="str">
        <f>IF(AND(C45=Master!$H$9,B45="2012-2013",E45="",G45="PLN03"),H45,"")</f>
        <v/>
      </c>
      <c r="AQ45" s="44" t="str">
        <f>IF(AND(C45=Master!$H$1,B45="2012-2013",E45&gt;1000,G45="NPN05"),H45,"")</f>
        <v/>
      </c>
      <c r="AR45" s="44" t="str">
        <f>IF(AND(C45=Master!$H$1,B45="2012-2013",E45="",G45="NPN05"),H45,"")</f>
        <v/>
      </c>
      <c r="AS45" s="44" t="str">
        <f>IF(AND(C45=Master!$H$2,B45="2012-2013",E45&gt;1000,G45="NPN05"),H45,"")</f>
        <v/>
      </c>
      <c r="AT45" s="44" t="str">
        <f>IF(AND(C45=Master!$H$2,B45="2012-2013",E45="",G45="NPN05"),H45,"")</f>
        <v/>
      </c>
      <c r="AU45" s="44" t="str">
        <f>IF(AND(C45=Master!$H$3,B45="2012-2013",E45&gt;1000,G45="NPN05"),H45,"")</f>
        <v/>
      </c>
      <c r="AV45" s="44" t="str">
        <f>IF(AND(C45=Master!$H$3,B45="2012-2013",E45="",G45="NPN05"),H45,"")</f>
        <v/>
      </c>
      <c r="AW45" s="44" t="str">
        <f>IF(AND(C45=Master!$H$4,B45="2012-2013",E45&gt;1000,G45="NPN05"),H45,"")</f>
        <v/>
      </c>
      <c r="AX45" s="44" t="str">
        <f>IF(AND(C45=Master!$H$4,B45="2012-2013",E45="",G45="NPN05"),H45,"")</f>
        <v/>
      </c>
      <c r="AY45" s="44" t="str">
        <f>IF(AND(C45=Master!$H$5,B45="2012-2013",E45&gt;1000,G45="NPN05"),H45,"")</f>
        <v/>
      </c>
      <c r="AZ45" s="44" t="str">
        <f>IF(AND(C45=Master!$H$5,B45="2012-2013",E45="",G45="NPN05"),H45,"")</f>
        <v/>
      </c>
      <c r="BA45" s="44" t="str">
        <f>IF(AND(C45=Master!$H$6,B45="2012-2013",E45&gt;1000,G45="NPN05"),H45,"")</f>
        <v/>
      </c>
      <c r="BB45" s="44" t="str">
        <f>IF(AND(C45=Master!$H$6,B45="2012-2013",E45="",G45="NPN05"),H45,"")</f>
        <v/>
      </c>
      <c r="BC45" s="44" t="str">
        <f>IF(AND(C45=Master!$H$7,B45="2012-2013",E45&gt;1000,G45="NPN05"),H45,"")</f>
        <v/>
      </c>
      <c r="BD45" s="44" t="str">
        <f>IF(AND(C45=Master!$H$7,B45="2012-2013",E45="",G45="NPN05"),H45,"")</f>
        <v/>
      </c>
      <c r="BE45" s="44" t="str">
        <f>IF(AND(C45=Master!$H$8,B45="2012-2013",E45&gt;1000,G45="NPN05"),H45,"")</f>
        <v/>
      </c>
      <c r="BF45" s="44" t="str">
        <f>IF(AND(C45=Master!$H$8,B45="2012-2013",E45="",G45="NPN05"),H45,"")</f>
        <v/>
      </c>
      <c r="BG45" s="44" t="str">
        <f>IF(AND(C45=Master!$H$9,B45="2012-2013",E45&gt;1000,G45="NPN05"),H45,"")</f>
        <v/>
      </c>
      <c r="BH45" s="44" t="str">
        <f>IF(AND(C45=Master!$H$9,B45="2012-2013",E45="",G45="NPN05"),H45,"")</f>
        <v/>
      </c>
    </row>
    <row r="46" spans="1:60" x14ac:dyDescent="0.25">
      <c r="A46" s="3">
        <v>44</v>
      </c>
      <c r="B46" s="12"/>
      <c r="C46" s="12"/>
      <c r="D46" s="31"/>
      <c r="E46" s="4"/>
      <c r="F46" s="13"/>
      <c r="G46" s="21"/>
      <c r="H46" s="35"/>
      <c r="I46" s="27"/>
      <c r="J46" s="25" t="str">
        <f>IF(NOT(I46=""),INDEX(Master!$B$1:$B$46,MATCH(I46,Master!$A$1:$A$46,0)),"")</f>
        <v/>
      </c>
      <c r="K46" s="18"/>
      <c r="L46" s="86"/>
      <c r="M46" s="13"/>
      <c r="N46" s="13"/>
      <c r="O46" s="18"/>
      <c r="P46" s="35"/>
      <c r="Q46" s="21"/>
      <c r="R46" s="21"/>
      <c r="S46" s="13"/>
      <c r="T46" s="12"/>
      <c r="U46" s="12"/>
      <c r="V46" s="12"/>
      <c r="W46" s="14"/>
      <c r="Y46" s="42" t="str">
        <f>IF(AND(C46=Master!$H$1,B46="2012-2013",E46&gt;1000,G46="PLN03"),H46,"")</f>
        <v/>
      </c>
      <c r="Z46" s="42" t="str">
        <f>IF(AND(C46=Master!$H$1,B46="2012-2013",E46="",G46="PLN03"),H46,"")</f>
        <v/>
      </c>
      <c r="AA46" s="42" t="str">
        <f>IF(AND(C46=Master!$H$2,B46="2012-2013",E46&gt;1000,G46="PLN03"),H46,"")</f>
        <v/>
      </c>
      <c r="AB46" s="42" t="str">
        <f>IF(AND(C46=Master!$H$2,B46="2012-2013",E46="",G46="PLN03"),H46,"")</f>
        <v/>
      </c>
      <c r="AC46" s="42" t="str">
        <f>IF(AND(C46=Master!$H$3,B46="2012-2013",E46&gt;1000,G46="PLN03"),H46,"")</f>
        <v/>
      </c>
      <c r="AD46" s="42" t="str">
        <f>IF(AND(C46=Master!$H$3,B46="2012-2013",E46="",G46="PLN03"),H46,"")</f>
        <v/>
      </c>
      <c r="AE46" s="42" t="str">
        <f>IF(AND(C46=Master!$H$4,B46="2012-2013",E46&gt;1000,G46="PLN03"),H46,"")</f>
        <v/>
      </c>
      <c r="AF46" s="42" t="str">
        <f>IF(AND(C46=Master!$H$4,B46="2012-2013",E46="",G46="PLN03"),H46,"")</f>
        <v/>
      </c>
      <c r="AG46" s="42" t="str">
        <f>IF(AND(C46=Master!$H$5,B46="2012-2013",E46&gt;1000,G46="PLN03"),H46,"")</f>
        <v/>
      </c>
      <c r="AH46" s="42" t="str">
        <f>IF(AND(C46=Master!$H$5,B46="2012-2013",E46="",G46="PLN03"),H46,"")</f>
        <v/>
      </c>
      <c r="AI46" s="42" t="str">
        <f>IF(AND(C46=Master!$H$6,B46="2012-2013",E46&gt;1000,G46="PLN03"),H46,"")</f>
        <v/>
      </c>
      <c r="AJ46" s="42" t="str">
        <f>IF(AND(C46=Master!$H$6,B46="2012-2013",E46="",G46="PLN03"),H46,"")</f>
        <v/>
      </c>
      <c r="AK46" s="42" t="str">
        <f>IF(AND(C46=Master!$H$7,B46="2012-2013",E46&gt;1000,G46="PLN03"),H46,"")</f>
        <v/>
      </c>
      <c r="AL46" s="42" t="str">
        <f>IF(AND(C46=Master!$H$7,B46="2012-2013",E46="",G46="PLN03"),H46,"")</f>
        <v/>
      </c>
      <c r="AM46" s="42" t="str">
        <f>IF(AND(C46=Master!$H$8,B46="2012-2013",E46&gt;1000,G46="PLN03"),H46,"")</f>
        <v/>
      </c>
      <c r="AN46" s="42" t="str">
        <f>IF(AND(C46=Master!$H$8,B46="2012-2013",E46="",G46="PLN03"),H46,"")</f>
        <v/>
      </c>
      <c r="AO46" s="42" t="str">
        <f>IF(AND(C46=Master!$H$9,B46="2012-2013",E46&gt;1000,G46="PLN03"),H46,"")</f>
        <v/>
      </c>
      <c r="AP46" s="42" t="str">
        <f>IF(AND(C46=Master!$H$9,B46="2012-2013",E46="",G46="PLN03"),H46,"")</f>
        <v/>
      </c>
      <c r="AQ46" s="44" t="str">
        <f>IF(AND(C46=Master!$H$1,B46="2012-2013",E46&gt;1000,G46="NPN05"),H46,"")</f>
        <v/>
      </c>
      <c r="AR46" s="44" t="str">
        <f>IF(AND(C46=Master!$H$1,B46="2012-2013",E46="",G46="NPN05"),H46,"")</f>
        <v/>
      </c>
      <c r="AS46" s="44" t="str">
        <f>IF(AND(C46=Master!$H$2,B46="2012-2013",E46&gt;1000,G46="NPN05"),H46,"")</f>
        <v/>
      </c>
      <c r="AT46" s="44" t="str">
        <f>IF(AND(C46=Master!$H$2,B46="2012-2013",E46="",G46="NPN05"),H46,"")</f>
        <v/>
      </c>
      <c r="AU46" s="44" t="str">
        <f>IF(AND(C46=Master!$H$3,B46="2012-2013",E46&gt;1000,G46="NPN05"),H46,"")</f>
        <v/>
      </c>
      <c r="AV46" s="44" t="str">
        <f>IF(AND(C46=Master!$H$3,B46="2012-2013",E46="",G46="NPN05"),H46,"")</f>
        <v/>
      </c>
      <c r="AW46" s="44" t="str">
        <f>IF(AND(C46=Master!$H$4,B46="2012-2013",E46&gt;1000,G46="NPN05"),H46,"")</f>
        <v/>
      </c>
      <c r="AX46" s="44" t="str">
        <f>IF(AND(C46=Master!$H$4,B46="2012-2013",E46="",G46="NPN05"),H46,"")</f>
        <v/>
      </c>
      <c r="AY46" s="44" t="str">
        <f>IF(AND(C46=Master!$H$5,B46="2012-2013",E46&gt;1000,G46="NPN05"),H46,"")</f>
        <v/>
      </c>
      <c r="AZ46" s="44" t="str">
        <f>IF(AND(C46=Master!$H$5,B46="2012-2013",E46="",G46="NPN05"),H46,"")</f>
        <v/>
      </c>
      <c r="BA46" s="44" t="str">
        <f>IF(AND(C46=Master!$H$6,B46="2012-2013",E46&gt;1000,G46="NPN05"),H46,"")</f>
        <v/>
      </c>
      <c r="BB46" s="44" t="str">
        <f>IF(AND(C46=Master!$H$6,B46="2012-2013",E46="",G46="NPN05"),H46,"")</f>
        <v/>
      </c>
      <c r="BC46" s="44" t="str">
        <f>IF(AND(C46=Master!$H$7,B46="2012-2013",E46&gt;1000,G46="NPN05"),H46,"")</f>
        <v/>
      </c>
      <c r="BD46" s="44" t="str">
        <f>IF(AND(C46=Master!$H$7,B46="2012-2013",E46="",G46="NPN05"),H46,"")</f>
        <v/>
      </c>
      <c r="BE46" s="44" t="str">
        <f>IF(AND(C46=Master!$H$8,B46="2012-2013",E46&gt;1000,G46="NPN05"),H46,"")</f>
        <v/>
      </c>
      <c r="BF46" s="44" t="str">
        <f>IF(AND(C46=Master!$H$8,B46="2012-2013",E46="",G46="NPN05"),H46,"")</f>
        <v/>
      </c>
      <c r="BG46" s="44" t="str">
        <f>IF(AND(C46=Master!$H$9,B46="2012-2013",E46&gt;1000,G46="NPN05"),H46,"")</f>
        <v/>
      </c>
      <c r="BH46" s="44" t="str">
        <f>IF(AND(C46=Master!$H$9,B46="2012-2013",E46="",G46="NPN05"),H46,"")</f>
        <v/>
      </c>
    </row>
    <row r="47" spans="1:60" x14ac:dyDescent="0.25">
      <c r="A47" s="3">
        <v>45</v>
      </c>
      <c r="B47" s="12"/>
      <c r="C47" s="12"/>
      <c r="D47" s="31"/>
      <c r="E47" s="4"/>
      <c r="F47" s="13"/>
      <c r="G47" s="21"/>
      <c r="H47" s="35"/>
      <c r="I47" s="27"/>
      <c r="J47" s="25" t="str">
        <f>IF(NOT(I47=""),INDEX(Master!$B$1:$B$46,MATCH(I47,Master!$A$1:$A$46,0)),"")</f>
        <v/>
      </c>
      <c r="K47" s="18"/>
      <c r="L47" s="86"/>
      <c r="M47" s="13"/>
      <c r="N47" s="13"/>
      <c r="O47" s="18"/>
      <c r="P47" s="35"/>
      <c r="Q47" s="21"/>
      <c r="R47" s="21"/>
      <c r="S47" s="13"/>
      <c r="T47" s="12"/>
      <c r="U47" s="12"/>
      <c r="V47" s="12"/>
      <c r="W47" s="14"/>
      <c r="Y47" s="42" t="str">
        <f>IF(AND(C47=Master!$H$1,B47="2012-2013",E47&gt;1000,G47="PLN03"),H47,"")</f>
        <v/>
      </c>
      <c r="Z47" s="42" t="str">
        <f>IF(AND(C47=Master!$H$1,B47="2012-2013",E47="",G47="PLN03"),H47,"")</f>
        <v/>
      </c>
      <c r="AA47" s="42" t="str">
        <f>IF(AND(C47=Master!$H$2,B47="2012-2013",E47&gt;1000,G47="PLN03"),H47,"")</f>
        <v/>
      </c>
      <c r="AB47" s="42" t="str">
        <f>IF(AND(C47=Master!$H$2,B47="2012-2013",E47="",G47="PLN03"),H47,"")</f>
        <v/>
      </c>
      <c r="AC47" s="42" t="str">
        <f>IF(AND(C47=Master!$H$3,B47="2012-2013",E47&gt;1000,G47="PLN03"),H47,"")</f>
        <v/>
      </c>
      <c r="AD47" s="42" t="str">
        <f>IF(AND(C47=Master!$H$3,B47="2012-2013",E47="",G47="PLN03"),H47,"")</f>
        <v/>
      </c>
      <c r="AE47" s="42" t="str">
        <f>IF(AND(C47=Master!$H$4,B47="2012-2013",E47&gt;1000,G47="PLN03"),H47,"")</f>
        <v/>
      </c>
      <c r="AF47" s="42" t="str">
        <f>IF(AND(C47=Master!$H$4,B47="2012-2013",E47="",G47="PLN03"),H47,"")</f>
        <v/>
      </c>
      <c r="AG47" s="42" t="str">
        <f>IF(AND(C47=Master!$H$5,B47="2012-2013",E47&gt;1000,G47="PLN03"),H47,"")</f>
        <v/>
      </c>
      <c r="AH47" s="42" t="str">
        <f>IF(AND(C47=Master!$H$5,B47="2012-2013",E47="",G47="PLN03"),H47,"")</f>
        <v/>
      </c>
      <c r="AI47" s="42" t="str">
        <f>IF(AND(C47=Master!$H$6,B47="2012-2013",E47&gt;1000,G47="PLN03"),H47,"")</f>
        <v/>
      </c>
      <c r="AJ47" s="42" t="str">
        <f>IF(AND(C47=Master!$H$6,B47="2012-2013",E47="",G47="PLN03"),H47,"")</f>
        <v/>
      </c>
      <c r="AK47" s="42" t="str">
        <f>IF(AND(C47=Master!$H$7,B47="2012-2013",E47&gt;1000,G47="PLN03"),H47,"")</f>
        <v/>
      </c>
      <c r="AL47" s="42" t="str">
        <f>IF(AND(C47=Master!$H$7,B47="2012-2013",E47="",G47="PLN03"),H47,"")</f>
        <v/>
      </c>
      <c r="AM47" s="42" t="str">
        <f>IF(AND(C47=Master!$H$8,B47="2012-2013",E47&gt;1000,G47="PLN03"),H47,"")</f>
        <v/>
      </c>
      <c r="AN47" s="42" t="str">
        <f>IF(AND(C47=Master!$H$8,B47="2012-2013",E47="",G47="PLN03"),H47,"")</f>
        <v/>
      </c>
      <c r="AO47" s="42" t="str">
        <f>IF(AND(C47=Master!$H$9,B47="2012-2013",E47&gt;1000,G47="PLN03"),H47,"")</f>
        <v/>
      </c>
      <c r="AP47" s="42" t="str">
        <f>IF(AND(C47=Master!$H$9,B47="2012-2013",E47="",G47="PLN03"),H47,"")</f>
        <v/>
      </c>
      <c r="AQ47" s="44" t="str">
        <f>IF(AND(C47=Master!$H$1,B47="2012-2013",E47&gt;1000,G47="NPN05"),H47,"")</f>
        <v/>
      </c>
      <c r="AR47" s="44" t="str">
        <f>IF(AND(C47=Master!$H$1,B47="2012-2013",E47="",G47="NPN05"),H47,"")</f>
        <v/>
      </c>
      <c r="AS47" s="44" t="str">
        <f>IF(AND(C47=Master!$H$2,B47="2012-2013",E47&gt;1000,G47="NPN05"),H47,"")</f>
        <v/>
      </c>
      <c r="AT47" s="44" t="str">
        <f>IF(AND(C47=Master!$H$2,B47="2012-2013",E47="",G47="NPN05"),H47,"")</f>
        <v/>
      </c>
      <c r="AU47" s="44" t="str">
        <f>IF(AND(C47=Master!$H$3,B47="2012-2013",E47&gt;1000,G47="NPN05"),H47,"")</f>
        <v/>
      </c>
      <c r="AV47" s="44" t="str">
        <f>IF(AND(C47=Master!$H$3,B47="2012-2013",E47="",G47="NPN05"),H47,"")</f>
        <v/>
      </c>
      <c r="AW47" s="44" t="str">
        <f>IF(AND(C47=Master!$H$4,B47="2012-2013",E47&gt;1000,G47="NPN05"),H47,"")</f>
        <v/>
      </c>
      <c r="AX47" s="44" t="str">
        <f>IF(AND(C47=Master!$H$4,B47="2012-2013",E47="",G47="NPN05"),H47,"")</f>
        <v/>
      </c>
      <c r="AY47" s="44" t="str">
        <f>IF(AND(C47=Master!$H$5,B47="2012-2013",E47&gt;1000,G47="NPN05"),H47,"")</f>
        <v/>
      </c>
      <c r="AZ47" s="44" t="str">
        <f>IF(AND(C47=Master!$H$5,B47="2012-2013",E47="",G47="NPN05"),H47,"")</f>
        <v/>
      </c>
      <c r="BA47" s="44" t="str">
        <f>IF(AND(C47=Master!$H$6,B47="2012-2013",E47&gt;1000,G47="NPN05"),H47,"")</f>
        <v/>
      </c>
      <c r="BB47" s="44" t="str">
        <f>IF(AND(C47=Master!$H$6,B47="2012-2013",E47="",G47="NPN05"),H47,"")</f>
        <v/>
      </c>
      <c r="BC47" s="44" t="str">
        <f>IF(AND(C47=Master!$H$7,B47="2012-2013",E47&gt;1000,G47="NPN05"),H47,"")</f>
        <v/>
      </c>
      <c r="BD47" s="44" t="str">
        <f>IF(AND(C47=Master!$H$7,B47="2012-2013",E47="",G47="NPN05"),H47,"")</f>
        <v/>
      </c>
      <c r="BE47" s="44" t="str">
        <f>IF(AND(C47=Master!$H$8,B47="2012-2013",E47&gt;1000,G47="NPN05"),H47,"")</f>
        <v/>
      </c>
      <c r="BF47" s="44" t="str">
        <f>IF(AND(C47=Master!$H$8,B47="2012-2013",E47="",G47="NPN05"),H47,"")</f>
        <v/>
      </c>
      <c r="BG47" s="44" t="str">
        <f>IF(AND(C47=Master!$H$9,B47="2012-2013",E47&gt;1000,G47="NPN05"),H47,"")</f>
        <v/>
      </c>
      <c r="BH47" s="44" t="str">
        <f>IF(AND(C47=Master!$H$9,B47="2012-2013",E47="",G47="NPN05"),H47,"")</f>
        <v/>
      </c>
    </row>
    <row r="48" spans="1:60" x14ac:dyDescent="0.25">
      <c r="A48" s="3">
        <v>46</v>
      </c>
      <c r="B48" s="12"/>
      <c r="C48" s="12"/>
      <c r="D48" s="31"/>
      <c r="E48" s="4"/>
      <c r="F48" s="13"/>
      <c r="G48" s="21"/>
      <c r="H48" s="35"/>
      <c r="I48" s="27"/>
      <c r="J48" s="25" t="str">
        <f>IF(NOT(I48=""),INDEX(Master!$B$1:$B$46,MATCH(I48,Master!$A$1:$A$46,0)),"")</f>
        <v/>
      </c>
      <c r="K48" s="18"/>
      <c r="L48" s="86"/>
      <c r="M48" s="13"/>
      <c r="N48" s="13"/>
      <c r="O48" s="18"/>
      <c r="P48" s="35"/>
      <c r="Q48" s="21"/>
      <c r="R48" s="21"/>
      <c r="S48" s="13"/>
      <c r="T48" s="12"/>
      <c r="U48" s="12"/>
      <c r="V48" s="12"/>
      <c r="W48" s="14"/>
      <c r="Y48" s="42" t="str">
        <f>IF(AND(C48=Master!$H$1,B48="2012-2013",E48&gt;1000,G48="PLN03"),H48,"")</f>
        <v/>
      </c>
      <c r="Z48" s="42" t="str">
        <f>IF(AND(C48=Master!$H$1,B48="2012-2013",E48="",G48="PLN03"),H48,"")</f>
        <v/>
      </c>
      <c r="AA48" s="42" t="str">
        <f>IF(AND(C48=Master!$H$2,B48="2012-2013",E48&gt;1000,G48="PLN03"),H48,"")</f>
        <v/>
      </c>
      <c r="AB48" s="42" t="str">
        <f>IF(AND(C48=Master!$H$2,B48="2012-2013",E48="",G48="PLN03"),H48,"")</f>
        <v/>
      </c>
      <c r="AC48" s="42" t="str">
        <f>IF(AND(C48=Master!$H$3,B48="2012-2013",E48&gt;1000,G48="PLN03"),H48,"")</f>
        <v/>
      </c>
      <c r="AD48" s="42" t="str">
        <f>IF(AND(C48=Master!$H$3,B48="2012-2013",E48="",G48="PLN03"),H48,"")</f>
        <v/>
      </c>
      <c r="AE48" s="42" t="str">
        <f>IF(AND(C48=Master!$H$4,B48="2012-2013",E48&gt;1000,G48="PLN03"),H48,"")</f>
        <v/>
      </c>
      <c r="AF48" s="42" t="str">
        <f>IF(AND(C48=Master!$H$4,B48="2012-2013",E48="",G48="PLN03"),H48,"")</f>
        <v/>
      </c>
      <c r="AG48" s="42" t="str">
        <f>IF(AND(C48=Master!$H$5,B48="2012-2013",E48&gt;1000,G48="PLN03"),H48,"")</f>
        <v/>
      </c>
      <c r="AH48" s="42" t="str">
        <f>IF(AND(C48=Master!$H$5,B48="2012-2013",E48="",G48="PLN03"),H48,"")</f>
        <v/>
      </c>
      <c r="AI48" s="42" t="str">
        <f>IF(AND(C48=Master!$H$6,B48="2012-2013",E48&gt;1000,G48="PLN03"),H48,"")</f>
        <v/>
      </c>
      <c r="AJ48" s="42" t="str">
        <f>IF(AND(C48=Master!$H$6,B48="2012-2013",E48="",G48="PLN03"),H48,"")</f>
        <v/>
      </c>
      <c r="AK48" s="42" t="str">
        <f>IF(AND(C48=Master!$H$7,B48="2012-2013",E48&gt;1000,G48="PLN03"),H48,"")</f>
        <v/>
      </c>
      <c r="AL48" s="42" t="str">
        <f>IF(AND(C48=Master!$H$7,B48="2012-2013",E48="",G48="PLN03"),H48,"")</f>
        <v/>
      </c>
      <c r="AM48" s="42" t="str">
        <f>IF(AND(C48=Master!$H$8,B48="2012-2013",E48&gt;1000,G48="PLN03"),H48,"")</f>
        <v/>
      </c>
      <c r="AN48" s="42" t="str">
        <f>IF(AND(C48=Master!$H$8,B48="2012-2013",E48="",G48="PLN03"),H48,"")</f>
        <v/>
      </c>
      <c r="AO48" s="42" t="str">
        <f>IF(AND(C48=Master!$H$9,B48="2012-2013",E48&gt;1000,G48="PLN03"),H48,"")</f>
        <v/>
      </c>
      <c r="AP48" s="42" t="str">
        <f>IF(AND(C48=Master!$H$9,B48="2012-2013",E48="",G48="PLN03"),H48,"")</f>
        <v/>
      </c>
      <c r="AQ48" s="44" t="str">
        <f>IF(AND(C48=Master!$H$1,B48="2012-2013",E48&gt;1000,G48="NPN05"),H48,"")</f>
        <v/>
      </c>
      <c r="AR48" s="44" t="str">
        <f>IF(AND(C48=Master!$H$1,B48="2012-2013",E48="",G48="NPN05"),H48,"")</f>
        <v/>
      </c>
      <c r="AS48" s="44" t="str">
        <f>IF(AND(C48=Master!$H$2,B48="2012-2013",E48&gt;1000,G48="NPN05"),H48,"")</f>
        <v/>
      </c>
      <c r="AT48" s="44" t="str">
        <f>IF(AND(C48=Master!$H$2,B48="2012-2013",E48="",G48="NPN05"),H48,"")</f>
        <v/>
      </c>
      <c r="AU48" s="44" t="str">
        <f>IF(AND(C48=Master!$H$3,B48="2012-2013",E48&gt;1000,G48="NPN05"),H48,"")</f>
        <v/>
      </c>
      <c r="AV48" s="44" t="str">
        <f>IF(AND(C48=Master!$H$3,B48="2012-2013",E48="",G48="NPN05"),H48,"")</f>
        <v/>
      </c>
      <c r="AW48" s="44" t="str">
        <f>IF(AND(C48=Master!$H$4,B48="2012-2013",E48&gt;1000,G48="NPN05"),H48,"")</f>
        <v/>
      </c>
      <c r="AX48" s="44" t="str">
        <f>IF(AND(C48=Master!$H$4,B48="2012-2013",E48="",G48="NPN05"),H48,"")</f>
        <v/>
      </c>
      <c r="AY48" s="44" t="str">
        <f>IF(AND(C48=Master!$H$5,B48="2012-2013",E48&gt;1000,G48="NPN05"),H48,"")</f>
        <v/>
      </c>
      <c r="AZ48" s="44" t="str">
        <f>IF(AND(C48=Master!$H$5,B48="2012-2013",E48="",G48="NPN05"),H48,"")</f>
        <v/>
      </c>
      <c r="BA48" s="44" t="str">
        <f>IF(AND(C48=Master!$H$6,B48="2012-2013",E48&gt;1000,G48="NPN05"),H48,"")</f>
        <v/>
      </c>
      <c r="BB48" s="44" t="str">
        <f>IF(AND(C48=Master!$H$6,B48="2012-2013",E48="",G48="NPN05"),H48,"")</f>
        <v/>
      </c>
      <c r="BC48" s="44" t="str">
        <f>IF(AND(C48=Master!$H$7,B48="2012-2013",E48&gt;1000,G48="NPN05"),H48,"")</f>
        <v/>
      </c>
      <c r="BD48" s="44" t="str">
        <f>IF(AND(C48=Master!$H$7,B48="2012-2013",E48="",G48="NPN05"),H48,"")</f>
        <v/>
      </c>
      <c r="BE48" s="44" t="str">
        <f>IF(AND(C48=Master!$H$8,B48="2012-2013",E48&gt;1000,G48="NPN05"),H48,"")</f>
        <v/>
      </c>
      <c r="BF48" s="44" t="str">
        <f>IF(AND(C48=Master!$H$8,B48="2012-2013",E48="",G48="NPN05"),H48,"")</f>
        <v/>
      </c>
      <c r="BG48" s="44" t="str">
        <f>IF(AND(C48=Master!$H$9,B48="2012-2013",E48&gt;1000,G48="NPN05"),H48,"")</f>
        <v/>
      </c>
      <c r="BH48" s="44" t="str">
        <f>IF(AND(C48=Master!$H$9,B48="2012-2013",E48="",G48="NPN05"),H48,"")</f>
        <v/>
      </c>
    </row>
    <row r="49" spans="1:60" x14ac:dyDescent="0.25">
      <c r="A49" s="3">
        <v>47</v>
      </c>
      <c r="B49" s="12"/>
      <c r="C49" s="12"/>
      <c r="D49" s="31"/>
      <c r="E49" s="4"/>
      <c r="F49" s="13"/>
      <c r="G49" s="21"/>
      <c r="H49" s="35"/>
      <c r="I49" s="27"/>
      <c r="J49" s="25" t="str">
        <f>IF(NOT(I49=""),INDEX(Master!$B$1:$B$46,MATCH(I49,Master!$A$1:$A$46,0)),"")</f>
        <v/>
      </c>
      <c r="K49" s="18"/>
      <c r="L49" s="86"/>
      <c r="M49" s="13"/>
      <c r="N49" s="13"/>
      <c r="O49" s="18"/>
      <c r="P49" s="35"/>
      <c r="Q49" s="21"/>
      <c r="R49" s="21"/>
      <c r="S49" s="13"/>
      <c r="T49" s="12"/>
      <c r="U49" s="12"/>
      <c r="V49" s="12"/>
      <c r="W49" s="14"/>
      <c r="Y49" s="42" t="str">
        <f>IF(AND(C49=Master!$H$1,B49="2012-2013",E49&gt;1000,G49="PLN03"),H49,"")</f>
        <v/>
      </c>
      <c r="Z49" s="42" t="str">
        <f>IF(AND(C49=Master!$H$1,B49="2012-2013",E49="",G49="PLN03"),H49,"")</f>
        <v/>
      </c>
      <c r="AA49" s="42" t="str">
        <f>IF(AND(C49=Master!$H$2,B49="2012-2013",E49&gt;1000,G49="PLN03"),H49,"")</f>
        <v/>
      </c>
      <c r="AB49" s="42" t="str">
        <f>IF(AND(C49=Master!$H$2,B49="2012-2013",E49="",G49="PLN03"),H49,"")</f>
        <v/>
      </c>
      <c r="AC49" s="42" t="str">
        <f>IF(AND(C49=Master!$H$3,B49="2012-2013",E49&gt;1000,G49="PLN03"),H49,"")</f>
        <v/>
      </c>
      <c r="AD49" s="42" t="str">
        <f>IF(AND(C49=Master!$H$3,B49="2012-2013",E49="",G49="PLN03"),H49,"")</f>
        <v/>
      </c>
      <c r="AE49" s="42" t="str">
        <f>IF(AND(C49=Master!$H$4,B49="2012-2013",E49&gt;1000,G49="PLN03"),H49,"")</f>
        <v/>
      </c>
      <c r="AF49" s="42" t="str">
        <f>IF(AND(C49=Master!$H$4,B49="2012-2013",E49="",G49="PLN03"),H49,"")</f>
        <v/>
      </c>
      <c r="AG49" s="42" t="str">
        <f>IF(AND(C49=Master!$H$5,B49="2012-2013",E49&gt;1000,G49="PLN03"),H49,"")</f>
        <v/>
      </c>
      <c r="AH49" s="42" t="str">
        <f>IF(AND(C49=Master!$H$5,B49="2012-2013",E49="",G49="PLN03"),H49,"")</f>
        <v/>
      </c>
      <c r="AI49" s="42" t="str">
        <f>IF(AND(C49=Master!$H$6,B49="2012-2013",E49&gt;1000,G49="PLN03"),H49,"")</f>
        <v/>
      </c>
      <c r="AJ49" s="42" t="str">
        <f>IF(AND(C49=Master!$H$6,B49="2012-2013",E49="",G49="PLN03"),H49,"")</f>
        <v/>
      </c>
      <c r="AK49" s="42" t="str">
        <f>IF(AND(C49=Master!$H$7,B49="2012-2013",E49&gt;1000,G49="PLN03"),H49,"")</f>
        <v/>
      </c>
      <c r="AL49" s="42" t="str">
        <f>IF(AND(C49=Master!$H$7,B49="2012-2013",E49="",G49="PLN03"),H49,"")</f>
        <v/>
      </c>
      <c r="AM49" s="42" t="str">
        <f>IF(AND(C49=Master!$H$8,B49="2012-2013",E49&gt;1000,G49="PLN03"),H49,"")</f>
        <v/>
      </c>
      <c r="AN49" s="42" t="str">
        <f>IF(AND(C49=Master!$H$8,B49="2012-2013",E49="",G49="PLN03"),H49,"")</f>
        <v/>
      </c>
      <c r="AO49" s="42" t="str">
        <f>IF(AND(C49=Master!$H$9,B49="2012-2013",E49&gt;1000,G49="PLN03"),H49,"")</f>
        <v/>
      </c>
      <c r="AP49" s="42" t="str">
        <f>IF(AND(C49=Master!$H$9,B49="2012-2013",E49="",G49="PLN03"),H49,"")</f>
        <v/>
      </c>
      <c r="AQ49" s="44" t="str">
        <f>IF(AND(C49=Master!$H$1,B49="2012-2013",E49&gt;1000,G49="NPN05"),H49,"")</f>
        <v/>
      </c>
      <c r="AR49" s="44" t="str">
        <f>IF(AND(C49=Master!$H$1,B49="2012-2013",E49="",G49="NPN05"),H49,"")</f>
        <v/>
      </c>
      <c r="AS49" s="44" t="str">
        <f>IF(AND(C49=Master!$H$2,B49="2012-2013",E49&gt;1000,G49="NPN05"),H49,"")</f>
        <v/>
      </c>
      <c r="AT49" s="44" t="str">
        <f>IF(AND(C49=Master!$H$2,B49="2012-2013",E49="",G49="NPN05"),H49,"")</f>
        <v/>
      </c>
      <c r="AU49" s="44" t="str">
        <f>IF(AND(C49=Master!$H$3,B49="2012-2013",E49&gt;1000,G49="NPN05"),H49,"")</f>
        <v/>
      </c>
      <c r="AV49" s="44" t="str">
        <f>IF(AND(C49=Master!$H$3,B49="2012-2013",E49="",G49="NPN05"),H49,"")</f>
        <v/>
      </c>
      <c r="AW49" s="44" t="str">
        <f>IF(AND(C49=Master!$H$4,B49="2012-2013",E49&gt;1000,G49="NPN05"),H49,"")</f>
        <v/>
      </c>
      <c r="AX49" s="44" t="str">
        <f>IF(AND(C49=Master!$H$4,B49="2012-2013",E49="",G49="NPN05"),H49,"")</f>
        <v/>
      </c>
      <c r="AY49" s="44" t="str">
        <f>IF(AND(C49=Master!$H$5,B49="2012-2013",E49&gt;1000,G49="NPN05"),H49,"")</f>
        <v/>
      </c>
      <c r="AZ49" s="44" t="str">
        <f>IF(AND(C49=Master!$H$5,B49="2012-2013",E49="",G49="NPN05"),H49,"")</f>
        <v/>
      </c>
      <c r="BA49" s="44" t="str">
        <f>IF(AND(C49=Master!$H$6,B49="2012-2013",E49&gt;1000,G49="NPN05"),H49,"")</f>
        <v/>
      </c>
      <c r="BB49" s="44" t="str">
        <f>IF(AND(C49=Master!$H$6,B49="2012-2013",E49="",G49="NPN05"),H49,"")</f>
        <v/>
      </c>
      <c r="BC49" s="44" t="str">
        <f>IF(AND(C49=Master!$H$7,B49="2012-2013",E49&gt;1000,G49="NPN05"),H49,"")</f>
        <v/>
      </c>
      <c r="BD49" s="44" t="str">
        <f>IF(AND(C49=Master!$H$7,B49="2012-2013",E49="",G49="NPN05"),H49,"")</f>
        <v/>
      </c>
      <c r="BE49" s="44" t="str">
        <f>IF(AND(C49=Master!$H$8,B49="2012-2013",E49&gt;1000,G49="NPN05"),H49,"")</f>
        <v/>
      </c>
      <c r="BF49" s="44" t="str">
        <f>IF(AND(C49=Master!$H$8,B49="2012-2013",E49="",G49="NPN05"),H49,"")</f>
        <v/>
      </c>
      <c r="BG49" s="44" t="str">
        <f>IF(AND(C49=Master!$H$9,B49="2012-2013",E49&gt;1000,G49="NPN05"),H49,"")</f>
        <v/>
      </c>
      <c r="BH49" s="44" t="str">
        <f>IF(AND(C49=Master!$H$9,B49="2012-2013",E49="",G49="NPN05"),H49,"")</f>
        <v/>
      </c>
    </row>
    <row r="50" spans="1:60" x14ac:dyDescent="0.25">
      <c r="A50" s="3">
        <v>48</v>
      </c>
      <c r="B50" s="12"/>
      <c r="C50" s="12"/>
      <c r="D50" s="31"/>
      <c r="E50" s="4"/>
      <c r="F50" s="13"/>
      <c r="G50" s="21"/>
      <c r="H50" s="35"/>
      <c r="I50" s="27"/>
      <c r="J50" s="25" t="str">
        <f>IF(NOT(I50=""),INDEX(Master!$B$1:$B$46,MATCH(I50,Master!$A$1:$A$46,0)),"")</f>
        <v/>
      </c>
      <c r="K50" s="18"/>
      <c r="L50" s="86"/>
      <c r="M50" s="13"/>
      <c r="N50" s="13"/>
      <c r="O50" s="18"/>
      <c r="P50" s="35"/>
      <c r="Q50" s="21"/>
      <c r="R50" s="21"/>
      <c r="S50" s="13"/>
      <c r="T50" s="12"/>
      <c r="U50" s="12"/>
      <c r="V50" s="12"/>
      <c r="W50" s="14"/>
      <c r="Y50" s="42" t="str">
        <f>IF(AND(C50=Master!$H$1,B50="2012-2013",E50&gt;1000,G50="PLN03"),H50,"")</f>
        <v/>
      </c>
      <c r="Z50" s="42" t="str">
        <f>IF(AND(C50=Master!$H$1,B50="2012-2013",E50="",G50="PLN03"),H50,"")</f>
        <v/>
      </c>
      <c r="AA50" s="42" t="str">
        <f>IF(AND(C50=Master!$H$2,B50="2012-2013",E50&gt;1000,G50="PLN03"),H50,"")</f>
        <v/>
      </c>
      <c r="AB50" s="42" t="str">
        <f>IF(AND(C50=Master!$H$2,B50="2012-2013",E50="",G50="PLN03"),H50,"")</f>
        <v/>
      </c>
      <c r="AC50" s="42" t="str">
        <f>IF(AND(C50=Master!$H$3,B50="2012-2013",E50&gt;1000,G50="PLN03"),H50,"")</f>
        <v/>
      </c>
      <c r="AD50" s="42" t="str">
        <f>IF(AND(C50=Master!$H$3,B50="2012-2013",E50="",G50="PLN03"),H50,"")</f>
        <v/>
      </c>
      <c r="AE50" s="42" t="str">
        <f>IF(AND(C50=Master!$H$4,B50="2012-2013",E50&gt;1000,G50="PLN03"),H50,"")</f>
        <v/>
      </c>
      <c r="AF50" s="42" t="str">
        <f>IF(AND(C50=Master!$H$4,B50="2012-2013",E50="",G50="PLN03"),H50,"")</f>
        <v/>
      </c>
      <c r="AG50" s="42" t="str">
        <f>IF(AND(C50=Master!$H$5,B50="2012-2013",E50&gt;1000,G50="PLN03"),H50,"")</f>
        <v/>
      </c>
      <c r="AH50" s="42" t="str">
        <f>IF(AND(C50=Master!$H$5,B50="2012-2013",E50="",G50="PLN03"),H50,"")</f>
        <v/>
      </c>
      <c r="AI50" s="42" t="str">
        <f>IF(AND(C50=Master!$H$6,B50="2012-2013",E50&gt;1000,G50="PLN03"),H50,"")</f>
        <v/>
      </c>
      <c r="AJ50" s="42" t="str">
        <f>IF(AND(C50=Master!$H$6,B50="2012-2013",E50="",G50="PLN03"),H50,"")</f>
        <v/>
      </c>
      <c r="AK50" s="42" t="str">
        <f>IF(AND(C50=Master!$H$7,B50="2012-2013",E50&gt;1000,G50="PLN03"),H50,"")</f>
        <v/>
      </c>
      <c r="AL50" s="42" t="str">
        <f>IF(AND(C50=Master!$H$7,B50="2012-2013",E50="",G50="PLN03"),H50,"")</f>
        <v/>
      </c>
      <c r="AM50" s="42" t="str">
        <f>IF(AND(C50=Master!$H$8,B50="2012-2013",E50&gt;1000,G50="PLN03"),H50,"")</f>
        <v/>
      </c>
      <c r="AN50" s="42" t="str">
        <f>IF(AND(C50=Master!$H$8,B50="2012-2013",E50="",G50="PLN03"),H50,"")</f>
        <v/>
      </c>
      <c r="AO50" s="42" t="str">
        <f>IF(AND(C50=Master!$H$9,B50="2012-2013",E50&gt;1000,G50="PLN03"),H50,"")</f>
        <v/>
      </c>
      <c r="AP50" s="42" t="str">
        <f>IF(AND(C50=Master!$H$9,B50="2012-2013",E50="",G50="PLN03"),H50,"")</f>
        <v/>
      </c>
      <c r="AQ50" s="44" t="str">
        <f>IF(AND(C50=Master!$H$1,B50="2012-2013",E50&gt;1000,G50="NPN05"),H50,"")</f>
        <v/>
      </c>
      <c r="AR50" s="44" t="str">
        <f>IF(AND(C50=Master!$H$1,B50="2012-2013",E50="",G50="NPN05"),H50,"")</f>
        <v/>
      </c>
      <c r="AS50" s="44" t="str">
        <f>IF(AND(C50=Master!$H$2,B50="2012-2013",E50&gt;1000,G50="NPN05"),H50,"")</f>
        <v/>
      </c>
      <c r="AT50" s="44" t="str">
        <f>IF(AND(C50=Master!$H$2,B50="2012-2013",E50="",G50="NPN05"),H50,"")</f>
        <v/>
      </c>
      <c r="AU50" s="44" t="str">
        <f>IF(AND(C50=Master!$H$3,B50="2012-2013",E50&gt;1000,G50="NPN05"),H50,"")</f>
        <v/>
      </c>
      <c r="AV50" s="44" t="str">
        <f>IF(AND(C50=Master!$H$3,B50="2012-2013",E50="",G50="NPN05"),H50,"")</f>
        <v/>
      </c>
      <c r="AW50" s="44" t="str">
        <f>IF(AND(C50=Master!$H$4,B50="2012-2013",E50&gt;1000,G50="NPN05"),H50,"")</f>
        <v/>
      </c>
      <c r="AX50" s="44" t="str">
        <f>IF(AND(C50=Master!$H$4,B50="2012-2013",E50="",G50="NPN05"),H50,"")</f>
        <v/>
      </c>
      <c r="AY50" s="44" t="str">
        <f>IF(AND(C50=Master!$H$5,B50="2012-2013",E50&gt;1000,G50="NPN05"),H50,"")</f>
        <v/>
      </c>
      <c r="AZ50" s="44" t="str">
        <f>IF(AND(C50=Master!$H$5,B50="2012-2013",E50="",G50="NPN05"),H50,"")</f>
        <v/>
      </c>
      <c r="BA50" s="44" t="str">
        <f>IF(AND(C50=Master!$H$6,B50="2012-2013",E50&gt;1000,G50="NPN05"),H50,"")</f>
        <v/>
      </c>
      <c r="BB50" s="44" t="str">
        <f>IF(AND(C50=Master!$H$6,B50="2012-2013",E50="",G50="NPN05"),H50,"")</f>
        <v/>
      </c>
      <c r="BC50" s="44" t="str">
        <f>IF(AND(C50=Master!$H$7,B50="2012-2013",E50&gt;1000,G50="NPN05"),H50,"")</f>
        <v/>
      </c>
      <c r="BD50" s="44" t="str">
        <f>IF(AND(C50=Master!$H$7,B50="2012-2013",E50="",G50="NPN05"),H50,"")</f>
        <v/>
      </c>
      <c r="BE50" s="44" t="str">
        <f>IF(AND(C50=Master!$H$8,B50="2012-2013",E50&gt;1000,G50="NPN05"),H50,"")</f>
        <v/>
      </c>
      <c r="BF50" s="44" t="str">
        <f>IF(AND(C50=Master!$H$8,B50="2012-2013",E50="",G50="NPN05"),H50,"")</f>
        <v/>
      </c>
      <c r="BG50" s="44" t="str">
        <f>IF(AND(C50=Master!$H$9,B50="2012-2013",E50&gt;1000,G50="NPN05"),H50,"")</f>
        <v/>
      </c>
      <c r="BH50" s="44" t="str">
        <f>IF(AND(C50=Master!$H$9,B50="2012-2013",E50="",G50="NPN05"),H50,"")</f>
        <v/>
      </c>
    </row>
    <row r="51" spans="1:60" x14ac:dyDescent="0.25">
      <c r="A51" s="3">
        <v>49</v>
      </c>
      <c r="B51" s="12"/>
      <c r="C51" s="12"/>
      <c r="D51" s="31"/>
      <c r="E51" s="4"/>
      <c r="F51" s="13"/>
      <c r="G51" s="21"/>
      <c r="H51" s="35"/>
      <c r="I51" s="27"/>
      <c r="J51" s="25" t="str">
        <f>IF(NOT(I51=""),INDEX(Master!$B$1:$B$46,MATCH(I51,Master!$A$1:$A$46,0)),"")</f>
        <v/>
      </c>
      <c r="K51" s="18"/>
      <c r="L51" s="86"/>
      <c r="M51" s="13"/>
      <c r="N51" s="13"/>
      <c r="O51" s="18"/>
      <c r="P51" s="35"/>
      <c r="Q51" s="21"/>
      <c r="R51" s="21"/>
      <c r="S51" s="13"/>
      <c r="T51" s="12"/>
      <c r="U51" s="12"/>
      <c r="V51" s="12"/>
      <c r="W51" s="14"/>
      <c r="Y51" s="42" t="str">
        <f>IF(AND(C51=Master!$H$1,B51="2012-2013",E51&gt;1000,G51="PLN03"),H51,"")</f>
        <v/>
      </c>
      <c r="Z51" s="42" t="str">
        <f>IF(AND(C51=Master!$H$1,B51="2012-2013",E51="",G51="PLN03"),H51,"")</f>
        <v/>
      </c>
      <c r="AA51" s="42" t="str">
        <f>IF(AND(C51=Master!$H$2,B51="2012-2013",E51&gt;1000,G51="PLN03"),H51,"")</f>
        <v/>
      </c>
      <c r="AB51" s="42" t="str">
        <f>IF(AND(C51=Master!$H$2,B51="2012-2013",E51="",G51="PLN03"),H51,"")</f>
        <v/>
      </c>
      <c r="AC51" s="42" t="str">
        <f>IF(AND(C51=Master!$H$3,B51="2012-2013",E51&gt;1000,G51="PLN03"),H51,"")</f>
        <v/>
      </c>
      <c r="AD51" s="42" t="str">
        <f>IF(AND(C51=Master!$H$3,B51="2012-2013",E51="",G51="PLN03"),H51,"")</f>
        <v/>
      </c>
      <c r="AE51" s="42" t="str">
        <f>IF(AND(C51=Master!$H$4,B51="2012-2013",E51&gt;1000,G51="PLN03"),H51,"")</f>
        <v/>
      </c>
      <c r="AF51" s="42" t="str">
        <f>IF(AND(C51=Master!$H$4,B51="2012-2013",E51="",G51="PLN03"),H51,"")</f>
        <v/>
      </c>
      <c r="AG51" s="42" t="str">
        <f>IF(AND(C51=Master!$H$5,B51="2012-2013",E51&gt;1000,G51="PLN03"),H51,"")</f>
        <v/>
      </c>
      <c r="AH51" s="42" t="str">
        <f>IF(AND(C51=Master!$H$5,B51="2012-2013",E51="",G51="PLN03"),H51,"")</f>
        <v/>
      </c>
      <c r="AI51" s="42" t="str">
        <f>IF(AND(C51=Master!$H$6,B51="2012-2013",E51&gt;1000,G51="PLN03"),H51,"")</f>
        <v/>
      </c>
      <c r="AJ51" s="42" t="str">
        <f>IF(AND(C51=Master!$H$6,B51="2012-2013",E51="",G51="PLN03"),H51,"")</f>
        <v/>
      </c>
      <c r="AK51" s="42" t="str">
        <f>IF(AND(C51=Master!$H$7,B51="2012-2013",E51&gt;1000,G51="PLN03"),H51,"")</f>
        <v/>
      </c>
      <c r="AL51" s="42" t="str">
        <f>IF(AND(C51=Master!$H$7,B51="2012-2013",E51="",G51="PLN03"),H51,"")</f>
        <v/>
      </c>
      <c r="AM51" s="42" t="str">
        <f>IF(AND(C51=Master!$H$8,B51="2012-2013",E51&gt;1000,G51="PLN03"),H51,"")</f>
        <v/>
      </c>
      <c r="AN51" s="42" t="str">
        <f>IF(AND(C51=Master!$H$8,B51="2012-2013",E51="",G51="PLN03"),H51,"")</f>
        <v/>
      </c>
      <c r="AO51" s="42" t="str">
        <f>IF(AND(C51=Master!$H$9,B51="2012-2013",E51&gt;1000,G51="PLN03"),H51,"")</f>
        <v/>
      </c>
      <c r="AP51" s="42" t="str">
        <f>IF(AND(C51=Master!$H$9,B51="2012-2013",E51="",G51="PLN03"),H51,"")</f>
        <v/>
      </c>
      <c r="AQ51" s="44" t="str">
        <f>IF(AND(C51=Master!$H$1,B51="2012-2013",E51&gt;1000,G51="NPN05"),H51,"")</f>
        <v/>
      </c>
      <c r="AR51" s="44" t="str">
        <f>IF(AND(C51=Master!$H$1,B51="2012-2013",E51="",G51="NPN05"),H51,"")</f>
        <v/>
      </c>
      <c r="AS51" s="44" t="str">
        <f>IF(AND(C51=Master!$H$2,B51="2012-2013",E51&gt;1000,G51="NPN05"),H51,"")</f>
        <v/>
      </c>
      <c r="AT51" s="44" t="str">
        <f>IF(AND(C51=Master!$H$2,B51="2012-2013",E51="",G51="NPN05"),H51,"")</f>
        <v/>
      </c>
      <c r="AU51" s="44" t="str">
        <f>IF(AND(C51=Master!$H$3,B51="2012-2013",E51&gt;1000,G51="NPN05"),H51,"")</f>
        <v/>
      </c>
      <c r="AV51" s="44" t="str">
        <f>IF(AND(C51=Master!$H$3,B51="2012-2013",E51="",G51="NPN05"),H51,"")</f>
        <v/>
      </c>
      <c r="AW51" s="44" t="str">
        <f>IF(AND(C51=Master!$H$4,B51="2012-2013",E51&gt;1000,G51="NPN05"),H51,"")</f>
        <v/>
      </c>
      <c r="AX51" s="44" t="str">
        <f>IF(AND(C51=Master!$H$4,B51="2012-2013",E51="",G51="NPN05"),H51,"")</f>
        <v/>
      </c>
      <c r="AY51" s="44" t="str">
        <f>IF(AND(C51=Master!$H$5,B51="2012-2013",E51&gt;1000,G51="NPN05"),H51,"")</f>
        <v/>
      </c>
      <c r="AZ51" s="44" t="str">
        <f>IF(AND(C51=Master!$H$5,B51="2012-2013",E51="",G51="NPN05"),H51,"")</f>
        <v/>
      </c>
      <c r="BA51" s="44" t="str">
        <f>IF(AND(C51=Master!$H$6,B51="2012-2013",E51&gt;1000,G51="NPN05"),H51,"")</f>
        <v/>
      </c>
      <c r="BB51" s="44" t="str">
        <f>IF(AND(C51=Master!$H$6,B51="2012-2013",E51="",G51="NPN05"),H51,"")</f>
        <v/>
      </c>
      <c r="BC51" s="44" t="str">
        <f>IF(AND(C51=Master!$H$7,B51="2012-2013",E51&gt;1000,G51="NPN05"),H51,"")</f>
        <v/>
      </c>
      <c r="BD51" s="44" t="str">
        <f>IF(AND(C51=Master!$H$7,B51="2012-2013",E51="",G51="NPN05"),H51,"")</f>
        <v/>
      </c>
      <c r="BE51" s="44" t="str">
        <f>IF(AND(C51=Master!$H$8,B51="2012-2013",E51&gt;1000,G51="NPN05"),H51,"")</f>
        <v/>
      </c>
      <c r="BF51" s="44" t="str">
        <f>IF(AND(C51=Master!$H$8,B51="2012-2013",E51="",G51="NPN05"),H51,"")</f>
        <v/>
      </c>
      <c r="BG51" s="44" t="str">
        <f>IF(AND(C51=Master!$H$9,B51="2012-2013",E51&gt;1000,G51="NPN05"),H51,"")</f>
        <v/>
      </c>
      <c r="BH51" s="44" t="str">
        <f>IF(AND(C51=Master!$H$9,B51="2012-2013",E51="",G51="NPN05"),H51,"")</f>
        <v/>
      </c>
    </row>
    <row r="52" spans="1:60" x14ac:dyDescent="0.25">
      <c r="A52" s="3">
        <v>50</v>
      </c>
      <c r="B52" s="12"/>
      <c r="C52" s="12"/>
      <c r="D52" s="31"/>
      <c r="E52" s="4"/>
      <c r="F52" s="13"/>
      <c r="G52" s="21"/>
      <c r="H52" s="35"/>
      <c r="I52" s="27"/>
      <c r="J52" s="25" t="str">
        <f>IF(NOT(I52=""),INDEX(Master!$B$1:$B$46,MATCH(I52,Master!$A$1:$A$46,0)),"")</f>
        <v/>
      </c>
      <c r="K52" s="18"/>
      <c r="L52" s="86"/>
      <c r="M52" s="13"/>
      <c r="N52" s="13"/>
      <c r="O52" s="18"/>
      <c r="P52" s="35"/>
      <c r="Q52" s="21"/>
      <c r="R52" s="21"/>
      <c r="S52" s="13"/>
      <c r="T52" s="12"/>
      <c r="U52" s="12"/>
      <c r="V52" s="12"/>
      <c r="W52" s="14"/>
      <c r="Y52" s="42" t="str">
        <f>IF(AND(C52=Master!$H$1,B52="2012-2013",E52&gt;1000,G52="PLN03"),H52,"")</f>
        <v/>
      </c>
      <c r="Z52" s="42" t="str">
        <f>IF(AND(C52=Master!$H$1,B52="2012-2013",E52="",G52="PLN03"),H52,"")</f>
        <v/>
      </c>
      <c r="AA52" s="42" t="str">
        <f>IF(AND(C52=Master!$H$2,B52="2012-2013",E52&gt;1000,G52="PLN03"),H52,"")</f>
        <v/>
      </c>
      <c r="AB52" s="42" t="str">
        <f>IF(AND(C52=Master!$H$2,B52="2012-2013",E52="",G52="PLN03"),H52,"")</f>
        <v/>
      </c>
      <c r="AC52" s="42" t="str">
        <f>IF(AND(C52=Master!$H$3,B52="2012-2013",E52&gt;1000,G52="PLN03"),H52,"")</f>
        <v/>
      </c>
      <c r="AD52" s="42" t="str">
        <f>IF(AND(C52=Master!$H$3,B52="2012-2013",E52="",G52="PLN03"),H52,"")</f>
        <v/>
      </c>
      <c r="AE52" s="42" t="str">
        <f>IF(AND(C52=Master!$H$4,B52="2012-2013",E52&gt;1000,G52="PLN03"),H52,"")</f>
        <v/>
      </c>
      <c r="AF52" s="42" t="str">
        <f>IF(AND(C52=Master!$H$4,B52="2012-2013",E52="",G52="PLN03"),H52,"")</f>
        <v/>
      </c>
      <c r="AG52" s="42" t="str">
        <f>IF(AND(C52=Master!$H$5,B52="2012-2013",E52&gt;1000,G52="PLN03"),H52,"")</f>
        <v/>
      </c>
      <c r="AH52" s="42" t="str">
        <f>IF(AND(C52=Master!$H$5,B52="2012-2013",E52="",G52="PLN03"),H52,"")</f>
        <v/>
      </c>
      <c r="AI52" s="42" t="str">
        <f>IF(AND(C52=Master!$H$6,B52="2012-2013",E52&gt;1000,G52="PLN03"),H52,"")</f>
        <v/>
      </c>
      <c r="AJ52" s="42" t="str">
        <f>IF(AND(C52=Master!$H$6,B52="2012-2013",E52="",G52="PLN03"),H52,"")</f>
        <v/>
      </c>
      <c r="AK52" s="42" t="str">
        <f>IF(AND(C52=Master!$H$7,B52="2012-2013",E52&gt;1000,G52="PLN03"),H52,"")</f>
        <v/>
      </c>
      <c r="AL52" s="42" t="str">
        <f>IF(AND(C52=Master!$H$7,B52="2012-2013",E52="",G52="PLN03"),H52,"")</f>
        <v/>
      </c>
      <c r="AM52" s="42" t="str">
        <f>IF(AND(C52=Master!$H$8,B52="2012-2013",E52&gt;1000,G52="PLN03"),H52,"")</f>
        <v/>
      </c>
      <c r="AN52" s="42" t="str">
        <f>IF(AND(C52=Master!$H$8,B52="2012-2013",E52="",G52="PLN03"),H52,"")</f>
        <v/>
      </c>
      <c r="AO52" s="42" t="str">
        <f>IF(AND(C52=Master!$H$9,B52="2012-2013",E52&gt;1000,G52="PLN03"),H52,"")</f>
        <v/>
      </c>
      <c r="AP52" s="42" t="str">
        <f>IF(AND(C52=Master!$H$9,B52="2012-2013",E52="",G52="PLN03"),H52,"")</f>
        <v/>
      </c>
      <c r="AQ52" s="44" t="str">
        <f>IF(AND(C52=Master!$H$1,B52="2012-2013",E52&gt;1000,G52="NPN05"),H52,"")</f>
        <v/>
      </c>
      <c r="AR52" s="44" t="str">
        <f>IF(AND(C52=Master!$H$1,B52="2012-2013",E52="",G52="NPN05"),H52,"")</f>
        <v/>
      </c>
      <c r="AS52" s="44" t="str">
        <f>IF(AND(C52=Master!$H$2,B52="2012-2013",E52&gt;1000,G52="NPN05"),H52,"")</f>
        <v/>
      </c>
      <c r="AT52" s="44" t="str">
        <f>IF(AND(C52=Master!$H$2,B52="2012-2013",E52="",G52="NPN05"),H52,"")</f>
        <v/>
      </c>
      <c r="AU52" s="44" t="str">
        <f>IF(AND(C52=Master!$H$3,B52="2012-2013",E52&gt;1000,G52="NPN05"),H52,"")</f>
        <v/>
      </c>
      <c r="AV52" s="44" t="str">
        <f>IF(AND(C52=Master!$H$3,B52="2012-2013",E52="",G52="NPN05"),H52,"")</f>
        <v/>
      </c>
      <c r="AW52" s="44" t="str">
        <f>IF(AND(C52=Master!$H$4,B52="2012-2013",E52&gt;1000,G52="NPN05"),H52,"")</f>
        <v/>
      </c>
      <c r="AX52" s="44" t="str">
        <f>IF(AND(C52=Master!$H$4,B52="2012-2013",E52="",G52="NPN05"),H52,"")</f>
        <v/>
      </c>
      <c r="AY52" s="44" t="str">
        <f>IF(AND(C52=Master!$H$5,B52="2012-2013",E52&gt;1000,G52="NPN05"),H52,"")</f>
        <v/>
      </c>
      <c r="AZ52" s="44" t="str">
        <f>IF(AND(C52=Master!$H$5,B52="2012-2013",E52="",G52="NPN05"),H52,"")</f>
        <v/>
      </c>
      <c r="BA52" s="44" t="str">
        <f>IF(AND(C52=Master!$H$6,B52="2012-2013",E52&gt;1000,G52="NPN05"),H52,"")</f>
        <v/>
      </c>
      <c r="BB52" s="44" t="str">
        <f>IF(AND(C52=Master!$H$6,B52="2012-2013",E52="",G52="NPN05"),H52,"")</f>
        <v/>
      </c>
      <c r="BC52" s="44" t="str">
        <f>IF(AND(C52=Master!$H$7,B52="2012-2013",E52&gt;1000,G52="NPN05"),H52,"")</f>
        <v/>
      </c>
      <c r="BD52" s="44" t="str">
        <f>IF(AND(C52=Master!$H$7,B52="2012-2013",E52="",G52="NPN05"),H52,"")</f>
        <v/>
      </c>
      <c r="BE52" s="44" t="str">
        <f>IF(AND(C52=Master!$H$8,B52="2012-2013",E52&gt;1000,G52="NPN05"),H52,"")</f>
        <v/>
      </c>
      <c r="BF52" s="44" t="str">
        <f>IF(AND(C52=Master!$H$8,B52="2012-2013",E52="",G52="NPN05"),H52,"")</f>
        <v/>
      </c>
      <c r="BG52" s="44" t="str">
        <f>IF(AND(C52=Master!$H$9,B52="2012-2013",E52&gt;1000,G52="NPN05"),H52,"")</f>
        <v/>
      </c>
      <c r="BH52" s="44" t="str">
        <f>IF(AND(C52=Master!$H$9,B52="2012-2013",E52="",G52="NPN05"),H52,"")</f>
        <v/>
      </c>
    </row>
    <row r="53" spans="1:60" x14ac:dyDescent="0.25">
      <c r="A53" s="3">
        <v>51</v>
      </c>
      <c r="B53" s="12"/>
      <c r="C53" s="12"/>
      <c r="D53" s="31"/>
      <c r="E53" s="4"/>
      <c r="F53" s="13"/>
      <c r="G53" s="21"/>
      <c r="H53" s="35"/>
      <c r="I53" s="27"/>
      <c r="J53" s="25" t="str">
        <f>IF(NOT(I53=""),INDEX(Master!$B$1:$B$46,MATCH(I53,Master!$A$1:$A$46,0)),"")</f>
        <v/>
      </c>
      <c r="K53" s="18"/>
      <c r="L53" s="86"/>
      <c r="M53" s="13"/>
      <c r="N53" s="13"/>
      <c r="O53" s="18"/>
      <c r="P53" s="35"/>
      <c r="Q53" s="21"/>
      <c r="R53" s="21"/>
      <c r="S53" s="13"/>
      <c r="T53" s="12"/>
      <c r="U53" s="12"/>
      <c r="V53" s="12"/>
      <c r="W53" s="14"/>
      <c r="Y53" s="42" t="str">
        <f>IF(AND(C53=Master!$H$1,B53="2012-2013",E53&gt;1000,G53="PLN03"),H53,"")</f>
        <v/>
      </c>
      <c r="Z53" s="42" t="str">
        <f>IF(AND(C53=Master!$H$1,B53="2012-2013",E53="",G53="PLN03"),H53,"")</f>
        <v/>
      </c>
      <c r="AA53" s="42" t="str">
        <f>IF(AND(C53=Master!$H$2,B53="2012-2013",E53&gt;1000,G53="PLN03"),H53,"")</f>
        <v/>
      </c>
      <c r="AB53" s="42" t="str">
        <f>IF(AND(C53=Master!$H$2,B53="2012-2013",E53="",G53="PLN03"),H53,"")</f>
        <v/>
      </c>
      <c r="AC53" s="42" t="str">
        <f>IF(AND(C53=Master!$H$3,B53="2012-2013",E53&gt;1000,G53="PLN03"),H53,"")</f>
        <v/>
      </c>
      <c r="AD53" s="42" t="str">
        <f>IF(AND(C53=Master!$H$3,B53="2012-2013",E53="",G53="PLN03"),H53,"")</f>
        <v/>
      </c>
      <c r="AE53" s="42" t="str">
        <f>IF(AND(C53=Master!$H$4,B53="2012-2013",E53&gt;1000,G53="PLN03"),H53,"")</f>
        <v/>
      </c>
      <c r="AF53" s="42" t="str">
        <f>IF(AND(C53=Master!$H$4,B53="2012-2013",E53="",G53="PLN03"),H53,"")</f>
        <v/>
      </c>
      <c r="AG53" s="42" t="str">
        <f>IF(AND(C53=Master!$H$5,B53="2012-2013",E53&gt;1000,G53="PLN03"),H53,"")</f>
        <v/>
      </c>
      <c r="AH53" s="42" t="str">
        <f>IF(AND(C53=Master!$H$5,B53="2012-2013",E53="",G53="PLN03"),H53,"")</f>
        <v/>
      </c>
      <c r="AI53" s="42" t="str">
        <f>IF(AND(C53=Master!$H$6,B53="2012-2013",E53&gt;1000,G53="PLN03"),H53,"")</f>
        <v/>
      </c>
      <c r="AJ53" s="42" t="str">
        <f>IF(AND(C53=Master!$H$6,B53="2012-2013",E53="",G53="PLN03"),H53,"")</f>
        <v/>
      </c>
      <c r="AK53" s="42" t="str">
        <f>IF(AND(C53=Master!$H$7,B53="2012-2013",E53&gt;1000,G53="PLN03"),H53,"")</f>
        <v/>
      </c>
      <c r="AL53" s="42" t="str">
        <f>IF(AND(C53=Master!$H$7,B53="2012-2013",E53="",G53="PLN03"),H53,"")</f>
        <v/>
      </c>
      <c r="AM53" s="42" t="str">
        <f>IF(AND(C53=Master!$H$8,B53="2012-2013",E53&gt;1000,G53="PLN03"),H53,"")</f>
        <v/>
      </c>
      <c r="AN53" s="42" t="str">
        <f>IF(AND(C53=Master!$H$8,B53="2012-2013",E53="",G53="PLN03"),H53,"")</f>
        <v/>
      </c>
      <c r="AO53" s="42" t="str">
        <f>IF(AND(C53=Master!$H$9,B53="2012-2013",E53&gt;1000,G53="PLN03"),H53,"")</f>
        <v/>
      </c>
      <c r="AP53" s="42" t="str">
        <f>IF(AND(C53=Master!$H$9,B53="2012-2013",E53="",G53="PLN03"),H53,"")</f>
        <v/>
      </c>
      <c r="AQ53" s="44" t="str">
        <f>IF(AND(C53=Master!$H$1,B53="2012-2013",E53&gt;1000,G53="NPN05"),H53,"")</f>
        <v/>
      </c>
      <c r="AR53" s="44" t="str">
        <f>IF(AND(C53=Master!$H$1,B53="2012-2013",E53="",G53="NPN05"),H53,"")</f>
        <v/>
      </c>
      <c r="AS53" s="44" t="str">
        <f>IF(AND(C53=Master!$H$2,B53="2012-2013",E53&gt;1000,G53="NPN05"),H53,"")</f>
        <v/>
      </c>
      <c r="AT53" s="44" t="str">
        <f>IF(AND(C53=Master!$H$2,B53="2012-2013",E53="",G53="NPN05"),H53,"")</f>
        <v/>
      </c>
      <c r="AU53" s="44" t="str">
        <f>IF(AND(C53=Master!$H$3,B53="2012-2013",E53&gt;1000,G53="NPN05"),H53,"")</f>
        <v/>
      </c>
      <c r="AV53" s="44" t="str">
        <f>IF(AND(C53=Master!$H$3,B53="2012-2013",E53="",G53="NPN05"),H53,"")</f>
        <v/>
      </c>
      <c r="AW53" s="44" t="str">
        <f>IF(AND(C53=Master!$H$4,B53="2012-2013",E53&gt;1000,G53="NPN05"),H53,"")</f>
        <v/>
      </c>
      <c r="AX53" s="44" t="str">
        <f>IF(AND(C53=Master!$H$4,B53="2012-2013",E53="",G53="NPN05"),H53,"")</f>
        <v/>
      </c>
      <c r="AY53" s="44" t="str">
        <f>IF(AND(C53=Master!$H$5,B53="2012-2013",E53&gt;1000,G53="NPN05"),H53,"")</f>
        <v/>
      </c>
      <c r="AZ53" s="44" t="str">
        <f>IF(AND(C53=Master!$H$5,B53="2012-2013",E53="",G53="NPN05"),H53,"")</f>
        <v/>
      </c>
      <c r="BA53" s="44" t="str">
        <f>IF(AND(C53=Master!$H$6,B53="2012-2013",E53&gt;1000,G53="NPN05"),H53,"")</f>
        <v/>
      </c>
      <c r="BB53" s="44" t="str">
        <f>IF(AND(C53=Master!$H$6,B53="2012-2013",E53="",G53="NPN05"),H53,"")</f>
        <v/>
      </c>
      <c r="BC53" s="44" t="str">
        <f>IF(AND(C53=Master!$H$7,B53="2012-2013",E53&gt;1000,G53="NPN05"),H53,"")</f>
        <v/>
      </c>
      <c r="BD53" s="44" t="str">
        <f>IF(AND(C53=Master!$H$7,B53="2012-2013",E53="",G53="NPN05"),H53,"")</f>
        <v/>
      </c>
      <c r="BE53" s="44" t="str">
        <f>IF(AND(C53=Master!$H$8,B53="2012-2013",E53&gt;1000,G53="NPN05"),H53,"")</f>
        <v/>
      </c>
      <c r="BF53" s="44" t="str">
        <f>IF(AND(C53=Master!$H$8,B53="2012-2013",E53="",G53="NPN05"),H53,"")</f>
        <v/>
      </c>
      <c r="BG53" s="44" t="str">
        <f>IF(AND(C53=Master!$H$9,B53="2012-2013",E53&gt;1000,G53="NPN05"),H53,"")</f>
        <v/>
      </c>
      <c r="BH53" s="44" t="str">
        <f>IF(AND(C53=Master!$H$9,B53="2012-2013",E53="",G53="NPN05"),H53,"")</f>
        <v/>
      </c>
    </row>
    <row r="54" spans="1:60" x14ac:dyDescent="0.25">
      <c r="A54" s="3">
        <v>52</v>
      </c>
      <c r="B54" s="12"/>
      <c r="C54" s="12"/>
      <c r="D54" s="31"/>
      <c r="E54" s="4"/>
      <c r="F54" s="13"/>
      <c r="G54" s="21"/>
      <c r="H54" s="35"/>
      <c r="I54" s="27"/>
      <c r="J54" s="25" t="str">
        <f>IF(NOT(I54=""),INDEX(Master!$B$1:$B$46,MATCH(I54,Master!$A$1:$A$46,0)),"")</f>
        <v/>
      </c>
      <c r="K54" s="18"/>
      <c r="L54" s="86"/>
      <c r="M54" s="13"/>
      <c r="N54" s="13"/>
      <c r="O54" s="18"/>
      <c r="P54" s="35"/>
      <c r="Q54" s="21"/>
      <c r="R54" s="21"/>
      <c r="S54" s="13"/>
      <c r="T54" s="12"/>
      <c r="U54" s="12"/>
      <c r="V54" s="12"/>
      <c r="W54" s="14"/>
      <c r="Y54" s="42" t="str">
        <f>IF(AND(C54=Master!$H$1,B54="2012-2013",E54&gt;1000,G54="PLN03"),H54,"")</f>
        <v/>
      </c>
      <c r="Z54" s="42" t="str">
        <f>IF(AND(C54=Master!$H$1,B54="2012-2013",E54="",G54="PLN03"),H54,"")</f>
        <v/>
      </c>
      <c r="AA54" s="42" t="str">
        <f>IF(AND(C54=Master!$H$2,B54="2012-2013",E54&gt;1000,G54="PLN03"),H54,"")</f>
        <v/>
      </c>
      <c r="AB54" s="42" t="str">
        <f>IF(AND(C54=Master!$H$2,B54="2012-2013",E54="",G54="PLN03"),H54,"")</f>
        <v/>
      </c>
      <c r="AC54" s="42" t="str">
        <f>IF(AND(C54=Master!$H$3,B54="2012-2013",E54&gt;1000,G54="PLN03"),H54,"")</f>
        <v/>
      </c>
      <c r="AD54" s="42" t="str">
        <f>IF(AND(C54=Master!$H$3,B54="2012-2013",E54="",G54="PLN03"),H54,"")</f>
        <v/>
      </c>
      <c r="AE54" s="42" t="str">
        <f>IF(AND(C54=Master!$H$4,B54="2012-2013",E54&gt;1000,G54="PLN03"),H54,"")</f>
        <v/>
      </c>
      <c r="AF54" s="42" t="str">
        <f>IF(AND(C54=Master!$H$4,B54="2012-2013",E54="",G54="PLN03"),H54,"")</f>
        <v/>
      </c>
      <c r="AG54" s="42" t="str">
        <f>IF(AND(C54=Master!$H$5,B54="2012-2013",E54&gt;1000,G54="PLN03"),H54,"")</f>
        <v/>
      </c>
      <c r="AH54" s="42" t="str">
        <f>IF(AND(C54=Master!$H$5,B54="2012-2013",E54="",G54="PLN03"),H54,"")</f>
        <v/>
      </c>
      <c r="AI54" s="42" t="str">
        <f>IF(AND(C54=Master!$H$6,B54="2012-2013",E54&gt;1000,G54="PLN03"),H54,"")</f>
        <v/>
      </c>
      <c r="AJ54" s="42" t="str">
        <f>IF(AND(C54=Master!$H$6,B54="2012-2013",E54="",G54="PLN03"),H54,"")</f>
        <v/>
      </c>
      <c r="AK54" s="42" t="str">
        <f>IF(AND(C54=Master!$H$7,B54="2012-2013",E54&gt;1000,G54="PLN03"),H54,"")</f>
        <v/>
      </c>
      <c r="AL54" s="42" t="str">
        <f>IF(AND(C54=Master!$H$7,B54="2012-2013",E54="",G54="PLN03"),H54,"")</f>
        <v/>
      </c>
      <c r="AM54" s="42" t="str">
        <f>IF(AND(C54=Master!$H$8,B54="2012-2013",E54&gt;1000,G54="PLN03"),H54,"")</f>
        <v/>
      </c>
      <c r="AN54" s="42" t="str">
        <f>IF(AND(C54=Master!$H$8,B54="2012-2013",E54="",G54="PLN03"),H54,"")</f>
        <v/>
      </c>
      <c r="AO54" s="42" t="str">
        <f>IF(AND(C54=Master!$H$9,B54="2012-2013",E54&gt;1000,G54="PLN03"),H54,"")</f>
        <v/>
      </c>
      <c r="AP54" s="42" t="str">
        <f>IF(AND(C54=Master!$H$9,B54="2012-2013",E54="",G54="PLN03"),H54,"")</f>
        <v/>
      </c>
      <c r="AQ54" s="44" t="str">
        <f>IF(AND(C54=Master!$H$1,B54="2012-2013",E54&gt;1000,G54="NPN05"),H54,"")</f>
        <v/>
      </c>
      <c r="AR54" s="44" t="str">
        <f>IF(AND(C54=Master!$H$1,B54="2012-2013",E54="",G54="NPN05"),H54,"")</f>
        <v/>
      </c>
      <c r="AS54" s="44" t="str">
        <f>IF(AND(C54=Master!$H$2,B54="2012-2013",E54&gt;1000,G54="NPN05"),H54,"")</f>
        <v/>
      </c>
      <c r="AT54" s="44" t="str">
        <f>IF(AND(C54=Master!$H$2,B54="2012-2013",E54="",G54="NPN05"),H54,"")</f>
        <v/>
      </c>
      <c r="AU54" s="44" t="str">
        <f>IF(AND(C54=Master!$H$3,B54="2012-2013",E54&gt;1000,G54="NPN05"),H54,"")</f>
        <v/>
      </c>
      <c r="AV54" s="44" t="str">
        <f>IF(AND(C54=Master!$H$3,B54="2012-2013",E54="",G54="NPN05"),H54,"")</f>
        <v/>
      </c>
      <c r="AW54" s="44" t="str">
        <f>IF(AND(C54=Master!$H$4,B54="2012-2013",E54&gt;1000,G54="NPN05"),H54,"")</f>
        <v/>
      </c>
      <c r="AX54" s="44" t="str">
        <f>IF(AND(C54=Master!$H$4,B54="2012-2013",E54="",G54="NPN05"),H54,"")</f>
        <v/>
      </c>
      <c r="AY54" s="44" t="str">
        <f>IF(AND(C54=Master!$H$5,B54="2012-2013",E54&gt;1000,G54="NPN05"),H54,"")</f>
        <v/>
      </c>
      <c r="AZ54" s="44" t="str">
        <f>IF(AND(C54=Master!$H$5,B54="2012-2013",E54="",G54="NPN05"),H54,"")</f>
        <v/>
      </c>
      <c r="BA54" s="44" t="str">
        <f>IF(AND(C54=Master!$H$6,B54="2012-2013",E54&gt;1000,G54="NPN05"),H54,"")</f>
        <v/>
      </c>
      <c r="BB54" s="44" t="str">
        <f>IF(AND(C54=Master!$H$6,B54="2012-2013",E54="",G54="NPN05"),H54,"")</f>
        <v/>
      </c>
      <c r="BC54" s="44" t="str">
        <f>IF(AND(C54=Master!$H$7,B54="2012-2013",E54&gt;1000,G54="NPN05"),H54,"")</f>
        <v/>
      </c>
      <c r="BD54" s="44" t="str">
        <f>IF(AND(C54=Master!$H$7,B54="2012-2013",E54="",G54="NPN05"),H54,"")</f>
        <v/>
      </c>
      <c r="BE54" s="44" t="str">
        <f>IF(AND(C54=Master!$H$8,B54="2012-2013",E54&gt;1000,G54="NPN05"),H54,"")</f>
        <v/>
      </c>
      <c r="BF54" s="44" t="str">
        <f>IF(AND(C54=Master!$H$8,B54="2012-2013",E54="",G54="NPN05"),H54,"")</f>
        <v/>
      </c>
      <c r="BG54" s="44" t="str">
        <f>IF(AND(C54=Master!$H$9,B54="2012-2013",E54&gt;1000,G54="NPN05"),H54,"")</f>
        <v/>
      </c>
      <c r="BH54" s="44" t="str">
        <f>IF(AND(C54=Master!$H$9,B54="2012-2013",E54="",G54="NPN05"),H54,"")</f>
        <v/>
      </c>
    </row>
    <row r="55" spans="1:60" x14ac:dyDescent="0.25">
      <c r="A55" s="3">
        <v>53</v>
      </c>
      <c r="B55" s="12"/>
      <c r="C55" s="12"/>
      <c r="D55" s="31"/>
      <c r="E55" s="4"/>
      <c r="F55" s="13"/>
      <c r="G55" s="21"/>
      <c r="H55" s="35"/>
      <c r="I55" s="27"/>
      <c r="J55" s="25" t="str">
        <f>IF(NOT(I55=""),INDEX(Master!$B$1:$B$46,MATCH(I55,Master!$A$1:$A$46,0)),"")</f>
        <v/>
      </c>
      <c r="K55" s="18"/>
      <c r="L55" s="86"/>
      <c r="M55" s="13"/>
      <c r="N55" s="13"/>
      <c r="O55" s="18"/>
      <c r="P55" s="35"/>
      <c r="Q55" s="21"/>
      <c r="R55" s="21"/>
      <c r="S55" s="13"/>
      <c r="T55" s="12"/>
      <c r="U55" s="12"/>
      <c r="V55" s="12"/>
      <c r="W55" s="14"/>
      <c r="Y55" s="42" t="str">
        <f>IF(AND(C55=Master!$H$1,B55="2012-2013",E55&gt;1000,G55="PLN03"),H55,"")</f>
        <v/>
      </c>
      <c r="Z55" s="42" t="str">
        <f>IF(AND(C55=Master!$H$1,B55="2012-2013",E55="",G55="PLN03"),H55,"")</f>
        <v/>
      </c>
      <c r="AA55" s="42" t="str">
        <f>IF(AND(C55=Master!$H$2,B55="2012-2013",E55&gt;1000,G55="PLN03"),H55,"")</f>
        <v/>
      </c>
      <c r="AB55" s="42" t="str">
        <f>IF(AND(C55=Master!$H$2,B55="2012-2013",E55="",G55="PLN03"),H55,"")</f>
        <v/>
      </c>
      <c r="AC55" s="42" t="str">
        <f>IF(AND(C55=Master!$H$3,B55="2012-2013",E55&gt;1000,G55="PLN03"),H55,"")</f>
        <v/>
      </c>
      <c r="AD55" s="42" t="str">
        <f>IF(AND(C55=Master!$H$3,B55="2012-2013",E55="",G55="PLN03"),H55,"")</f>
        <v/>
      </c>
      <c r="AE55" s="42" t="str">
        <f>IF(AND(C55=Master!$H$4,B55="2012-2013",E55&gt;1000,G55="PLN03"),H55,"")</f>
        <v/>
      </c>
      <c r="AF55" s="42" t="str">
        <f>IF(AND(C55=Master!$H$4,B55="2012-2013",E55="",G55="PLN03"),H55,"")</f>
        <v/>
      </c>
      <c r="AG55" s="42" t="str">
        <f>IF(AND(C55=Master!$H$5,B55="2012-2013",E55&gt;1000,G55="PLN03"),H55,"")</f>
        <v/>
      </c>
      <c r="AH55" s="42" t="str">
        <f>IF(AND(C55=Master!$H$5,B55="2012-2013",E55="",G55="PLN03"),H55,"")</f>
        <v/>
      </c>
      <c r="AI55" s="42" t="str">
        <f>IF(AND(C55=Master!$H$6,B55="2012-2013",E55&gt;1000,G55="PLN03"),H55,"")</f>
        <v/>
      </c>
      <c r="AJ55" s="42" t="str">
        <f>IF(AND(C55=Master!$H$6,B55="2012-2013",E55="",G55="PLN03"),H55,"")</f>
        <v/>
      </c>
      <c r="AK55" s="42" t="str">
        <f>IF(AND(C55=Master!$H$7,B55="2012-2013",E55&gt;1000,G55="PLN03"),H55,"")</f>
        <v/>
      </c>
      <c r="AL55" s="42" t="str">
        <f>IF(AND(C55=Master!$H$7,B55="2012-2013",E55="",G55="PLN03"),H55,"")</f>
        <v/>
      </c>
      <c r="AM55" s="42" t="str">
        <f>IF(AND(C55=Master!$H$8,B55="2012-2013",E55&gt;1000,G55="PLN03"),H55,"")</f>
        <v/>
      </c>
      <c r="AN55" s="42" t="str">
        <f>IF(AND(C55=Master!$H$8,B55="2012-2013",E55="",G55="PLN03"),H55,"")</f>
        <v/>
      </c>
      <c r="AO55" s="42" t="str">
        <f>IF(AND(C55=Master!$H$9,B55="2012-2013",E55&gt;1000,G55="PLN03"),H55,"")</f>
        <v/>
      </c>
      <c r="AP55" s="42" t="str">
        <f>IF(AND(C55=Master!$H$9,B55="2012-2013",E55="",G55="PLN03"),H55,"")</f>
        <v/>
      </c>
      <c r="AQ55" s="44" t="str">
        <f>IF(AND(C55=Master!$H$1,B55="2012-2013",E55&gt;1000,G55="NPN05"),H55,"")</f>
        <v/>
      </c>
      <c r="AR55" s="44" t="str">
        <f>IF(AND(C55=Master!$H$1,B55="2012-2013",E55="",G55="NPN05"),H55,"")</f>
        <v/>
      </c>
      <c r="AS55" s="44" t="str">
        <f>IF(AND(C55=Master!$H$2,B55="2012-2013",E55&gt;1000,G55="NPN05"),H55,"")</f>
        <v/>
      </c>
      <c r="AT55" s="44" t="str">
        <f>IF(AND(C55=Master!$H$2,B55="2012-2013",E55="",G55="NPN05"),H55,"")</f>
        <v/>
      </c>
      <c r="AU55" s="44" t="str">
        <f>IF(AND(C55=Master!$H$3,B55="2012-2013",E55&gt;1000,G55="NPN05"),H55,"")</f>
        <v/>
      </c>
      <c r="AV55" s="44" t="str">
        <f>IF(AND(C55=Master!$H$3,B55="2012-2013",E55="",G55="NPN05"),H55,"")</f>
        <v/>
      </c>
      <c r="AW55" s="44" t="str">
        <f>IF(AND(C55=Master!$H$4,B55="2012-2013",E55&gt;1000,G55="NPN05"),H55,"")</f>
        <v/>
      </c>
      <c r="AX55" s="44" t="str">
        <f>IF(AND(C55=Master!$H$4,B55="2012-2013",E55="",G55="NPN05"),H55,"")</f>
        <v/>
      </c>
      <c r="AY55" s="44" t="str">
        <f>IF(AND(C55=Master!$H$5,B55="2012-2013",E55&gt;1000,G55="NPN05"),H55,"")</f>
        <v/>
      </c>
      <c r="AZ55" s="44" t="str">
        <f>IF(AND(C55=Master!$H$5,B55="2012-2013",E55="",G55="NPN05"),H55,"")</f>
        <v/>
      </c>
      <c r="BA55" s="44" t="str">
        <f>IF(AND(C55=Master!$H$6,B55="2012-2013",E55&gt;1000,G55="NPN05"),H55,"")</f>
        <v/>
      </c>
      <c r="BB55" s="44" t="str">
        <f>IF(AND(C55=Master!$H$6,B55="2012-2013",E55="",G55="NPN05"),H55,"")</f>
        <v/>
      </c>
      <c r="BC55" s="44" t="str">
        <f>IF(AND(C55=Master!$H$7,B55="2012-2013",E55&gt;1000,G55="NPN05"),H55,"")</f>
        <v/>
      </c>
      <c r="BD55" s="44" t="str">
        <f>IF(AND(C55=Master!$H$7,B55="2012-2013",E55="",G55="NPN05"),H55,"")</f>
        <v/>
      </c>
      <c r="BE55" s="44" t="str">
        <f>IF(AND(C55=Master!$H$8,B55="2012-2013",E55&gt;1000,G55="NPN05"),H55,"")</f>
        <v/>
      </c>
      <c r="BF55" s="44" t="str">
        <f>IF(AND(C55=Master!$H$8,B55="2012-2013",E55="",G55="NPN05"),H55,"")</f>
        <v/>
      </c>
      <c r="BG55" s="44" t="str">
        <f>IF(AND(C55=Master!$H$9,B55="2012-2013",E55&gt;1000,G55="NPN05"),H55,"")</f>
        <v/>
      </c>
      <c r="BH55" s="44" t="str">
        <f>IF(AND(C55=Master!$H$9,B55="2012-2013",E55="",G55="NPN05"),H55,"")</f>
        <v/>
      </c>
    </row>
    <row r="56" spans="1:60" x14ac:dyDescent="0.25">
      <c r="A56" s="3">
        <v>54</v>
      </c>
      <c r="B56" s="12"/>
      <c r="C56" s="12"/>
      <c r="D56" s="31"/>
      <c r="E56" s="4"/>
      <c r="F56" s="13"/>
      <c r="G56" s="21"/>
      <c r="H56" s="35"/>
      <c r="I56" s="27"/>
      <c r="J56" s="25" t="str">
        <f>IF(NOT(I56=""),INDEX(Master!$B$1:$B$46,MATCH(I56,Master!$A$1:$A$46,0)),"")</f>
        <v/>
      </c>
      <c r="K56" s="18"/>
      <c r="L56" s="86"/>
      <c r="M56" s="13"/>
      <c r="N56" s="13"/>
      <c r="O56" s="18"/>
      <c r="P56" s="35"/>
      <c r="Q56" s="21"/>
      <c r="R56" s="21"/>
      <c r="S56" s="13"/>
      <c r="T56" s="12"/>
      <c r="U56" s="12"/>
      <c r="V56" s="12"/>
      <c r="W56" s="14"/>
      <c r="Y56" s="42" t="str">
        <f>IF(AND(C56=Master!$H$1,B56="2012-2013",E56&gt;1000,G56="PLN03"),H56,"")</f>
        <v/>
      </c>
      <c r="Z56" s="42" t="str">
        <f>IF(AND(C56=Master!$H$1,B56="2012-2013",E56="",G56="PLN03"),H56,"")</f>
        <v/>
      </c>
      <c r="AA56" s="42" t="str">
        <f>IF(AND(C56=Master!$H$2,B56="2012-2013",E56&gt;1000,G56="PLN03"),H56,"")</f>
        <v/>
      </c>
      <c r="AB56" s="42" t="str">
        <f>IF(AND(C56=Master!$H$2,B56="2012-2013",E56="",G56="PLN03"),H56,"")</f>
        <v/>
      </c>
      <c r="AC56" s="42" t="str">
        <f>IF(AND(C56=Master!$H$3,B56="2012-2013",E56&gt;1000,G56="PLN03"),H56,"")</f>
        <v/>
      </c>
      <c r="AD56" s="42" t="str">
        <f>IF(AND(C56=Master!$H$3,B56="2012-2013",E56="",G56="PLN03"),H56,"")</f>
        <v/>
      </c>
      <c r="AE56" s="42" t="str">
        <f>IF(AND(C56=Master!$H$4,B56="2012-2013",E56&gt;1000,G56="PLN03"),H56,"")</f>
        <v/>
      </c>
      <c r="AF56" s="42" t="str">
        <f>IF(AND(C56=Master!$H$4,B56="2012-2013",E56="",G56="PLN03"),H56,"")</f>
        <v/>
      </c>
      <c r="AG56" s="42" t="str">
        <f>IF(AND(C56=Master!$H$5,B56="2012-2013",E56&gt;1000,G56="PLN03"),H56,"")</f>
        <v/>
      </c>
      <c r="AH56" s="42" t="str">
        <f>IF(AND(C56=Master!$H$5,B56="2012-2013",E56="",G56="PLN03"),H56,"")</f>
        <v/>
      </c>
      <c r="AI56" s="42" t="str">
        <f>IF(AND(C56=Master!$H$6,B56="2012-2013",E56&gt;1000,G56="PLN03"),H56,"")</f>
        <v/>
      </c>
      <c r="AJ56" s="42" t="str">
        <f>IF(AND(C56=Master!$H$6,B56="2012-2013",E56="",G56="PLN03"),H56,"")</f>
        <v/>
      </c>
      <c r="AK56" s="42" t="str">
        <f>IF(AND(C56=Master!$H$7,B56="2012-2013",E56&gt;1000,G56="PLN03"),H56,"")</f>
        <v/>
      </c>
      <c r="AL56" s="42" t="str">
        <f>IF(AND(C56=Master!$H$7,B56="2012-2013",E56="",G56="PLN03"),H56,"")</f>
        <v/>
      </c>
      <c r="AM56" s="42" t="str">
        <f>IF(AND(C56=Master!$H$8,B56="2012-2013",E56&gt;1000,G56="PLN03"),H56,"")</f>
        <v/>
      </c>
      <c r="AN56" s="42" t="str">
        <f>IF(AND(C56=Master!$H$8,B56="2012-2013",E56="",G56="PLN03"),H56,"")</f>
        <v/>
      </c>
      <c r="AO56" s="42" t="str">
        <f>IF(AND(C56=Master!$H$9,B56="2012-2013",E56&gt;1000,G56="PLN03"),H56,"")</f>
        <v/>
      </c>
      <c r="AP56" s="42" t="str">
        <f>IF(AND(C56=Master!$H$9,B56="2012-2013",E56="",G56="PLN03"),H56,"")</f>
        <v/>
      </c>
      <c r="AQ56" s="44" t="str">
        <f>IF(AND(C56=Master!$H$1,B56="2012-2013",E56&gt;1000,G56="NPN05"),H56,"")</f>
        <v/>
      </c>
      <c r="AR56" s="44" t="str">
        <f>IF(AND(C56=Master!$H$1,B56="2012-2013",E56="",G56="NPN05"),H56,"")</f>
        <v/>
      </c>
      <c r="AS56" s="44" t="str">
        <f>IF(AND(C56=Master!$H$2,B56="2012-2013",E56&gt;1000,G56="NPN05"),H56,"")</f>
        <v/>
      </c>
      <c r="AT56" s="44" t="str">
        <f>IF(AND(C56=Master!$H$2,B56="2012-2013",E56="",G56="NPN05"),H56,"")</f>
        <v/>
      </c>
      <c r="AU56" s="44" t="str">
        <f>IF(AND(C56=Master!$H$3,B56="2012-2013",E56&gt;1000,G56="NPN05"),H56,"")</f>
        <v/>
      </c>
      <c r="AV56" s="44" t="str">
        <f>IF(AND(C56=Master!$H$3,B56="2012-2013",E56="",G56="NPN05"),H56,"")</f>
        <v/>
      </c>
      <c r="AW56" s="44" t="str">
        <f>IF(AND(C56=Master!$H$4,B56="2012-2013",E56&gt;1000,G56="NPN05"),H56,"")</f>
        <v/>
      </c>
      <c r="AX56" s="44" t="str">
        <f>IF(AND(C56=Master!$H$4,B56="2012-2013",E56="",G56="NPN05"),H56,"")</f>
        <v/>
      </c>
      <c r="AY56" s="44" t="str">
        <f>IF(AND(C56=Master!$H$5,B56="2012-2013",E56&gt;1000,G56="NPN05"),H56,"")</f>
        <v/>
      </c>
      <c r="AZ56" s="44" t="str">
        <f>IF(AND(C56=Master!$H$5,B56="2012-2013",E56="",G56="NPN05"),H56,"")</f>
        <v/>
      </c>
      <c r="BA56" s="44" t="str">
        <f>IF(AND(C56=Master!$H$6,B56="2012-2013",E56&gt;1000,G56="NPN05"),H56,"")</f>
        <v/>
      </c>
      <c r="BB56" s="44" t="str">
        <f>IF(AND(C56=Master!$H$6,B56="2012-2013",E56="",G56="NPN05"),H56,"")</f>
        <v/>
      </c>
      <c r="BC56" s="44" t="str">
        <f>IF(AND(C56=Master!$H$7,B56="2012-2013",E56&gt;1000,G56="NPN05"),H56,"")</f>
        <v/>
      </c>
      <c r="BD56" s="44" t="str">
        <f>IF(AND(C56=Master!$H$7,B56="2012-2013",E56="",G56="NPN05"),H56,"")</f>
        <v/>
      </c>
      <c r="BE56" s="44" t="str">
        <f>IF(AND(C56=Master!$H$8,B56="2012-2013",E56&gt;1000,G56="NPN05"),H56,"")</f>
        <v/>
      </c>
      <c r="BF56" s="44" t="str">
        <f>IF(AND(C56=Master!$H$8,B56="2012-2013",E56="",G56="NPN05"),H56,"")</f>
        <v/>
      </c>
      <c r="BG56" s="44" t="str">
        <f>IF(AND(C56=Master!$H$9,B56="2012-2013",E56&gt;1000,G56="NPN05"),H56,"")</f>
        <v/>
      </c>
      <c r="BH56" s="44" t="str">
        <f>IF(AND(C56=Master!$H$9,B56="2012-2013",E56="",G56="NPN05"),H56,"")</f>
        <v/>
      </c>
    </row>
    <row r="57" spans="1:60" x14ac:dyDescent="0.25">
      <c r="A57" s="3">
        <v>55</v>
      </c>
      <c r="B57" s="12"/>
      <c r="C57" s="12"/>
      <c r="D57" s="31"/>
      <c r="E57" s="4"/>
      <c r="F57" s="13"/>
      <c r="G57" s="21"/>
      <c r="H57" s="35"/>
      <c r="I57" s="27"/>
      <c r="J57" s="25" t="str">
        <f>IF(NOT(I57=""),INDEX(Master!$B$1:$B$46,MATCH(I57,Master!$A$1:$A$46,0)),"")</f>
        <v/>
      </c>
      <c r="K57" s="18"/>
      <c r="L57" s="86"/>
      <c r="M57" s="13"/>
      <c r="N57" s="13"/>
      <c r="O57" s="18"/>
      <c r="P57" s="35"/>
      <c r="Q57" s="21"/>
      <c r="R57" s="21"/>
      <c r="S57" s="13"/>
      <c r="T57" s="12"/>
      <c r="U57" s="12"/>
      <c r="V57" s="12"/>
      <c r="W57" s="14"/>
      <c r="Y57" s="42" t="str">
        <f>IF(AND(C57=Master!$H$1,B57="2012-2013",E57&gt;1000,G57="PLN03"),H57,"")</f>
        <v/>
      </c>
      <c r="Z57" s="42" t="str">
        <f>IF(AND(C57=Master!$H$1,B57="2012-2013",E57="",G57="PLN03"),H57,"")</f>
        <v/>
      </c>
      <c r="AA57" s="42" t="str">
        <f>IF(AND(C57=Master!$H$2,B57="2012-2013",E57&gt;1000,G57="PLN03"),H57,"")</f>
        <v/>
      </c>
      <c r="AB57" s="42" t="str">
        <f>IF(AND(C57=Master!$H$2,B57="2012-2013",E57="",G57="PLN03"),H57,"")</f>
        <v/>
      </c>
      <c r="AC57" s="42" t="str">
        <f>IF(AND(C57=Master!$H$3,B57="2012-2013",E57&gt;1000,G57="PLN03"),H57,"")</f>
        <v/>
      </c>
      <c r="AD57" s="42" t="str">
        <f>IF(AND(C57=Master!$H$3,B57="2012-2013",E57="",G57="PLN03"),H57,"")</f>
        <v/>
      </c>
      <c r="AE57" s="42" t="str">
        <f>IF(AND(C57=Master!$H$4,B57="2012-2013",E57&gt;1000,G57="PLN03"),H57,"")</f>
        <v/>
      </c>
      <c r="AF57" s="42" t="str">
        <f>IF(AND(C57=Master!$H$4,B57="2012-2013",E57="",G57="PLN03"),H57,"")</f>
        <v/>
      </c>
      <c r="AG57" s="42" t="str">
        <f>IF(AND(C57=Master!$H$5,B57="2012-2013",E57&gt;1000,G57="PLN03"),H57,"")</f>
        <v/>
      </c>
      <c r="AH57" s="42" t="str">
        <f>IF(AND(C57=Master!$H$5,B57="2012-2013",E57="",G57="PLN03"),H57,"")</f>
        <v/>
      </c>
      <c r="AI57" s="42" t="str">
        <f>IF(AND(C57=Master!$H$6,B57="2012-2013",E57&gt;1000,G57="PLN03"),H57,"")</f>
        <v/>
      </c>
      <c r="AJ57" s="42" t="str">
        <f>IF(AND(C57=Master!$H$6,B57="2012-2013",E57="",G57="PLN03"),H57,"")</f>
        <v/>
      </c>
      <c r="AK57" s="42" t="str">
        <f>IF(AND(C57=Master!$H$7,B57="2012-2013",E57&gt;1000,G57="PLN03"),H57,"")</f>
        <v/>
      </c>
      <c r="AL57" s="42" t="str">
        <f>IF(AND(C57=Master!$H$7,B57="2012-2013",E57="",G57="PLN03"),H57,"")</f>
        <v/>
      </c>
      <c r="AM57" s="42" t="str">
        <f>IF(AND(C57=Master!$H$8,B57="2012-2013",E57&gt;1000,G57="PLN03"),H57,"")</f>
        <v/>
      </c>
      <c r="AN57" s="42" t="str">
        <f>IF(AND(C57=Master!$H$8,B57="2012-2013",E57="",G57="PLN03"),H57,"")</f>
        <v/>
      </c>
      <c r="AO57" s="42" t="str">
        <f>IF(AND(C57=Master!$H$9,B57="2012-2013",E57&gt;1000,G57="PLN03"),H57,"")</f>
        <v/>
      </c>
      <c r="AP57" s="42" t="str">
        <f>IF(AND(C57=Master!$H$9,B57="2012-2013",E57="",G57="PLN03"),H57,"")</f>
        <v/>
      </c>
      <c r="AQ57" s="44" t="str">
        <f>IF(AND(C57=Master!$H$1,B57="2012-2013",E57&gt;1000,G57="NPN05"),H57,"")</f>
        <v/>
      </c>
      <c r="AR57" s="44" t="str">
        <f>IF(AND(C57=Master!$H$1,B57="2012-2013",E57="",G57="NPN05"),H57,"")</f>
        <v/>
      </c>
      <c r="AS57" s="44" t="str">
        <f>IF(AND(C57=Master!$H$2,B57="2012-2013",E57&gt;1000,G57="NPN05"),H57,"")</f>
        <v/>
      </c>
      <c r="AT57" s="44" t="str">
        <f>IF(AND(C57=Master!$H$2,B57="2012-2013",E57="",G57="NPN05"),H57,"")</f>
        <v/>
      </c>
      <c r="AU57" s="44" t="str">
        <f>IF(AND(C57=Master!$H$3,B57="2012-2013",E57&gt;1000,G57="NPN05"),H57,"")</f>
        <v/>
      </c>
      <c r="AV57" s="44" t="str">
        <f>IF(AND(C57=Master!$H$3,B57="2012-2013",E57="",G57="NPN05"),H57,"")</f>
        <v/>
      </c>
      <c r="AW57" s="44" t="str">
        <f>IF(AND(C57=Master!$H$4,B57="2012-2013",E57&gt;1000,G57="NPN05"),H57,"")</f>
        <v/>
      </c>
      <c r="AX57" s="44" t="str">
        <f>IF(AND(C57=Master!$H$4,B57="2012-2013",E57="",G57="NPN05"),H57,"")</f>
        <v/>
      </c>
      <c r="AY57" s="44" t="str">
        <f>IF(AND(C57=Master!$H$5,B57="2012-2013",E57&gt;1000,G57="NPN05"),H57,"")</f>
        <v/>
      </c>
      <c r="AZ57" s="44" t="str">
        <f>IF(AND(C57=Master!$H$5,B57="2012-2013",E57="",G57="NPN05"),H57,"")</f>
        <v/>
      </c>
      <c r="BA57" s="44" t="str">
        <f>IF(AND(C57=Master!$H$6,B57="2012-2013",E57&gt;1000,G57="NPN05"),H57,"")</f>
        <v/>
      </c>
      <c r="BB57" s="44" t="str">
        <f>IF(AND(C57=Master!$H$6,B57="2012-2013",E57="",G57="NPN05"),H57,"")</f>
        <v/>
      </c>
      <c r="BC57" s="44" t="str">
        <f>IF(AND(C57=Master!$H$7,B57="2012-2013",E57&gt;1000,G57="NPN05"),H57,"")</f>
        <v/>
      </c>
      <c r="BD57" s="44" t="str">
        <f>IF(AND(C57=Master!$H$7,B57="2012-2013",E57="",G57="NPN05"),H57,"")</f>
        <v/>
      </c>
      <c r="BE57" s="44" t="str">
        <f>IF(AND(C57=Master!$H$8,B57="2012-2013",E57&gt;1000,G57="NPN05"),H57,"")</f>
        <v/>
      </c>
      <c r="BF57" s="44" t="str">
        <f>IF(AND(C57=Master!$H$8,B57="2012-2013",E57="",G57="NPN05"),H57,"")</f>
        <v/>
      </c>
      <c r="BG57" s="44" t="str">
        <f>IF(AND(C57=Master!$H$9,B57="2012-2013",E57&gt;1000,G57="NPN05"),H57,"")</f>
        <v/>
      </c>
      <c r="BH57" s="44" t="str">
        <f>IF(AND(C57=Master!$H$9,B57="2012-2013",E57="",G57="NPN05"),H57,"")</f>
        <v/>
      </c>
    </row>
    <row r="58" spans="1:60" x14ac:dyDescent="0.25">
      <c r="A58" s="3">
        <v>56</v>
      </c>
      <c r="B58" s="12"/>
      <c r="C58" s="12"/>
      <c r="D58" s="31"/>
      <c r="E58" s="4"/>
      <c r="F58" s="13"/>
      <c r="G58" s="21"/>
      <c r="H58" s="35"/>
      <c r="I58" s="27"/>
      <c r="J58" s="25" t="str">
        <f>IF(NOT(I58=""),INDEX(Master!$B$1:$B$46,MATCH(I58,Master!$A$1:$A$46,0)),"")</f>
        <v/>
      </c>
      <c r="K58" s="18"/>
      <c r="L58" s="86"/>
      <c r="M58" s="13"/>
      <c r="N58" s="13"/>
      <c r="O58" s="18"/>
      <c r="P58" s="35"/>
      <c r="Q58" s="21"/>
      <c r="R58" s="21"/>
      <c r="S58" s="13"/>
      <c r="T58" s="12"/>
      <c r="U58" s="12"/>
      <c r="V58" s="12"/>
      <c r="W58" s="14"/>
      <c r="Y58" s="42" t="str">
        <f>IF(AND(C58=Master!$H$1,B58="2012-2013",E58&gt;1000,G58="PLN03"),H58,"")</f>
        <v/>
      </c>
      <c r="Z58" s="42" t="str">
        <f>IF(AND(C58=Master!$H$1,B58="2012-2013",E58="",G58="PLN03"),H58,"")</f>
        <v/>
      </c>
      <c r="AA58" s="42" t="str">
        <f>IF(AND(C58=Master!$H$2,B58="2012-2013",E58&gt;1000,G58="PLN03"),H58,"")</f>
        <v/>
      </c>
      <c r="AB58" s="42" t="str">
        <f>IF(AND(C58=Master!$H$2,B58="2012-2013",E58="",G58="PLN03"),H58,"")</f>
        <v/>
      </c>
      <c r="AC58" s="42" t="str">
        <f>IF(AND(C58=Master!$H$3,B58="2012-2013",E58&gt;1000,G58="PLN03"),H58,"")</f>
        <v/>
      </c>
      <c r="AD58" s="42" t="str">
        <f>IF(AND(C58=Master!$H$3,B58="2012-2013",E58="",G58="PLN03"),H58,"")</f>
        <v/>
      </c>
      <c r="AE58" s="42" t="str">
        <f>IF(AND(C58=Master!$H$4,B58="2012-2013",E58&gt;1000,G58="PLN03"),H58,"")</f>
        <v/>
      </c>
      <c r="AF58" s="42" t="str">
        <f>IF(AND(C58=Master!$H$4,B58="2012-2013",E58="",G58="PLN03"),H58,"")</f>
        <v/>
      </c>
      <c r="AG58" s="42" t="str">
        <f>IF(AND(C58=Master!$H$5,B58="2012-2013",E58&gt;1000,G58="PLN03"),H58,"")</f>
        <v/>
      </c>
      <c r="AH58" s="42" t="str">
        <f>IF(AND(C58=Master!$H$5,B58="2012-2013",E58="",G58="PLN03"),H58,"")</f>
        <v/>
      </c>
      <c r="AI58" s="42" t="str">
        <f>IF(AND(C58=Master!$H$6,B58="2012-2013",E58&gt;1000,G58="PLN03"),H58,"")</f>
        <v/>
      </c>
      <c r="AJ58" s="42" t="str">
        <f>IF(AND(C58=Master!$H$6,B58="2012-2013",E58="",G58="PLN03"),H58,"")</f>
        <v/>
      </c>
      <c r="AK58" s="42" t="str">
        <f>IF(AND(C58=Master!$H$7,B58="2012-2013",E58&gt;1000,G58="PLN03"),H58,"")</f>
        <v/>
      </c>
      <c r="AL58" s="42" t="str">
        <f>IF(AND(C58=Master!$H$7,B58="2012-2013",E58="",G58="PLN03"),H58,"")</f>
        <v/>
      </c>
      <c r="AM58" s="42" t="str">
        <f>IF(AND(C58=Master!$H$8,B58="2012-2013",E58&gt;1000,G58="PLN03"),H58,"")</f>
        <v/>
      </c>
      <c r="AN58" s="42" t="str">
        <f>IF(AND(C58=Master!$H$8,B58="2012-2013",E58="",G58="PLN03"),H58,"")</f>
        <v/>
      </c>
      <c r="AO58" s="42" t="str">
        <f>IF(AND(C58=Master!$H$9,B58="2012-2013",E58&gt;1000,G58="PLN03"),H58,"")</f>
        <v/>
      </c>
      <c r="AP58" s="42" t="str">
        <f>IF(AND(C58=Master!$H$9,B58="2012-2013",E58="",G58="PLN03"),H58,"")</f>
        <v/>
      </c>
      <c r="AQ58" s="44" t="str">
        <f>IF(AND(C58=Master!$H$1,B58="2012-2013",E58&gt;1000,G58="NPN05"),H58,"")</f>
        <v/>
      </c>
      <c r="AR58" s="44" t="str">
        <f>IF(AND(C58=Master!$H$1,B58="2012-2013",E58="",G58="NPN05"),H58,"")</f>
        <v/>
      </c>
      <c r="AS58" s="44" t="str">
        <f>IF(AND(C58=Master!$H$2,B58="2012-2013",E58&gt;1000,G58="NPN05"),H58,"")</f>
        <v/>
      </c>
      <c r="AT58" s="44" t="str">
        <f>IF(AND(C58=Master!$H$2,B58="2012-2013",E58="",G58="NPN05"),H58,"")</f>
        <v/>
      </c>
      <c r="AU58" s="44" t="str">
        <f>IF(AND(C58=Master!$H$3,B58="2012-2013",E58&gt;1000,G58="NPN05"),H58,"")</f>
        <v/>
      </c>
      <c r="AV58" s="44" t="str">
        <f>IF(AND(C58=Master!$H$3,B58="2012-2013",E58="",G58="NPN05"),H58,"")</f>
        <v/>
      </c>
      <c r="AW58" s="44" t="str">
        <f>IF(AND(C58=Master!$H$4,B58="2012-2013",E58&gt;1000,G58="NPN05"),H58,"")</f>
        <v/>
      </c>
      <c r="AX58" s="44" t="str">
        <f>IF(AND(C58=Master!$H$4,B58="2012-2013",E58="",G58="NPN05"),H58,"")</f>
        <v/>
      </c>
      <c r="AY58" s="44" t="str">
        <f>IF(AND(C58=Master!$H$5,B58="2012-2013",E58&gt;1000,G58="NPN05"),H58,"")</f>
        <v/>
      </c>
      <c r="AZ58" s="44" t="str">
        <f>IF(AND(C58=Master!$H$5,B58="2012-2013",E58="",G58="NPN05"),H58,"")</f>
        <v/>
      </c>
      <c r="BA58" s="44" t="str">
        <f>IF(AND(C58=Master!$H$6,B58="2012-2013",E58&gt;1000,G58="NPN05"),H58,"")</f>
        <v/>
      </c>
      <c r="BB58" s="44" t="str">
        <f>IF(AND(C58=Master!$H$6,B58="2012-2013",E58="",G58="NPN05"),H58,"")</f>
        <v/>
      </c>
      <c r="BC58" s="44" t="str">
        <f>IF(AND(C58=Master!$H$7,B58="2012-2013",E58&gt;1000,G58="NPN05"),H58,"")</f>
        <v/>
      </c>
      <c r="BD58" s="44" t="str">
        <f>IF(AND(C58=Master!$H$7,B58="2012-2013",E58="",G58="NPN05"),H58,"")</f>
        <v/>
      </c>
      <c r="BE58" s="44" t="str">
        <f>IF(AND(C58=Master!$H$8,B58="2012-2013",E58&gt;1000,G58="NPN05"),H58,"")</f>
        <v/>
      </c>
      <c r="BF58" s="44" t="str">
        <f>IF(AND(C58=Master!$H$8,B58="2012-2013",E58="",G58="NPN05"),H58,"")</f>
        <v/>
      </c>
      <c r="BG58" s="44" t="str">
        <f>IF(AND(C58=Master!$H$9,B58="2012-2013",E58&gt;1000,G58="NPN05"),H58,"")</f>
        <v/>
      </c>
      <c r="BH58" s="44" t="str">
        <f>IF(AND(C58=Master!$H$9,B58="2012-2013",E58="",G58="NPN05"),H58,"")</f>
        <v/>
      </c>
    </row>
    <row r="59" spans="1:60" x14ac:dyDescent="0.25">
      <c r="A59" s="3">
        <v>57</v>
      </c>
      <c r="B59" s="12"/>
      <c r="C59" s="12"/>
      <c r="D59" s="31"/>
      <c r="E59" s="4"/>
      <c r="F59" s="13"/>
      <c r="G59" s="21"/>
      <c r="H59" s="35"/>
      <c r="I59" s="27"/>
      <c r="J59" s="25" t="str">
        <f>IF(NOT(I59=""),INDEX(Master!$B$1:$B$46,MATCH(I59,Master!$A$1:$A$46,0)),"")</f>
        <v/>
      </c>
      <c r="K59" s="18"/>
      <c r="L59" s="86"/>
      <c r="M59" s="13"/>
      <c r="N59" s="13"/>
      <c r="O59" s="18"/>
      <c r="P59" s="35"/>
      <c r="Q59" s="21"/>
      <c r="R59" s="21"/>
      <c r="S59" s="13"/>
      <c r="T59" s="12"/>
      <c r="U59" s="12"/>
      <c r="V59" s="12"/>
      <c r="W59" s="14"/>
      <c r="Y59" s="42" t="str">
        <f>IF(AND(C59=Master!$H$1,B59="2012-2013",E59&gt;1000,G59="PLN03"),H59,"")</f>
        <v/>
      </c>
      <c r="Z59" s="42" t="str">
        <f>IF(AND(C59=Master!$H$1,B59="2012-2013",E59="",G59="PLN03"),H59,"")</f>
        <v/>
      </c>
      <c r="AA59" s="42" t="str">
        <f>IF(AND(C59=Master!$H$2,B59="2012-2013",E59&gt;1000,G59="PLN03"),H59,"")</f>
        <v/>
      </c>
      <c r="AB59" s="42" t="str">
        <f>IF(AND(C59=Master!$H$2,B59="2012-2013",E59="",G59="PLN03"),H59,"")</f>
        <v/>
      </c>
      <c r="AC59" s="42" t="str">
        <f>IF(AND(C59=Master!$H$3,B59="2012-2013",E59&gt;1000,G59="PLN03"),H59,"")</f>
        <v/>
      </c>
      <c r="AD59" s="42" t="str">
        <f>IF(AND(C59=Master!$H$3,B59="2012-2013",E59="",G59="PLN03"),H59,"")</f>
        <v/>
      </c>
      <c r="AE59" s="42" t="str">
        <f>IF(AND(C59=Master!$H$4,B59="2012-2013",E59&gt;1000,G59="PLN03"),H59,"")</f>
        <v/>
      </c>
      <c r="AF59" s="42" t="str">
        <f>IF(AND(C59=Master!$H$4,B59="2012-2013",E59="",G59="PLN03"),H59,"")</f>
        <v/>
      </c>
      <c r="AG59" s="42" t="str">
        <f>IF(AND(C59=Master!$H$5,B59="2012-2013",E59&gt;1000,G59="PLN03"),H59,"")</f>
        <v/>
      </c>
      <c r="AH59" s="42" t="str">
        <f>IF(AND(C59=Master!$H$5,B59="2012-2013",E59="",G59="PLN03"),H59,"")</f>
        <v/>
      </c>
      <c r="AI59" s="42" t="str">
        <f>IF(AND(C59=Master!$H$6,B59="2012-2013",E59&gt;1000,G59="PLN03"),H59,"")</f>
        <v/>
      </c>
      <c r="AJ59" s="42" t="str">
        <f>IF(AND(C59=Master!$H$6,B59="2012-2013",E59="",G59="PLN03"),H59,"")</f>
        <v/>
      </c>
      <c r="AK59" s="42" t="str">
        <f>IF(AND(C59=Master!$H$7,B59="2012-2013",E59&gt;1000,G59="PLN03"),H59,"")</f>
        <v/>
      </c>
      <c r="AL59" s="42" t="str">
        <f>IF(AND(C59=Master!$H$7,B59="2012-2013",E59="",G59="PLN03"),H59,"")</f>
        <v/>
      </c>
      <c r="AM59" s="42" t="str">
        <f>IF(AND(C59=Master!$H$8,B59="2012-2013",E59&gt;1000,G59="PLN03"),H59,"")</f>
        <v/>
      </c>
      <c r="AN59" s="42" t="str">
        <f>IF(AND(C59=Master!$H$8,B59="2012-2013",E59="",G59="PLN03"),H59,"")</f>
        <v/>
      </c>
      <c r="AO59" s="42" t="str">
        <f>IF(AND(C59=Master!$H$9,B59="2012-2013",E59&gt;1000,G59="PLN03"),H59,"")</f>
        <v/>
      </c>
      <c r="AP59" s="42" t="str">
        <f>IF(AND(C59=Master!$H$9,B59="2012-2013",E59="",G59="PLN03"),H59,"")</f>
        <v/>
      </c>
      <c r="AQ59" s="44" t="str">
        <f>IF(AND(C59=Master!$H$1,B59="2012-2013",E59&gt;1000,G59="NPN05"),H59,"")</f>
        <v/>
      </c>
      <c r="AR59" s="44" t="str">
        <f>IF(AND(C59=Master!$H$1,B59="2012-2013",E59="",G59="NPN05"),H59,"")</f>
        <v/>
      </c>
      <c r="AS59" s="44" t="str">
        <f>IF(AND(C59=Master!$H$2,B59="2012-2013",E59&gt;1000,G59="NPN05"),H59,"")</f>
        <v/>
      </c>
      <c r="AT59" s="44" t="str">
        <f>IF(AND(C59=Master!$H$2,B59="2012-2013",E59="",G59="NPN05"),H59,"")</f>
        <v/>
      </c>
      <c r="AU59" s="44" t="str">
        <f>IF(AND(C59=Master!$H$3,B59="2012-2013",E59&gt;1000,G59="NPN05"),H59,"")</f>
        <v/>
      </c>
      <c r="AV59" s="44" t="str">
        <f>IF(AND(C59=Master!$H$3,B59="2012-2013",E59="",G59="NPN05"),H59,"")</f>
        <v/>
      </c>
      <c r="AW59" s="44" t="str">
        <f>IF(AND(C59=Master!$H$4,B59="2012-2013",E59&gt;1000,G59="NPN05"),H59,"")</f>
        <v/>
      </c>
      <c r="AX59" s="44" t="str">
        <f>IF(AND(C59=Master!$H$4,B59="2012-2013",E59="",G59="NPN05"),H59,"")</f>
        <v/>
      </c>
      <c r="AY59" s="44" t="str">
        <f>IF(AND(C59=Master!$H$5,B59="2012-2013",E59&gt;1000,G59="NPN05"),H59,"")</f>
        <v/>
      </c>
      <c r="AZ59" s="44" t="str">
        <f>IF(AND(C59=Master!$H$5,B59="2012-2013",E59="",G59="NPN05"),H59,"")</f>
        <v/>
      </c>
      <c r="BA59" s="44" t="str">
        <f>IF(AND(C59=Master!$H$6,B59="2012-2013",E59&gt;1000,G59="NPN05"),H59,"")</f>
        <v/>
      </c>
      <c r="BB59" s="44" t="str">
        <f>IF(AND(C59=Master!$H$6,B59="2012-2013",E59="",G59="NPN05"),H59,"")</f>
        <v/>
      </c>
      <c r="BC59" s="44" t="str">
        <f>IF(AND(C59=Master!$H$7,B59="2012-2013",E59&gt;1000,G59="NPN05"),H59,"")</f>
        <v/>
      </c>
      <c r="BD59" s="44" t="str">
        <f>IF(AND(C59=Master!$H$7,B59="2012-2013",E59="",G59="NPN05"),H59,"")</f>
        <v/>
      </c>
      <c r="BE59" s="44" t="str">
        <f>IF(AND(C59=Master!$H$8,B59="2012-2013",E59&gt;1000,G59="NPN05"),H59,"")</f>
        <v/>
      </c>
      <c r="BF59" s="44" t="str">
        <f>IF(AND(C59=Master!$H$8,B59="2012-2013",E59="",G59="NPN05"),H59,"")</f>
        <v/>
      </c>
      <c r="BG59" s="44" t="str">
        <f>IF(AND(C59=Master!$H$9,B59="2012-2013",E59&gt;1000,G59="NPN05"),H59,"")</f>
        <v/>
      </c>
      <c r="BH59" s="44" t="str">
        <f>IF(AND(C59=Master!$H$9,B59="2012-2013",E59="",G59="NPN05"),H59,"")</f>
        <v/>
      </c>
    </row>
    <row r="60" spans="1:60" x14ac:dyDescent="0.25">
      <c r="A60" s="3">
        <v>58</v>
      </c>
      <c r="B60" s="12"/>
      <c r="C60" s="12"/>
      <c r="D60" s="31"/>
      <c r="E60" s="4"/>
      <c r="F60" s="13"/>
      <c r="G60" s="21"/>
      <c r="H60" s="35"/>
      <c r="I60" s="27"/>
      <c r="J60" s="25" t="str">
        <f>IF(NOT(I60=""),INDEX(Master!$B$1:$B$46,MATCH(I60,Master!$A$1:$A$46,0)),"")</f>
        <v/>
      </c>
      <c r="K60" s="18"/>
      <c r="L60" s="86"/>
      <c r="M60" s="13"/>
      <c r="N60" s="13"/>
      <c r="O60" s="18"/>
      <c r="P60" s="35"/>
      <c r="Q60" s="21"/>
      <c r="R60" s="21"/>
      <c r="S60" s="13"/>
      <c r="T60" s="12"/>
      <c r="U60" s="12"/>
      <c r="V60" s="12"/>
      <c r="W60" s="14"/>
      <c r="Y60" s="42" t="str">
        <f>IF(AND(C60=Master!$H$1,B60="2012-2013",E60&gt;1000,G60="PLN03"),H60,"")</f>
        <v/>
      </c>
      <c r="Z60" s="42" t="str">
        <f>IF(AND(C60=Master!$H$1,B60="2012-2013",E60="",G60="PLN03"),H60,"")</f>
        <v/>
      </c>
      <c r="AA60" s="42" t="str">
        <f>IF(AND(C60=Master!$H$2,B60="2012-2013",E60&gt;1000,G60="PLN03"),H60,"")</f>
        <v/>
      </c>
      <c r="AB60" s="42" t="str">
        <f>IF(AND(C60=Master!$H$2,B60="2012-2013",E60="",G60="PLN03"),H60,"")</f>
        <v/>
      </c>
      <c r="AC60" s="42" t="str">
        <f>IF(AND(C60=Master!$H$3,B60="2012-2013",E60&gt;1000,G60="PLN03"),H60,"")</f>
        <v/>
      </c>
      <c r="AD60" s="42" t="str">
        <f>IF(AND(C60=Master!$H$3,B60="2012-2013",E60="",G60="PLN03"),H60,"")</f>
        <v/>
      </c>
      <c r="AE60" s="42" t="str">
        <f>IF(AND(C60=Master!$H$4,B60="2012-2013",E60&gt;1000,G60="PLN03"),H60,"")</f>
        <v/>
      </c>
      <c r="AF60" s="42" t="str">
        <f>IF(AND(C60=Master!$H$4,B60="2012-2013",E60="",G60="PLN03"),H60,"")</f>
        <v/>
      </c>
      <c r="AG60" s="42" t="str">
        <f>IF(AND(C60=Master!$H$5,B60="2012-2013",E60&gt;1000,G60="PLN03"),H60,"")</f>
        <v/>
      </c>
      <c r="AH60" s="42" t="str">
        <f>IF(AND(C60=Master!$H$5,B60="2012-2013",E60="",G60="PLN03"),H60,"")</f>
        <v/>
      </c>
      <c r="AI60" s="42" t="str">
        <f>IF(AND(C60=Master!$H$6,B60="2012-2013",E60&gt;1000,G60="PLN03"),H60,"")</f>
        <v/>
      </c>
      <c r="AJ60" s="42" t="str">
        <f>IF(AND(C60=Master!$H$6,B60="2012-2013",E60="",G60="PLN03"),H60,"")</f>
        <v/>
      </c>
      <c r="AK60" s="42" t="str">
        <f>IF(AND(C60=Master!$H$7,B60="2012-2013",E60&gt;1000,G60="PLN03"),H60,"")</f>
        <v/>
      </c>
      <c r="AL60" s="42" t="str">
        <f>IF(AND(C60=Master!$H$7,B60="2012-2013",E60="",G60="PLN03"),H60,"")</f>
        <v/>
      </c>
      <c r="AM60" s="42" t="str">
        <f>IF(AND(C60=Master!$H$8,B60="2012-2013",E60&gt;1000,G60="PLN03"),H60,"")</f>
        <v/>
      </c>
      <c r="AN60" s="42" t="str">
        <f>IF(AND(C60=Master!$H$8,B60="2012-2013",E60="",G60="PLN03"),H60,"")</f>
        <v/>
      </c>
      <c r="AO60" s="42" t="str">
        <f>IF(AND(C60=Master!$H$9,B60="2012-2013",E60&gt;1000,G60="PLN03"),H60,"")</f>
        <v/>
      </c>
      <c r="AP60" s="42" t="str">
        <f>IF(AND(C60=Master!$H$9,B60="2012-2013",E60="",G60="PLN03"),H60,"")</f>
        <v/>
      </c>
      <c r="AQ60" s="44" t="str">
        <f>IF(AND(C60=Master!$H$1,B60="2012-2013",E60&gt;1000,G60="NPN05"),H60,"")</f>
        <v/>
      </c>
      <c r="AR60" s="44" t="str">
        <f>IF(AND(C60=Master!$H$1,B60="2012-2013",E60="",G60="NPN05"),H60,"")</f>
        <v/>
      </c>
      <c r="AS60" s="44" t="str">
        <f>IF(AND(C60=Master!$H$2,B60="2012-2013",E60&gt;1000,G60="NPN05"),H60,"")</f>
        <v/>
      </c>
      <c r="AT60" s="44" t="str">
        <f>IF(AND(C60=Master!$H$2,B60="2012-2013",E60="",G60="NPN05"),H60,"")</f>
        <v/>
      </c>
      <c r="AU60" s="44" t="str">
        <f>IF(AND(C60=Master!$H$3,B60="2012-2013",E60&gt;1000,G60="NPN05"),H60,"")</f>
        <v/>
      </c>
      <c r="AV60" s="44" t="str">
        <f>IF(AND(C60=Master!$H$3,B60="2012-2013",E60="",G60="NPN05"),H60,"")</f>
        <v/>
      </c>
      <c r="AW60" s="44" t="str">
        <f>IF(AND(C60=Master!$H$4,B60="2012-2013",E60&gt;1000,G60="NPN05"),H60,"")</f>
        <v/>
      </c>
      <c r="AX60" s="44" t="str">
        <f>IF(AND(C60=Master!$H$4,B60="2012-2013",E60="",G60="NPN05"),H60,"")</f>
        <v/>
      </c>
      <c r="AY60" s="44" t="str">
        <f>IF(AND(C60=Master!$H$5,B60="2012-2013",E60&gt;1000,G60="NPN05"),H60,"")</f>
        <v/>
      </c>
      <c r="AZ60" s="44" t="str">
        <f>IF(AND(C60=Master!$H$5,B60="2012-2013",E60="",G60="NPN05"),H60,"")</f>
        <v/>
      </c>
      <c r="BA60" s="44" t="str">
        <f>IF(AND(C60=Master!$H$6,B60="2012-2013",E60&gt;1000,G60="NPN05"),H60,"")</f>
        <v/>
      </c>
      <c r="BB60" s="44" t="str">
        <f>IF(AND(C60=Master!$H$6,B60="2012-2013",E60="",G60="NPN05"),H60,"")</f>
        <v/>
      </c>
      <c r="BC60" s="44" t="str">
        <f>IF(AND(C60=Master!$H$7,B60="2012-2013",E60&gt;1000,G60="NPN05"),H60,"")</f>
        <v/>
      </c>
      <c r="BD60" s="44" t="str">
        <f>IF(AND(C60=Master!$H$7,B60="2012-2013",E60="",G60="NPN05"),H60,"")</f>
        <v/>
      </c>
      <c r="BE60" s="44" t="str">
        <f>IF(AND(C60=Master!$H$8,B60="2012-2013",E60&gt;1000,G60="NPN05"),H60,"")</f>
        <v/>
      </c>
      <c r="BF60" s="44" t="str">
        <f>IF(AND(C60=Master!$H$8,B60="2012-2013",E60="",G60="NPN05"),H60,"")</f>
        <v/>
      </c>
      <c r="BG60" s="44" t="str">
        <f>IF(AND(C60=Master!$H$9,B60="2012-2013",E60&gt;1000,G60="NPN05"),H60,"")</f>
        <v/>
      </c>
      <c r="BH60" s="44" t="str">
        <f>IF(AND(C60=Master!$H$9,B60="2012-2013",E60="",G60="NPN05"),H60,"")</f>
        <v/>
      </c>
    </row>
    <row r="61" spans="1:60" x14ac:dyDescent="0.25">
      <c r="A61" s="3">
        <v>59</v>
      </c>
      <c r="B61" s="12"/>
      <c r="C61" s="12"/>
      <c r="D61" s="31"/>
      <c r="E61" s="4"/>
      <c r="F61" s="13"/>
      <c r="G61" s="21"/>
      <c r="H61" s="35"/>
      <c r="I61" s="27"/>
      <c r="J61" s="25" t="str">
        <f>IF(NOT(I61=""),INDEX(Master!$B$1:$B$46,MATCH(I61,Master!$A$1:$A$46,0)),"")</f>
        <v/>
      </c>
      <c r="K61" s="18"/>
      <c r="L61" s="86"/>
      <c r="M61" s="13"/>
      <c r="N61" s="13"/>
      <c r="O61" s="18"/>
      <c r="P61" s="35"/>
      <c r="Q61" s="21"/>
      <c r="R61" s="21"/>
      <c r="S61" s="13"/>
      <c r="T61" s="12"/>
      <c r="U61" s="12"/>
      <c r="V61" s="12"/>
      <c r="W61" s="14"/>
      <c r="Y61" s="42" t="str">
        <f>IF(AND(C61=Master!$H$1,B61="2012-2013",E61&gt;1000,G61="PLN03"),H61,"")</f>
        <v/>
      </c>
      <c r="Z61" s="42" t="str">
        <f>IF(AND(C61=Master!$H$1,B61="2012-2013",E61="",G61="PLN03"),H61,"")</f>
        <v/>
      </c>
      <c r="AA61" s="42" t="str">
        <f>IF(AND(C61=Master!$H$2,B61="2012-2013",E61&gt;1000,G61="PLN03"),H61,"")</f>
        <v/>
      </c>
      <c r="AB61" s="42" t="str">
        <f>IF(AND(C61=Master!$H$2,B61="2012-2013",E61="",G61="PLN03"),H61,"")</f>
        <v/>
      </c>
      <c r="AC61" s="42" t="str">
        <f>IF(AND(C61=Master!$H$3,B61="2012-2013",E61&gt;1000,G61="PLN03"),H61,"")</f>
        <v/>
      </c>
      <c r="AD61" s="42" t="str">
        <f>IF(AND(C61=Master!$H$3,B61="2012-2013",E61="",G61="PLN03"),H61,"")</f>
        <v/>
      </c>
      <c r="AE61" s="42" t="str">
        <f>IF(AND(C61=Master!$H$4,B61="2012-2013",E61&gt;1000,G61="PLN03"),H61,"")</f>
        <v/>
      </c>
      <c r="AF61" s="42" t="str">
        <f>IF(AND(C61=Master!$H$4,B61="2012-2013",E61="",G61="PLN03"),H61,"")</f>
        <v/>
      </c>
      <c r="AG61" s="42" t="str">
        <f>IF(AND(C61=Master!$H$5,B61="2012-2013",E61&gt;1000,G61="PLN03"),H61,"")</f>
        <v/>
      </c>
      <c r="AH61" s="42" t="str">
        <f>IF(AND(C61=Master!$H$5,B61="2012-2013",E61="",G61="PLN03"),H61,"")</f>
        <v/>
      </c>
      <c r="AI61" s="42" t="str">
        <f>IF(AND(C61=Master!$H$6,B61="2012-2013",E61&gt;1000,G61="PLN03"),H61,"")</f>
        <v/>
      </c>
      <c r="AJ61" s="42" t="str">
        <f>IF(AND(C61=Master!$H$6,B61="2012-2013",E61="",G61="PLN03"),H61,"")</f>
        <v/>
      </c>
      <c r="AK61" s="42" t="str">
        <f>IF(AND(C61=Master!$H$7,B61="2012-2013",E61&gt;1000,G61="PLN03"),H61,"")</f>
        <v/>
      </c>
      <c r="AL61" s="42" t="str">
        <f>IF(AND(C61=Master!$H$7,B61="2012-2013",E61="",G61="PLN03"),H61,"")</f>
        <v/>
      </c>
      <c r="AM61" s="42" t="str">
        <f>IF(AND(C61=Master!$H$8,B61="2012-2013",E61&gt;1000,G61="PLN03"),H61,"")</f>
        <v/>
      </c>
      <c r="AN61" s="42" t="str">
        <f>IF(AND(C61=Master!$H$8,B61="2012-2013",E61="",G61="PLN03"),H61,"")</f>
        <v/>
      </c>
      <c r="AO61" s="42" t="str">
        <f>IF(AND(C61=Master!$H$9,B61="2012-2013",E61&gt;1000,G61="PLN03"),H61,"")</f>
        <v/>
      </c>
      <c r="AP61" s="42" t="str">
        <f>IF(AND(C61=Master!$H$9,B61="2012-2013",E61="",G61="PLN03"),H61,"")</f>
        <v/>
      </c>
      <c r="AQ61" s="44" t="str">
        <f>IF(AND(C61=Master!$H$1,B61="2012-2013",E61&gt;1000,G61="NPN05"),H61,"")</f>
        <v/>
      </c>
      <c r="AR61" s="44" t="str">
        <f>IF(AND(C61=Master!$H$1,B61="2012-2013",E61="",G61="NPN05"),H61,"")</f>
        <v/>
      </c>
      <c r="AS61" s="44" t="str">
        <f>IF(AND(C61=Master!$H$2,B61="2012-2013",E61&gt;1000,G61="NPN05"),H61,"")</f>
        <v/>
      </c>
      <c r="AT61" s="44" t="str">
        <f>IF(AND(C61=Master!$H$2,B61="2012-2013",E61="",G61="NPN05"),H61,"")</f>
        <v/>
      </c>
      <c r="AU61" s="44" t="str">
        <f>IF(AND(C61=Master!$H$3,B61="2012-2013",E61&gt;1000,G61="NPN05"),H61,"")</f>
        <v/>
      </c>
      <c r="AV61" s="44" t="str">
        <f>IF(AND(C61=Master!$H$3,B61="2012-2013",E61="",G61="NPN05"),H61,"")</f>
        <v/>
      </c>
      <c r="AW61" s="44" t="str">
        <f>IF(AND(C61=Master!$H$4,B61="2012-2013",E61&gt;1000,G61="NPN05"),H61,"")</f>
        <v/>
      </c>
      <c r="AX61" s="44" t="str">
        <f>IF(AND(C61=Master!$H$4,B61="2012-2013",E61="",G61="NPN05"),H61,"")</f>
        <v/>
      </c>
      <c r="AY61" s="44" t="str">
        <f>IF(AND(C61=Master!$H$5,B61="2012-2013",E61&gt;1000,G61="NPN05"),H61,"")</f>
        <v/>
      </c>
      <c r="AZ61" s="44" t="str">
        <f>IF(AND(C61=Master!$H$5,B61="2012-2013",E61="",G61="NPN05"),H61,"")</f>
        <v/>
      </c>
      <c r="BA61" s="44" t="str">
        <f>IF(AND(C61=Master!$H$6,B61="2012-2013",E61&gt;1000,G61="NPN05"),H61,"")</f>
        <v/>
      </c>
      <c r="BB61" s="44" t="str">
        <f>IF(AND(C61=Master!$H$6,B61="2012-2013",E61="",G61="NPN05"),H61,"")</f>
        <v/>
      </c>
      <c r="BC61" s="44" t="str">
        <f>IF(AND(C61=Master!$H$7,B61="2012-2013",E61&gt;1000,G61="NPN05"),H61,"")</f>
        <v/>
      </c>
      <c r="BD61" s="44" t="str">
        <f>IF(AND(C61=Master!$H$7,B61="2012-2013",E61="",G61="NPN05"),H61,"")</f>
        <v/>
      </c>
      <c r="BE61" s="44" t="str">
        <f>IF(AND(C61=Master!$H$8,B61="2012-2013",E61&gt;1000,G61="NPN05"),H61,"")</f>
        <v/>
      </c>
      <c r="BF61" s="44" t="str">
        <f>IF(AND(C61=Master!$H$8,B61="2012-2013",E61="",G61="NPN05"),H61,"")</f>
        <v/>
      </c>
      <c r="BG61" s="44" t="str">
        <f>IF(AND(C61=Master!$H$9,B61="2012-2013",E61&gt;1000,G61="NPN05"),H61,"")</f>
        <v/>
      </c>
      <c r="BH61" s="44" t="str">
        <f>IF(AND(C61=Master!$H$9,B61="2012-2013",E61="",G61="NPN05"),H61,"")</f>
        <v/>
      </c>
    </row>
    <row r="62" spans="1:60" x14ac:dyDescent="0.25">
      <c r="A62" s="3">
        <v>60</v>
      </c>
      <c r="B62" s="12"/>
      <c r="C62" s="12"/>
      <c r="D62" s="31"/>
      <c r="E62" s="4"/>
      <c r="F62" s="13"/>
      <c r="G62" s="21"/>
      <c r="H62" s="35"/>
      <c r="I62" s="27"/>
      <c r="J62" s="25" t="str">
        <f>IF(NOT(I62=""),INDEX(Master!$B$1:$B$46,MATCH(I62,Master!$A$1:$A$46,0)),"")</f>
        <v/>
      </c>
      <c r="K62" s="18"/>
      <c r="L62" s="86"/>
      <c r="M62" s="13"/>
      <c r="N62" s="13"/>
      <c r="O62" s="18"/>
      <c r="P62" s="35"/>
      <c r="Q62" s="21"/>
      <c r="R62" s="21"/>
      <c r="S62" s="13"/>
      <c r="T62" s="12"/>
      <c r="U62" s="12"/>
      <c r="V62" s="12"/>
      <c r="W62" s="14"/>
      <c r="Y62" s="42" t="str">
        <f>IF(AND(C62=Master!$H$1,B62="2012-2013",E62&gt;1000,G62="PLN03"),H62,"")</f>
        <v/>
      </c>
      <c r="Z62" s="42" t="str">
        <f>IF(AND(C62=Master!$H$1,B62="2012-2013",E62="",G62="PLN03"),H62,"")</f>
        <v/>
      </c>
      <c r="AA62" s="42" t="str">
        <f>IF(AND(C62=Master!$H$2,B62="2012-2013",E62&gt;1000,G62="PLN03"),H62,"")</f>
        <v/>
      </c>
      <c r="AB62" s="42" t="str">
        <f>IF(AND(C62=Master!$H$2,B62="2012-2013",E62="",G62="PLN03"),H62,"")</f>
        <v/>
      </c>
      <c r="AC62" s="42" t="str">
        <f>IF(AND(C62=Master!$H$3,B62="2012-2013",E62&gt;1000,G62="PLN03"),H62,"")</f>
        <v/>
      </c>
      <c r="AD62" s="42" t="str">
        <f>IF(AND(C62=Master!$H$3,B62="2012-2013",E62="",G62="PLN03"),H62,"")</f>
        <v/>
      </c>
      <c r="AE62" s="42" t="str">
        <f>IF(AND(C62=Master!$H$4,B62="2012-2013",E62&gt;1000,G62="PLN03"),H62,"")</f>
        <v/>
      </c>
      <c r="AF62" s="42" t="str">
        <f>IF(AND(C62=Master!$H$4,B62="2012-2013",E62="",G62="PLN03"),H62,"")</f>
        <v/>
      </c>
      <c r="AG62" s="42" t="str">
        <f>IF(AND(C62=Master!$H$5,B62="2012-2013",E62&gt;1000,G62="PLN03"),H62,"")</f>
        <v/>
      </c>
      <c r="AH62" s="42" t="str">
        <f>IF(AND(C62=Master!$H$5,B62="2012-2013",E62="",G62="PLN03"),H62,"")</f>
        <v/>
      </c>
      <c r="AI62" s="42" t="str">
        <f>IF(AND(C62=Master!$H$6,B62="2012-2013",E62&gt;1000,G62="PLN03"),H62,"")</f>
        <v/>
      </c>
      <c r="AJ62" s="42" t="str">
        <f>IF(AND(C62=Master!$H$6,B62="2012-2013",E62="",G62="PLN03"),H62,"")</f>
        <v/>
      </c>
      <c r="AK62" s="42" t="str">
        <f>IF(AND(C62=Master!$H$7,B62="2012-2013",E62&gt;1000,G62="PLN03"),H62,"")</f>
        <v/>
      </c>
      <c r="AL62" s="42" t="str">
        <f>IF(AND(C62=Master!$H$7,B62="2012-2013",E62="",G62="PLN03"),H62,"")</f>
        <v/>
      </c>
      <c r="AM62" s="42" t="str">
        <f>IF(AND(C62=Master!$H$8,B62="2012-2013",E62&gt;1000,G62="PLN03"),H62,"")</f>
        <v/>
      </c>
      <c r="AN62" s="42" t="str">
        <f>IF(AND(C62=Master!$H$8,B62="2012-2013",E62="",G62="PLN03"),H62,"")</f>
        <v/>
      </c>
      <c r="AO62" s="42" t="str">
        <f>IF(AND(C62=Master!$H$9,B62="2012-2013",E62&gt;1000,G62="PLN03"),H62,"")</f>
        <v/>
      </c>
      <c r="AP62" s="42" t="str">
        <f>IF(AND(C62=Master!$H$9,B62="2012-2013",E62="",G62="PLN03"),H62,"")</f>
        <v/>
      </c>
      <c r="AQ62" s="44" t="str">
        <f>IF(AND(C62=Master!$H$1,B62="2012-2013",E62&gt;1000,G62="NPN05"),H62,"")</f>
        <v/>
      </c>
      <c r="AR62" s="44" t="str">
        <f>IF(AND(C62=Master!$H$1,B62="2012-2013",E62="",G62="NPN05"),H62,"")</f>
        <v/>
      </c>
      <c r="AS62" s="44" t="str">
        <f>IF(AND(C62=Master!$H$2,B62="2012-2013",E62&gt;1000,G62="NPN05"),H62,"")</f>
        <v/>
      </c>
      <c r="AT62" s="44" t="str">
        <f>IF(AND(C62=Master!$H$2,B62="2012-2013",E62="",G62="NPN05"),H62,"")</f>
        <v/>
      </c>
      <c r="AU62" s="44" t="str">
        <f>IF(AND(C62=Master!$H$3,B62="2012-2013",E62&gt;1000,G62="NPN05"),H62,"")</f>
        <v/>
      </c>
      <c r="AV62" s="44" t="str">
        <f>IF(AND(C62=Master!$H$3,B62="2012-2013",E62="",G62="NPN05"),H62,"")</f>
        <v/>
      </c>
      <c r="AW62" s="44" t="str">
        <f>IF(AND(C62=Master!$H$4,B62="2012-2013",E62&gt;1000,G62="NPN05"),H62,"")</f>
        <v/>
      </c>
      <c r="AX62" s="44" t="str">
        <f>IF(AND(C62=Master!$H$4,B62="2012-2013",E62="",G62="NPN05"),H62,"")</f>
        <v/>
      </c>
      <c r="AY62" s="44" t="str">
        <f>IF(AND(C62=Master!$H$5,B62="2012-2013",E62&gt;1000,G62="NPN05"),H62,"")</f>
        <v/>
      </c>
      <c r="AZ62" s="44" t="str">
        <f>IF(AND(C62=Master!$H$5,B62="2012-2013",E62="",G62="NPN05"),H62,"")</f>
        <v/>
      </c>
      <c r="BA62" s="44" t="str">
        <f>IF(AND(C62=Master!$H$6,B62="2012-2013",E62&gt;1000,G62="NPN05"),H62,"")</f>
        <v/>
      </c>
      <c r="BB62" s="44" t="str">
        <f>IF(AND(C62=Master!$H$6,B62="2012-2013",E62="",G62="NPN05"),H62,"")</f>
        <v/>
      </c>
      <c r="BC62" s="44" t="str">
        <f>IF(AND(C62=Master!$H$7,B62="2012-2013",E62&gt;1000,G62="NPN05"),H62,"")</f>
        <v/>
      </c>
      <c r="BD62" s="44" t="str">
        <f>IF(AND(C62=Master!$H$7,B62="2012-2013",E62="",G62="NPN05"),H62,"")</f>
        <v/>
      </c>
      <c r="BE62" s="44" t="str">
        <f>IF(AND(C62=Master!$H$8,B62="2012-2013",E62&gt;1000,G62="NPN05"),H62,"")</f>
        <v/>
      </c>
      <c r="BF62" s="44" t="str">
        <f>IF(AND(C62=Master!$H$8,B62="2012-2013",E62="",G62="NPN05"),H62,"")</f>
        <v/>
      </c>
      <c r="BG62" s="44" t="str">
        <f>IF(AND(C62=Master!$H$9,B62="2012-2013",E62&gt;1000,G62="NPN05"),H62,"")</f>
        <v/>
      </c>
      <c r="BH62" s="44" t="str">
        <f>IF(AND(C62=Master!$H$9,B62="2012-2013",E62="",G62="NPN05"),H62,"")</f>
        <v/>
      </c>
    </row>
    <row r="63" spans="1:60" x14ac:dyDescent="0.25">
      <c r="A63" s="3">
        <v>61</v>
      </c>
      <c r="B63" s="12"/>
      <c r="C63" s="12"/>
      <c r="D63" s="31"/>
      <c r="E63" s="4"/>
      <c r="F63" s="13"/>
      <c r="G63" s="21"/>
      <c r="H63" s="35"/>
      <c r="I63" s="27"/>
      <c r="J63" s="25" t="str">
        <f>IF(NOT(I63=""),INDEX(Master!$B$1:$B$46,MATCH(I63,Master!$A$1:$A$46,0)),"")</f>
        <v/>
      </c>
      <c r="K63" s="18"/>
      <c r="L63" s="86"/>
      <c r="M63" s="13"/>
      <c r="N63" s="13"/>
      <c r="O63" s="18"/>
      <c r="P63" s="35"/>
      <c r="Q63" s="21"/>
      <c r="R63" s="21"/>
      <c r="S63" s="13"/>
      <c r="T63" s="12"/>
      <c r="U63" s="12"/>
      <c r="V63" s="12"/>
      <c r="W63" s="14"/>
      <c r="Y63" s="42" t="str">
        <f>IF(AND(C63=Master!$H$1,B63="2012-2013",E63&gt;1000,G63="PLN03"),H63,"")</f>
        <v/>
      </c>
      <c r="Z63" s="42" t="str">
        <f>IF(AND(C63=Master!$H$1,B63="2012-2013",E63="",G63="PLN03"),H63,"")</f>
        <v/>
      </c>
      <c r="AA63" s="42" t="str">
        <f>IF(AND(C63=Master!$H$2,B63="2012-2013",E63&gt;1000,G63="PLN03"),H63,"")</f>
        <v/>
      </c>
      <c r="AB63" s="42" t="str">
        <f>IF(AND(C63=Master!$H$2,B63="2012-2013",E63="",G63="PLN03"),H63,"")</f>
        <v/>
      </c>
      <c r="AC63" s="42" t="str">
        <f>IF(AND(C63=Master!$H$3,B63="2012-2013",E63&gt;1000,G63="PLN03"),H63,"")</f>
        <v/>
      </c>
      <c r="AD63" s="42" t="str">
        <f>IF(AND(C63=Master!$H$3,B63="2012-2013",E63="",G63="PLN03"),H63,"")</f>
        <v/>
      </c>
      <c r="AE63" s="42" t="str">
        <f>IF(AND(C63=Master!$H$4,B63="2012-2013",E63&gt;1000,G63="PLN03"),H63,"")</f>
        <v/>
      </c>
      <c r="AF63" s="42" t="str">
        <f>IF(AND(C63=Master!$H$4,B63="2012-2013",E63="",G63="PLN03"),H63,"")</f>
        <v/>
      </c>
      <c r="AG63" s="42" t="str">
        <f>IF(AND(C63=Master!$H$5,B63="2012-2013",E63&gt;1000,G63="PLN03"),H63,"")</f>
        <v/>
      </c>
      <c r="AH63" s="42" t="str">
        <f>IF(AND(C63=Master!$H$5,B63="2012-2013",E63="",G63="PLN03"),H63,"")</f>
        <v/>
      </c>
      <c r="AI63" s="42" t="str">
        <f>IF(AND(C63=Master!$H$6,B63="2012-2013",E63&gt;1000,G63="PLN03"),H63,"")</f>
        <v/>
      </c>
      <c r="AJ63" s="42" t="str">
        <f>IF(AND(C63=Master!$H$6,B63="2012-2013",E63="",G63="PLN03"),H63,"")</f>
        <v/>
      </c>
      <c r="AK63" s="42" t="str">
        <f>IF(AND(C63=Master!$H$7,B63="2012-2013",E63&gt;1000,G63="PLN03"),H63,"")</f>
        <v/>
      </c>
      <c r="AL63" s="42" t="str">
        <f>IF(AND(C63=Master!$H$7,B63="2012-2013",E63="",G63="PLN03"),H63,"")</f>
        <v/>
      </c>
      <c r="AM63" s="42" t="str">
        <f>IF(AND(C63=Master!$H$8,B63="2012-2013",E63&gt;1000,G63="PLN03"),H63,"")</f>
        <v/>
      </c>
      <c r="AN63" s="42" t="str">
        <f>IF(AND(C63=Master!$H$8,B63="2012-2013",E63="",G63="PLN03"),H63,"")</f>
        <v/>
      </c>
      <c r="AO63" s="42" t="str">
        <f>IF(AND(C63=Master!$H$9,B63="2012-2013",E63&gt;1000,G63="PLN03"),H63,"")</f>
        <v/>
      </c>
      <c r="AP63" s="42" t="str">
        <f>IF(AND(C63=Master!$H$9,B63="2012-2013",E63="",G63="PLN03"),H63,"")</f>
        <v/>
      </c>
      <c r="AQ63" s="44" t="str">
        <f>IF(AND(C63=Master!$H$1,B63="2012-2013",E63&gt;1000,G63="NPN05"),H63,"")</f>
        <v/>
      </c>
      <c r="AR63" s="44" t="str">
        <f>IF(AND(C63=Master!$H$1,B63="2012-2013",E63="",G63="NPN05"),H63,"")</f>
        <v/>
      </c>
      <c r="AS63" s="44" t="str">
        <f>IF(AND(C63=Master!$H$2,B63="2012-2013",E63&gt;1000,G63="NPN05"),H63,"")</f>
        <v/>
      </c>
      <c r="AT63" s="44" t="str">
        <f>IF(AND(C63=Master!$H$2,B63="2012-2013",E63="",G63="NPN05"),H63,"")</f>
        <v/>
      </c>
      <c r="AU63" s="44" t="str">
        <f>IF(AND(C63=Master!$H$3,B63="2012-2013",E63&gt;1000,G63="NPN05"),H63,"")</f>
        <v/>
      </c>
      <c r="AV63" s="44" t="str">
        <f>IF(AND(C63=Master!$H$3,B63="2012-2013",E63="",G63="NPN05"),H63,"")</f>
        <v/>
      </c>
      <c r="AW63" s="44" t="str">
        <f>IF(AND(C63=Master!$H$4,B63="2012-2013",E63&gt;1000,G63="NPN05"),H63,"")</f>
        <v/>
      </c>
      <c r="AX63" s="44" t="str">
        <f>IF(AND(C63=Master!$H$4,B63="2012-2013",E63="",G63="NPN05"),H63,"")</f>
        <v/>
      </c>
      <c r="AY63" s="44" t="str">
        <f>IF(AND(C63=Master!$H$5,B63="2012-2013",E63&gt;1000,G63="NPN05"),H63,"")</f>
        <v/>
      </c>
      <c r="AZ63" s="44" t="str">
        <f>IF(AND(C63=Master!$H$5,B63="2012-2013",E63="",G63="NPN05"),H63,"")</f>
        <v/>
      </c>
      <c r="BA63" s="44" t="str">
        <f>IF(AND(C63=Master!$H$6,B63="2012-2013",E63&gt;1000,G63="NPN05"),H63,"")</f>
        <v/>
      </c>
      <c r="BB63" s="44" t="str">
        <f>IF(AND(C63=Master!$H$6,B63="2012-2013",E63="",G63="NPN05"),H63,"")</f>
        <v/>
      </c>
      <c r="BC63" s="44" t="str">
        <f>IF(AND(C63=Master!$H$7,B63="2012-2013",E63&gt;1000,G63="NPN05"),H63,"")</f>
        <v/>
      </c>
      <c r="BD63" s="44" t="str">
        <f>IF(AND(C63=Master!$H$7,B63="2012-2013",E63="",G63="NPN05"),H63,"")</f>
        <v/>
      </c>
      <c r="BE63" s="44" t="str">
        <f>IF(AND(C63=Master!$H$8,B63="2012-2013",E63&gt;1000,G63="NPN05"),H63,"")</f>
        <v/>
      </c>
      <c r="BF63" s="44" t="str">
        <f>IF(AND(C63=Master!$H$8,B63="2012-2013",E63="",G63="NPN05"),H63,"")</f>
        <v/>
      </c>
      <c r="BG63" s="44" t="str">
        <f>IF(AND(C63=Master!$H$9,B63="2012-2013",E63&gt;1000,G63="NPN05"),H63,"")</f>
        <v/>
      </c>
      <c r="BH63" s="44" t="str">
        <f>IF(AND(C63=Master!$H$9,B63="2012-2013",E63="",G63="NPN05"),H63,"")</f>
        <v/>
      </c>
    </row>
    <row r="64" spans="1:60" x14ac:dyDescent="0.25">
      <c r="A64" s="3">
        <v>62</v>
      </c>
      <c r="B64" s="12"/>
      <c r="C64" s="12"/>
      <c r="D64" s="31"/>
      <c r="E64" s="4"/>
      <c r="F64" s="13"/>
      <c r="G64" s="21"/>
      <c r="H64" s="35"/>
      <c r="I64" s="27"/>
      <c r="J64" s="25" t="str">
        <f>IF(NOT(I64=""),INDEX(Master!$B$1:$B$46,MATCH(I64,Master!$A$1:$A$46,0)),"")</f>
        <v/>
      </c>
      <c r="K64" s="18"/>
      <c r="L64" s="86"/>
      <c r="M64" s="13"/>
      <c r="N64" s="13"/>
      <c r="O64" s="18"/>
      <c r="P64" s="35"/>
      <c r="Q64" s="21"/>
      <c r="R64" s="21"/>
      <c r="S64" s="13"/>
      <c r="T64" s="12"/>
      <c r="U64" s="12"/>
      <c r="V64" s="12"/>
      <c r="W64" s="14"/>
      <c r="Y64" s="42" t="str">
        <f>IF(AND(C64=Master!$H$1,B64="2012-2013",E64&gt;1000,G64="PLN03"),H64,"")</f>
        <v/>
      </c>
      <c r="Z64" s="42" t="str">
        <f>IF(AND(C64=Master!$H$1,B64="2012-2013",E64="",G64="PLN03"),H64,"")</f>
        <v/>
      </c>
      <c r="AA64" s="42" t="str">
        <f>IF(AND(C64=Master!$H$2,B64="2012-2013",E64&gt;1000,G64="PLN03"),H64,"")</f>
        <v/>
      </c>
      <c r="AB64" s="42" t="str">
        <f>IF(AND(C64=Master!$H$2,B64="2012-2013",E64="",G64="PLN03"),H64,"")</f>
        <v/>
      </c>
      <c r="AC64" s="42" t="str">
        <f>IF(AND(C64=Master!$H$3,B64="2012-2013",E64&gt;1000,G64="PLN03"),H64,"")</f>
        <v/>
      </c>
      <c r="AD64" s="42" t="str">
        <f>IF(AND(C64=Master!$H$3,B64="2012-2013",E64="",G64="PLN03"),H64,"")</f>
        <v/>
      </c>
      <c r="AE64" s="42" t="str">
        <f>IF(AND(C64=Master!$H$4,B64="2012-2013",E64&gt;1000,G64="PLN03"),H64,"")</f>
        <v/>
      </c>
      <c r="AF64" s="42" t="str">
        <f>IF(AND(C64=Master!$H$4,B64="2012-2013",E64="",G64="PLN03"),H64,"")</f>
        <v/>
      </c>
      <c r="AG64" s="42" t="str">
        <f>IF(AND(C64=Master!$H$5,B64="2012-2013",E64&gt;1000,G64="PLN03"),H64,"")</f>
        <v/>
      </c>
      <c r="AH64" s="42" t="str">
        <f>IF(AND(C64=Master!$H$5,B64="2012-2013",E64="",G64="PLN03"),H64,"")</f>
        <v/>
      </c>
      <c r="AI64" s="42" t="str">
        <f>IF(AND(C64=Master!$H$6,B64="2012-2013",E64&gt;1000,G64="PLN03"),H64,"")</f>
        <v/>
      </c>
      <c r="AJ64" s="42" t="str">
        <f>IF(AND(C64=Master!$H$6,B64="2012-2013",E64="",G64="PLN03"),H64,"")</f>
        <v/>
      </c>
      <c r="AK64" s="42" t="str">
        <f>IF(AND(C64=Master!$H$7,B64="2012-2013",E64&gt;1000,G64="PLN03"),H64,"")</f>
        <v/>
      </c>
      <c r="AL64" s="42" t="str">
        <f>IF(AND(C64=Master!$H$7,B64="2012-2013",E64="",G64="PLN03"),H64,"")</f>
        <v/>
      </c>
      <c r="AM64" s="42" t="str">
        <f>IF(AND(C64=Master!$H$8,B64="2012-2013",E64&gt;1000,G64="PLN03"),H64,"")</f>
        <v/>
      </c>
      <c r="AN64" s="42" t="str">
        <f>IF(AND(C64=Master!$H$8,B64="2012-2013",E64="",G64="PLN03"),H64,"")</f>
        <v/>
      </c>
      <c r="AO64" s="42" t="str">
        <f>IF(AND(C64=Master!$H$9,B64="2012-2013",E64&gt;1000,G64="PLN03"),H64,"")</f>
        <v/>
      </c>
      <c r="AP64" s="42" t="str">
        <f>IF(AND(C64=Master!$H$9,B64="2012-2013",E64="",G64="PLN03"),H64,"")</f>
        <v/>
      </c>
      <c r="AQ64" s="44" t="str">
        <f>IF(AND(C64=Master!$H$1,B64="2012-2013",E64&gt;1000,G64="NPN05"),H64,"")</f>
        <v/>
      </c>
      <c r="AR64" s="44" t="str">
        <f>IF(AND(C64=Master!$H$1,B64="2012-2013",E64="",G64="NPN05"),H64,"")</f>
        <v/>
      </c>
      <c r="AS64" s="44" t="str">
        <f>IF(AND(C64=Master!$H$2,B64="2012-2013",E64&gt;1000,G64="NPN05"),H64,"")</f>
        <v/>
      </c>
      <c r="AT64" s="44" t="str">
        <f>IF(AND(C64=Master!$H$2,B64="2012-2013",E64="",G64="NPN05"),H64,"")</f>
        <v/>
      </c>
      <c r="AU64" s="44" t="str">
        <f>IF(AND(C64=Master!$H$3,B64="2012-2013",E64&gt;1000,G64="NPN05"),H64,"")</f>
        <v/>
      </c>
      <c r="AV64" s="44" t="str">
        <f>IF(AND(C64=Master!$H$3,B64="2012-2013",E64="",G64="NPN05"),H64,"")</f>
        <v/>
      </c>
      <c r="AW64" s="44" t="str">
        <f>IF(AND(C64=Master!$H$4,B64="2012-2013",E64&gt;1000,G64="NPN05"),H64,"")</f>
        <v/>
      </c>
      <c r="AX64" s="44" t="str">
        <f>IF(AND(C64=Master!$H$4,B64="2012-2013",E64="",G64="NPN05"),H64,"")</f>
        <v/>
      </c>
      <c r="AY64" s="44" t="str">
        <f>IF(AND(C64=Master!$H$5,B64="2012-2013",E64&gt;1000,G64="NPN05"),H64,"")</f>
        <v/>
      </c>
      <c r="AZ64" s="44" t="str">
        <f>IF(AND(C64=Master!$H$5,B64="2012-2013",E64="",G64="NPN05"),H64,"")</f>
        <v/>
      </c>
      <c r="BA64" s="44" t="str">
        <f>IF(AND(C64=Master!$H$6,B64="2012-2013",E64&gt;1000,G64="NPN05"),H64,"")</f>
        <v/>
      </c>
      <c r="BB64" s="44" t="str">
        <f>IF(AND(C64=Master!$H$6,B64="2012-2013",E64="",G64="NPN05"),H64,"")</f>
        <v/>
      </c>
      <c r="BC64" s="44" t="str">
        <f>IF(AND(C64=Master!$H$7,B64="2012-2013",E64&gt;1000,G64="NPN05"),H64,"")</f>
        <v/>
      </c>
      <c r="BD64" s="44" t="str">
        <f>IF(AND(C64=Master!$H$7,B64="2012-2013",E64="",G64="NPN05"),H64,"")</f>
        <v/>
      </c>
      <c r="BE64" s="44" t="str">
        <f>IF(AND(C64=Master!$H$8,B64="2012-2013",E64&gt;1000,G64="NPN05"),H64,"")</f>
        <v/>
      </c>
      <c r="BF64" s="44" t="str">
        <f>IF(AND(C64=Master!$H$8,B64="2012-2013",E64="",G64="NPN05"),H64,"")</f>
        <v/>
      </c>
      <c r="BG64" s="44" t="str">
        <f>IF(AND(C64=Master!$H$9,B64="2012-2013",E64&gt;1000,G64="NPN05"),H64,"")</f>
        <v/>
      </c>
      <c r="BH64" s="44" t="str">
        <f>IF(AND(C64=Master!$H$9,B64="2012-2013",E64="",G64="NPN05"),H64,"")</f>
        <v/>
      </c>
    </row>
    <row r="65" spans="1:60" x14ac:dyDescent="0.25">
      <c r="A65" s="3">
        <v>63</v>
      </c>
      <c r="B65" s="12"/>
      <c r="C65" s="12"/>
      <c r="D65" s="31"/>
      <c r="E65" s="4"/>
      <c r="F65" s="13"/>
      <c r="G65" s="21"/>
      <c r="H65" s="35"/>
      <c r="I65" s="27"/>
      <c r="J65" s="25" t="str">
        <f>IF(NOT(I65=""),INDEX(Master!$B$1:$B$46,MATCH(I65,Master!$A$1:$A$46,0)),"")</f>
        <v/>
      </c>
      <c r="K65" s="18"/>
      <c r="L65" s="86"/>
      <c r="M65" s="13"/>
      <c r="N65" s="13"/>
      <c r="O65" s="18"/>
      <c r="P65" s="35"/>
      <c r="Q65" s="21"/>
      <c r="R65" s="21"/>
      <c r="S65" s="13"/>
      <c r="T65" s="12"/>
      <c r="U65" s="12"/>
      <c r="V65" s="12"/>
      <c r="W65" s="14"/>
      <c r="Y65" s="42" t="str">
        <f>IF(AND(C65=Master!$H$1,B65="2012-2013",E65&gt;1000,G65="PLN03"),H65,"")</f>
        <v/>
      </c>
      <c r="Z65" s="42" t="str">
        <f>IF(AND(C65=Master!$H$1,B65="2012-2013",E65="",G65="PLN03"),H65,"")</f>
        <v/>
      </c>
      <c r="AA65" s="42" t="str">
        <f>IF(AND(C65=Master!$H$2,B65="2012-2013",E65&gt;1000,G65="PLN03"),H65,"")</f>
        <v/>
      </c>
      <c r="AB65" s="42" t="str">
        <f>IF(AND(C65=Master!$H$2,B65="2012-2013",E65="",G65="PLN03"),H65,"")</f>
        <v/>
      </c>
      <c r="AC65" s="42" t="str">
        <f>IF(AND(C65=Master!$H$3,B65="2012-2013",E65&gt;1000,G65="PLN03"),H65,"")</f>
        <v/>
      </c>
      <c r="AD65" s="42" t="str">
        <f>IF(AND(C65=Master!$H$3,B65="2012-2013",E65="",G65="PLN03"),H65,"")</f>
        <v/>
      </c>
      <c r="AE65" s="42" t="str">
        <f>IF(AND(C65=Master!$H$4,B65="2012-2013",E65&gt;1000,G65="PLN03"),H65,"")</f>
        <v/>
      </c>
      <c r="AF65" s="42" t="str">
        <f>IF(AND(C65=Master!$H$4,B65="2012-2013",E65="",G65="PLN03"),H65,"")</f>
        <v/>
      </c>
      <c r="AG65" s="42" t="str">
        <f>IF(AND(C65=Master!$H$5,B65="2012-2013",E65&gt;1000,G65="PLN03"),H65,"")</f>
        <v/>
      </c>
      <c r="AH65" s="42" t="str">
        <f>IF(AND(C65=Master!$H$5,B65="2012-2013",E65="",G65="PLN03"),H65,"")</f>
        <v/>
      </c>
      <c r="AI65" s="42" t="str">
        <f>IF(AND(C65=Master!$H$6,B65="2012-2013",E65&gt;1000,G65="PLN03"),H65,"")</f>
        <v/>
      </c>
      <c r="AJ65" s="42" t="str">
        <f>IF(AND(C65=Master!$H$6,B65="2012-2013",E65="",G65="PLN03"),H65,"")</f>
        <v/>
      </c>
      <c r="AK65" s="42" t="str">
        <f>IF(AND(C65=Master!$H$7,B65="2012-2013",E65&gt;1000,G65="PLN03"),H65,"")</f>
        <v/>
      </c>
      <c r="AL65" s="42" t="str">
        <f>IF(AND(C65=Master!$H$7,B65="2012-2013",E65="",G65="PLN03"),H65,"")</f>
        <v/>
      </c>
      <c r="AM65" s="42" t="str">
        <f>IF(AND(C65=Master!$H$8,B65="2012-2013",E65&gt;1000,G65="PLN03"),H65,"")</f>
        <v/>
      </c>
      <c r="AN65" s="42" t="str">
        <f>IF(AND(C65=Master!$H$8,B65="2012-2013",E65="",G65="PLN03"),H65,"")</f>
        <v/>
      </c>
      <c r="AO65" s="42" t="str">
        <f>IF(AND(C65=Master!$H$9,B65="2012-2013",E65&gt;1000,G65="PLN03"),H65,"")</f>
        <v/>
      </c>
      <c r="AP65" s="42" t="str">
        <f>IF(AND(C65=Master!$H$9,B65="2012-2013",E65="",G65="PLN03"),H65,"")</f>
        <v/>
      </c>
      <c r="AQ65" s="44" t="str">
        <f>IF(AND(C65=Master!$H$1,B65="2012-2013",E65&gt;1000,G65="NPN05"),H65,"")</f>
        <v/>
      </c>
      <c r="AR65" s="44" t="str">
        <f>IF(AND(C65=Master!$H$1,B65="2012-2013",E65="",G65="NPN05"),H65,"")</f>
        <v/>
      </c>
      <c r="AS65" s="44" t="str">
        <f>IF(AND(C65=Master!$H$2,B65="2012-2013",E65&gt;1000,G65="NPN05"),H65,"")</f>
        <v/>
      </c>
      <c r="AT65" s="44" t="str">
        <f>IF(AND(C65=Master!$H$2,B65="2012-2013",E65="",G65="NPN05"),H65,"")</f>
        <v/>
      </c>
      <c r="AU65" s="44" t="str">
        <f>IF(AND(C65=Master!$H$3,B65="2012-2013",E65&gt;1000,G65="NPN05"),H65,"")</f>
        <v/>
      </c>
      <c r="AV65" s="44" t="str">
        <f>IF(AND(C65=Master!$H$3,B65="2012-2013",E65="",G65="NPN05"),H65,"")</f>
        <v/>
      </c>
      <c r="AW65" s="44" t="str">
        <f>IF(AND(C65=Master!$H$4,B65="2012-2013",E65&gt;1000,G65="NPN05"),H65,"")</f>
        <v/>
      </c>
      <c r="AX65" s="44" t="str">
        <f>IF(AND(C65=Master!$H$4,B65="2012-2013",E65="",G65="NPN05"),H65,"")</f>
        <v/>
      </c>
      <c r="AY65" s="44" t="str">
        <f>IF(AND(C65=Master!$H$5,B65="2012-2013",E65&gt;1000,G65="NPN05"),H65,"")</f>
        <v/>
      </c>
      <c r="AZ65" s="44" t="str">
        <f>IF(AND(C65=Master!$H$5,B65="2012-2013",E65="",G65="NPN05"),H65,"")</f>
        <v/>
      </c>
      <c r="BA65" s="44" t="str">
        <f>IF(AND(C65=Master!$H$6,B65="2012-2013",E65&gt;1000,G65="NPN05"),H65,"")</f>
        <v/>
      </c>
      <c r="BB65" s="44" t="str">
        <f>IF(AND(C65=Master!$H$6,B65="2012-2013",E65="",G65="NPN05"),H65,"")</f>
        <v/>
      </c>
      <c r="BC65" s="44" t="str">
        <f>IF(AND(C65=Master!$H$7,B65="2012-2013",E65&gt;1000,G65="NPN05"),H65,"")</f>
        <v/>
      </c>
      <c r="BD65" s="44" t="str">
        <f>IF(AND(C65=Master!$H$7,B65="2012-2013",E65="",G65="NPN05"),H65,"")</f>
        <v/>
      </c>
      <c r="BE65" s="44" t="str">
        <f>IF(AND(C65=Master!$H$8,B65="2012-2013",E65&gt;1000,G65="NPN05"),H65,"")</f>
        <v/>
      </c>
      <c r="BF65" s="44" t="str">
        <f>IF(AND(C65=Master!$H$8,B65="2012-2013",E65="",G65="NPN05"),H65,"")</f>
        <v/>
      </c>
      <c r="BG65" s="44" t="str">
        <f>IF(AND(C65=Master!$H$9,B65="2012-2013",E65&gt;1000,G65="NPN05"),H65,"")</f>
        <v/>
      </c>
      <c r="BH65" s="44" t="str">
        <f>IF(AND(C65=Master!$H$9,B65="2012-2013",E65="",G65="NPN05"),H65,"")</f>
        <v/>
      </c>
    </row>
    <row r="66" spans="1:60" x14ac:dyDescent="0.25">
      <c r="A66" s="3">
        <v>64</v>
      </c>
      <c r="B66" s="12"/>
      <c r="C66" s="12"/>
      <c r="D66" s="31"/>
      <c r="E66" s="4"/>
      <c r="F66" s="13"/>
      <c r="G66" s="21"/>
      <c r="H66" s="35"/>
      <c r="I66" s="27"/>
      <c r="J66" s="25" t="str">
        <f>IF(NOT(I66=""),INDEX(Master!$B$1:$B$46,MATCH(I66,Master!$A$1:$A$46,0)),"")</f>
        <v/>
      </c>
      <c r="K66" s="18"/>
      <c r="L66" s="86"/>
      <c r="M66" s="13"/>
      <c r="N66" s="13"/>
      <c r="O66" s="18"/>
      <c r="P66" s="35"/>
      <c r="Q66" s="21"/>
      <c r="R66" s="21"/>
      <c r="S66" s="13"/>
      <c r="T66" s="12"/>
      <c r="U66" s="12"/>
      <c r="V66" s="12"/>
      <c r="W66" s="14"/>
      <c r="Y66" s="42" t="str">
        <f>IF(AND(C66=Master!$H$1,B66="2012-2013",E66&gt;1000,G66="PLN03"),H66,"")</f>
        <v/>
      </c>
      <c r="Z66" s="42" t="str">
        <f>IF(AND(C66=Master!$H$1,B66="2012-2013",E66="",G66="PLN03"),H66,"")</f>
        <v/>
      </c>
      <c r="AA66" s="42" t="str">
        <f>IF(AND(C66=Master!$H$2,B66="2012-2013",E66&gt;1000,G66="PLN03"),H66,"")</f>
        <v/>
      </c>
      <c r="AB66" s="42" t="str">
        <f>IF(AND(C66=Master!$H$2,B66="2012-2013",E66="",G66="PLN03"),H66,"")</f>
        <v/>
      </c>
      <c r="AC66" s="42" t="str">
        <f>IF(AND(C66=Master!$H$3,B66="2012-2013",E66&gt;1000,G66="PLN03"),H66,"")</f>
        <v/>
      </c>
      <c r="AD66" s="42" t="str">
        <f>IF(AND(C66=Master!$H$3,B66="2012-2013",E66="",G66="PLN03"),H66,"")</f>
        <v/>
      </c>
      <c r="AE66" s="42" t="str">
        <f>IF(AND(C66=Master!$H$4,B66="2012-2013",E66&gt;1000,G66="PLN03"),H66,"")</f>
        <v/>
      </c>
      <c r="AF66" s="42" t="str">
        <f>IF(AND(C66=Master!$H$4,B66="2012-2013",E66="",G66="PLN03"),H66,"")</f>
        <v/>
      </c>
      <c r="AG66" s="42" t="str">
        <f>IF(AND(C66=Master!$H$5,B66="2012-2013",E66&gt;1000,G66="PLN03"),H66,"")</f>
        <v/>
      </c>
      <c r="AH66" s="42" t="str">
        <f>IF(AND(C66=Master!$H$5,B66="2012-2013",E66="",G66="PLN03"),H66,"")</f>
        <v/>
      </c>
      <c r="AI66" s="42" t="str">
        <f>IF(AND(C66=Master!$H$6,B66="2012-2013",E66&gt;1000,G66="PLN03"),H66,"")</f>
        <v/>
      </c>
      <c r="AJ66" s="42" t="str">
        <f>IF(AND(C66=Master!$H$6,B66="2012-2013",E66="",G66="PLN03"),H66,"")</f>
        <v/>
      </c>
      <c r="AK66" s="42" t="str">
        <f>IF(AND(C66=Master!$H$7,B66="2012-2013",E66&gt;1000,G66="PLN03"),H66,"")</f>
        <v/>
      </c>
      <c r="AL66" s="42" t="str">
        <f>IF(AND(C66=Master!$H$7,B66="2012-2013",E66="",G66="PLN03"),H66,"")</f>
        <v/>
      </c>
      <c r="AM66" s="42" t="str">
        <f>IF(AND(C66=Master!$H$8,B66="2012-2013",E66&gt;1000,G66="PLN03"),H66,"")</f>
        <v/>
      </c>
      <c r="AN66" s="42" t="str">
        <f>IF(AND(C66=Master!$H$8,B66="2012-2013",E66="",G66="PLN03"),H66,"")</f>
        <v/>
      </c>
      <c r="AO66" s="42" t="str">
        <f>IF(AND(C66=Master!$H$9,B66="2012-2013",E66&gt;1000,G66="PLN03"),H66,"")</f>
        <v/>
      </c>
      <c r="AP66" s="42" t="str">
        <f>IF(AND(C66=Master!$H$9,B66="2012-2013",E66="",G66="PLN03"),H66,"")</f>
        <v/>
      </c>
      <c r="AQ66" s="44" t="str">
        <f>IF(AND(C66=Master!$H$1,B66="2012-2013",E66&gt;1000,G66="NPN05"),H66,"")</f>
        <v/>
      </c>
      <c r="AR66" s="44" t="str">
        <f>IF(AND(C66=Master!$H$1,B66="2012-2013",E66="",G66="NPN05"),H66,"")</f>
        <v/>
      </c>
      <c r="AS66" s="44" t="str">
        <f>IF(AND(C66=Master!$H$2,B66="2012-2013",E66&gt;1000,G66="NPN05"),H66,"")</f>
        <v/>
      </c>
      <c r="AT66" s="44" t="str">
        <f>IF(AND(C66=Master!$H$2,B66="2012-2013",E66="",G66="NPN05"),H66,"")</f>
        <v/>
      </c>
      <c r="AU66" s="44" t="str">
        <f>IF(AND(C66=Master!$H$3,B66="2012-2013",E66&gt;1000,G66="NPN05"),H66,"")</f>
        <v/>
      </c>
      <c r="AV66" s="44" t="str">
        <f>IF(AND(C66=Master!$H$3,B66="2012-2013",E66="",G66="NPN05"),H66,"")</f>
        <v/>
      </c>
      <c r="AW66" s="44" t="str">
        <f>IF(AND(C66=Master!$H$4,B66="2012-2013",E66&gt;1000,G66="NPN05"),H66,"")</f>
        <v/>
      </c>
      <c r="AX66" s="44" t="str">
        <f>IF(AND(C66=Master!$H$4,B66="2012-2013",E66="",G66="NPN05"),H66,"")</f>
        <v/>
      </c>
      <c r="AY66" s="44" t="str">
        <f>IF(AND(C66=Master!$H$5,B66="2012-2013",E66&gt;1000,G66="NPN05"),H66,"")</f>
        <v/>
      </c>
      <c r="AZ66" s="44" t="str">
        <f>IF(AND(C66=Master!$H$5,B66="2012-2013",E66="",G66="NPN05"),H66,"")</f>
        <v/>
      </c>
      <c r="BA66" s="44" t="str">
        <f>IF(AND(C66=Master!$H$6,B66="2012-2013",E66&gt;1000,G66="NPN05"),H66,"")</f>
        <v/>
      </c>
      <c r="BB66" s="44" t="str">
        <f>IF(AND(C66=Master!$H$6,B66="2012-2013",E66="",G66="NPN05"),H66,"")</f>
        <v/>
      </c>
      <c r="BC66" s="44" t="str">
        <f>IF(AND(C66=Master!$H$7,B66="2012-2013",E66&gt;1000,G66="NPN05"),H66,"")</f>
        <v/>
      </c>
      <c r="BD66" s="44" t="str">
        <f>IF(AND(C66=Master!$H$7,B66="2012-2013",E66="",G66="NPN05"),H66,"")</f>
        <v/>
      </c>
      <c r="BE66" s="44" t="str">
        <f>IF(AND(C66=Master!$H$8,B66="2012-2013",E66&gt;1000,G66="NPN05"),H66,"")</f>
        <v/>
      </c>
      <c r="BF66" s="44" t="str">
        <f>IF(AND(C66=Master!$H$8,B66="2012-2013",E66="",G66="NPN05"),H66,"")</f>
        <v/>
      </c>
      <c r="BG66" s="44" t="str">
        <f>IF(AND(C66=Master!$H$9,B66="2012-2013",E66&gt;1000,G66="NPN05"),H66,"")</f>
        <v/>
      </c>
      <c r="BH66" s="44" t="str">
        <f>IF(AND(C66=Master!$H$9,B66="2012-2013",E66="",G66="NPN05"),H66,"")</f>
        <v/>
      </c>
    </row>
    <row r="67" spans="1:60" x14ac:dyDescent="0.25">
      <c r="A67" s="3">
        <v>65</v>
      </c>
      <c r="B67" s="12"/>
      <c r="C67" s="12"/>
      <c r="D67" s="31"/>
      <c r="E67" s="4"/>
      <c r="F67" s="13"/>
      <c r="G67" s="21"/>
      <c r="H67" s="35"/>
      <c r="I67" s="27"/>
      <c r="J67" s="25" t="str">
        <f>IF(NOT(I67=""),INDEX(Master!$B$1:$B$46,MATCH(I67,Master!$A$1:$A$46,0)),"")</f>
        <v/>
      </c>
      <c r="K67" s="18"/>
      <c r="L67" s="86"/>
      <c r="M67" s="13"/>
      <c r="N67" s="13"/>
      <c r="O67" s="18"/>
      <c r="P67" s="35"/>
      <c r="Q67" s="21"/>
      <c r="R67" s="21"/>
      <c r="S67" s="13"/>
      <c r="T67" s="12"/>
      <c r="U67" s="12"/>
      <c r="V67" s="12"/>
      <c r="W67" s="14"/>
      <c r="Y67" s="42" t="str">
        <f>IF(AND(C67=Master!$H$1,B67="2012-2013",E67&gt;1000,G67="PLN03"),H67,"")</f>
        <v/>
      </c>
      <c r="Z67" s="42" t="str">
        <f>IF(AND(C67=Master!$H$1,B67="2012-2013",E67="",G67="PLN03"),H67,"")</f>
        <v/>
      </c>
      <c r="AA67" s="42" t="str">
        <f>IF(AND(C67=Master!$H$2,B67="2012-2013",E67&gt;1000,G67="PLN03"),H67,"")</f>
        <v/>
      </c>
      <c r="AB67" s="42" t="str">
        <f>IF(AND(C67=Master!$H$2,B67="2012-2013",E67="",G67="PLN03"),H67,"")</f>
        <v/>
      </c>
      <c r="AC67" s="42" t="str">
        <f>IF(AND(C67=Master!$H$3,B67="2012-2013",E67&gt;1000,G67="PLN03"),H67,"")</f>
        <v/>
      </c>
      <c r="AD67" s="42" t="str">
        <f>IF(AND(C67=Master!$H$3,B67="2012-2013",E67="",G67="PLN03"),H67,"")</f>
        <v/>
      </c>
      <c r="AE67" s="42" t="str">
        <f>IF(AND(C67=Master!$H$4,B67="2012-2013",E67&gt;1000,G67="PLN03"),H67,"")</f>
        <v/>
      </c>
      <c r="AF67" s="42" t="str">
        <f>IF(AND(C67=Master!$H$4,B67="2012-2013",E67="",G67="PLN03"),H67,"")</f>
        <v/>
      </c>
      <c r="AG67" s="42" t="str">
        <f>IF(AND(C67=Master!$H$5,B67="2012-2013",E67&gt;1000,G67="PLN03"),H67,"")</f>
        <v/>
      </c>
      <c r="AH67" s="42" t="str">
        <f>IF(AND(C67=Master!$H$5,B67="2012-2013",E67="",G67="PLN03"),H67,"")</f>
        <v/>
      </c>
      <c r="AI67" s="42" t="str">
        <f>IF(AND(C67=Master!$H$6,B67="2012-2013",E67&gt;1000,G67="PLN03"),H67,"")</f>
        <v/>
      </c>
      <c r="AJ67" s="42" t="str">
        <f>IF(AND(C67=Master!$H$6,B67="2012-2013",E67="",G67="PLN03"),H67,"")</f>
        <v/>
      </c>
      <c r="AK67" s="42" t="str">
        <f>IF(AND(C67=Master!$H$7,B67="2012-2013",E67&gt;1000,G67="PLN03"),H67,"")</f>
        <v/>
      </c>
      <c r="AL67" s="42" t="str">
        <f>IF(AND(C67=Master!$H$7,B67="2012-2013",E67="",G67="PLN03"),H67,"")</f>
        <v/>
      </c>
      <c r="AM67" s="42" t="str">
        <f>IF(AND(C67=Master!$H$8,B67="2012-2013",E67&gt;1000,G67="PLN03"),H67,"")</f>
        <v/>
      </c>
      <c r="AN67" s="42" t="str">
        <f>IF(AND(C67=Master!$H$8,B67="2012-2013",E67="",G67="PLN03"),H67,"")</f>
        <v/>
      </c>
      <c r="AO67" s="42" t="str">
        <f>IF(AND(C67=Master!$H$9,B67="2012-2013",E67&gt;1000,G67="PLN03"),H67,"")</f>
        <v/>
      </c>
      <c r="AP67" s="42" t="str">
        <f>IF(AND(C67=Master!$H$9,B67="2012-2013",E67="",G67="PLN03"),H67,"")</f>
        <v/>
      </c>
      <c r="AQ67" s="44" t="str">
        <f>IF(AND(C67=Master!$H$1,B67="2012-2013",E67&gt;1000,G67="NPN05"),H67,"")</f>
        <v/>
      </c>
      <c r="AR67" s="44" t="str">
        <f>IF(AND(C67=Master!$H$1,B67="2012-2013",E67="",G67="NPN05"),H67,"")</f>
        <v/>
      </c>
      <c r="AS67" s="44" t="str">
        <f>IF(AND(C67=Master!$H$2,B67="2012-2013",E67&gt;1000,G67="NPN05"),H67,"")</f>
        <v/>
      </c>
      <c r="AT67" s="44" t="str">
        <f>IF(AND(C67=Master!$H$2,B67="2012-2013",E67="",G67="NPN05"),H67,"")</f>
        <v/>
      </c>
      <c r="AU67" s="44" t="str">
        <f>IF(AND(C67=Master!$H$3,B67="2012-2013",E67&gt;1000,G67="NPN05"),H67,"")</f>
        <v/>
      </c>
      <c r="AV67" s="44" t="str">
        <f>IF(AND(C67=Master!$H$3,B67="2012-2013",E67="",G67="NPN05"),H67,"")</f>
        <v/>
      </c>
      <c r="AW67" s="44" t="str">
        <f>IF(AND(C67=Master!$H$4,B67="2012-2013",E67&gt;1000,G67="NPN05"),H67,"")</f>
        <v/>
      </c>
      <c r="AX67" s="44" t="str">
        <f>IF(AND(C67=Master!$H$4,B67="2012-2013",E67="",G67="NPN05"),H67,"")</f>
        <v/>
      </c>
      <c r="AY67" s="44" t="str">
        <f>IF(AND(C67=Master!$H$5,B67="2012-2013",E67&gt;1000,G67="NPN05"),H67,"")</f>
        <v/>
      </c>
      <c r="AZ67" s="44" t="str">
        <f>IF(AND(C67=Master!$H$5,B67="2012-2013",E67="",G67="NPN05"),H67,"")</f>
        <v/>
      </c>
      <c r="BA67" s="44" t="str">
        <f>IF(AND(C67=Master!$H$6,B67="2012-2013",E67&gt;1000,G67="NPN05"),H67,"")</f>
        <v/>
      </c>
      <c r="BB67" s="44" t="str">
        <f>IF(AND(C67=Master!$H$6,B67="2012-2013",E67="",G67="NPN05"),H67,"")</f>
        <v/>
      </c>
      <c r="BC67" s="44" t="str">
        <f>IF(AND(C67=Master!$H$7,B67="2012-2013",E67&gt;1000,G67="NPN05"),H67,"")</f>
        <v/>
      </c>
      <c r="BD67" s="44" t="str">
        <f>IF(AND(C67=Master!$H$7,B67="2012-2013",E67="",G67="NPN05"),H67,"")</f>
        <v/>
      </c>
      <c r="BE67" s="44" t="str">
        <f>IF(AND(C67=Master!$H$8,B67="2012-2013",E67&gt;1000,G67="NPN05"),H67,"")</f>
        <v/>
      </c>
      <c r="BF67" s="44" t="str">
        <f>IF(AND(C67=Master!$H$8,B67="2012-2013",E67="",G67="NPN05"),H67,"")</f>
        <v/>
      </c>
      <c r="BG67" s="44" t="str">
        <f>IF(AND(C67=Master!$H$9,B67="2012-2013",E67&gt;1000,G67="NPN05"),H67,"")</f>
        <v/>
      </c>
      <c r="BH67" s="44" t="str">
        <f>IF(AND(C67=Master!$H$9,B67="2012-2013",E67="",G67="NPN05"),H67,"")</f>
        <v/>
      </c>
    </row>
    <row r="68" spans="1:60" x14ac:dyDescent="0.25">
      <c r="A68" s="3">
        <v>66</v>
      </c>
      <c r="B68" s="12"/>
      <c r="C68" s="12"/>
      <c r="D68" s="31"/>
      <c r="E68" s="4"/>
      <c r="F68" s="13"/>
      <c r="G68" s="21"/>
      <c r="H68" s="35"/>
      <c r="I68" s="27"/>
      <c r="J68" s="25" t="str">
        <f>IF(NOT(I68=""),INDEX(Master!$B$1:$B$46,MATCH(I68,Master!$A$1:$A$46,0)),"")</f>
        <v/>
      </c>
      <c r="K68" s="18"/>
      <c r="L68" s="86"/>
      <c r="M68" s="13"/>
      <c r="N68" s="13"/>
      <c r="O68" s="18"/>
      <c r="P68" s="35"/>
      <c r="Q68" s="21"/>
      <c r="R68" s="21"/>
      <c r="S68" s="13"/>
      <c r="T68" s="12"/>
      <c r="U68" s="12"/>
      <c r="V68" s="12"/>
      <c r="W68" s="14"/>
      <c r="Y68" s="42" t="str">
        <f>IF(AND(C68=Master!$H$1,B68="2012-2013",E68&gt;1000,G68="PLN03"),H68,"")</f>
        <v/>
      </c>
      <c r="Z68" s="42" t="str">
        <f>IF(AND(C68=Master!$H$1,B68="2012-2013",E68="",G68="PLN03"),H68,"")</f>
        <v/>
      </c>
      <c r="AA68" s="42" t="str">
        <f>IF(AND(C68=Master!$H$2,B68="2012-2013",E68&gt;1000,G68="PLN03"),H68,"")</f>
        <v/>
      </c>
      <c r="AB68" s="42" t="str">
        <f>IF(AND(C68=Master!$H$2,B68="2012-2013",E68="",G68="PLN03"),H68,"")</f>
        <v/>
      </c>
      <c r="AC68" s="42" t="str">
        <f>IF(AND(C68=Master!$H$3,B68="2012-2013",E68&gt;1000,G68="PLN03"),H68,"")</f>
        <v/>
      </c>
      <c r="AD68" s="42" t="str">
        <f>IF(AND(C68=Master!$H$3,B68="2012-2013",E68="",G68="PLN03"),H68,"")</f>
        <v/>
      </c>
      <c r="AE68" s="42" t="str">
        <f>IF(AND(C68=Master!$H$4,B68="2012-2013",E68&gt;1000,G68="PLN03"),H68,"")</f>
        <v/>
      </c>
      <c r="AF68" s="42" t="str">
        <f>IF(AND(C68=Master!$H$4,B68="2012-2013",E68="",G68="PLN03"),H68,"")</f>
        <v/>
      </c>
      <c r="AG68" s="42" t="str">
        <f>IF(AND(C68=Master!$H$5,B68="2012-2013",E68&gt;1000,G68="PLN03"),H68,"")</f>
        <v/>
      </c>
      <c r="AH68" s="42" t="str">
        <f>IF(AND(C68=Master!$H$5,B68="2012-2013",E68="",G68="PLN03"),H68,"")</f>
        <v/>
      </c>
      <c r="AI68" s="42" t="str">
        <f>IF(AND(C68=Master!$H$6,B68="2012-2013",E68&gt;1000,G68="PLN03"),H68,"")</f>
        <v/>
      </c>
      <c r="AJ68" s="42" t="str">
        <f>IF(AND(C68=Master!$H$6,B68="2012-2013",E68="",G68="PLN03"),H68,"")</f>
        <v/>
      </c>
      <c r="AK68" s="42" t="str">
        <f>IF(AND(C68=Master!$H$7,B68="2012-2013",E68&gt;1000,G68="PLN03"),H68,"")</f>
        <v/>
      </c>
      <c r="AL68" s="42" t="str">
        <f>IF(AND(C68=Master!$H$7,B68="2012-2013",E68="",G68="PLN03"),H68,"")</f>
        <v/>
      </c>
      <c r="AM68" s="42" t="str">
        <f>IF(AND(C68=Master!$H$8,B68="2012-2013",E68&gt;1000,G68="PLN03"),H68,"")</f>
        <v/>
      </c>
      <c r="AN68" s="42" t="str">
        <f>IF(AND(C68=Master!$H$8,B68="2012-2013",E68="",G68="PLN03"),H68,"")</f>
        <v/>
      </c>
      <c r="AO68" s="42" t="str">
        <f>IF(AND(C68=Master!$H$9,B68="2012-2013",E68&gt;1000,G68="PLN03"),H68,"")</f>
        <v/>
      </c>
      <c r="AP68" s="42" t="str">
        <f>IF(AND(C68=Master!$H$9,B68="2012-2013",E68="",G68="PLN03"),H68,"")</f>
        <v/>
      </c>
      <c r="AQ68" s="44" t="str">
        <f>IF(AND(C68=Master!$H$1,B68="2012-2013",E68&gt;1000,G68="NPN05"),H68,"")</f>
        <v/>
      </c>
      <c r="AR68" s="44" t="str">
        <f>IF(AND(C68=Master!$H$1,B68="2012-2013",E68="",G68="NPN05"),H68,"")</f>
        <v/>
      </c>
      <c r="AS68" s="44" t="str">
        <f>IF(AND(C68=Master!$H$2,B68="2012-2013",E68&gt;1000,G68="NPN05"),H68,"")</f>
        <v/>
      </c>
      <c r="AT68" s="44" t="str">
        <f>IF(AND(C68=Master!$H$2,B68="2012-2013",E68="",G68="NPN05"),H68,"")</f>
        <v/>
      </c>
      <c r="AU68" s="44" t="str">
        <f>IF(AND(C68=Master!$H$3,B68="2012-2013",E68&gt;1000,G68="NPN05"),H68,"")</f>
        <v/>
      </c>
      <c r="AV68" s="44" t="str">
        <f>IF(AND(C68=Master!$H$3,B68="2012-2013",E68="",G68="NPN05"),H68,"")</f>
        <v/>
      </c>
      <c r="AW68" s="44" t="str">
        <f>IF(AND(C68=Master!$H$4,B68="2012-2013",E68&gt;1000,G68="NPN05"),H68,"")</f>
        <v/>
      </c>
      <c r="AX68" s="44" t="str">
        <f>IF(AND(C68=Master!$H$4,B68="2012-2013",E68="",G68="NPN05"),H68,"")</f>
        <v/>
      </c>
      <c r="AY68" s="44" t="str">
        <f>IF(AND(C68=Master!$H$5,B68="2012-2013",E68&gt;1000,G68="NPN05"),H68,"")</f>
        <v/>
      </c>
      <c r="AZ68" s="44" t="str">
        <f>IF(AND(C68=Master!$H$5,B68="2012-2013",E68="",G68="NPN05"),H68,"")</f>
        <v/>
      </c>
      <c r="BA68" s="44" t="str">
        <f>IF(AND(C68=Master!$H$6,B68="2012-2013",E68&gt;1000,G68="NPN05"),H68,"")</f>
        <v/>
      </c>
      <c r="BB68" s="44" t="str">
        <f>IF(AND(C68=Master!$H$6,B68="2012-2013",E68="",G68="NPN05"),H68,"")</f>
        <v/>
      </c>
      <c r="BC68" s="44" t="str">
        <f>IF(AND(C68=Master!$H$7,B68="2012-2013",E68&gt;1000,G68="NPN05"),H68,"")</f>
        <v/>
      </c>
      <c r="BD68" s="44" t="str">
        <f>IF(AND(C68=Master!$H$7,B68="2012-2013",E68="",G68="NPN05"),H68,"")</f>
        <v/>
      </c>
      <c r="BE68" s="44" t="str">
        <f>IF(AND(C68=Master!$H$8,B68="2012-2013",E68&gt;1000,G68="NPN05"),H68,"")</f>
        <v/>
      </c>
      <c r="BF68" s="44" t="str">
        <f>IF(AND(C68=Master!$H$8,B68="2012-2013",E68="",G68="NPN05"),H68,"")</f>
        <v/>
      </c>
      <c r="BG68" s="44" t="str">
        <f>IF(AND(C68=Master!$H$9,B68="2012-2013",E68&gt;1000,G68="NPN05"),H68,"")</f>
        <v/>
      </c>
      <c r="BH68" s="44" t="str">
        <f>IF(AND(C68=Master!$H$9,B68="2012-2013",E68="",G68="NPN05"),H68,"")</f>
        <v/>
      </c>
    </row>
    <row r="69" spans="1:60" x14ac:dyDescent="0.25">
      <c r="A69" s="3">
        <v>67</v>
      </c>
      <c r="B69" s="12"/>
      <c r="C69" s="12"/>
      <c r="D69" s="31"/>
      <c r="E69" s="4"/>
      <c r="F69" s="13"/>
      <c r="G69" s="21"/>
      <c r="H69" s="35"/>
      <c r="I69" s="27"/>
      <c r="J69" s="25" t="str">
        <f>IF(NOT(I69=""),INDEX(Master!$B$1:$B$46,MATCH(I69,Master!$A$1:$A$46,0)),"")</f>
        <v/>
      </c>
      <c r="K69" s="18"/>
      <c r="L69" s="86"/>
      <c r="M69" s="13"/>
      <c r="N69" s="13"/>
      <c r="O69" s="18"/>
      <c r="P69" s="35"/>
      <c r="Q69" s="21"/>
      <c r="R69" s="21"/>
      <c r="S69" s="13"/>
      <c r="T69" s="12"/>
      <c r="U69" s="12"/>
      <c r="V69" s="12"/>
      <c r="W69" s="14"/>
      <c r="Y69" s="42" t="str">
        <f>IF(AND(C69=Master!$H$1,B69="2012-2013",E69&gt;1000,G69="PLN03"),H69,"")</f>
        <v/>
      </c>
      <c r="Z69" s="42" t="str">
        <f>IF(AND(C69=Master!$H$1,B69="2012-2013",E69="",G69="PLN03"),H69,"")</f>
        <v/>
      </c>
      <c r="AA69" s="42" t="str">
        <f>IF(AND(C69=Master!$H$2,B69="2012-2013",E69&gt;1000,G69="PLN03"),H69,"")</f>
        <v/>
      </c>
      <c r="AB69" s="42" t="str">
        <f>IF(AND(C69=Master!$H$2,B69="2012-2013",E69="",G69="PLN03"),H69,"")</f>
        <v/>
      </c>
      <c r="AC69" s="42" t="str">
        <f>IF(AND(C69=Master!$H$3,B69="2012-2013",E69&gt;1000,G69="PLN03"),H69,"")</f>
        <v/>
      </c>
      <c r="AD69" s="42" t="str">
        <f>IF(AND(C69=Master!$H$3,B69="2012-2013",E69="",G69="PLN03"),H69,"")</f>
        <v/>
      </c>
      <c r="AE69" s="42" t="str">
        <f>IF(AND(C69=Master!$H$4,B69="2012-2013",E69&gt;1000,G69="PLN03"),H69,"")</f>
        <v/>
      </c>
      <c r="AF69" s="42" t="str">
        <f>IF(AND(C69=Master!$H$4,B69="2012-2013",E69="",G69="PLN03"),H69,"")</f>
        <v/>
      </c>
      <c r="AG69" s="42" t="str">
        <f>IF(AND(C69=Master!$H$5,B69="2012-2013",E69&gt;1000,G69="PLN03"),H69,"")</f>
        <v/>
      </c>
      <c r="AH69" s="42" t="str">
        <f>IF(AND(C69=Master!$H$5,B69="2012-2013",E69="",G69="PLN03"),H69,"")</f>
        <v/>
      </c>
      <c r="AI69" s="42" t="str">
        <f>IF(AND(C69=Master!$H$6,B69="2012-2013",E69&gt;1000,G69="PLN03"),H69,"")</f>
        <v/>
      </c>
      <c r="AJ69" s="42" t="str">
        <f>IF(AND(C69=Master!$H$6,B69="2012-2013",E69="",G69="PLN03"),H69,"")</f>
        <v/>
      </c>
      <c r="AK69" s="42" t="str">
        <f>IF(AND(C69=Master!$H$7,B69="2012-2013",E69&gt;1000,G69="PLN03"),H69,"")</f>
        <v/>
      </c>
      <c r="AL69" s="42" t="str">
        <f>IF(AND(C69=Master!$H$7,B69="2012-2013",E69="",G69="PLN03"),H69,"")</f>
        <v/>
      </c>
      <c r="AM69" s="42" t="str">
        <f>IF(AND(C69=Master!$H$8,B69="2012-2013",E69&gt;1000,G69="PLN03"),H69,"")</f>
        <v/>
      </c>
      <c r="AN69" s="42" t="str">
        <f>IF(AND(C69=Master!$H$8,B69="2012-2013",E69="",G69="PLN03"),H69,"")</f>
        <v/>
      </c>
      <c r="AO69" s="42" t="str">
        <f>IF(AND(C69=Master!$H$9,B69="2012-2013",E69&gt;1000,G69="PLN03"),H69,"")</f>
        <v/>
      </c>
      <c r="AP69" s="42" t="str">
        <f>IF(AND(C69=Master!$H$9,B69="2012-2013",E69="",G69="PLN03"),H69,"")</f>
        <v/>
      </c>
      <c r="AQ69" s="44" t="str">
        <f>IF(AND(C69=Master!$H$1,B69="2012-2013",E69&gt;1000,G69="NPN05"),H69,"")</f>
        <v/>
      </c>
      <c r="AR69" s="44" t="str">
        <f>IF(AND(C69=Master!$H$1,B69="2012-2013",E69="",G69="NPN05"),H69,"")</f>
        <v/>
      </c>
      <c r="AS69" s="44" t="str">
        <f>IF(AND(C69=Master!$H$2,B69="2012-2013",E69&gt;1000,G69="NPN05"),H69,"")</f>
        <v/>
      </c>
      <c r="AT69" s="44" t="str">
        <f>IF(AND(C69=Master!$H$2,B69="2012-2013",E69="",G69="NPN05"),H69,"")</f>
        <v/>
      </c>
      <c r="AU69" s="44" t="str">
        <f>IF(AND(C69=Master!$H$3,B69="2012-2013",E69&gt;1000,G69="NPN05"),H69,"")</f>
        <v/>
      </c>
      <c r="AV69" s="44" t="str">
        <f>IF(AND(C69=Master!$H$3,B69="2012-2013",E69="",G69="NPN05"),H69,"")</f>
        <v/>
      </c>
      <c r="AW69" s="44" t="str">
        <f>IF(AND(C69=Master!$H$4,B69="2012-2013",E69&gt;1000,G69="NPN05"),H69,"")</f>
        <v/>
      </c>
      <c r="AX69" s="44" t="str">
        <f>IF(AND(C69=Master!$H$4,B69="2012-2013",E69="",G69="NPN05"),H69,"")</f>
        <v/>
      </c>
      <c r="AY69" s="44" t="str">
        <f>IF(AND(C69=Master!$H$5,B69="2012-2013",E69&gt;1000,G69="NPN05"),H69,"")</f>
        <v/>
      </c>
      <c r="AZ69" s="44" t="str">
        <f>IF(AND(C69=Master!$H$5,B69="2012-2013",E69="",G69="NPN05"),H69,"")</f>
        <v/>
      </c>
      <c r="BA69" s="44" t="str">
        <f>IF(AND(C69=Master!$H$6,B69="2012-2013",E69&gt;1000,G69="NPN05"),H69,"")</f>
        <v/>
      </c>
      <c r="BB69" s="44" t="str">
        <f>IF(AND(C69=Master!$H$6,B69="2012-2013",E69="",G69="NPN05"),H69,"")</f>
        <v/>
      </c>
      <c r="BC69" s="44" t="str">
        <f>IF(AND(C69=Master!$H$7,B69="2012-2013",E69&gt;1000,G69="NPN05"),H69,"")</f>
        <v/>
      </c>
      <c r="BD69" s="44" t="str">
        <f>IF(AND(C69=Master!$H$7,B69="2012-2013",E69="",G69="NPN05"),H69,"")</f>
        <v/>
      </c>
      <c r="BE69" s="44" t="str">
        <f>IF(AND(C69=Master!$H$8,B69="2012-2013",E69&gt;1000,G69="NPN05"),H69,"")</f>
        <v/>
      </c>
      <c r="BF69" s="44" t="str">
        <f>IF(AND(C69=Master!$H$8,B69="2012-2013",E69="",G69="NPN05"),H69,"")</f>
        <v/>
      </c>
      <c r="BG69" s="44" t="str">
        <f>IF(AND(C69=Master!$H$9,B69="2012-2013",E69&gt;1000,G69="NPN05"),H69,"")</f>
        <v/>
      </c>
      <c r="BH69" s="44" t="str">
        <f>IF(AND(C69=Master!$H$9,B69="2012-2013",E69="",G69="NPN05"),H69,"")</f>
        <v/>
      </c>
    </row>
    <row r="70" spans="1:60" x14ac:dyDescent="0.25">
      <c r="A70" s="3">
        <v>68</v>
      </c>
      <c r="B70" s="12"/>
      <c r="C70" s="12"/>
      <c r="D70" s="31"/>
      <c r="E70" s="4"/>
      <c r="F70" s="13"/>
      <c r="G70" s="21"/>
      <c r="H70" s="35"/>
      <c r="I70" s="27"/>
      <c r="J70" s="25" t="str">
        <f>IF(NOT(I70=""),INDEX(Master!$B$1:$B$46,MATCH(I70,Master!$A$1:$A$46,0)),"")</f>
        <v/>
      </c>
      <c r="K70" s="18"/>
      <c r="L70" s="86"/>
      <c r="M70" s="13"/>
      <c r="N70" s="13"/>
      <c r="O70" s="18"/>
      <c r="P70" s="35"/>
      <c r="Q70" s="21"/>
      <c r="R70" s="21"/>
      <c r="S70" s="13"/>
      <c r="T70" s="12"/>
      <c r="U70" s="12"/>
      <c r="V70" s="12"/>
      <c r="W70" s="14"/>
      <c r="Y70" s="42" t="str">
        <f>IF(AND(C70=Master!$H$1,B70="2012-2013",E70&gt;1000,G70="PLN03"),H70,"")</f>
        <v/>
      </c>
      <c r="Z70" s="42" t="str">
        <f>IF(AND(C70=Master!$H$1,B70="2012-2013",E70="",G70="PLN03"),H70,"")</f>
        <v/>
      </c>
      <c r="AA70" s="42" t="str">
        <f>IF(AND(C70=Master!$H$2,B70="2012-2013",E70&gt;1000,G70="PLN03"),H70,"")</f>
        <v/>
      </c>
      <c r="AB70" s="42" t="str">
        <f>IF(AND(C70=Master!$H$2,B70="2012-2013",E70="",G70="PLN03"),H70,"")</f>
        <v/>
      </c>
      <c r="AC70" s="42" t="str">
        <f>IF(AND(C70=Master!$H$3,B70="2012-2013",E70&gt;1000,G70="PLN03"),H70,"")</f>
        <v/>
      </c>
      <c r="AD70" s="42" t="str">
        <f>IF(AND(C70=Master!$H$3,B70="2012-2013",E70="",G70="PLN03"),H70,"")</f>
        <v/>
      </c>
      <c r="AE70" s="42" t="str">
        <f>IF(AND(C70=Master!$H$4,B70="2012-2013",E70&gt;1000,G70="PLN03"),H70,"")</f>
        <v/>
      </c>
      <c r="AF70" s="42" t="str">
        <f>IF(AND(C70=Master!$H$4,B70="2012-2013",E70="",G70="PLN03"),H70,"")</f>
        <v/>
      </c>
      <c r="AG70" s="42" t="str">
        <f>IF(AND(C70=Master!$H$5,B70="2012-2013",E70&gt;1000,G70="PLN03"),H70,"")</f>
        <v/>
      </c>
      <c r="AH70" s="42" t="str">
        <f>IF(AND(C70=Master!$H$5,B70="2012-2013",E70="",G70="PLN03"),H70,"")</f>
        <v/>
      </c>
      <c r="AI70" s="42" t="str">
        <f>IF(AND(C70=Master!$H$6,B70="2012-2013",E70&gt;1000,G70="PLN03"),H70,"")</f>
        <v/>
      </c>
      <c r="AJ70" s="42" t="str">
        <f>IF(AND(C70=Master!$H$6,B70="2012-2013",E70="",G70="PLN03"),H70,"")</f>
        <v/>
      </c>
      <c r="AK70" s="42" t="str">
        <f>IF(AND(C70=Master!$H$7,B70="2012-2013",E70&gt;1000,G70="PLN03"),H70,"")</f>
        <v/>
      </c>
      <c r="AL70" s="42" t="str">
        <f>IF(AND(C70=Master!$H$7,B70="2012-2013",E70="",G70="PLN03"),H70,"")</f>
        <v/>
      </c>
      <c r="AM70" s="42" t="str">
        <f>IF(AND(C70=Master!$H$8,B70="2012-2013",E70&gt;1000,G70="PLN03"),H70,"")</f>
        <v/>
      </c>
      <c r="AN70" s="42" t="str">
        <f>IF(AND(C70=Master!$H$8,B70="2012-2013",E70="",G70="PLN03"),H70,"")</f>
        <v/>
      </c>
      <c r="AO70" s="42" t="str">
        <f>IF(AND(C70=Master!$H$9,B70="2012-2013",E70&gt;1000,G70="PLN03"),H70,"")</f>
        <v/>
      </c>
      <c r="AP70" s="42" t="str">
        <f>IF(AND(C70=Master!$H$9,B70="2012-2013",E70="",G70="PLN03"),H70,"")</f>
        <v/>
      </c>
      <c r="AQ70" s="44" t="str">
        <f>IF(AND(C70=Master!$H$1,B70="2012-2013",E70&gt;1000,G70="NPN05"),H70,"")</f>
        <v/>
      </c>
      <c r="AR70" s="44" t="str">
        <f>IF(AND(C70=Master!$H$1,B70="2012-2013",E70="",G70="NPN05"),H70,"")</f>
        <v/>
      </c>
      <c r="AS70" s="44" t="str">
        <f>IF(AND(C70=Master!$H$2,B70="2012-2013",E70&gt;1000,G70="NPN05"),H70,"")</f>
        <v/>
      </c>
      <c r="AT70" s="44" t="str">
        <f>IF(AND(C70=Master!$H$2,B70="2012-2013",E70="",G70="NPN05"),H70,"")</f>
        <v/>
      </c>
      <c r="AU70" s="44" t="str">
        <f>IF(AND(C70=Master!$H$3,B70="2012-2013",E70&gt;1000,G70="NPN05"),H70,"")</f>
        <v/>
      </c>
      <c r="AV70" s="44" t="str">
        <f>IF(AND(C70=Master!$H$3,B70="2012-2013",E70="",G70="NPN05"),H70,"")</f>
        <v/>
      </c>
      <c r="AW70" s="44" t="str">
        <f>IF(AND(C70=Master!$H$4,B70="2012-2013",E70&gt;1000,G70="NPN05"),H70,"")</f>
        <v/>
      </c>
      <c r="AX70" s="44" t="str">
        <f>IF(AND(C70=Master!$H$4,B70="2012-2013",E70="",G70="NPN05"),H70,"")</f>
        <v/>
      </c>
      <c r="AY70" s="44" t="str">
        <f>IF(AND(C70=Master!$H$5,B70="2012-2013",E70&gt;1000,G70="NPN05"),H70,"")</f>
        <v/>
      </c>
      <c r="AZ70" s="44" t="str">
        <f>IF(AND(C70=Master!$H$5,B70="2012-2013",E70="",G70="NPN05"),H70,"")</f>
        <v/>
      </c>
      <c r="BA70" s="44" t="str">
        <f>IF(AND(C70=Master!$H$6,B70="2012-2013",E70&gt;1000,G70="NPN05"),H70,"")</f>
        <v/>
      </c>
      <c r="BB70" s="44" t="str">
        <f>IF(AND(C70=Master!$H$6,B70="2012-2013",E70="",G70="NPN05"),H70,"")</f>
        <v/>
      </c>
      <c r="BC70" s="44" t="str">
        <f>IF(AND(C70=Master!$H$7,B70="2012-2013",E70&gt;1000,G70="NPN05"),H70,"")</f>
        <v/>
      </c>
      <c r="BD70" s="44" t="str">
        <f>IF(AND(C70=Master!$H$7,B70="2012-2013",E70="",G70="NPN05"),H70,"")</f>
        <v/>
      </c>
      <c r="BE70" s="44" t="str">
        <f>IF(AND(C70=Master!$H$8,B70="2012-2013",E70&gt;1000,G70="NPN05"),H70,"")</f>
        <v/>
      </c>
      <c r="BF70" s="44" t="str">
        <f>IF(AND(C70=Master!$H$8,B70="2012-2013",E70="",G70="NPN05"),H70,"")</f>
        <v/>
      </c>
      <c r="BG70" s="44" t="str">
        <f>IF(AND(C70=Master!$H$9,B70="2012-2013",E70&gt;1000,G70="NPN05"),H70,"")</f>
        <v/>
      </c>
      <c r="BH70" s="44" t="str">
        <f>IF(AND(C70=Master!$H$9,B70="2012-2013",E70="",G70="NPN05"),H70,"")</f>
        <v/>
      </c>
    </row>
    <row r="71" spans="1:60" x14ac:dyDescent="0.25">
      <c r="A71" s="3">
        <v>69</v>
      </c>
      <c r="B71" s="12"/>
      <c r="C71" s="12"/>
      <c r="D71" s="31"/>
      <c r="E71" s="4"/>
      <c r="F71" s="13"/>
      <c r="G71" s="21"/>
      <c r="H71" s="35"/>
      <c r="I71" s="27"/>
      <c r="J71" s="25" t="str">
        <f>IF(NOT(I71=""),INDEX(Master!$B$1:$B$46,MATCH(I71,Master!$A$1:$A$46,0)),"")</f>
        <v/>
      </c>
      <c r="K71" s="18"/>
      <c r="L71" s="86"/>
      <c r="M71" s="13"/>
      <c r="N71" s="13"/>
      <c r="O71" s="18"/>
      <c r="P71" s="35"/>
      <c r="Q71" s="21"/>
      <c r="R71" s="21"/>
      <c r="S71" s="13"/>
      <c r="T71" s="12"/>
      <c r="U71" s="12"/>
      <c r="V71" s="12"/>
      <c r="W71" s="14"/>
      <c r="Y71" s="42" t="str">
        <f>IF(AND(C71=Master!$H$1,B71="2012-2013",E71&gt;1000,G71="PLN03"),H71,"")</f>
        <v/>
      </c>
      <c r="Z71" s="42" t="str">
        <f>IF(AND(C71=Master!$H$1,B71="2012-2013",E71="",G71="PLN03"),H71,"")</f>
        <v/>
      </c>
      <c r="AA71" s="42" t="str">
        <f>IF(AND(C71=Master!$H$2,B71="2012-2013",E71&gt;1000,G71="PLN03"),H71,"")</f>
        <v/>
      </c>
      <c r="AB71" s="42" t="str">
        <f>IF(AND(C71=Master!$H$2,B71="2012-2013",E71="",G71="PLN03"),H71,"")</f>
        <v/>
      </c>
      <c r="AC71" s="42" t="str">
        <f>IF(AND(C71=Master!$H$3,B71="2012-2013",E71&gt;1000,G71="PLN03"),H71,"")</f>
        <v/>
      </c>
      <c r="AD71" s="42" t="str">
        <f>IF(AND(C71=Master!$H$3,B71="2012-2013",E71="",G71="PLN03"),H71,"")</f>
        <v/>
      </c>
      <c r="AE71" s="42" t="str">
        <f>IF(AND(C71=Master!$H$4,B71="2012-2013",E71&gt;1000,G71="PLN03"),H71,"")</f>
        <v/>
      </c>
      <c r="AF71" s="42" t="str">
        <f>IF(AND(C71=Master!$H$4,B71="2012-2013",E71="",G71="PLN03"),H71,"")</f>
        <v/>
      </c>
      <c r="AG71" s="42" t="str">
        <f>IF(AND(C71=Master!$H$5,B71="2012-2013",E71&gt;1000,G71="PLN03"),H71,"")</f>
        <v/>
      </c>
      <c r="AH71" s="42" t="str">
        <f>IF(AND(C71=Master!$H$5,B71="2012-2013",E71="",G71="PLN03"),H71,"")</f>
        <v/>
      </c>
      <c r="AI71" s="42" t="str">
        <f>IF(AND(C71=Master!$H$6,B71="2012-2013",E71&gt;1000,G71="PLN03"),H71,"")</f>
        <v/>
      </c>
      <c r="AJ71" s="42" t="str">
        <f>IF(AND(C71=Master!$H$6,B71="2012-2013",E71="",G71="PLN03"),H71,"")</f>
        <v/>
      </c>
      <c r="AK71" s="42" t="str">
        <f>IF(AND(C71=Master!$H$7,B71="2012-2013",E71&gt;1000,G71="PLN03"),H71,"")</f>
        <v/>
      </c>
      <c r="AL71" s="42" t="str">
        <f>IF(AND(C71=Master!$H$7,B71="2012-2013",E71="",G71="PLN03"),H71,"")</f>
        <v/>
      </c>
      <c r="AM71" s="42" t="str">
        <f>IF(AND(C71=Master!$H$8,B71="2012-2013",E71&gt;1000,G71="PLN03"),H71,"")</f>
        <v/>
      </c>
      <c r="AN71" s="42" t="str">
        <f>IF(AND(C71=Master!$H$8,B71="2012-2013",E71="",G71="PLN03"),H71,"")</f>
        <v/>
      </c>
      <c r="AO71" s="42" t="str">
        <f>IF(AND(C71=Master!$H$9,B71="2012-2013",E71&gt;1000,G71="PLN03"),H71,"")</f>
        <v/>
      </c>
      <c r="AP71" s="42" t="str">
        <f>IF(AND(C71=Master!$H$9,B71="2012-2013",E71="",G71="PLN03"),H71,"")</f>
        <v/>
      </c>
      <c r="AQ71" s="44" t="str">
        <f>IF(AND(C71=Master!$H$1,B71="2012-2013",E71&gt;1000,G71="NPN05"),H71,"")</f>
        <v/>
      </c>
      <c r="AR71" s="44" t="str">
        <f>IF(AND(C71=Master!$H$1,B71="2012-2013",E71="",G71="NPN05"),H71,"")</f>
        <v/>
      </c>
      <c r="AS71" s="44" t="str">
        <f>IF(AND(C71=Master!$H$2,B71="2012-2013",E71&gt;1000,G71="NPN05"),H71,"")</f>
        <v/>
      </c>
      <c r="AT71" s="44" t="str">
        <f>IF(AND(C71=Master!$H$2,B71="2012-2013",E71="",G71="NPN05"),H71,"")</f>
        <v/>
      </c>
      <c r="AU71" s="44" t="str">
        <f>IF(AND(C71=Master!$H$3,B71="2012-2013",E71&gt;1000,G71="NPN05"),H71,"")</f>
        <v/>
      </c>
      <c r="AV71" s="44" t="str">
        <f>IF(AND(C71=Master!$H$3,B71="2012-2013",E71="",G71="NPN05"),H71,"")</f>
        <v/>
      </c>
      <c r="AW71" s="44" t="str">
        <f>IF(AND(C71=Master!$H$4,B71="2012-2013",E71&gt;1000,G71="NPN05"),H71,"")</f>
        <v/>
      </c>
      <c r="AX71" s="44" t="str">
        <f>IF(AND(C71=Master!$H$4,B71="2012-2013",E71="",G71="NPN05"),H71,"")</f>
        <v/>
      </c>
      <c r="AY71" s="44" t="str">
        <f>IF(AND(C71=Master!$H$5,B71="2012-2013",E71&gt;1000,G71="NPN05"),H71,"")</f>
        <v/>
      </c>
      <c r="AZ71" s="44" t="str">
        <f>IF(AND(C71=Master!$H$5,B71="2012-2013",E71="",G71="NPN05"),H71,"")</f>
        <v/>
      </c>
      <c r="BA71" s="44" t="str">
        <f>IF(AND(C71=Master!$H$6,B71="2012-2013",E71&gt;1000,G71="NPN05"),H71,"")</f>
        <v/>
      </c>
      <c r="BB71" s="44" t="str">
        <f>IF(AND(C71=Master!$H$6,B71="2012-2013",E71="",G71="NPN05"),H71,"")</f>
        <v/>
      </c>
      <c r="BC71" s="44" t="str">
        <f>IF(AND(C71=Master!$H$7,B71="2012-2013",E71&gt;1000,G71="NPN05"),H71,"")</f>
        <v/>
      </c>
      <c r="BD71" s="44" t="str">
        <f>IF(AND(C71=Master!$H$7,B71="2012-2013",E71="",G71="NPN05"),H71,"")</f>
        <v/>
      </c>
      <c r="BE71" s="44" t="str">
        <f>IF(AND(C71=Master!$H$8,B71="2012-2013",E71&gt;1000,G71="NPN05"),H71,"")</f>
        <v/>
      </c>
      <c r="BF71" s="44" t="str">
        <f>IF(AND(C71=Master!$H$8,B71="2012-2013",E71="",G71="NPN05"),H71,"")</f>
        <v/>
      </c>
      <c r="BG71" s="44" t="str">
        <f>IF(AND(C71=Master!$H$9,B71="2012-2013",E71&gt;1000,G71="NPN05"),H71,"")</f>
        <v/>
      </c>
      <c r="BH71" s="44" t="str">
        <f>IF(AND(C71=Master!$H$9,B71="2012-2013",E71="",G71="NPN05"),H71,"")</f>
        <v/>
      </c>
    </row>
    <row r="72" spans="1:60" x14ac:dyDescent="0.25">
      <c r="A72" s="3">
        <v>70</v>
      </c>
      <c r="B72" s="12"/>
      <c r="C72" s="12"/>
      <c r="D72" s="31"/>
      <c r="E72" s="4"/>
      <c r="F72" s="13"/>
      <c r="G72" s="21"/>
      <c r="H72" s="35"/>
      <c r="I72" s="27"/>
      <c r="J72" s="25" t="str">
        <f>IF(NOT(I72=""),INDEX(Master!$B$1:$B$46,MATCH(I72,Master!$A$1:$A$46,0)),"")</f>
        <v/>
      </c>
      <c r="K72" s="18"/>
      <c r="L72" s="86"/>
      <c r="M72" s="13"/>
      <c r="N72" s="13"/>
      <c r="O72" s="18"/>
      <c r="P72" s="35"/>
      <c r="Q72" s="21"/>
      <c r="R72" s="21"/>
      <c r="S72" s="13"/>
      <c r="T72" s="12"/>
      <c r="U72" s="12"/>
      <c r="V72" s="12"/>
      <c r="W72" s="14"/>
      <c r="Y72" s="42" t="str">
        <f>IF(AND(C72=Master!$H$1,B72="2012-2013",E72&gt;1000,G72="PLN03"),H72,"")</f>
        <v/>
      </c>
      <c r="Z72" s="42" t="str">
        <f>IF(AND(C72=Master!$H$1,B72="2012-2013",E72="",G72="PLN03"),H72,"")</f>
        <v/>
      </c>
      <c r="AA72" s="42" t="str">
        <f>IF(AND(C72=Master!$H$2,B72="2012-2013",E72&gt;1000,G72="PLN03"),H72,"")</f>
        <v/>
      </c>
      <c r="AB72" s="42" t="str">
        <f>IF(AND(C72=Master!$H$2,B72="2012-2013",E72="",G72="PLN03"),H72,"")</f>
        <v/>
      </c>
      <c r="AC72" s="42" t="str">
        <f>IF(AND(C72=Master!$H$3,B72="2012-2013",E72&gt;1000,G72="PLN03"),H72,"")</f>
        <v/>
      </c>
      <c r="AD72" s="42" t="str">
        <f>IF(AND(C72=Master!$H$3,B72="2012-2013",E72="",G72="PLN03"),H72,"")</f>
        <v/>
      </c>
      <c r="AE72" s="42" t="str">
        <f>IF(AND(C72=Master!$H$4,B72="2012-2013",E72&gt;1000,G72="PLN03"),H72,"")</f>
        <v/>
      </c>
      <c r="AF72" s="42" t="str">
        <f>IF(AND(C72=Master!$H$4,B72="2012-2013",E72="",G72="PLN03"),H72,"")</f>
        <v/>
      </c>
      <c r="AG72" s="42" t="str">
        <f>IF(AND(C72=Master!$H$5,B72="2012-2013",E72&gt;1000,G72="PLN03"),H72,"")</f>
        <v/>
      </c>
      <c r="AH72" s="42" t="str">
        <f>IF(AND(C72=Master!$H$5,B72="2012-2013",E72="",G72="PLN03"),H72,"")</f>
        <v/>
      </c>
      <c r="AI72" s="42" t="str">
        <f>IF(AND(C72=Master!$H$6,B72="2012-2013",E72&gt;1000,G72="PLN03"),H72,"")</f>
        <v/>
      </c>
      <c r="AJ72" s="42" t="str">
        <f>IF(AND(C72=Master!$H$6,B72="2012-2013",E72="",G72="PLN03"),H72,"")</f>
        <v/>
      </c>
      <c r="AK72" s="42" t="str">
        <f>IF(AND(C72=Master!$H$7,B72="2012-2013",E72&gt;1000,G72="PLN03"),H72,"")</f>
        <v/>
      </c>
      <c r="AL72" s="42" t="str">
        <f>IF(AND(C72=Master!$H$7,B72="2012-2013",E72="",G72="PLN03"),H72,"")</f>
        <v/>
      </c>
      <c r="AM72" s="42" t="str">
        <f>IF(AND(C72=Master!$H$8,B72="2012-2013",E72&gt;1000,G72="PLN03"),H72,"")</f>
        <v/>
      </c>
      <c r="AN72" s="42" t="str">
        <f>IF(AND(C72=Master!$H$8,B72="2012-2013",E72="",G72="PLN03"),H72,"")</f>
        <v/>
      </c>
      <c r="AO72" s="42" t="str">
        <f>IF(AND(C72=Master!$H$9,B72="2012-2013",E72&gt;1000,G72="PLN03"),H72,"")</f>
        <v/>
      </c>
      <c r="AP72" s="42" t="str">
        <f>IF(AND(C72=Master!$H$9,B72="2012-2013",E72="",G72="PLN03"),H72,"")</f>
        <v/>
      </c>
      <c r="AQ72" s="44" t="str">
        <f>IF(AND(C72=Master!$H$1,B72="2012-2013",E72&gt;1000,G72="NPN05"),H72,"")</f>
        <v/>
      </c>
      <c r="AR72" s="44" t="str">
        <f>IF(AND(C72=Master!$H$1,B72="2012-2013",E72="",G72="NPN05"),H72,"")</f>
        <v/>
      </c>
      <c r="AS72" s="44" t="str">
        <f>IF(AND(C72=Master!$H$2,B72="2012-2013",E72&gt;1000,G72="NPN05"),H72,"")</f>
        <v/>
      </c>
      <c r="AT72" s="44" t="str">
        <f>IF(AND(C72=Master!$H$2,B72="2012-2013",E72="",G72="NPN05"),H72,"")</f>
        <v/>
      </c>
      <c r="AU72" s="44" t="str">
        <f>IF(AND(C72=Master!$H$3,B72="2012-2013",E72&gt;1000,G72="NPN05"),H72,"")</f>
        <v/>
      </c>
      <c r="AV72" s="44" t="str">
        <f>IF(AND(C72=Master!$H$3,B72="2012-2013",E72="",G72="NPN05"),H72,"")</f>
        <v/>
      </c>
      <c r="AW72" s="44" t="str">
        <f>IF(AND(C72=Master!$H$4,B72="2012-2013",E72&gt;1000,G72="NPN05"),H72,"")</f>
        <v/>
      </c>
      <c r="AX72" s="44" t="str">
        <f>IF(AND(C72=Master!$H$4,B72="2012-2013",E72="",G72="NPN05"),H72,"")</f>
        <v/>
      </c>
      <c r="AY72" s="44" t="str">
        <f>IF(AND(C72=Master!$H$5,B72="2012-2013",E72&gt;1000,G72="NPN05"),H72,"")</f>
        <v/>
      </c>
      <c r="AZ72" s="44" t="str">
        <f>IF(AND(C72=Master!$H$5,B72="2012-2013",E72="",G72="NPN05"),H72,"")</f>
        <v/>
      </c>
      <c r="BA72" s="44" t="str">
        <f>IF(AND(C72=Master!$H$6,B72="2012-2013",E72&gt;1000,G72="NPN05"),H72,"")</f>
        <v/>
      </c>
      <c r="BB72" s="44" t="str">
        <f>IF(AND(C72=Master!$H$6,B72="2012-2013",E72="",G72="NPN05"),H72,"")</f>
        <v/>
      </c>
      <c r="BC72" s="44" t="str">
        <f>IF(AND(C72=Master!$H$7,B72="2012-2013",E72&gt;1000,G72="NPN05"),H72,"")</f>
        <v/>
      </c>
      <c r="BD72" s="44" t="str">
        <f>IF(AND(C72=Master!$H$7,B72="2012-2013",E72="",G72="NPN05"),H72,"")</f>
        <v/>
      </c>
      <c r="BE72" s="44" t="str">
        <f>IF(AND(C72=Master!$H$8,B72="2012-2013",E72&gt;1000,G72="NPN05"),H72,"")</f>
        <v/>
      </c>
      <c r="BF72" s="44" t="str">
        <f>IF(AND(C72=Master!$H$8,B72="2012-2013",E72="",G72="NPN05"),H72,"")</f>
        <v/>
      </c>
      <c r="BG72" s="44" t="str">
        <f>IF(AND(C72=Master!$H$9,B72="2012-2013",E72&gt;1000,G72="NPN05"),H72,"")</f>
        <v/>
      </c>
      <c r="BH72" s="44" t="str">
        <f>IF(AND(C72=Master!$H$9,B72="2012-2013",E72="",G72="NPN05"),H72,"")</f>
        <v/>
      </c>
    </row>
    <row r="73" spans="1:60" x14ac:dyDescent="0.25">
      <c r="A73" s="3">
        <v>71</v>
      </c>
      <c r="B73" s="12"/>
      <c r="C73" s="12"/>
      <c r="D73" s="31"/>
      <c r="E73" s="4"/>
      <c r="F73" s="13"/>
      <c r="G73" s="21"/>
      <c r="H73" s="35"/>
      <c r="I73" s="27"/>
      <c r="J73" s="25" t="str">
        <f>IF(NOT(I73=""),INDEX(Master!$B$1:$B$46,MATCH(I73,Master!$A$1:$A$46,0)),"")</f>
        <v/>
      </c>
      <c r="K73" s="18"/>
      <c r="L73" s="86"/>
      <c r="M73" s="13"/>
      <c r="N73" s="13"/>
      <c r="O73" s="18"/>
      <c r="P73" s="35"/>
      <c r="Q73" s="21"/>
      <c r="R73" s="21"/>
      <c r="S73" s="13"/>
      <c r="T73" s="12"/>
      <c r="U73" s="12"/>
      <c r="V73" s="12"/>
      <c r="W73" s="14"/>
      <c r="Y73" s="42" t="str">
        <f>IF(AND(C73=Master!$H$1,B73="2012-2013",E73&gt;1000,G73="PLN03"),H73,"")</f>
        <v/>
      </c>
      <c r="Z73" s="42" t="str">
        <f>IF(AND(C73=Master!$H$1,B73="2012-2013",E73="",G73="PLN03"),H73,"")</f>
        <v/>
      </c>
      <c r="AA73" s="42" t="str">
        <f>IF(AND(C73=Master!$H$2,B73="2012-2013",E73&gt;1000,G73="PLN03"),H73,"")</f>
        <v/>
      </c>
      <c r="AB73" s="42" t="str">
        <f>IF(AND(C73=Master!$H$2,B73="2012-2013",E73="",G73="PLN03"),H73,"")</f>
        <v/>
      </c>
      <c r="AC73" s="42" t="str">
        <f>IF(AND(C73=Master!$H$3,B73="2012-2013",E73&gt;1000,G73="PLN03"),H73,"")</f>
        <v/>
      </c>
      <c r="AD73" s="42" t="str">
        <f>IF(AND(C73=Master!$H$3,B73="2012-2013",E73="",G73="PLN03"),H73,"")</f>
        <v/>
      </c>
      <c r="AE73" s="42" t="str">
        <f>IF(AND(C73=Master!$H$4,B73="2012-2013",E73&gt;1000,G73="PLN03"),H73,"")</f>
        <v/>
      </c>
      <c r="AF73" s="42" t="str">
        <f>IF(AND(C73=Master!$H$4,B73="2012-2013",E73="",G73="PLN03"),H73,"")</f>
        <v/>
      </c>
      <c r="AG73" s="42" t="str">
        <f>IF(AND(C73=Master!$H$5,B73="2012-2013",E73&gt;1000,G73="PLN03"),H73,"")</f>
        <v/>
      </c>
      <c r="AH73" s="42" t="str">
        <f>IF(AND(C73=Master!$H$5,B73="2012-2013",E73="",G73="PLN03"),H73,"")</f>
        <v/>
      </c>
      <c r="AI73" s="42" t="str">
        <f>IF(AND(C73=Master!$H$6,B73="2012-2013",E73&gt;1000,G73="PLN03"),H73,"")</f>
        <v/>
      </c>
      <c r="AJ73" s="42" t="str">
        <f>IF(AND(C73=Master!$H$6,B73="2012-2013",E73="",G73="PLN03"),H73,"")</f>
        <v/>
      </c>
      <c r="AK73" s="42" t="str">
        <f>IF(AND(C73=Master!$H$7,B73="2012-2013",E73&gt;1000,G73="PLN03"),H73,"")</f>
        <v/>
      </c>
      <c r="AL73" s="42" t="str">
        <f>IF(AND(C73=Master!$H$7,B73="2012-2013",E73="",G73="PLN03"),H73,"")</f>
        <v/>
      </c>
      <c r="AM73" s="42" t="str">
        <f>IF(AND(C73=Master!$H$8,B73="2012-2013",E73&gt;1000,G73="PLN03"),H73,"")</f>
        <v/>
      </c>
      <c r="AN73" s="42" t="str">
        <f>IF(AND(C73=Master!$H$8,B73="2012-2013",E73="",G73="PLN03"),H73,"")</f>
        <v/>
      </c>
      <c r="AO73" s="42" t="str">
        <f>IF(AND(C73=Master!$H$9,B73="2012-2013",E73&gt;1000,G73="PLN03"),H73,"")</f>
        <v/>
      </c>
      <c r="AP73" s="42" t="str">
        <f>IF(AND(C73=Master!$H$9,B73="2012-2013",E73="",G73="PLN03"),H73,"")</f>
        <v/>
      </c>
      <c r="AQ73" s="44" t="str">
        <f>IF(AND(C73=Master!$H$1,B73="2012-2013",E73&gt;1000,G73="NPN05"),H73,"")</f>
        <v/>
      </c>
      <c r="AR73" s="44" t="str">
        <f>IF(AND(C73=Master!$H$1,B73="2012-2013",E73="",G73="NPN05"),H73,"")</f>
        <v/>
      </c>
      <c r="AS73" s="44" t="str">
        <f>IF(AND(C73=Master!$H$2,B73="2012-2013",E73&gt;1000,G73="NPN05"),H73,"")</f>
        <v/>
      </c>
      <c r="AT73" s="44" t="str">
        <f>IF(AND(C73=Master!$H$2,B73="2012-2013",E73="",G73="NPN05"),H73,"")</f>
        <v/>
      </c>
      <c r="AU73" s="44" t="str">
        <f>IF(AND(C73=Master!$H$3,B73="2012-2013",E73&gt;1000,G73="NPN05"),H73,"")</f>
        <v/>
      </c>
      <c r="AV73" s="44" t="str">
        <f>IF(AND(C73=Master!$H$3,B73="2012-2013",E73="",G73="NPN05"),H73,"")</f>
        <v/>
      </c>
      <c r="AW73" s="44" t="str">
        <f>IF(AND(C73=Master!$H$4,B73="2012-2013",E73&gt;1000,G73="NPN05"),H73,"")</f>
        <v/>
      </c>
      <c r="AX73" s="44" t="str">
        <f>IF(AND(C73=Master!$H$4,B73="2012-2013",E73="",G73="NPN05"),H73,"")</f>
        <v/>
      </c>
      <c r="AY73" s="44" t="str">
        <f>IF(AND(C73=Master!$H$5,B73="2012-2013",E73&gt;1000,G73="NPN05"),H73,"")</f>
        <v/>
      </c>
      <c r="AZ73" s="44" t="str">
        <f>IF(AND(C73=Master!$H$5,B73="2012-2013",E73="",G73="NPN05"),H73,"")</f>
        <v/>
      </c>
      <c r="BA73" s="44" t="str">
        <f>IF(AND(C73=Master!$H$6,B73="2012-2013",E73&gt;1000,G73="NPN05"),H73,"")</f>
        <v/>
      </c>
      <c r="BB73" s="44" t="str">
        <f>IF(AND(C73=Master!$H$6,B73="2012-2013",E73="",G73="NPN05"),H73,"")</f>
        <v/>
      </c>
      <c r="BC73" s="44" t="str">
        <f>IF(AND(C73=Master!$H$7,B73="2012-2013",E73&gt;1000,G73="NPN05"),H73,"")</f>
        <v/>
      </c>
      <c r="BD73" s="44" t="str">
        <f>IF(AND(C73=Master!$H$7,B73="2012-2013",E73="",G73="NPN05"),H73,"")</f>
        <v/>
      </c>
      <c r="BE73" s="44" t="str">
        <f>IF(AND(C73=Master!$H$8,B73="2012-2013",E73&gt;1000,G73="NPN05"),H73,"")</f>
        <v/>
      </c>
      <c r="BF73" s="44" t="str">
        <f>IF(AND(C73=Master!$H$8,B73="2012-2013",E73="",G73="NPN05"),H73,"")</f>
        <v/>
      </c>
      <c r="BG73" s="44" t="str">
        <f>IF(AND(C73=Master!$H$9,B73="2012-2013",E73&gt;1000,G73="NPN05"),H73,"")</f>
        <v/>
      </c>
      <c r="BH73" s="44" t="str">
        <f>IF(AND(C73=Master!$H$9,B73="2012-2013",E73="",G73="NPN05"),H73,"")</f>
        <v/>
      </c>
    </row>
    <row r="74" spans="1:60" x14ac:dyDescent="0.25">
      <c r="A74" s="3">
        <v>72</v>
      </c>
      <c r="B74" s="12"/>
      <c r="C74" s="12"/>
      <c r="D74" s="31"/>
      <c r="E74" s="4"/>
      <c r="F74" s="13"/>
      <c r="G74" s="21"/>
      <c r="H74" s="35"/>
      <c r="I74" s="27"/>
      <c r="J74" s="25" t="str">
        <f>IF(NOT(I74=""),INDEX(Master!$B$1:$B$46,MATCH(I74,Master!$A$1:$A$46,0)),"")</f>
        <v/>
      </c>
      <c r="K74" s="18"/>
      <c r="L74" s="86"/>
      <c r="M74" s="13"/>
      <c r="N74" s="13"/>
      <c r="O74" s="18"/>
      <c r="P74" s="35"/>
      <c r="Q74" s="21"/>
      <c r="R74" s="21"/>
      <c r="S74" s="13"/>
      <c r="T74" s="12"/>
      <c r="U74" s="12"/>
      <c r="V74" s="12"/>
      <c r="W74" s="14"/>
      <c r="Y74" s="42" t="str">
        <f>IF(AND(C74=Master!$H$1,B74="2012-2013",E74&gt;1000,G74="PLN03"),H74,"")</f>
        <v/>
      </c>
      <c r="Z74" s="42" t="str">
        <f>IF(AND(C74=Master!$H$1,B74="2012-2013",E74="",G74="PLN03"),H74,"")</f>
        <v/>
      </c>
      <c r="AA74" s="42" t="str">
        <f>IF(AND(C74=Master!$H$2,B74="2012-2013",E74&gt;1000,G74="PLN03"),H74,"")</f>
        <v/>
      </c>
      <c r="AB74" s="42" t="str">
        <f>IF(AND(C74=Master!$H$2,B74="2012-2013",E74="",G74="PLN03"),H74,"")</f>
        <v/>
      </c>
      <c r="AC74" s="42" t="str">
        <f>IF(AND(C74=Master!$H$3,B74="2012-2013",E74&gt;1000,G74="PLN03"),H74,"")</f>
        <v/>
      </c>
      <c r="AD74" s="42" t="str">
        <f>IF(AND(C74=Master!$H$3,B74="2012-2013",E74="",G74="PLN03"),H74,"")</f>
        <v/>
      </c>
      <c r="AE74" s="42" t="str">
        <f>IF(AND(C74=Master!$H$4,B74="2012-2013",E74&gt;1000,G74="PLN03"),H74,"")</f>
        <v/>
      </c>
      <c r="AF74" s="42" t="str">
        <f>IF(AND(C74=Master!$H$4,B74="2012-2013",E74="",G74="PLN03"),H74,"")</f>
        <v/>
      </c>
      <c r="AG74" s="42" t="str">
        <f>IF(AND(C74=Master!$H$5,B74="2012-2013",E74&gt;1000,G74="PLN03"),H74,"")</f>
        <v/>
      </c>
      <c r="AH74" s="42" t="str">
        <f>IF(AND(C74=Master!$H$5,B74="2012-2013",E74="",G74="PLN03"),H74,"")</f>
        <v/>
      </c>
      <c r="AI74" s="42" t="str">
        <f>IF(AND(C74=Master!$H$6,B74="2012-2013",E74&gt;1000,G74="PLN03"),H74,"")</f>
        <v/>
      </c>
      <c r="AJ74" s="42" t="str">
        <f>IF(AND(C74=Master!$H$6,B74="2012-2013",E74="",G74="PLN03"),H74,"")</f>
        <v/>
      </c>
      <c r="AK74" s="42" t="str">
        <f>IF(AND(C74=Master!$H$7,B74="2012-2013",E74&gt;1000,G74="PLN03"),H74,"")</f>
        <v/>
      </c>
      <c r="AL74" s="42" t="str">
        <f>IF(AND(C74=Master!$H$7,B74="2012-2013",E74="",G74="PLN03"),H74,"")</f>
        <v/>
      </c>
      <c r="AM74" s="42" t="str">
        <f>IF(AND(C74=Master!$H$8,B74="2012-2013",E74&gt;1000,G74="PLN03"),H74,"")</f>
        <v/>
      </c>
      <c r="AN74" s="42" t="str">
        <f>IF(AND(C74=Master!$H$8,B74="2012-2013",E74="",G74="PLN03"),H74,"")</f>
        <v/>
      </c>
      <c r="AO74" s="42" t="str">
        <f>IF(AND(C74=Master!$H$9,B74="2012-2013",E74&gt;1000,G74="PLN03"),H74,"")</f>
        <v/>
      </c>
      <c r="AP74" s="42" t="str">
        <f>IF(AND(C74=Master!$H$9,B74="2012-2013",E74="",G74="PLN03"),H74,"")</f>
        <v/>
      </c>
      <c r="AQ74" s="44" t="str">
        <f>IF(AND(C74=Master!$H$1,B74="2012-2013",E74&gt;1000,G74="NPN05"),H74,"")</f>
        <v/>
      </c>
      <c r="AR74" s="44" t="str">
        <f>IF(AND(C74=Master!$H$1,B74="2012-2013",E74="",G74="NPN05"),H74,"")</f>
        <v/>
      </c>
      <c r="AS74" s="44" t="str">
        <f>IF(AND(C74=Master!$H$2,B74="2012-2013",E74&gt;1000,G74="NPN05"),H74,"")</f>
        <v/>
      </c>
      <c r="AT74" s="44" t="str">
        <f>IF(AND(C74=Master!$H$2,B74="2012-2013",E74="",G74="NPN05"),H74,"")</f>
        <v/>
      </c>
      <c r="AU74" s="44" t="str">
        <f>IF(AND(C74=Master!$H$3,B74="2012-2013",E74&gt;1000,G74="NPN05"),H74,"")</f>
        <v/>
      </c>
      <c r="AV74" s="44" t="str">
        <f>IF(AND(C74=Master!$H$3,B74="2012-2013",E74="",G74="NPN05"),H74,"")</f>
        <v/>
      </c>
      <c r="AW74" s="44" t="str">
        <f>IF(AND(C74=Master!$H$4,B74="2012-2013",E74&gt;1000,G74="NPN05"),H74,"")</f>
        <v/>
      </c>
      <c r="AX74" s="44" t="str">
        <f>IF(AND(C74=Master!$H$4,B74="2012-2013",E74="",G74="NPN05"),H74,"")</f>
        <v/>
      </c>
      <c r="AY74" s="44" t="str">
        <f>IF(AND(C74=Master!$H$5,B74="2012-2013",E74&gt;1000,G74="NPN05"),H74,"")</f>
        <v/>
      </c>
      <c r="AZ74" s="44" t="str">
        <f>IF(AND(C74=Master!$H$5,B74="2012-2013",E74="",G74="NPN05"),H74,"")</f>
        <v/>
      </c>
      <c r="BA74" s="44" t="str">
        <f>IF(AND(C74=Master!$H$6,B74="2012-2013",E74&gt;1000,G74="NPN05"),H74,"")</f>
        <v/>
      </c>
      <c r="BB74" s="44" t="str">
        <f>IF(AND(C74=Master!$H$6,B74="2012-2013",E74="",G74="NPN05"),H74,"")</f>
        <v/>
      </c>
      <c r="BC74" s="44" t="str">
        <f>IF(AND(C74=Master!$H$7,B74="2012-2013",E74&gt;1000,G74="NPN05"),H74,"")</f>
        <v/>
      </c>
      <c r="BD74" s="44" t="str">
        <f>IF(AND(C74=Master!$H$7,B74="2012-2013",E74="",G74="NPN05"),H74,"")</f>
        <v/>
      </c>
      <c r="BE74" s="44" t="str">
        <f>IF(AND(C74=Master!$H$8,B74="2012-2013",E74&gt;1000,G74="NPN05"),H74,"")</f>
        <v/>
      </c>
      <c r="BF74" s="44" t="str">
        <f>IF(AND(C74=Master!$H$8,B74="2012-2013",E74="",G74="NPN05"),H74,"")</f>
        <v/>
      </c>
      <c r="BG74" s="44" t="str">
        <f>IF(AND(C74=Master!$H$9,B74="2012-2013",E74&gt;1000,G74="NPN05"),H74,"")</f>
        <v/>
      </c>
      <c r="BH74" s="44" t="str">
        <f>IF(AND(C74=Master!$H$9,B74="2012-2013",E74="",G74="NPN05"),H74,"")</f>
        <v/>
      </c>
    </row>
    <row r="75" spans="1:60" x14ac:dyDescent="0.25">
      <c r="A75" s="3">
        <v>73</v>
      </c>
      <c r="B75" s="12"/>
      <c r="C75" s="12"/>
      <c r="D75" s="31"/>
      <c r="E75" s="4"/>
      <c r="F75" s="13"/>
      <c r="G75" s="21"/>
      <c r="H75" s="35"/>
      <c r="I75" s="27"/>
      <c r="J75" s="25" t="str">
        <f>IF(NOT(I75=""),INDEX(Master!$B$1:$B$46,MATCH(I75,Master!$A$1:$A$46,0)),"")</f>
        <v/>
      </c>
      <c r="K75" s="18"/>
      <c r="L75" s="86"/>
      <c r="M75" s="13"/>
      <c r="N75" s="13"/>
      <c r="O75" s="18"/>
      <c r="P75" s="35"/>
      <c r="Q75" s="21"/>
      <c r="R75" s="21"/>
      <c r="S75" s="13"/>
      <c r="T75" s="12"/>
      <c r="U75" s="12"/>
      <c r="V75" s="12"/>
      <c r="W75" s="14"/>
      <c r="Y75" s="42" t="str">
        <f>IF(AND(C75=Master!$H$1,B75="2012-2013",E75&gt;1000,G75="PLN03"),H75,"")</f>
        <v/>
      </c>
      <c r="Z75" s="42" t="str">
        <f>IF(AND(C75=Master!$H$1,B75="2012-2013",E75="",G75="PLN03"),H75,"")</f>
        <v/>
      </c>
      <c r="AA75" s="42" t="str">
        <f>IF(AND(C75=Master!$H$2,B75="2012-2013",E75&gt;1000,G75="PLN03"),H75,"")</f>
        <v/>
      </c>
      <c r="AB75" s="42" t="str">
        <f>IF(AND(C75=Master!$H$2,B75="2012-2013",E75="",G75="PLN03"),H75,"")</f>
        <v/>
      </c>
      <c r="AC75" s="42" t="str">
        <f>IF(AND(C75=Master!$H$3,B75="2012-2013",E75&gt;1000,G75="PLN03"),H75,"")</f>
        <v/>
      </c>
      <c r="AD75" s="42" t="str">
        <f>IF(AND(C75=Master!$H$3,B75="2012-2013",E75="",G75="PLN03"),H75,"")</f>
        <v/>
      </c>
      <c r="AE75" s="42" t="str">
        <f>IF(AND(C75=Master!$H$4,B75="2012-2013",E75&gt;1000,G75="PLN03"),H75,"")</f>
        <v/>
      </c>
      <c r="AF75" s="42" t="str">
        <f>IF(AND(C75=Master!$H$4,B75="2012-2013",E75="",G75="PLN03"),H75,"")</f>
        <v/>
      </c>
      <c r="AG75" s="42" t="str">
        <f>IF(AND(C75=Master!$H$5,B75="2012-2013",E75&gt;1000,G75="PLN03"),H75,"")</f>
        <v/>
      </c>
      <c r="AH75" s="42" t="str">
        <f>IF(AND(C75=Master!$H$5,B75="2012-2013",E75="",G75="PLN03"),H75,"")</f>
        <v/>
      </c>
      <c r="AI75" s="42" t="str">
        <f>IF(AND(C75=Master!$H$6,B75="2012-2013",E75&gt;1000,G75="PLN03"),H75,"")</f>
        <v/>
      </c>
      <c r="AJ75" s="42" t="str">
        <f>IF(AND(C75=Master!$H$6,B75="2012-2013",E75="",G75="PLN03"),H75,"")</f>
        <v/>
      </c>
      <c r="AK75" s="42" t="str">
        <f>IF(AND(C75=Master!$H$7,B75="2012-2013",E75&gt;1000,G75="PLN03"),H75,"")</f>
        <v/>
      </c>
      <c r="AL75" s="42" t="str">
        <f>IF(AND(C75=Master!$H$7,B75="2012-2013",E75="",G75="PLN03"),H75,"")</f>
        <v/>
      </c>
      <c r="AM75" s="42" t="str">
        <f>IF(AND(C75=Master!$H$8,B75="2012-2013",E75&gt;1000,G75="PLN03"),H75,"")</f>
        <v/>
      </c>
      <c r="AN75" s="42" t="str">
        <f>IF(AND(C75=Master!$H$8,B75="2012-2013",E75="",G75="PLN03"),H75,"")</f>
        <v/>
      </c>
      <c r="AO75" s="42" t="str">
        <f>IF(AND(C75=Master!$H$9,B75="2012-2013",E75&gt;1000,G75="PLN03"),H75,"")</f>
        <v/>
      </c>
      <c r="AP75" s="42" t="str">
        <f>IF(AND(C75=Master!$H$9,B75="2012-2013",E75="",G75="PLN03"),H75,"")</f>
        <v/>
      </c>
      <c r="AQ75" s="44" t="str">
        <f>IF(AND(C75=Master!$H$1,B75="2012-2013",E75&gt;1000,G75="NPN05"),H75,"")</f>
        <v/>
      </c>
      <c r="AR75" s="44" t="str">
        <f>IF(AND(C75=Master!$H$1,B75="2012-2013",E75="",G75="NPN05"),H75,"")</f>
        <v/>
      </c>
      <c r="AS75" s="44" t="str">
        <f>IF(AND(C75=Master!$H$2,B75="2012-2013",E75&gt;1000,G75="NPN05"),H75,"")</f>
        <v/>
      </c>
      <c r="AT75" s="44" t="str">
        <f>IF(AND(C75=Master!$H$2,B75="2012-2013",E75="",G75="NPN05"),H75,"")</f>
        <v/>
      </c>
      <c r="AU75" s="44" t="str">
        <f>IF(AND(C75=Master!$H$3,B75="2012-2013",E75&gt;1000,G75="NPN05"),H75,"")</f>
        <v/>
      </c>
      <c r="AV75" s="44" t="str">
        <f>IF(AND(C75=Master!$H$3,B75="2012-2013",E75="",G75="NPN05"),H75,"")</f>
        <v/>
      </c>
      <c r="AW75" s="44" t="str">
        <f>IF(AND(C75=Master!$H$4,B75="2012-2013",E75&gt;1000,G75="NPN05"),H75,"")</f>
        <v/>
      </c>
      <c r="AX75" s="44" t="str">
        <f>IF(AND(C75=Master!$H$4,B75="2012-2013",E75="",G75="NPN05"),H75,"")</f>
        <v/>
      </c>
      <c r="AY75" s="44" t="str">
        <f>IF(AND(C75=Master!$H$5,B75="2012-2013",E75&gt;1000,G75="NPN05"),H75,"")</f>
        <v/>
      </c>
      <c r="AZ75" s="44" t="str">
        <f>IF(AND(C75=Master!$H$5,B75="2012-2013",E75="",G75="NPN05"),H75,"")</f>
        <v/>
      </c>
      <c r="BA75" s="44" t="str">
        <f>IF(AND(C75=Master!$H$6,B75="2012-2013",E75&gt;1000,G75="NPN05"),H75,"")</f>
        <v/>
      </c>
      <c r="BB75" s="44" t="str">
        <f>IF(AND(C75=Master!$H$6,B75="2012-2013",E75="",G75="NPN05"),H75,"")</f>
        <v/>
      </c>
      <c r="BC75" s="44" t="str">
        <f>IF(AND(C75=Master!$H$7,B75="2012-2013",E75&gt;1000,G75="NPN05"),H75,"")</f>
        <v/>
      </c>
      <c r="BD75" s="44" t="str">
        <f>IF(AND(C75=Master!$H$7,B75="2012-2013",E75="",G75="NPN05"),H75,"")</f>
        <v/>
      </c>
      <c r="BE75" s="44" t="str">
        <f>IF(AND(C75=Master!$H$8,B75="2012-2013",E75&gt;1000,G75="NPN05"),H75,"")</f>
        <v/>
      </c>
      <c r="BF75" s="44" t="str">
        <f>IF(AND(C75=Master!$H$8,B75="2012-2013",E75="",G75="NPN05"),H75,"")</f>
        <v/>
      </c>
      <c r="BG75" s="44" t="str">
        <f>IF(AND(C75=Master!$H$9,B75="2012-2013",E75&gt;1000,G75="NPN05"),H75,"")</f>
        <v/>
      </c>
      <c r="BH75" s="44" t="str">
        <f>IF(AND(C75=Master!$H$9,B75="2012-2013",E75="",G75="NPN05"),H75,"")</f>
        <v/>
      </c>
    </row>
    <row r="76" spans="1:60" x14ac:dyDescent="0.25">
      <c r="A76" s="3">
        <v>74</v>
      </c>
      <c r="B76" s="12"/>
      <c r="C76" s="12"/>
      <c r="D76" s="31"/>
      <c r="E76" s="4"/>
      <c r="F76" s="13"/>
      <c r="G76" s="21"/>
      <c r="H76" s="35"/>
      <c r="I76" s="27"/>
      <c r="J76" s="25" t="str">
        <f>IF(NOT(I76=""),INDEX(Master!$B$1:$B$46,MATCH(I76,Master!$A$1:$A$46,0)),"")</f>
        <v/>
      </c>
      <c r="K76" s="18"/>
      <c r="L76" s="86"/>
      <c r="M76" s="13"/>
      <c r="N76" s="13"/>
      <c r="O76" s="18"/>
      <c r="P76" s="35"/>
      <c r="Q76" s="21"/>
      <c r="R76" s="21"/>
      <c r="S76" s="13"/>
      <c r="T76" s="12"/>
      <c r="U76" s="12"/>
      <c r="V76" s="12"/>
      <c r="W76" s="14"/>
      <c r="Y76" s="42" t="str">
        <f>IF(AND(C76=Master!$H$1,B76="2012-2013",E76&gt;1000,G76="PLN03"),H76,"")</f>
        <v/>
      </c>
      <c r="Z76" s="42" t="str">
        <f>IF(AND(C76=Master!$H$1,B76="2012-2013",E76="",G76="PLN03"),H76,"")</f>
        <v/>
      </c>
      <c r="AA76" s="42" t="str">
        <f>IF(AND(C76=Master!$H$2,B76="2012-2013",E76&gt;1000,G76="PLN03"),H76,"")</f>
        <v/>
      </c>
      <c r="AB76" s="42" t="str">
        <f>IF(AND(C76=Master!$H$2,B76="2012-2013",E76="",G76="PLN03"),H76,"")</f>
        <v/>
      </c>
      <c r="AC76" s="42" t="str">
        <f>IF(AND(C76=Master!$H$3,B76="2012-2013",E76&gt;1000,G76="PLN03"),H76,"")</f>
        <v/>
      </c>
      <c r="AD76" s="42" t="str">
        <f>IF(AND(C76=Master!$H$3,B76="2012-2013",E76="",G76="PLN03"),H76,"")</f>
        <v/>
      </c>
      <c r="AE76" s="42" t="str">
        <f>IF(AND(C76=Master!$H$4,B76="2012-2013",E76&gt;1000,G76="PLN03"),H76,"")</f>
        <v/>
      </c>
      <c r="AF76" s="42" t="str">
        <f>IF(AND(C76=Master!$H$4,B76="2012-2013",E76="",G76="PLN03"),H76,"")</f>
        <v/>
      </c>
      <c r="AG76" s="42" t="str">
        <f>IF(AND(C76=Master!$H$5,B76="2012-2013",E76&gt;1000,G76="PLN03"),H76,"")</f>
        <v/>
      </c>
      <c r="AH76" s="42" t="str">
        <f>IF(AND(C76=Master!$H$5,B76="2012-2013",E76="",G76="PLN03"),H76,"")</f>
        <v/>
      </c>
      <c r="AI76" s="42" t="str">
        <f>IF(AND(C76=Master!$H$6,B76="2012-2013",E76&gt;1000,G76="PLN03"),H76,"")</f>
        <v/>
      </c>
      <c r="AJ76" s="42" t="str">
        <f>IF(AND(C76=Master!$H$6,B76="2012-2013",E76="",G76="PLN03"),H76,"")</f>
        <v/>
      </c>
      <c r="AK76" s="42" t="str">
        <f>IF(AND(C76=Master!$H$7,B76="2012-2013",E76&gt;1000,G76="PLN03"),H76,"")</f>
        <v/>
      </c>
      <c r="AL76" s="42" t="str">
        <f>IF(AND(C76=Master!$H$7,B76="2012-2013",E76="",G76="PLN03"),H76,"")</f>
        <v/>
      </c>
      <c r="AM76" s="42" t="str">
        <f>IF(AND(C76=Master!$H$8,B76="2012-2013",E76&gt;1000,G76="PLN03"),H76,"")</f>
        <v/>
      </c>
      <c r="AN76" s="42" t="str">
        <f>IF(AND(C76=Master!$H$8,B76="2012-2013",E76="",G76="PLN03"),H76,"")</f>
        <v/>
      </c>
      <c r="AO76" s="42" t="str">
        <f>IF(AND(C76=Master!$H$9,B76="2012-2013",E76&gt;1000,G76="PLN03"),H76,"")</f>
        <v/>
      </c>
      <c r="AP76" s="42" t="str">
        <f>IF(AND(C76=Master!$H$9,B76="2012-2013",E76="",G76="PLN03"),H76,"")</f>
        <v/>
      </c>
      <c r="AQ76" s="44" t="str">
        <f>IF(AND(C76=Master!$H$1,B76="2012-2013",E76&gt;1000,G76="NPN05"),H76,"")</f>
        <v/>
      </c>
      <c r="AR76" s="44" t="str">
        <f>IF(AND(C76=Master!$H$1,B76="2012-2013",E76="",G76="NPN05"),H76,"")</f>
        <v/>
      </c>
      <c r="AS76" s="44" t="str">
        <f>IF(AND(C76=Master!$H$2,B76="2012-2013",E76&gt;1000,G76="NPN05"),H76,"")</f>
        <v/>
      </c>
      <c r="AT76" s="44" t="str">
        <f>IF(AND(C76=Master!$H$2,B76="2012-2013",E76="",G76="NPN05"),H76,"")</f>
        <v/>
      </c>
      <c r="AU76" s="44" t="str">
        <f>IF(AND(C76=Master!$H$3,B76="2012-2013",E76&gt;1000,G76="NPN05"),H76,"")</f>
        <v/>
      </c>
      <c r="AV76" s="44" t="str">
        <f>IF(AND(C76=Master!$H$3,B76="2012-2013",E76="",G76="NPN05"),H76,"")</f>
        <v/>
      </c>
      <c r="AW76" s="44" t="str">
        <f>IF(AND(C76=Master!$H$4,B76="2012-2013",E76&gt;1000,G76="NPN05"),H76,"")</f>
        <v/>
      </c>
      <c r="AX76" s="44" t="str">
        <f>IF(AND(C76=Master!$H$4,B76="2012-2013",E76="",G76="NPN05"),H76,"")</f>
        <v/>
      </c>
      <c r="AY76" s="44" t="str">
        <f>IF(AND(C76=Master!$H$5,B76="2012-2013",E76&gt;1000,G76="NPN05"),H76,"")</f>
        <v/>
      </c>
      <c r="AZ76" s="44" t="str">
        <f>IF(AND(C76=Master!$H$5,B76="2012-2013",E76="",G76="NPN05"),H76,"")</f>
        <v/>
      </c>
      <c r="BA76" s="44" t="str">
        <f>IF(AND(C76=Master!$H$6,B76="2012-2013",E76&gt;1000,G76="NPN05"),H76,"")</f>
        <v/>
      </c>
      <c r="BB76" s="44" t="str">
        <f>IF(AND(C76=Master!$H$6,B76="2012-2013",E76="",G76="NPN05"),H76,"")</f>
        <v/>
      </c>
      <c r="BC76" s="44" t="str">
        <f>IF(AND(C76=Master!$H$7,B76="2012-2013",E76&gt;1000,G76="NPN05"),H76,"")</f>
        <v/>
      </c>
      <c r="BD76" s="44" t="str">
        <f>IF(AND(C76=Master!$H$7,B76="2012-2013",E76="",G76="NPN05"),H76,"")</f>
        <v/>
      </c>
      <c r="BE76" s="44" t="str">
        <f>IF(AND(C76=Master!$H$8,B76="2012-2013",E76&gt;1000,G76="NPN05"),H76,"")</f>
        <v/>
      </c>
      <c r="BF76" s="44" t="str">
        <f>IF(AND(C76=Master!$H$8,B76="2012-2013",E76="",G76="NPN05"),H76,"")</f>
        <v/>
      </c>
      <c r="BG76" s="44" t="str">
        <f>IF(AND(C76=Master!$H$9,B76="2012-2013",E76&gt;1000,G76="NPN05"),H76,"")</f>
        <v/>
      </c>
      <c r="BH76" s="44" t="str">
        <f>IF(AND(C76=Master!$H$9,B76="2012-2013",E76="",G76="NPN05"),H76,"")</f>
        <v/>
      </c>
    </row>
    <row r="77" spans="1:60" x14ac:dyDescent="0.25">
      <c r="A77" s="3">
        <v>75</v>
      </c>
      <c r="B77" s="12"/>
      <c r="C77" s="12"/>
      <c r="D77" s="31"/>
      <c r="E77" s="4"/>
      <c r="F77" s="13"/>
      <c r="G77" s="21"/>
      <c r="H77" s="35"/>
      <c r="I77" s="27"/>
      <c r="J77" s="25" t="str">
        <f>IF(NOT(I77=""),INDEX(Master!$B$1:$B$46,MATCH(I77,Master!$A$1:$A$46,0)),"")</f>
        <v/>
      </c>
      <c r="K77" s="18"/>
      <c r="L77" s="86"/>
      <c r="M77" s="13"/>
      <c r="N77" s="13"/>
      <c r="O77" s="18"/>
      <c r="P77" s="35"/>
      <c r="Q77" s="21"/>
      <c r="R77" s="21"/>
      <c r="S77" s="13"/>
      <c r="T77" s="12"/>
      <c r="U77" s="12"/>
      <c r="V77" s="12"/>
      <c r="W77" s="14"/>
      <c r="Y77" s="42" t="str">
        <f>IF(AND(C77=Master!$H$1,B77="2012-2013",E77&gt;1000,G77="PLN03"),H77,"")</f>
        <v/>
      </c>
      <c r="Z77" s="42" t="str">
        <f>IF(AND(C77=Master!$H$1,B77="2012-2013",E77="",G77="PLN03"),H77,"")</f>
        <v/>
      </c>
      <c r="AA77" s="42" t="str">
        <f>IF(AND(C77=Master!$H$2,B77="2012-2013",E77&gt;1000,G77="PLN03"),H77,"")</f>
        <v/>
      </c>
      <c r="AB77" s="42" t="str">
        <f>IF(AND(C77=Master!$H$2,B77="2012-2013",E77="",G77="PLN03"),H77,"")</f>
        <v/>
      </c>
      <c r="AC77" s="42" t="str">
        <f>IF(AND(C77=Master!$H$3,B77="2012-2013",E77&gt;1000,G77="PLN03"),H77,"")</f>
        <v/>
      </c>
      <c r="AD77" s="42" t="str">
        <f>IF(AND(C77=Master!$H$3,B77="2012-2013",E77="",G77="PLN03"),H77,"")</f>
        <v/>
      </c>
      <c r="AE77" s="42" t="str">
        <f>IF(AND(C77=Master!$H$4,B77="2012-2013",E77&gt;1000,G77="PLN03"),H77,"")</f>
        <v/>
      </c>
      <c r="AF77" s="42" t="str">
        <f>IF(AND(C77=Master!$H$4,B77="2012-2013",E77="",G77="PLN03"),H77,"")</f>
        <v/>
      </c>
      <c r="AG77" s="42" t="str">
        <f>IF(AND(C77=Master!$H$5,B77="2012-2013",E77&gt;1000,G77="PLN03"),H77,"")</f>
        <v/>
      </c>
      <c r="AH77" s="42" t="str">
        <f>IF(AND(C77=Master!$H$5,B77="2012-2013",E77="",G77="PLN03"),H77,"")</f>
        <v/>
      </c>
      <c r="AI77" s="42" t="str">
        <f>IF(AND(C77=Master!$H$6,B77="2012-2013",E77&gt;1000,G77="PLN03"),H77,"")</f>
        <v/>
      </c>
      <c r="AJ77" s="42" t="str">
        <f>IF(AND(C77=Master!$H$6,B77="2012-2013",E77="",G77="PLN03"),H77,"")</f>
        <v/>
      </c>
      <c r="AK77" s="42" t="str">
        <f>IF(AND(C77=Master!$H$7,B77="2012-2013",E77&gt;1000,G77="PLN03"),H77,"")</f>
        <v/>
      </c>
      <c r="AL77" s="42" t="str">
        <f>IF(AND(C77=Master!$H$7,B77="2012-2013",E77="",G77="PLN03"),H77,"")</f>
        <v/>
      </c>
      <c r="AM77" s="42" t="str">
        <f>IF(AND(C77=Master!$H$8,B77="2012-2013",E77&gt;1000,G77="PLN03"),H77,"")</f>
        <v/>
      </c>
      <c r="AN77" s="42" t="str">
        <f>IF(AND(C77=Master!$H$8,B77="2012-2013",E77="",G77="PLN03"),H77,"")</f>
        <v/>
      </c>
      <c r="AO77" s="42" t="str">
        <f>IF(AND(C77=Master!$H$9,B77="2012-2013",E77&gt;1000,G77="PLN03"),H77,"")</f>
        <v/>
      </c>
      <c r="AP77" s="42" t="str">
        <f>IF(AND(C77=Master!$H$9,B77="2012-2013",E77="",G77="PLN03"),H77,"")</f>
        <v/>
      </c>
      <c r="AQ77" s="44" t="str">
        <f>IF(AND(C77=Master!$H$1,B77="2012-2013",E77&gt;1000,G77="NPN05"),H77,"")</f>
        <v/>
      </c>
      <c r="AR77" s="44" t="str">
        <f>IF(AND(C77=Master!$H$1,B77="2012-2013",E77="",G77="NPN05"),H77,"")</f>
        <v/>
      </c>
      <c r="AS77" s="44" t="str">
        <f>IF(AND(C77=Master!$H$2,B77="2012-2013",E77&gt;1000,G77="NPN05"),H77,"")</f>
        <v/>
      </c>
      <c r="AT77" s="44" t="str">
        <f>IF(AND(C77=Master!$H$2,B77="2012-2013",E77="",G77="NPN05"),H77,"")</f>
        <v/>
      </c>
      <c r="AU77" s="44" t="str">
        <f>IF(AND(C77=Master!$H$3,B77="2012-2013",E77&gt;1000,G77="NPN05"),H77,"")</f>
        <v/>
      </c>
      <c r="AV77" s="44" t="str">
        <f>IF(AND(C77=Master!$H$3,B77="2012-2013",E77="",G77="NPN05"),H77,"")</f>
        <v/>
      </c>
      <c r="AW77" s="44" t="str">
        <f>IF(AND(C77=Master!$H$4,B77="2012-2013",E77&gt;1000,G77="NPN05"),H77,"")</f>
        <v/>
      </c>
      <c r="AX77" s="44" t="str">
        <f>IF(AND(C77=Master!$H$4,B77="2012-2013",E77="",G77="NPN05"),H77,"")</f>
        <v/>
      </c>
      <c r="AY77" s="44" t="str">
        <f>IF(AND(C77=Master!$H$5,B77="2012-2013",E77&gt;1000,G77="NPN05"),H77,"")</f>
        <v/>
      </c>
      <c r="AZ77" s="44" t="str">
        <f>IF(AND(C77=Master!$H$5,B77="2012-2013",E77="",G77="NPN05"),H77,"")</f>
        <v/>
      </c>
      <c r="BA77" s="44" t="str">
        <f>IF(AND(C77=Master!$H$6,B77="2012-2013",E77&gt;1000,G77="NPN05"),H77,"")</f>
        <v/>
      </c>
      <c r="BB77" s="44" t="str">
        <f>IF(AND(C77=Master!$H$6,B77="2012-2013",E77="",G77="NPN05"),H77,"")</f>
        <v/>
      </c>
      <c r="BC77" s="44" t="str">
        <f>IF(AND(C77=Master!$H$7,B77="2012-2013",E77&gt;1000,G77="NPN05"),H77,"")</f>
        <v/>
      </c>
      <c r="BD77" s="44" t="str">
        <f>IF(AND(C77=Master!$H$7,B77="2012-2013",E77="",G77="NPN05"),H77,"")</f>
        <v/>
      </c>
      <c r="BE77" s="44" t="str">
        <f>IF(AND(C77=Master!$H$8,B77="2012-2013",E77&gt;1000,G77="NPN05"),H77,"")</f>
        <v/>
      </c>
      <c r="BF77" s="44" t="str">
        <f>IF(AND(C77=Master!$H$8,B77="2012-2013",E77="",G77="NPN05"),H77,"")</f>
        <v/>
      </c>
      <c r="BG77" s="44" t="str">
        <f>IF(AND(C77=Master!$H$9,B77="2012-2013",E77&gt;1000,G77="NPN05"),H77,"")</f>
        <v/>
      </c>
      <c r="BH77" s="44" t="str">
        <f>IF(AND(C77=Master!$H$9,B77="2012-2013",E77="",G77="NPN05"),H77,"")</f>
        <v/>
      </c>
    </row>
    <row r="78" spans="1:60" x14ac:dyDescent="0.25">
      <c r="A78" s="3">
        <v>76</v>
      </c>
      <c r="B78" s="12"/>
      <c r="C78" s="12"/>
      <c r="D78" s="31"/>
      <c r="E78" s="4"/>
      <c r="F78" s="13"/>
      <c r="G78" s="21"/>
      <c r="H78" s="35"/>
      <c r="I78" s="27"/>
      <c r="J78" s="25" t="str">
        <f>IF(NOT(I78=""),INDEX(Master!$B$1:$B$46,MATCH(I78,Master!$A$1:$A$46,0)),"")</f>
        <v/>
      </c>
      <c r="K78" s="18"/>
      <c r="L78" s="86"/>
      <c r="M78" s="13"/>
      <c r="N78" s="13"/>
      <c r="O78" s="18"/>
      <c r="P78" s="35"/>
      <c r="Q78" s="21"/>
      <c r="R78" s="21"/>
      <c r="S78" s="13"/>
      <c r="T78" s="12"/>
      <c r="U78" s="12"/>
      <c r="V78" s="12"/>
      <c r="W78" s="14"/>
      <c r="Y78" s="42" t="str">
        <f>IF(AND(C78=Master!$H$1,B78="2012-2013",E78&gt;1000,G78="PLN03"),H78,"")</f>
        <v/>
      </c>
      <c r="Z78" s="42" t="str">
        <f>IF(AND(C78=Master!$H$1,B78="2012-2013",E78="",G78="PLN03"),H78,"")</f>
        <v/>
      </c>
      <c r="AA78" s="42" t="str">
        <f>IF(AND(C78=Master!$H$2,B78="2012-2013",E78&gt;1000,G78="PLN03"),H78,"")</f>
        <v/>
      </c>
      <c r="AB78" s="42" t="str">
        <f>IF(AND(C78=Master!$H$2,B78="2012-2013",E78="",G78="PLN03"),H78,"")</f>
        <v/>
      </c>
      <c r="AC78" s="42" t="str">
        <f>IF(AND(C78=Master!$H$3,B78="2012-2013",E78&gt;1000,G78="PLN03"),H78,"")</f>
        <v/>
      </c>
      <c r="AD78" s="42" t="str">
        <f>IF(AND(C78=Master!$H$3,B78="2012-2013",E78="",G78="PLN03"),H78,"")</f>
        <v/>
      </c>
      <c r="AE78" s="42" t="str">
        <f>IF(AND(C78=Master!$H$4,B78="2012-2013",E78&gt;1000,G78="PLN03"),H78,"")</f>
        <v/>
      </c>
      <c r="AF78" s="42" t="str">
        <f>IF(AND(C78=Master!$H$4,B78="2012-2013",E78="",G78="PLN03"),H78,"")</f>
        <v/>
      </c>
      <c r="AG78" s="42" t="str">
        <f>IF(AND(C78=Master!$H$5,B78="2012-2013",E78&gt;1000,G78="PLN03"),H78,"")</f>
        <v/>
      </c>
      <c r="AH78" s="42" t="str">
        <f>IF(AND(C78=Master!$H$5,B78="2012-2013",E78="",G78="PLN03"),H78,"")</f>
        <v/>
      </c>
      <c r="AI78" s="42" t="str">
        <f>IF(AND(C78=Master!$H$6,B78="2012-2013",E78&gt;1000,G78="PLN03"),H78,"")</f>
        <v/>
      </c>
      <c r="AJ78" s="42" t="str">
        <f>IF(AND(C78=Master!$H$6,B78="2012-2013",E78="",G78="PLN03"),H78,"")</f>
        <v/>
      </c>
      <c r="AK78" s="42" t="str">
        <f>IF(AND(C78=Master!$H$7,B78="2012-2013",E78&gt;1000,G78="PLN03"),H78,"")</f>
        <v/>
      </c>
      <c r="AL78" s="42" t="str">
        <f>IF(AND(C78=Master!$H$7,B78="2012-2013",E78="",G78="PLN03"),H78,"")</f>
        <v/>
      </c>
      <c r="AM78" s="42" t="str">
        <f>IF(AND(C78=Master!$H$8,B78="2012-2013",E78&gt;1000,G78="PLN03"),H78,"")</f>
        <v/>
      </c>
      <c r="AN78" s="42" t="str">
        <f>IF(AND(C78=Master!$H$8,B78="2012-2013",E78="",G78="PLN03"),H78,"")</f>
        <v/>
      </c>
      <c r="AO78" s="42" t="str">
        <f>IF(AND(C78=Master!$H$9,B78="2012-2013",E78&gt;1000,G78="PLN03"),H78,"")</f>
        <v/>
      </c>
      <c r="AP78" s="42" t="str">
        <f>IF(AND(C78=Master!$H$9,B78="2012-2013",E78="",G78="PLN03"),H78,"")</f>
        <v/>
      </c>
      <c r="AQ78" s="44" t="str">
        <f>IF(AND(C78=Master!$H$1,B78="2012-2013",E78&gt;1000,G78="NPN05"),H78,"")</f>
        <v/>
      </c>
      <c r="AR78" s="44" t="str">
        <f>IF(AND(C78=Master!$H$1,B78="2012-2013",E78="",G78="NPN05"),H78,"")</f>
        <v/>
      </c>
      <c r="AS78" s="44" t="str">
        <f>IF(AND(C78=Master!$H$2,B78="2012-2013",E78&gt;1000,G78="NPN05"),H78,"")</f>
        <v/>
      </c>
      <c r="AT78" s="44" t="str">
        <f>IF(AND(C78=Master!$H$2,B78="2012-2013",E78="",G78="NPN05"),H78,"")</f>
        <v/>
      </c>
      <c r="AU78" s="44" t="str">
        <f>IF(AND(C78=Master!$H$3,B78="2012-2013",E78&gt;1000,G78="NPN05"),H78,"")</f>
        <v/>
      </c>
      <c r="AV78" s="44" t="str">
        <f>IF(AND(C78=Master!$H$3,B78="2012-2013",E78="",G78="NPN05"),H78,"")</f>
        <v/>
      </c>
      <c r="AW78" s="44" t="str">
        <f>IF(AND(C78=Master!$H$4,B78="2012-2013",E78&gt;1000,G78="NPN05"),H78,"")</f>
        <v/>
      </c>
      <c r="AX78" s="44" t="str">
        <f>IF(AND(C78=Master!$H$4,B78="2012-2013",E78="",G78="NPN05"),H78,"")</f>
        <v/>
      </c>
      <c r="AY78" s="44" t="str">
        <f>IF(AND(C78=Master!$H$5,B78="2012-2013",E78&gt;1000,G78="NPN05"),H78,"")</f>
        <v/>
      </c>
      <c r="AZ78" s="44" t="str">
        <f>IF(AND(C78=Master!$H$5,B78="2012-2013",E78="",G78="NPN05"),H78,"")</f>
        <v/>
      </c>
      <c r="BA78" s="44" t="str">
        <f>IF(AND(C78=Master!$H$6,B78="2012-2013",E78&gt;1000,G78="NPN05"),H78,"")</f>
        <v/>
      </c>
      <c r="BB78" s="44" t="str">
        <f>IF(AND(C78=Master!$H$6,B78="2012-2013",E78="",G78="NPN05"),H78,"")</f>
        <v/>
      </c>
      <c r="BC78" s="44" t="str">
        <f>IF(AND(C78=Master!$H$7,B78="2012-2013",E78&gt;1000,G78="NPN05"),H78,"")</f>
        <v/>
      </c>
      <c r="BD78" s="44" t="str">
        <f>IF(AND(C78=Master!$H$7,B78="2012-2013",E78="",G78="NPN05"),H78,"")</f>
        <v/>
      </c>
      <c r="BE78" s="44" t="str">
        <f>IF(AND(C78=Master!$H$8,B78="2012-2013",E78&gt;1000,G78="NPN05"),H78,"")</f>
        <v/>
      </c>
      <c r="BF78" s="44" t="str">
        <f>IF(AND(C78=Master!$H$8,B78="2012-2013",E78="",G78="NPN05"),H78,"")</f>
        <v/>
      </c>
      <c r="BG78" s="44" t="str">
        <f>IF(AND(C78=Master!$H$9,B78="2012-2013",E78&gt;1000,G78="NPN05"),H78,"")</f>
        <v/>
      </c>
      <c r="BH78" s="44" t="str">
        <f>IF(AND(C78=Master!$H$9,B78="2012-2013",E78="",G78="NPN05"),H78,"")</f>
        <v/>
      </c>
    </row>
    <row r="79" spans="1:60" x14ac:dyDescent="0.25">
      <c r="A79" s="3">
        <v>77</v>
      </c>
      <c r="B79" s="12"/>
      <c r="C79" s="12"/>
      <c r="D79" s="31"/>
      <c r="E79" s="4"/>
      <c r="F79" s="13"/>
      <c r="G79" s="21"/>
      <c r="H79" s="35"/>
      <c r="I79" s="27"/>
      <c r="J79" s="25" t="str">
        <f>IF(NOT(I79=""),INDEX(Master!$B$1:$B$46,MATCH(I79,Master!$A$1:$A$46,0)),"")</f>
        <v/>
      </c>
      <c r="K79" s="18"/>
      <c r="L79" s="86"/>
      <c r="M79" s="13"/>
      <c r="N79" s="13"/>
      <c r="O79" s="18"/>
      <c r="P79" s="35"/>
      <c r="Q79" s="21"/>
      <c r="R79" s="21"/>
      <c r="S79" s="13"/>
      <c r="T79" s="12"/>
      <c r="U79" s="12"/>
      <c r="V79" s="12"/>
      <c r="W79" s="14"/>
      <c r="Y79" s="42" t="str">
        <f>IF(AND(C79=Master!$H$1,B79="2012-2013",E79&gt;1000,G79="PLN03"),H79,"")</f>
        <v/>
      </c>
      <c r="Z79" s="42" t="str">
        <f>IF(AND(C79=Master!$H$1,B79="2012-2013",E79="",G79="PLN03"),H79,"")</f>
        <v/>
      </c>
      <c r="AA79" s="42" t="str">
        <f>IF(AND(C79=Master!$H$2,B79="2012-2013",E79&gt;1000,G79="PLN03"),H79,"")</f>
        <v/>
      </c>
      <c r="AB79" s="42" t="str">
        <f>IF(AND(C79=Master!$H$2,B79="2012-2013",E79="",G79="PLN03"),H79,"")</f>
        <v/>
      </c>
      <c r="AC79" s="42" t="str">
        <f>IF(AND(C79=Master!$H$3,B79="2012-2013",E79&gt;1000,G79="PLN03"),H79,"")</f>
        <v/>
      </c>
      <c r="AD79" s="42" t="str">
        <f>IF(AND(C79=Master!$H$3,B79="2012-2013",E79="",G79="PLN03"),H79,"")</f>
        <v/>
      </c>
      <c r="AE79" s="42" t="str">
        <f>IF(AND(C79=Master!$H$4,B79="2012-2013",E79&gt;1000,G79="PLN03"),H79,"")</f>
        <v/>
      </c>
      <c r="AF79" s="42" t="str">
        <f>IF(AND(C79=Master!$H$4,B79="2012-2013",E79="",G79="PLN03"),H79,"")</f>
        <v/>
      </c>
      <c r="AG79" s="42" t="str">
        <f>IF(AND(C79=Master!$H$5,B79="2012-2013",E79&gt;1000,G79="PLN03"),H79,"")</f>
        <v/>
      </c>
      <c r="AH79" s="42" t="str">
        <f>IF(AND(C79=Master!$H$5,B79="2012-2013",E79="",G79="PLN03"),H79,"")</f>
        <v/>
      </c>
      <c r="AI79" s="42" t="str">
        <f>IF(AND(C79=Master!$H$6,B79="2012-2013",E79&gt;1000,G79="PLN03"),H79,"")</f>
        <v/>
      </c>
      <c r="AJ79" s="42" t="str">
        <f>IF(AND(C79=Master!$H$6,B79="2012-2013",E79="",G79="PLN03"),H79,"")</f>
        <v/>
      </c>
      <c r="AK79" s="42" t="str">
        <f>IF(AND(C79=Master!$H$7,B79="2012-2013",E79&gt;1000,G79="PLN03"),H79,"")</f>
        <v/>
      </c>
      <c r="AL79" s="42" t="str">
        <f>IF(AND(C79=Master!$H$7,B79="2012-2013",E79="",G79="PLN03"),H79,"")</f>
        <v/>
      </c>
      <c r="AM79" s="42" t="str">
        <f>IF(AND(C79=Master!$H$8,B79="2012-2013",E79&gt;1000,G79="PLN03"),H79,"")</f>
        <v/>
      </c>
      <c r="AN79" s="42" t="str">
        <f>IF(AND(C79=Master!$H$8,B79="2012-2013",E79="",G79="PLN03"),H79,"")</f>
        <v/>
      </c>
      <c r="AO79" s="42" t="str">
        <f>IF(AND(C79=Master!$H$9,B79="2012-2013",E79&gt;1000,G79="PLN03"),H79,"")</f>
        <v/>
      </c>
      <c r="AP79" s="42" t="str">
        <f>IF(AND(C79=Master!$H$9,B79="2012-2013",E79="",G79="PLN03"),H79,"")</f>
        <v/>
      </c>
      <c r="AQ79" s="44" t="str">
        <f>IF(AND(C79=Master!$H$1,B79="2012-2013",E79&gt;1000,G79="NPN05"),H79,"")</f>
        <v/>
      </c>
      <c r="AR79" s="44" t="str">
        <f>IF(AND(C79=Master!$H$1,B79="2012-2013",E79="",G79="NPN05"),H79,"")</f>
        <v/>
      </c>
      <c r="AS79" s="44" t="str">
        <f>IF(AND(C79=Master!$H$2,B79="2012-2013",E79&gt;1000,G79="NPN05"),H79,"")</f>
        <v/>
      </c>
      <c r="AT79" s="44" t="str">
        <f>IF(AND(C79=Master!$H$2,B79="2012-2013",E79="",G79="NPN05"),H79,"")</f>
        <v/>
      </c>
      <c r="AU79" s="44" t="str">
        <f>IF(AND(C79=Master!$H$3,B79="2012-2013",E79&gt;1000,G79="NPN05"),H79,"")</f>
        <v/>
      </c>
      <c r="AV79" s="44" t="str">
        <f>IF(AND(C79=Master!$H$3,B79="2012-2013",E79="",G79="NPN05"),H79,"")</f>
        <v/>
      </c>
      <c r="AW79" s="44" t="str">
        <f>IF(AND(C79=Master!$H$4,B79="2012-2013",E79&gt;1000,G79="NPN05"),H79,"")</f>
        <v/>
      </c>
      <c r="AX79" s="44" t="str">
        <f>IF(AND(C79=Master!$H$4,B79="2012-2013",E79="",G79="NPN05"),H79,"")</f>
        <v/>
      </c>
      <c r="AY79" s="44" t="str">
        <f>IF(AND(C79=Master!$H$5,B79="2012-2013",E79&gt;1000,G79="NPN05"),H79,"")</f>
        <v/>
      </c>
      <c r="AZ79" s="44" t="str">
        <f>IF(AND(C79=Master!$H$5,B79="2012-2013",E79="",G79="NPN05"),H79,"")</f>
        <v/>
      </c>
      <c r="BA79" s="44" t="str">
        <f>IF(AND(C79=Master!$H$6,B79="2012-2013",E79&gt;1000,G79="NPN05"),H79,"")</f>
        <v/>
      </c>
      <c r="BB79" s="44" t="str">
        <f>IF(AND(C79=Master!$H$6,B79="2012-2013",E79="",G79="NPN05"),H79,"")</f>
        <v/>
      </c>
      <c r="BC79" s="44" t="str">
        <f>IF(AND(C79=Master!$H$7,B79="2012-2013",E79&gt;1000,G79="NPN05"),H79,"")</f>
        <v/>
      </c>
      <c r="BD79" s="44" t="str">
        <f>IF(AND(C79=Master!$H$7,B79="2012-2013",E79="",G79="NPN05"),H79,"")</f>
        <v/>
      </c>
      <c r="BE79" s="44" t="str">
        <f>IF(AND(C79=Master!$H$8,B79="2012-2013",E79&gt;1000,G79="NPN05"),H79,"")</f>
        <v/>
      </c>
      <c r="BF79" s="44" t="str">
        <f>IF(AND(C79=Master!$H$8,B79="2012-2013",E79="",G79="NPN05"),H79,"")</f>
        <v/>
      </c>
      <c r="BG79" s="44" t="str">
        <f>IF(AND(C79=Master!$H$9,B79="2012-2013",E79&gt;1000,G79="NPN05"),H79,"")</f>
        <v/>
      </c>
      <c r="BH79" s="44" t="str">
        <f>IF(AND(C79=Master!$H$9,B79="2012-2013",E79="",G79="NPN05"),H79,"")</f>
        <v/>
      </c>
    </row>
    <row r="80" spans="1:60" x14ac:dyDescent="0.25">
      <c r="A80" s="3">
        <v>78</v>
      </c>
      <c r="B80" s="12"/>
      <c r="C80" s="12"/>
      <c r="D80" s="31"/>
      <c r="E80" s="4"/>
      <c r="F80" s="13"/>
      <c r="G80" s="21"/>
      <c r="H80" s="35"/>
      <c r="I80" s="27"/>
      <c r="J80" s="25" t="str">
        <f>IF(NOT(I80=""),INDEX(Master!$B$1:$B$46,MATCH(I80,Master!$A$1:$A$46,0)),"")</f>
        <v/>
      </c>
      <c r="K80" s="18"/>
      <c r="L80" s="86"/>
      <c r="M80" s="13"/>
      <c r="N80" s="13"/>
      <c r="O80" s="18"/>
      <c r="P80" s="35"/>
      <c r="Q80" s="21"/>
      <c r="R80" s="21"/>
      <c r="S80" s="13"/>
      <c r="T80" s="12"/>
      <c r="U80" s="12"/>
      <c r="V80" s="12"/>
      <c r="W80" s="14"/>
      <c r="Y80" s="42" t="str">
        <f>IF(AND(C80=Master!$H$1,B80="2012-2013",E80&gt;1000,G80="PLN03"),H80,"")</f>
        <v/>
      </c>
      <c r="Z80" s="42" t="str">
        <f>IF(AND(C80=Master!$H$1,B80="2012-2013",E80="",G80="PLN03"),H80,"")</f>
        <v/>
      </c>
      <c r="AA80" s="42" t="str">
        <f>IF(AND(C80=Master!$H$2,B80="2012-2013",E80&gt;1000,G80="PLN03"),H80,"")</f>
        <v/>
      </c>
      <c r="AB80" s="42" t="str">
        <f>IF(AND(C80=Master!$H$2,B80="2012-2013",E80="",G80="PLN03"),H80,"")</f>
        <v/>
      </c>
      <c r="AC80" s="42" t="str">
        <f>IF(AND(C80=Master!$H$3,B80="2012-2013",E80&gt;1000,G80="PLN03"),H80,"")</f>
        <v/>
      </c>
      <c r="AD80" s="42" t="str">
        <f>IF(AND(C80=Master!$H$3,B80="2012-2013",E80="",G80="PLN03"),H80,"")</f>
        <v/>
      </c>
      <c r="AE80" s="42" t="str">
        <f>IF(AND(C80=Master!$H$4,B80="2012-2013",E80&gt;1000,G80="PLN03"),H80,"")</f>
        <v/>
      </c>
      <c r="AF80" s="42" t="str">
        <f>IF(AND(C80=Master!$H$4,B80="2012-2013",E80="",G80="PLN03"),H80,"")</f>
        <v/>
      </c>
      <c r="AG80" s="42" t="str">
        <f>IF(AND(C80=Master!$H$5,B80="2012-2013",E80&gt;1000,G80="PLN03"),H80,"")</f>
        <v/>
      </c>
      <c r="AH80" s="42" t="str">
        <f>IF(AND(C80=Master!$H$5,B80="2012-2013",E80="",G80="PLN03"),H80,"")</f>
        <v/>
      </c>
      <c r="AI80" s="42" t="str">
        <f>IF(AND(C80=Master!$H$6,B80="2012-2013",E80&gt;1000,G80="PLN03"),H80,"")</f>
        <v/>
      </c>
      <c r="AJ80" s="42" t="str">
        <f>IF(AND(C80=Master!$H$6,B80="2012-2013",E80="",G80="PLN03"),H80,"")</f>
        <v/>
      </c>
      <c r="AK80" s="42" t="str">
        <f>IF(AND(C80=Master!$H$7,B80="2012-2013",E80&gt;1000,G80="PLN03"),H80,"")</f>
        <v/>
      </c>
      <c r="AL80" s="42" t="str">
        <f>IF(AND(C80=Master!$H$7,B80="2012-2013",E80="",G80="PLN03"),H80,"")</f>
        <v/>
      </c>
      <c r="AM80" s="42" t="str">
        <f>IF(AND(C80=Master!$H$8,B80="2012-2013",E80&gt;1000,G80="PLN03"),H80,"")</f>
        <v/>
      </c>
      <c r="AN80" s="42" t="str">
        <f>IF(AND(C80=Master!$H$8,B80="2012-2013",E80="",G80="PLN03"),H80,"")</f>
        <v/>
      </c>
      <c r="AO80" s="42" t="str">
        <f>IF(AND(C80=Master!$H$9,B80="2012-2013",E80&gt;1000,G80="PLN03"),H80,"")</f>
        <v/>
      </c>
      <c r="AP80" s="42" t="str">
        <f>IF(AND(C80=Master!$H$9,B80="2012-2013",E80="",G80="PLN03"),H80,"")</f>
        <v/>
      </c>
      <c r="AQ80" s="44" t="str">
        <f>IF(AND(C80=Master!$H$1,B80="2012-2013",E80&gt;1000,G80="NPN05"),H80,"")</f>
        <v/>
      </c>
      <c r="AR80" s="44" t="str">
        <f>IF(AND(C80=Master!$H$1,B80="2012-2013",E80="",G80="NPN05"),H80,"")</f>
        <v/>
      </c>
      <c r="AS80" s="44" t="str">
        <f>IF(AND(C80=Master!$H$2,B80="2012-2013",E80&gt;1000,G80="NPN05"),H80,"")</f>
        <v/>
      </c>
      <c r="AT80" s="44" t="str">
        <f>IF(AND(C80=Master!$H$2,B80="2012-2013",E80="",G80="NPN05"),H80,"")</f>
        <v/>
      </c>
      <c r="AU80" s="44" t="str">
        <f>IF(AND(C80=Master!$H$3,B80="2012-2013",E80&gt;1000,G80="NPN05"),H80,"")</f>
        <v/>
      </c>
      <c r="AV80" s="44" t="str">
        <f>IF(AND(C80=Master!$H$3,B80="2012-2013",E80="",G80="NPN05"),H80,"")</f>
        <v/>
      </c>
      <c r="AW80" s="44" t="str">
        <f>IF(AND(C80=Master!$H$4,B80="2012-2013",E80&gt;1000,G80="NPN05"),H80,"")</f>
        <v/>
      </c>
      <c r="AX80" s="44" t="str">
        <f>IF(AND(C80=Master!$H$4,B80="2012-2013",E80="",G80="NPN05"),H80,"")</f>
        <v/>
      </c>
      <c r="AY80" s="44" t="str">
        <f>IF(AND(C80=Master!$H$5,B80="2012-2013",E80&gt;1000,G80="NPN05"),H80,"")</f>
        <v/>
      </c>
      <c r="AZ80" s="44" t="str">
        <f>IF(AND(C80=Master!$H$5,B80="2012-2013",E80="",G80="NPN05"),H80,"")</f>
        <v/>
      </c>
      <c r="BA80" s="44" t="str">
        <f>IF(AND(C80=Master!$H$6,B80="2012-2013",E80&gt;1000,G80="NPN05"),H80,"")</f>
        <v/>
      </c>
      <c r="BB80" s="44" t="str">
        <f>IF(AND(C80=Master!$H$6,B80="2012-2013",E80="",G80="NPN05"),H80,"")</f>
        <v/>
      </c>
      <c r="BC80" s="44" t="str">
        <f>IF(AND(C80=Master!$H$7,B80="2012-2013",E80&gt;1000,G80="NPN05"),H80,"")</f>
        <v/>
      </c>
      <c r="BD80" s="44" t="str">
        <f>IF(AND(C80=Master!$H$7,B80="2012-2013",E80="",G80="NPN05"),H80,"")</f>
        <v/>
      </c>
      <c r="BE80" s="44" t="str">
        <f>IF(AND(C80=Master!$H$8,B80="2012-2013",E80&gt;1000,G80="NPN05"),H80,"")</f>
        <v/>
      </c>
      <c r="BF80" s="44" t="str">
        <f>IF(AND(C80=Master!$H$8,B80="2012-2013",E80="",G80="NPN05"),H80,"")</f>
        <v/>
      </c>
      <c r="BG80" s="44" t="str">
        <f>IF(AND(C80=Master!$H$9,B80="2012-2013",E80&gt;1000,G80="NPN05"),H80,"")</f>
        <v/>
      </c>
      <c r="BH80" s="44" t="str">
        <f>IF(AND(C80=Master!$H$9,B80="2012-2013",E80="",G80="NPN05"),H80,"")</f>
        <v/>
      </c>
    </row>
    <row r="81" spans="1:60" x14ac:dyDescent="0.25">
      <c r="A81" s="3">
        <v>79</v>
      </c>
      <c r="B81" s="12"/>
      <c r="C81" s="12"/>
      <c r="D81" s="31"/>
      <c r="E81" s="4"/>
      <c r="F81" s="13"/>
      <c r="G81" s="21"/>
      <c r="H81" s="35"/>
      <c r="I81" s="27"/>
      <c r="J81" s="25" t="str">
        <f>IF(NOT(I81=""),INDEX(Master!$B$1:$B$46,MATCH(I81,Master!$A$1:$A$46,0)),"")</f>
        <v/>
      </c>
      <c r="K81" s="18"/>
      <c r="L81" s="86"/>
      <c r="M81" s="13"/>
      <c r="N81" s="13"/>
      <c r="O81" s="18"/>
      <c r="P81" s="35"/>
      <c r="Q81" s="21"/>
      <c r="R81" s="21"/>
      <c r="S81" s="13"/>
      <c r="T81" s="12"/>
      <c r="U81" s="12"/>
      <c r="V81" s="12"/>
      <c r="W81" s="14"/>
      <c r="Y81" s="42" t="str">
        <f>IF(AND(C81=Master!$H$1,B81="2012-2013",E81&gt;1000,G81="PLN03"),H81,"")</f>
        <v/>
      </c>
      <c r="Z81" s="42" t="str">
        <f>IF(AND(C81=Master!$H$1,B81="2012-2013",E81="",G81="PLN03"),H81,"")</f>
        <v/>
      </c>
      <c r="AA81" s="42" t="str">
        <f>IF(AND(C81=Master!$H$2,B81="2012-2013",E81&gt;1000,G81="PLN03"),H81,"")</f>
        <v/>
      </c>
      <c r="AB81" s="42" t="str">
        <f>IF(AND(C81=Master!$H$2,B81="2012-2013",E81="",G81="PLN03"),H81,"")</f>
        <v/>
      </c>
      <c r="AC81" s="42" t="str">
        <f>IF(AND(C81=Master!$H$3,B81="2012-2013",E81&gt;1000,G81="PLN03"),H81,"")</f>
        <v/>
      </c>
      <c r="AD81" s="42" t="str">
        <f>IF(AND(C81=Master!$H$3,B81="2012-2013",E81="",G81="PLN03"),H81,"")</f>
        <v/>
      </c>
      <c r="AE81" s="42" t="str">
        <f>IF(AND(C81=Master!$H$4,B81="2012-2013",E81&gt;1000,G81="PLN03"),H81,"")</f>
        <v/>
      </c>
      <c r="AF81" s="42" t="str">
        <f>IF(AND(C81=Master!$H$4,B81="2012-2013",E81="",G81="PLN03"),H81,"")</f>
        <v/>
      </c>
      <c r="AG81" s="42" t="str">
        <f>IF(AND(C81=Master!$H$5,B81="2012-2013",E81&gt;1000,G81="PLN03"),H81,"")</f>
        <v/>
      </c>
      <c r="AH81" s="42" t="str">
        <f>IF(AND(C81=Master!$H$5,B81="2012-2013",E81="",G81="PLN03"),H81,"")</f>
        <v/>
      </c>
      <c r="AI81" s="42" t="str">
        <f>IF(AND(C81=Master!$H$6,B81="2012-2013",E81&gt;1000,G81="PLN03"),H81,"")</f>
        <v/>
      </c>
      <c r="AJ81" s="42" t="str">
        <f>IF(AND(C81=Master!$H$6,B81="2012-2013",E81="",G81="PLN03"),H81,"")</f>
        <v/>
      </c>
      <c r="AK81" s="42" t="str">
        <f>IF(AND(C81=Master!$H$7,B81="2012-2013",E81&gt;1000,G81="PLN03"),H81,"")</f>
        <v/>
      </c>
      <c r="AL81" s="42" t="str">
        <f>IF(AND(C81=Master!$H$7,B81="2012-2013",E81="",G81="PLN03"),H81,"")</f>
        <v/>
      </c>
      <c r="AM81" s="42" t="str">
        <f>IF(AND(C81=Master!$H$8,B81="2012-2013",E81&gt;1000,G81="PLN03"),H81,"")</f>
        <v/>
      </c>
      <c r="AN81" s="42" t="str">
        <f>IF(AND(C81=Master!$H$8,B81="2012-2013",E81="",G81="PLN03"),H81,"")</f>
        <v/>
      </c>
      <c r="AO81" s="42" t="str">
        <f>IF(AND(C81=Master!$H$9,B81="2012-2013",E81&gt;1000,G81="PLN03"),H81,"")</f>
        <v/>
      </c>
      <c r="AP81" s="42" t="str">
        <f>IF(AND(C81=Master!$H$9,B81="2012-2013",E81="",G81="PLN03"),H81,"")</f>
        <v/>
      </c>
      <c r="AQ81" s="44" t="str">
        <f>IF(AND(C81=Master!$H$1,B81="2012-2013",E81&gt;1000,G81="NPN05"),H81,"")</f>
        <v/>
      </c>
      <c r="AR81" s="44" t="str">
        <f>IF(AND(C81=Master!$H$1,B81="2012-2013",E81="",G81="NPN05"),H81,"")</f>
        <v/>
      </c>
      <c r="AS81" s="44" t="str">
        <f>IF(AND(C81=Master!$H$2,B81="2012-2013",E81&gt;1000,G81="NPN05"),H81,"")</f>
        <v/>
      </c>
      <c r="AT81" s="44" t="str">
        <f>IF(AND(C81=Master!$H$2,B81="2012-2013",E81="",G81="NPN05"),H81,"")</f>
        <v/>
      </c>
      <c r="AU81" s="44" t="str">
        <f>IF(AND(C81=Master!$H$3,B81="2012-2013",E81&gt;1000,G81="NPN05"),H81,"")</f>
        <v/>
      </c>
      <c r="AV81" s="44" t="str">
        <f>IF(AND(C81=Master!$H$3,B81="2012-2013",E81="",G81="NPN05"),H81,"")</f>
        <v/>
      </c>
      <c r="AW81" s="44" t="str">
        <f>IF(AND(C81=Master!$H$4,B81="2012-2013",E81&gt;1000,G81="NPN05"),H81,"")</f>
        <v/>
      </c>
      <c r="AX81" s="44" t="str">
        <f>IF(AND(C81=Master!$H$4,B81="2012-2013",E81="",G81="NPN05"),H81,"")</f>
        <v/>
      </c>
      <c r="AY81" s="44" t="str">
        <f>IF(AND(C81=Master!$H$5,B81="2012-2013",E81&gt;1000,G81="NPN05"),H81,"")</f>
        <v/>
      </c>
      <c r="AZ81" s="44" t="str">
        <f>IF(AND(C81=Master!$H$5,B81="2012-2013",E81="",G81="NPN05"),H81,"")</f>
        <v/>
      </c>
      <c r="BA81" s="44" t="str">
        <f>IF(AND(C81=Master!$H$6,B81="2012-2013",E81&gt;1000,G81="NPN05"),H81,"")</f>
        <v/>
      </c>
      <c r="BB81" s="44" t="str">
        <f>IF(AND(C81=Master!$H$6,B81="2012-2013",E81="",G81="NPN05"),H81,"")</f>
        <v/>
      </c>
      <c r="BC81" s="44" t="str">
        <f>IF(AND(C81=Master!$H$7,B81="2012-2013",E81&gt;1000,G81="NPN05"),H81,"")</f>
        <v/>
      </c>
      <c r="BD81" s="44" t="str">
        <f>IF(AND(C81=Master!$H$7,B81="2012-2013",E81="",G81="NPN05"),H81,"")</f>
        <v/>
      </c>
      <c r="BE81" s="44" t="str">
        <f>IF(AND(C81=Master!$H$8,B81="2012-2013",E81&gt;1000,G81="NPN05"),H81,"")</f>
        <v/>
      </c>
      <c r="BF81" s="44" t="str">
        <f>IF(AND(C81=Master!$H$8,B81="2012-2013",E81="",G81="NPN05"),H81,"")</f>
        <v/>
      </c>
      <c r="BG81" s="44" t="str">
        <f>IF(AND(C81=Master!$H$9,B81="2012-2013",E81&gt;1000,G81="NPN05"),H81,"")</f>
        <v/>
      </c>
      <c r="BH81" s="44" t="str">
        <f>IF(AND(C81=Master!$H$9,B81="2012-2013",E81="",G81="NPN05"),H81,"")</f>
        <v/>
      </c>
    </row>
    <row r="82" spans="1:60" x14ac:dyDescent="0.25">
      <c r="A82" s="3">
        <v>80</v>
      </c>
      <c r="B82" s="12"/>
      <c r="C82" s="12"/>
      <c r="D82" s="31"/>
      <c r="E82" s="4"/>
      <c r="F82" s="13"/>
      <c r="G82" s="21"/>
      <c r="H82" s="35"/>
      <c r="I82" s="27"/>
      <c r="J82" s="25" t="str">
        <f>IF(NOT(I82=""),INDEX(Master!$B$1:$B$46,MATCH(I82,Master!$A$1:$A$46,0)),"")</f>
        <v/>
      </c>
      <c r="K82" s="18"/>
      <c r="L82" s="86"/>
      <c r="M82" s="13"/>
      <c r="N82" s="13"/>
      <c r="O82" s="18"/>
      <c r="P82" s="35"/>
      <c r="Q82" s="21"/>
      <c r="R82" s="21"/>
      <c r="S82" s="13"/>
      <c r="T82" s="12"/>
      <c r="U82" s="12"/>
      <c r="V82" s="12"/>
      <c r="W82" s="14"/>
      <c r="Y82" s="42" t="str">
        <f>IF(AND(C82=Master!$H$1,B82="2012-2013",E82&gt;1000,G82="PLN03"),H82,"")</f>
        <v/>
      </c>
      <c r="Z82" s="42" t="str">
        <f>IF(AND(C82=Master!$H$1,B82="2012-2013",E82="",G82="PLN03"),H82,"")</f>
        <v/>
      </c>
      <c r="AA82" s="42" t="str">
        <f>IF(AND(C82=Master!$H$2,B82="2012-2013",E82&gt;1000,G82="PLN03"),H82,"")</f>
        <v/>
      </c>
      <c r="AB82" s="42" t="str">
        <f>IF(AND(C82=Master!$H$2,B82="2012-2013",E82="",G82="PLN03"),H82,"")</f>
        <v/>
      </c>
      <c r="AC82" s="42" t="str">
        <f>IF(AND(C82=Master!$H$3,B82="2012-2013",E82&gt;1000,G82="PLN03"),H82,"")</f>
        <v/>
      </c>
      <c r="AD82" s="42" t="str">
        <f>IF(AND(C82=Master!$H$3,B82="2012-2013",E82="",G82="PLN03"),H82,"")</f>
        <v/>
      </c>
      <c r="AE82" s="42" t="str">
        <f>IF(AND(C82=Master!$H$4,B82="2012-2013",E82&gt;1000,G82="PLN03"),H82,"")</f>
        <v/>
      </c>
      <c r="AF82" s="42" t="str">
        <f>IF(AND(C82=Master!$H$4,B82="2012-2013",E82="",G82="PLN03"),H82,"")</f>
        <v/>
      </c>
      <c r="AG82" s="42" t="str">
        <f>IF(AND(C82=Master!$H$5,B82="2012-2013",E82&gt;1000,G82="PLN03"),H82,"")</f>
        <v/>
      </c>
      <c r="AH82" s="42" t="str">
        <f>IF(AND(C82=Master!$H$5,B82="2012-2013",E82="",G82="PLN03"),H82,"")</f>
        <v/>
      </c>
      <c r="AI82" s="42" t="str">
        <f>IF(AND(C82=Master!$H$6,B82="2012-2013",E82&gt;1000,G82="PLN03"),H82,"")</f>
        <v/>
      </c>
      <c r="AJ82" s="42" t="str">
        <f>IF(AND(C82=Master!$H$6,B82="2012-2013",E82="",G82="PLN03"),H82,"")</f>
        <v/>
      </c>
      <c r="AK82" s="42" t="str">
        <f>IF(AND(C82=Master!$H$7,B82="2012-2013",E82&gt;1000,G82="PLN03"),H82,"")</f>
        <v/>
      </c>
      <c r="AL82" s="42" t="str">
        <f>IF(AND(C82=Master!$H$7,B82="2012-2013",E82="",G82="PLN03"),H82,"")</f>
        <v/>
      </c>
      <c r="AM82" s="42" t="str">
        <f>IF(AND(C82=Master!$H$8,B82="2012-2013",E82&gt;1000,G82="PLN03"),H82,"")</f>
        <v/>
      </c>
      <c r="AN82" s="42" t="str">
        <f>IF(AND(C82=Master!$H$8,B82="2012-2013",E82="",G82="PLN03"),H82,"")</f>
        <v/>
      </c>
      <c r="AO82" s="42" t="str">
        <f>IF(AND(C82=Master!$H$9,B82="2012-2013",E82&gt;1000,G82="PLN03"),H82,"")</f>
        <v/>
      </c>
      <c r="AP82" s="42" t="str">
        <f>IF(AND(C82=Master!$H$9,B82="2012-2013",E82="",G82="PLN03"),H82,"")</f>
        <v/>
      </c>
      <c r="AQ82" s="44" t="str">
        <f>IF(AND(C82=Master!$H$1,B82="2012-2013",E82&gt;1000,G82="NPN05"),H82,"")</f>
        <v/>
      </c>
      <c r="AR82" s="44" t="str">
        <f>IF(AND(C82=Master!$H$1,B82="2012-2013",E82="",G82="NPN05"),H82,"")</f>
        <v/>
      </c>
      <c r="AS82" s="44" t="str">
        <f>IF(AND(C82=Master!$H$2,B82="2012-2013",E82&gt;1000,G82="NPN05"),H82,"")</f>
        <v/>
      </c>
      <c r="AT82" s="44" t="str">
        <f>IF(AND(C82=Master!$H$2,B82="2012-2013",E82="",G82="NPN05"),H82,"")</f>
        <v/>
      </c>
      <c r="AU82" s="44" t="str">
        <f>IF(AND(C82=Master!$H$3,B82="2012-2013",E82&gt;1000,G82="NPN05"),H82,"")</f>
        <v/>
      </c>
      <c r="AV82" s="44" t="str">
        <f>IF(AND(C82=Master!$H$3,B82="2012-2013",E82="",G82="NPN05"),H82,"")</f>
        <v/>
      </c>
      <c r="AW82" s="44" t="str">
        <f>IF(AND(C82=Master!$H$4,B82="2012-2013",E82&gt;1000,G82="NPN05"),H82,"")</f>
        <v/>
      </c>
      <c r="AX82" s="44" t="str">
        <f>IF(AND(C82=Master!$H$4,B82="2012-2013",E82="",G82="NPN05"),H82,"")</f>
        <v/>
      </c>
      <c r="AY82" s="44" t="str">
        <f>IF(AND(C82=Master!$H$5,B82="2012-2013",E82&gt;1000,G82="NPN05"),H82,"")</f>
        <v/>
      </c>
      <c r="AZ82" s="44" t="str">
        <f>IF(AND(C82=Master!$H$5,B82="2012-2013",E82="",G82="NPN05"),H82,"")</f>
        <v/>
      </c>
      <c r="BA82" s="44" t="str">
        <f>IF(AND(C82=Master!$H$6,B82="2012-2013",E82&gt;1000,G82="NPN05"),H82,"")</f>
        <v/>
      </c>
      <c r="BB82" s="44" t="str">
        <f>IF(AND(C82=Master!$H$6,B82="2012-2013",E82="",G82="NPN05"),H82,"")</f>
        <v/>
      </c>
      <c r="BC82" s="44" t="str">
        <f>IF(AND(C82=Master!$H$7,B82="2012-2013",E82&gt;1000,G82="NPN05"),H82,"")</f>
        <v/>
      </c>
      <c r="BD82" s="44" t="str">
        <f>IF(AND(C82=Master!$H$7,B82="2012-2013",E82="",G82="NPN05"),H82,"")</f>
        <v/>
      </c>
      <c r="BE82" s="44" t="str">
        <f>IF(AND(C82=Master!$H$8,B82="2012-2013",E82&gt;1000,G82="NPN05"),H82,"")</f>
        <v/>
      </c>
      <c r="BF82" s="44" t="str">
        <f>IF(AND(C82=Master!$H$8,B82="2012-2013",E82="",G82="NPN05"),H82,"")</f>
        <v/>
      </c>
      <c r="BG82" s="44" t="str">
        <f>IF(AND(C82=Master!$H$9,B82="2012-2013",E82&gt;1000,G82="NPN05"),H82,"")</f>
        <v/>
      </c>
      <c r="BH82" s="44" t="str">
        <f>IF(AND(C82=Master!$H$9,B82="2012-2013",E82="",G82="NPN05"),H82,"")</f>
        <v/>
      </c>
    </row>
    <row r="83" spans="1:60" x14ac:dyDescent="0.25">
      <c r="A83" s="3">
        <v>81</v>
      </c>
      <c r="B83" s="12"/>
      <c r="C83" s="12"/>
      <c r="D83" s="31"/>
      <c r="E83" s="4"/>
      <c r="F83" s="13"/>
      <c r="G83" s="21"/>
      <c r="H83" s="35"/>
      <c r="I83" s="27"/>
      <c r="J83" s="25" t="str">
        <f>IF(NOT(I83=""),INDEX(Master!$B$1:$B$46,MATCH(I83,Master!$A$1:$A$46,0)),"")</f>
        <v/>
      </c>
      <c r="K83" s="18"/>
      <c r="L83" s="86"/>
      <c r="M83" s="13"/>
      <c r="N83" s="13"/>
      <c r="O83" s="18"/>
      <c r="P83" s="35"/>
      <c r="Q83" s="21"/>
      <c r="R83" s="21"/>
      <c r="S83" s="13"/>
      <c r="T83" s="12"/>
      <c r="U83" s="12"/>
      <c r="V83" s="12"/>
      <c r="W83" s="14"/>
      <c r="Y83" s="42" t="str">
        <f>IF(AND(C83=Master!$H$1,B83="2012-2013",E83&gt;1000,G83="PLN03"),H83,"")</f>
        <v/>
      </c>
      <c r="Z83" s="42" t="str">
        <f>IF(AND(C83=Master!$H$1,B83="2012-2013",E83="",G83="PLN03"),H83,"")</f>
        <v/>
      </c>
      <c r="AA83" s="42" t="str">
        <f>IF(AND(C83=Master!$H$2,B83="2012-2013",E83&gt;1000,G83="PLN03"),H83,"")</f>
        <v/>
      </c>
      <c r="AB83" s="42" t="str">
        <f>IF(AND(C83=Master!$H$2,B83="2012-2013",E83="",G83="PLN03"),H83,"")</f>
        <v/>
      </c>
      <c r="AC83" s="42" t="str">
        <f>IF(AND(C83=Master!$H$3,B83="2012-2013",E83&gt;1000,G83="PLN03"),H83,"")</f>
        <v/>
      </c>
      <c r="AD83" s="42" t="str">
        <f>IF(AND(C83=Master!$H$3,B83="2012-2013",E83="",G83="PLN03"),H83,"")</f>
        <v/>
      </c>
      <c r="AE83" s="42" t="str">
        <f>IF(AND(C83=Master!$H$4,B83="2012-2013",E83&gt;1000,G83="PLN03"),H83,"")</f>
        <v/>
      </c>
      <c r="AF83" s="42" t="str">
        <f>IF(AND(C83=Master!$H$4,B83="2012-2013",E83="",G83="PLN03"),H83,"")</f>
        <v/>
      </c>
      <c r="AG83" s="42" t="str">
        <f>IF(AND(C83=Master!$H$5,B83="2012-2013",E83&gt;1000,G83="PLN03"),H83,"")</f>
        <v/>
      </c>
      <c r="AH83" s="42" t="str">
        <f>IF(AND(C83=Master!$H$5,B83="2012-2013",E83="",G83="PLN03"),H83,"")</f>
        <v/>
      </c>
      <c r="AI83" s="42" t="str">
        <f>IF(AND(C83=Master!$H$6,B83="2012-2013",E83&gt;1000,G83="PLN03"),H83,"")</f>
        <v/>
      </c>
      <c r="AJ83" s="42" t="str">
        <f>IF(AND(C83=Master!$H$6,B83="2012-2013",E83="",G83="PLN03"),H83,"")</f>
        <v/>
      </c>
      <c r="AK83" s="42" t="str">
        <f>IF(AND(C83=Master!$H$7,B83="2012-2013",E83&gt;1000,G83="PLN03"),H83,"")</f>
        <v/>
      </c>
      <c r="AL83" s="42" t="str">
        <f>IF(AND(C83=Master!$H$7,B83="2012-2013",E83="",G83="PLN03"),H83,"")</f>
        <v/>
      </c>
      <c r="AM83" s="42" t="str">
        <f>IF(AND(C83=Master!$H$8,B83="2012-2013",E83&gt;1000,G83="PLN03"),H83,"")</f>
        <v/>
      </c>
      <c r="AN83" s="42" t="str">
        <f>IF(AND(C83=Master!$H$8,B83="2012-2013",E83="",G83="PLN03"),H83,"")</f>
        <v/>
      </c>
      <c r="AO83" s="42" t="str">
        <f>IF(AND(C83=Master!$H$9,B83="2012-2013",E83&gt;1000,G83="PLN03"),H83,"")</f>
        <v/>
      </c>
      <c r="AP83" s="42" t="str">
        <f>IF(AND(C83=Master!$H$9,B83="2012-2013",E83="",G83="PLN03"),H83,"")</f>
        <v/>
      </c>
      <c r="AQ83" s="44" t="str">
        <f>IF(AND(C83=Master!$H$1,B83="2012-2013",E83&gt;1000,G83="NPN05"),H83,"")</f>
        <v/>
      </c>
      <c r="AR83" s="44" t="str">
        <f>IF(AND(C83=Master!$H$1,B83="2012-2013",E83="",G83="NPN05"),H83,"")</f>
        <v/>
      </c>
      <c r="AS83" s="44" t="str">
        <f>IF(AND(C83=Master!$H$2,B83="2012-2013",E83&gt;1000,G83="NPN05"),H83,"")</f>
        <v/>
      </c>
      <c r="AT83" s="44" t="str">
        <f>IF(AND(C83=Master!$H$2,B83="2012-2013",E83="",G83="NPN05"),H83,"")</f>
        <v/>
      </c>
      <c r="AU83" s="44" t="str">
        <f>IF(AND(C83=Master!$H$3,B83="2012-2013",E83&gt;1000,G83="NPN05"),H83,"")</f>
        <v/>
      </c>
      <c r="AV83" s="44" t="str">
        <f>IF(AND(C83=Master!$H$3,B83="2012-2013",E83="",G83="NPN05"),H83,"")</f>
        <v/>
      </c>
      <c r="AW83" s="44" t="str">
        <f>IF(AND(C83=Master!$H$4,B83="2012-2013",E83&gt;1000,G83="NPN05"),H83,"")</f>
        <v/>
      </c>
      <c r="AX83" s="44" t="str">
        <f>IF(AND(C83=Master!$H$4,B83="2012-2013",E83="",G83="NPN05"),H83,"")</f>
        <v/>
      </c>
      <c r="AY83" s="44" t="str">
        <f>IF(AND(C83=Master!$H$5,B83="2012-2013",E83&gt;1000,G83="NPN05"),H83,"")</f>
        <v/>
      </c>
      <c r="AZ83" s="44" t="str">
        <f>IF(AND(C83=Master!$H$5,B83="2012-2013",E83="",G83="NPN05"),H83,"")</f>
        <v/>
      </c>
      <c r="BA83" s="44" t="str">
        <f>IF(AND(C83=Master!$H$6,B83="2012-2013",E83&gt;1000,G83="NPN05"),H83,"")</f>
        <v/>
      </c>
      <c r="BB83" s="44" t="str">
        <f>IF(AND(C83=Master!$H$6,B83="2012-2013",E83="",G83="NPN05"),H83,"")</f>
        <v/>
      </c>
      <c r="BC83" s="44" t="str">
        <f>IF(AND(C83=Master!$H$7,B83="2012-2013",E83&gt;1000,G83="NPN05"),H83,"")</f>
        <v/>
      </c>
      <c r="BD83" s="44" t="str">
        <f>IF(AND(C83=Master!$H$7,B83="2012-2013",E83="",G83="NPN05"),H83,"")</f>
        <v/>
      </c>
      <c r="BE83" s="44" t="str">
        <f>IF(AND(C83=Master!$H$8,B83="2012-2013",E83&gt;1000,G83="NPN05"),H83,"")</f>
        <v/>
      </c>
      <c r="BF83" s="44" t="str">
        <f>IF(AND(C83=Master!$H$8,B83="2012-2013",E83="",G83="NPN05"),H83,"")</f>
        <v/>
      </c>
      <c r="BG83" s="44" t="str">
        <f>IF(AND(C83=Master!$H$9,B83="2012-2013",E83&gt;1000,G83="NPN05"),H83,"")</f>
        <v/>
      </c>
      <c r="BH83" s="44" t="str">
        <f>IF(AND(C83=Master!$H$9,B83="2012-2013",E83="",G83="NPN05"),H83,"")</f>
        <v/>
      </c>
    </row>
    <row r="84" spans="1:60" x14ac:dyDescent="0.25">
      <c r="A84" s="3">
        <v>82</v>
      </c>
      <c r="B84" s="12"/>
      <c r="C84" s="12"/>
      <c r="D84" s="31"/>
      <c r="E84" s="4"/>
      <c r="F84" s="13"/>
      <c r="G84" s="21"/>
      <c r="H84" s="35"/>
      <c r="I84" s="27"/>
      <c r="J84" s="25" t="str">
        <f>IF(NOT(I84=""),INDEX(Master!$B$1:$B$46,MATCH(I84,Master!$A$1:$A$46,0)),"")</f>
        <v/>
      </c>
      <c r="K84" s="18"/>
      <c r="L84" s="86"/>
      <c r="M84" s="13"/>
      <c r="N84" s="13"/>
      <c r="O84" s="18"/>
      <c r="P84" s="35"/>
      <c r="Q84" s="21"/>
      <c r="R84" s="21"/>
      <c r="S84" s="13"/>
      <c r="T84" s="12"/>
      <c r="U84" s="12"/>
      <c r="V84" s="12"/>
      <c r="W84" s="14"/>
      <c r="Y84" s="42" t="str">
        <f>IF(AND(C84=Master!$H$1,B84="2012-2013",E84&gt;1000,G84="PLN03"),H84,"")</f>
        <v/>
      </c>
      <c r="Z84" s="42" t="str">
        <f>IF(AND(C84=Master!$H$1,B84="2012-2013",E84="",G84="PLN03"),H84,"")</f>
        <v/>
      </c>
      <c r="AA84" s="42" t="str">
        <f>IF(AND(C84=Master!$H$2,B84="2012-2013",E84&gt;1000,G84="PLN03"),H84,"")</f>
        <v/>
      </c>
      <c r="AB84" s="42" t="str">
        <f>IF(AND(C84=Master!$H$2,B84="2012-2013",E84="",G84="PLN03"),H84,"")</f>
        <v/>
      </c>
      <c r="AC84" s="42" t="str">
        <f>IF(AND(C84=Master!$H$3,B84="2012-2013",E84&gt;1000,G84="PLN03"),H84,"")</f>
        <v/>
      </c>
      <c r="AD84" s="42" t="str">
        <f>IF(AND(C84=Master!$H$3,B84="2012-2013",E84="",G84="PLN03"),H84,"")</f>
        <v/>
      </c>
      <c r="AE84" s="42" t="str">
        <f>IF(AND(C84=Master!$H$4,B84="2012-2013",E84&gt;1000,G84="PLN03"),H84,"")</f>
        <v/>
      </c>
      <c r="AF84" s="42" t="str">
        <f>IF(AND(C84=Master!$H$4,B84="2012-2013",E84="",G84="PLN03"),H84,"")</f>
        <v/>
      </c>
      <c r="AG84" s="42" t="str">
        <f>IF(AND(C84=Master!$H$5,B84="2012-2013",E84&gt;1000,G84="PLN03"),H84,"")</f>
        <v/>
      </c>
      <c r="AH84" s="42" t="str">
        <f>IF(AND(C84=Master!$H$5,B84="2012-2013",E84="",G84="PLN03"),H84,"")</f>
        <v/>
      </c>
      <c r="AI84" s="42" t="str">
        <f>IF(AND(C84=Master!$H$6,B84="2012-2013",E84&gt;1000,G84="PLN03"),H84,"")</f>
        <v/>
      </c>
      <c r="AJ84" s="42" t="str">
        <f>IF(AND(C84=Master!$H$6,B84="2012-2013",E84="",G84="PLN03"),H84,"")</f>
        <v/>
      </c>
      <c r="AK84" s="42" t="str">
        <f>IF(AND(C84=Master!$H$7,B84="2012-2013",E84&gt;1000,G84="PLN03"),H84,"")</f>
        <v/>
      </c>
      <c r="AL84" s="42" t="str">
        <f>IF(AND(C84=Master!$H$7,B84="2012-2013",E84="",G84="PLN03"),H84,"")</f>
        <v/>
      </c>
      <c r="AM84" s="42" t="str">
        <f>IF(AND(C84=Master!$H$8,B84="2012-2013",E84&gt;1000,G84="PLN03"),H84,"")</f>
        <v/>
      </c>
      <c r="AN84" s="42" t="str">
        <f>IF(AND(C84=Master!$H$8,B84="2012-2013",E84="",G84="PLN03"),H84,"")</f>
        <v/>
      </c>
      <c r="AO84" s="42" t="str">
        <f>IF(AND(C84=Master!$H$9,B84="2012-2013",E84&gt;1000,G84="PLN03"),H84,"")</f>
        <v/>
      </c>
      <c r="AP84" s="42" t="str">
        <f>IF(AND(C84=Master!$H$9,B84="2012-2013",E84="",G84="PLN03"),H84,"")</f>
        <v/>
      </c>
      <c r="AQ84" s="44" t="str">
        <f>IF(AND(C84=Master!$H$1,B84="2012-2013",E84&gt;1000,G84="NPN05"),H84,"")</f>
        <v/>
      </c>
      <c r="AR84" s="44" t="str">
        <f>IF(AND(C84=Master!$H$1,B84="2012-2013",E84="",G84="NPN05"),H84,"")</f>
        <v/>
      </c>
      <c r="AS84" s="44" t="str">
        <f>IF(AND(C84=Master!$H$2,B84="2012-2013",E84&gt;1000,G84="NPN05"),H84,"")</f>
        <v/>
      </c>
      <c r="AT84" s="44" t="str">
        <f>IF(AND(C84=Master!$H$2,B84="2012-2013",E84="",G84="NPN05"),H84,"")</f>
        <v/>
      </c>
      <c r="AU84" s="44" t="str">
        <f>IF(AND(C84=Master!$H$3,B84="2012-2013",E84&gt;1000,G84="NPN05"),H84,"")</f>
        <v/>
      </c>
      <c r="AV84" s="44" t="str">
        <f>IF(AND(C84=Master!$H$3,B84="2012-2013",E84="",G84="NPN05"),H84,"")</f>
        <v/>
      </c>
      <c r="AW84" s="44" t="str">
        <f>IF(AND(C84=Master!$H$4,B84="2012-2013",E84&gt;1000,G84="NPN05"),H84,"")</f>
        <v/>
      </c>
      <c r="AX84" s="44" t="str">
        <f>IF(AND(C84=Master!$H$4,B84="2012-2013",E84="",G84="NPN05"),H84,"")</f>
        <v/>
      </c>
      <c r="AY84" s="44" t="str">
        <f>IF(AND(C84=Master!$H$5,B84="2012-2013",E84&gt;1000,G84="NPN05"),H84,"")</f>
        <v/>
      </c>
      <c r="AZ84" s="44" t="str">
        <f>IF(AND(C84=Master!$H$5,B84="2012-2013",E84="",G84="NPN05"),H84,"")</f>
        <v/>
      </c>
      <c r="BA84" s="44" t="str">
        <f>IF(AND(C84=Master!$H$6,B84="2012-2013",E84&gt;1000,G84="NPN05"),H84,"")</f>
        <v/>
      </c>
      <c r="BB84" s="44" t="str">
        <f>IF(AND(C84=Master!$H$6,B84="2012-2013",E84="",G84="NPN05"),H84,"")</f>
        <v/>
      </c>
      <c r="BC84" s="44" t="str">
        <f>IF(AND(C84=Master!$H$7,B84="2012-2013",E84&gt;1000,G84="NPN05"),H84,"")</f>
        <v/>
      </c>
      <c r="BD84" s="44" t="str">
        <f>IF(AND(C84=Master!$H$7,B84="2012-2013",E84="",G84="NPN05"),H84,"")</f>
        <v/>
      </c>
      <c r="BE84" s="44" t="str">
        <f>IF(AND(C84=Master!$H$8,B84="2012-2013",E84&gt;1000,G84="NPN05"),H84,"")</f>
        <v/>
      </c>
      <c r="BF84" s="44" t="str">
        <f>IF(AND(C84=Master!$H$8,B84="2012-2013",E84="",G84="NPN05"),H84,"")</f>
        <v/>
      </c>
      <c r="BG84" s="44" t="str">
        <f>IF(AND(C84=Master!$H$9,B84="2012-2013",E84&gt;1000,G84="NPN05"),H84,"")</f>
        <v/>
      </c>
      <c r="BH84" s="44" t="str">
        <f>IF(AND(C84=Master!$H$9,B84="2012-2013",E84="",G84="NPN05"),H84,"")</f>
        <v/>
      </c>
    </row>
    <row r="85" spans="1:60" x14ac:dyDescent="0.25">
      <c r="A85" s="3">
        <v>83</v>
      </c>
      <c r="B85" s="12"/>
      <c r="C85" s="12"/>
      <c r="D85" s="31"/>
      <c r="E85" s="4"/>
      <c r="F85" s="13"/>
      <c r="G85" s="21"/>
      <c r="H85" s="35"/>
      <c r="I85" s="27"/>
      <c r="J85" s="25" t="str">
        <f>IF(NOT(I85=""),INDEX(Master!$B$1:$B$46,MATCH(I85,Master!$A$1:$A$46,0)),"")</f>
        <v/>
      </c>
      <c r="K85" s="18"/>
      <c r="L85" s="86"/>
      <c r="M85" s="13"/>
      <c r="N85" s="13"/>
      <c r="O85" s="18"/>
      <c r="P85" s="35"/>
      <c r="Q85" s="21"/>
      <c r="R85" s="21"/>
      <c r="S85" s="13"/>
      <c r="T85" s="12"/>
      <c r="U85" s="12"/>
      <c r="V85" s="12"/>
      <c r="W85" s="14"/>
      <c r="Y85" s="42" t="str">
        <f>IF(AND(C85=Master!$H$1,B85="2012-2013",E85&gt;1000,G85="PLN03"),H85,"")</f>
        <v/>
      </c>
      <c r="Z85" s="42" t="str">
        <f>IF(AND(C85=Master!$H$1,B85="2012-2013",E85="",G85="PLN03"),H85,"")</f>
        <v/>
      </c>
      <c r="AA85" s="42" t="str">
        <f>IF(AND(C85=Master!$H$2,B85="2012-2013",E85&gt;1000,G85="PLN03"),H85,"")</f>
        <v/>
      </c>
      <c r="AB85" s="42" t="str">
        <f>IF(AND(C85=Master!$H$2,B85="2012-2013",E85="",G85="PLN03"),H85,"")</f>
        <v/>
      </c>
      <c r="AC85" s="42" t="str">
        <f>IF(AND(C85=Master!$H$3,B85="2012-2013",E85&gt;1000,G85="PLN03"),H85,"")</f>
        <v/>
      </c>
      <c r="AD85" s="42" t="str">
        <f>IF(AND(C85=Master!$H$3,B85="2012-2013",E85="",G85="PLN03"),H85,"")</f>
        <v/>
      </c>
      <c r="AE85" s="42" t="str">
        <f>IF(AND(C85=Master!$H$4,B85="2012-2013",E85&gt;1000,G85="PLN03"),H85,"")</f>
        <v/>
      </c>
      <c r="AF85" s="42" t="str">
        <f>IF(AND(C85=Master!$H$4,B85="2012-2013",E85="",G85="PLN03"),H85,"")</f>
        <v/>
      </c>
      <c r="AG85" s="42" t="str">
        <f>IF(AND(C85=Master!$H$5,B85="2012-2013",E85&gt;1000,G85="PLN03"),H85,"")</f>
        <v/>
      </c>
      <c r="AH85" s="42" t="str">
        <f>IF(AND(C85=Master!$H$5,B85="2012-2013",E85="",G85="PLN03"),H85,"")</f>
        <v/>
      </c>
      <c r="AI85" s="42" t="str">
        <f>IF(AND(C85=Master!$H$6,B85="2012-2013",E85&gt;1000,G85="PLN03"),H85,"")</f>
        <v/>
      </c>
      <c r="AJ85" s="42" t="str">
        <f>IF(AND(C85=Master!$H$6,B85="2012-2013",E85="",G85="PLN03"),H85,"")</f>
        <v/>
      </c>
      <c r="AK85" s="42" t="str">
        <f>IF(AND(C85=Master!$H$7,B85="2012-2013",E85&gt;1000,G85="PLN03"),H85,"")</f>
        <v/>
      </c>
      <c r="AL85" s="42" t="str">
        <f>IF(AND(C85=Master!$H$7,B85="2012-2013",E85="",G85="PLN03"),H85,"")</f>
        <v/>
      </c>
      <c r="AM85" s="42" t="str">
        <f>IF(AND(C85=Master!$H$8,B85="2012-2013",E85&gt;1000,G85="PLN03"),H85,"")</f>
        <v/>
      </c>
      <c r="AN85" s="42" t="str">
        <f>IF(AND(C85=Master!$H$8,B85="2012-2013",E85="",G85="PLN03"),H85,"")</f>
        <v/>
      </c>
      <c r="AO85" s="42" t="str">
        <f>IF(AND(C85=Master!$H$9,B85="2012-2013",E85&gt;1000,G85="PLN03"),H85,"")</f>
        <v/>
      </c>
      <c r="AP85" s="42" t="str">
        <f>IF(AND(C85=Master!$H$9,B85="2012-2013",E85="",G85="PLN03"),H85,"")</f>
        <v/>
      </c>
      <c r="AQ85" s="44" t="str">
        <f>IF(AND(C85=Master!$H$1,B85="2012-2013",E85&gt;1000,G85="NPN05"),H85,"")</f>
        <v/>
      </c>
      <c r="AR85" s="44" t="str">
        <f>IF(AND(C85=Master!$H$1,B85="2012-2013",E85="",G85="NPN05"),H85,"")</f>
        <v/>
      </c>
      <c r="AS85" s="44" t="str">
        <f>IF(AND(C85=Master!$H$2,B85="2012-2013",E85&gt;1000,G85="NPN05"),H85,"")</f>
        <v/>
      </c>
      <c r="AT85" s="44" t="str">
        <f>IF(AND(C85=Master!$H$2,B85="2012-2013",E85="",G85="NPN05"),H85,"")</f>
        <v/>
      </c>
      <c r="AU85" s="44" t="str">
        <f>IF(AND(C85=Master!$H$3,B85="2012-2013",E85&gt;1000,G85="NPN05"),H85,"")</f>
        <v/>
      </c>
      <c r="AV85" s="44" t="str">
        <f>IF(AND(C85=Master!$H$3,B85="2012-2013",E85="",G85="NPN05"),H85,"")</f>
        <v/>
      </c>
      <c r="AW85" s="44" t="str">
        <f>IF(AND(C85=Master!$H$4,B85="2012-2013",E85&gt;1000,G85="NPN05"),H85,"")</f>
        <v/>
      </c>
      <c r="AX85" s="44" t="str">
        <f>IF(AND(C85=Master!$H$4,B85="2012-2013",E85="",G85="NPN05"),H85,"")</f>
        <v/>
      </c>
      <c r="AY85" s="44" t="str">
        <f>IF(AND(C85=Master!$H$5,B85="2012-2013",E85&gt;1000,G85="NPN05"),H85,"")</f>
        <v/>
      </c>
      <c r="AZ85" s="44" t="str">
        <f>IF(AND(C85=Master!$H$5,B85="2012-2013",E85="",G85="NPN05"),H85,"")</f>
        <v/>
      </c>
      <c r="BA85" s="44" t="str">
        <f>IF(AND(C85=Master!$H$6,B85="2012-2013",E85&gt;1000,G85="NPN05"),H85,"")</f>
        <v/>
      </c>
      <c r="BB85" s="44" t="str">
        <f>IF(AND(C85=Master!$H$6,B85="2012-2013",E85="",G85="NPN05"),H85,"")</f>
        <v/>
      </c>
      <c r="BC85" s="44" t="str">
        <f>IF(AND(C85=Master!$H$7,B85="2012-2013",E85&gt;1000,G85="NPN05"),H85,"")</f>
        <v/>
      </c>
      <c r="BD85" s="44" t="str">
        <f>IF(AND(C85=Master!$H$7,B85="2012-2013",E85="",G85="NPN05"),H85,"")</f>
        <v/>
      </c>
      <c r="BE85" s="44" t="str">
        <f>IF(AND(C85=Master!$H$8,B85="2012-2013",E85&gt;1000,G85="NPN05"),H85,"")</f>
        <v/>
      </c>
      <c r="BF85" s="44" t="str">
        <f>IF(AND(C85=Master!$H$8,B85="2012-2013",E85="",G85="NPN05"),H85,"")</f>
        <v/>
      </c>
      <c r="BG85" s="44" t="str">
        <f>IF(AND(C85=Master!$H$9,B85="2012-2013",E85&gt;1000,G85="NPN05"),H85,"")</f>
        <v/>
      </c>
      <c r="BH85" s="44" t="str">
        <f>IF(AND(C85=Master!$H$9,B85="2012-2013",E85="",G85="NPN05"),H85,"")</f>
        <v/>
      </c>
    </row>
    <row r="86" spans="1:60" x14ac:dyDescent="0.25">
      <c r="A86" s="3">
        <v>84</v>
      </c>
      <c r="B86" s="12"/>
      <c r="C86" s="12"/>
      <c r="D86" s="31"/>
      <c r="E86" s="4"/>
      <c r="F86" s="13"/>
      <c r="G86" s="21"/>
      <c r="H86" s="35"/>
      <c r="I86" s="27"/>
      <c r="J86" s="25" t="str">
        <f>IF(NOT(I86=""),INDEX(Master!$B$1:$B$46,MATCH(I86,Master!$A$1:$A$46,0)),"")</f>
        <v/>
      </c>
      <c r="K86" s="18"/>
      <c r="L86" s="86"/>
      <c r="M86" s="13"/>
      <c r="N86" s="13"/>
      <c r="O86" s="18"/>
      <c r="P86" s="35"/>
      <c r="Q86" s="21"/>
      <c r="R86" s="21"/>
      <c r="S86" s="13"/>
      <c r="T86" s="12"/>
      <c r="U86" s="12"/>
      <c r="V86" s="12"/>
      <c r="W86" s="14"/>
      <c r="Y86" s="42" t="str">
        <f>IF(AND(C86=Master!$H$1,B86="2012-2013",E86&gt;1000,G86="PLN03"),H86,"")</f>
        <v/>
      </c>
      <c r="Z86" s="42" t="str">
        <f>IF(AND(C86=Master!$H$1,B86="2012-2013",E86="",G86="PLN03"),H86,"")</f>
        <v/>
      </c>
      <c r="AA86" s="42" t="str">
        <f>IF(AND(C86=Master!$H$2,B86="2012-2013",E86&gt;1000,G86="PLN03"),H86,"")</f>
        <v/>
      </c>
      <c r="AB86" s="42" t="str">
        <f>IF(AND(C86=Master!$H$2,B86="2012-2013",E86="",G86="PLN03"),H86,"")</f>
        <v/>
      </c>
      <c r="AC86" s="42" t="str">
        <f>IF(AND(C86=Master!$H$3,B86="2012-2013",E86&gt;1000,G86="PLN03"),H86,"")</f>
        <v/>
      </c>
      <c r="AD86" s="42" t="str">
        <f>IF(AND(C86=Master!$H$3,B86="2012-2013",E86="",G86="PLN03"),H86,"")</f>
        <v/>
      </c>
      <c r="AE86" s="42" t="str">
        <f>IF(AND(C86=Master!$H$4,B86="2012-2013",E86&gt;1000,G86="PLN03"),H86,"")</f>
        <v/>
      </c>
      <c r="AF86" s="42" t="str">
        <f>IF(AND(C86=Master!$H$4,B86="2012-2013",E86="",G86="PLN03"),H86,"")</f>
        <v/>
      </c>
      <c r="AG86" s="42" t="str">
        <f>IF(AND(C86=Master!$H$5,B86="2012-2013",E86&gt;1000,G86="PLN03"),H86,"")</f>
        <v/>
      </c>
      <c r="AH86" s="42" t="str">
        <f>IF(AND(C86=Master!$H$5,B86="2012-2013",E86="",G86="PLN03"),H86,"")</f>
        <v/>
      </c>
      <c r="AI86" s="42" t="str">
        <f>IF(AND(C86=Master!$H$6,B86="2012-2013",E86&gt;1000,G86="PLN03"),H86,"")</f>
        <v/>
      </c>
      <c r="AJ86" s="42" t="str">
        <f>IF(AND(C86=Master!$H$6,B86="2012-2013",E86="",G86="PLN03"),H86,"")</f>
        <v/>
      </c>
      <c r="AK86" s="42" t="str">
        <f>IF(AND(C86=Master!$H$7,B86="2012-2013",E86&gt;1000,G86="PLN03"),H86,"")</f>
        <v/>
      </c>
      <c r="AL86" s="42" t="str">
        <f>IF(AND(C86=Master!$H$7,B86="2012-2013",E86="",G86="PLN03"),H86,"")</f>
        <v/>
      </c>
      <c r="AM86" s="42" t="str">
        <f>IF(AND(C86=Master!$H$8,B86="2012-2013",E86&gt;1000,G86="PLN03"),H86,"")</f>
        <v/>
      </c>
      <c r="AN86" s="42" t="str">
        <f>IF(AND(C86=Master!$H$8,B86="2012-2013",E86="",G86="PLN03"),H86,"")</f>
        <v/>
      </c>
      <c r="AO86" s="42" t="str">
        <f>IF(AND(C86=Master!$H$9,B86="2012-2013",E86&gt;1000,G86="PLN03"),H86,"")</f>
        <v/>
      </c>
      <c r="AP86" s="42" t="str">
        <f>IF(AND(C86=Master!$H$9,B86="2012-2013",E86="",G86="PLN03"),H86,"")</f>
        <v/>
      </c>
      <c r="AQ86" s="44" t="str">
        <f>IF(AND(C86=Master!$H$1,B86="2012-2013",E86&gt;1000,G86="NPN05"),H86,"")</f>
        <v/>
      </c>
      <c r="AR86" s="44" t="str">
        <f>IF(AND(C86=Master!$H$1,B86="2012-2013",E86="",G86="NPN05"),H86,"")</f>
        <v/>
      </c>
      <c r="AS86" s="44" t="str">
        <f>IF(AND(C86=Master!$H$2,B86="2012-2013",E86&gt;1000,G86="NPN05"),H86,"")</f>
        <v/>
      </c>
      <c r="AT86" s="44" t="str">
        <f>IF(AND(C86=Master!$H$2,B86="2012-2013",E86="",G86="NPN05"),H86,"")</f>
        <v/>
      </c>
      <c r="AU86" s="44" t="str">
        <f>IF(AND(C86=Master!$H$3,B86="2012-2013",E86&gt;1000,G86="NPN05"),H86,"")</f>
        <v/>
      </c>
      <c r="AV86" s="44" t="str">
        <f>IF(AND(C86=Master!$H$3,B86="2012-2013",E86="",G86="NPN05"),H86,"")</f>
        <v/>
      </c>
      <c r="AW86" s="44" t="str">
        <f>IF(AND(C86=Master!$H$4,B86="2012-2013",E86&gt;1000,G86="NPN05"),H86,"")</f>
        <v/>
      </c>
      <c r="AX86" s="44" t="str">
        <f>IF(AND(C86=Master!$H$4,B86="2012-2013",E86="",G86="NPN05"),H86,"")</f>
        <v/>
      </c>
      <c r="AY86" s="44" t="str">
        <f>IF(AND(C86=Master!$H$5,B86="2012-2013",E86&gt;1000,G86="NPN05"),H86,"")</f>
        <v/>
      </c>
      <c r="AZ86" s="44" t="str">
        <f>IF(AND(C86=Master!$H$5,B86="2012-2013",E86="",G86="NPN05"),H86,"")</f>
        <v/>
      </c>
      <c r="BA86" s="44" t="str">
        <f>IF(AND(C86=Master!$H$6,B86="2012-2013",E86&gt;1000,G86="NPN05"),H86,"")</f>
        <v/>
      </c>
      <c r="BB86" s="44" t="str">
        <f>IF(AND(C86=Master!$H$6,B86="2012-2013",E86="",G86="NPN05"),H86,"")</f>
        <v/>
      </c>
      <c r="BC86" s="44" t="str">
        <f>IF(AND(C86=Master!$H$7,B86="2012-2013",E86&gt;1000,G86="NPN05"),H86,"")</f>
        <v/>
      </c>
      <c r="BD86" s="44" t="str">
        <f>IF(AND(C86=Master!$H$7,B86="2012-2013",E86="",G86="NPN05"),H86,"")</f>
        <v/>
      </c>
      <c r="BE86" s="44" t="str">
        <f>IF(AND(C86=Master!$H$8,B86="2012-2013",E86&gt;1000,G86="NPN05"),H86,"")</f>
        <v/>
      </c>
      <c r="BF86" s="44" t="str">
        <f>IF(AND(C86=Master!$H$8,B86="2012-2013",E86="",G86="NPN05"),H86,"")</f>
        <v/>
      </c>
      <c r="BG86" s="44" t="str">
        <f>IF(AND(C86=Master!$H$9,B86="2012-2013",E86&gt;1000,G86="NPN05"),H86,"")</f>
        <v/>
      </c>
      <c r="BH86" s="44" t="str">
        <f>IF(AND(C86=Master!$H$9,B86="2012-2013",E86="",G86="NPN05"),H86,"")</f>
        <v/>
      </c>
    </row>
    <row r="87" spans="1:60" x14ac:dyDescent="0.25">
      <c r="A87" s="3">
        <v>85</v>
      </c>
      <c r="B87" s="12"/>
      <c r="C87" s="12"/>
      <c r="D87" s="31"/>
      <c r="E87" s="4"/>
      <c r="F87" s="13"/>
      <c r="G87" s="21"/>
      <c r="H87" s="35"/>
      <c r="I87" s="27"/>
      <c r="J87" s="25" t="str">
        <f>IF(NOT(I87=""),INDEX(Master!$B$1:$B$46,MATCH(I87,Master!$A$1:$A$46,0)),"")</f>
        <v/>
      </c>
      <c r="K87" s="18"/>
      <c r="L87" s="86"/>
      <c r="M87" s="13"/>
      <c r="N87" s="13"/>
      <c r="O87" s="18"/>
      <c r="P87" s="35"/>
      <c r="Q87" s="21"/>
      <c r="R87" s="21"/>
      <c r="S87" s="13"/>
      <c r="T87" s="12"/>
      <c r="U87" s="12"/>
      <c r="V87" s="12"/>
      <c r="W87" s="14"/>
      <c r="Y87" s="42" t="str">
        <f>IF(AND(C87=Master!$H$1,B87="2012-2013",E87&gt;1000,G87="PLN03"),H87,"")</f>
        <v/>
      </c>
      <c r="Z87" s="42" t="str">
        <f>IF(AND(C87=Master!$H$1,B87="2012-2013",E87="",G87="PLN03"),H87,"")</f>
        <v/>
      </c>
      <c r="AA87" s="42" t="str">
        <f>IF(AND(C87=Master!$H$2,B87="2012-2013",E87&gt;1000,G87="PLN03"),H87,"")</f>
        <v/>
      </c>
      <c r="AB87" s="42" t="str">
        <f>IF(AND(C87=Master!$H$2,B87="2012-2013",E87="",G87="PLN03"),H87,"")</f>
        <v/>
      </c>
      <c r="AC87" s="42" t="str">
        <f>IF(AND(C87=Master!$H$3,B87="2012-2013",E87&gt;1000,G87="PLN03"),H87,"")</f>
        <v/>
      </c>
      <c r="AD87" s="42" t="str">
        <f>IF(AND(C87=Master!$H$3,B87="2012-2013",E87="",G87="PLN03"),H87,"")</f>
        <v/>
      </c>
      <c r="AE87" s="42" t="str">
        <f>IF(AND(C87=Master!$H$4,B87="2012-2013",E87&gt;1000,G87="PLN03"),H87,"")</f>
        <v/>
      </c>
      <c r="AF87" s="42" t="str">
        <f>IF(AND(C87=Master!$H$4,B87="2012-2013",E87="",G87="PLN03"),H87,"")</f>
        <v/>
      </c>
      <c r="AG87" s="42" t="str">
        <f>IF(AND(C87=Master!$H$5,B87="2012-2013",E87&gt;1000,G87="PLN03"),H87,"")</f>
        <v/>
      </c>
      <c r="AH87" s="42" t="str">
        <f>IF(AND(C87=Master!$H$5,B87="2012-2013",E87="",G87="PLN03"),H87,"")</f>
        <v/>
      </c>
      <c r="AI87" s="42" t="str">
        <f>IF(AND(C87=Master!$H$6,B87="2012-2013",E87&gt;1000,G87="PLN03"),H87,"")</f>
        <v/>
      </c>
      <c r="AJ87" s="42" t="str">
        <f>IF(AND(C87=Master!$H$6,B87="2012-2013",E87="",G87="PLN03"),H87,"")</f>
        <v/>
      </c>
      <c r="AK87" s="42" t="str">
        <f>IF(AND(C87=Master!$H$7,B87="2012-2013",E87&gt;1000,G87="PLN03"),H87,"")</f>
        <v/>
      </c>
      <c r="AL87" s="42" t="str">
        <f>IF(AND(C87=Master!$H$7,B87="2012-2013",E87="",G87="PLN03"),H87,"")</f>
        <v/>
      </c>
      <c r="AM87" s="42" t="str">
        <f>IF(AND(C87=Master!$H$8,B87="2012-2013",E87&gt;1000,G87="PLN03"),H87,"")</f>
        <v/>
      </c>
      <c r="AN87" s="42" t="str">
        <f>IF(AND(C87=Master!$H$8,B87="2012-2013",E87="",G87="PLN03"),H87,"")</f>
        <v/>
      </c>
      <c r="AO87" s="42" t="str">
        <f>IF(AND(C87=Master!$H$9,B87="2012-2013",E87&gt;1000,G87="PLN03"),H87,"")</f>
        <v/>
      </c>
      <c r="AP87" s="42" t="str">
        <f>IF(AND(C87=Master!$H$9,B87="2012-2013",E87="",G87="PLN03"),H87,"")</f>
        <v/>
      </c>
      <c r="AQ87" s="44" t="str">
        <f>IF(AND(C87=Master!$H$1,B87="2012-2013",E87&gt;1000,G87="NPN05"),H87,"")</f>
        <v/>
      </c>
      <c r="AR87" s="44" t="str">
        <f>IF(AND(C87=Master!$H$1,B87="2012-2013",E87="",G87="NPN05"),H87,"")</f>
        <v/>
      </c>
      <c r="AS87" s="44" t="str">
        <f>IF(AND(C87=Master!$H$2,B87="2012-2013",E87&gt;1000,G87="NPN05"),H87,"")</f>
        <v/>
      </c>
      <c r="AT87" s="44" t="str">
        <f>IF(AND(C87=Master!$H$2,B87="2012-2013",E87="",G87="NPN05"),H87,"")</f>
        <v/>
      </c>
      <c r="AU87" s="44" t="str">
        <f>IF(AND(C87=Master!$H$3,B87="2012-2013",E87&gt;1000,G87="NPN05"),H87,"")</f>
        <v/>
      </c>
      <c r="AV87" s="44" t="str">
        <f>IF(AND(C87=Master!$H$3,B87="2012-2013",E87="",G87="NPN05"),H87,"")</f>
        <v/>
      </c>
      <c r="AW87" s="44" t="str">
        <f>IF(AND(C87=Master!$H$4,B87="2012-2013",E87&gt;1000,G87="NPN05"),H87,"")</f>
        <v/>
      </c>
      <c r="AX87" s="44" t="str">
        <f>IF(AND(C87=Master!$H$4,B87="2012-2013",E87="",G87="NPN05"),H87,"")</f>
        <v/>
      </c>
      <c r="AY87" s="44" t="str">
        <f>IF(AND(C87=Master!$H$5,B87="2012-2013",E87&gt;1000,G87="NPN05"),H87,"")</f>
        <v/>
      </c>
      <c r="AZ87" s="44" t="str">
        <f>IF(AND(C87=Master!$H$5,B87="2012-2013",E87="",G87="NPN05"),H87,"")</f>
        <v/>
      </c>
      <c r="BA87" s="44" t="str">
        <f>IF(AND(C87=Master!$H$6,B87="2012-2013",E87&gt;1000,G87="NPN05"),H87,"")</f>
        <v/>
      </c>
      <c r="BB87" s="44" t="str">
        <f>IF(AND(C87=Master!$H$6,B87="2012-2013",E87="",G87="NPN05"),H87,"")</f>
        <v/>
      </c>
      <c r="BC87" s="44" t="str">
        <f>IF(AND(C87=Master!$H$7,B87="2012-2013",E87&gt;1000,G87="NPN05"),H87,"")</f>
        <v/>
      </c>
      <c r="BD87" s="44" t="str">
        <f>IF(AND(C87=Master!$H$7,B87="2012-2013",E87="",G87="NPN05"),H87,"")</f>
        <v/>
      </c>
      <c r="BE87" s="44" t="str">
        <f>IF(AND(C87=Master!$H$8,B87="2012-2013",E87&gt;1000,G87="NPN05"),H87,"")</f>
        <v/>
      </c>
      <c r="BF87" s="44" t="str">
        <f>IF(AND(C87=Master!$H$8,B87="2012-2013",E87="",G87="NPN05"),H87,"")</f>
        <v/>
      </c>
      <c r="BG87" s="44" t="str">
        <f>IF(AND(C87=Master!$H$9,B87="2012-2013",E87&gt;1000,G87="NPN05"),H87,"")</f>
        <v/>
      </c>
      <c r="BH87" s="44" t="str">
        <f>IF(AND(C87=Master!$H$9,B87="2012-2013",E87="",G87="NPN05"),H87,"")</f>
        <v/>
      </c>
    </row>
    <row r="88" spans="1:60" x14ac:dyDescent="0.25">
      <c r="A88" s="3">
        <v>86</v>
      </c>
      <c r="B88" s="12"/>
      <c r="C88" s="12"/>
      <c r="D88" s="31"/>
      <c r="E88" s="4"/>
      <c r="F88" s="13"/>
      <c r="G88" s="21"/>
      <c r="H88" s="35"/>
      <c r="I88" s="27"/>
      <c r="J88" s="25" t="str">
        <f>IF(NOT(I88=""),INDEX(Master!$B$1:$B$46,MATCH(I88,Master!$A$1:$A$46,0)),"")</f>
        <v/>
      </c>
      <c r="K88" s="18"/>
      <c r="L88" s="86"/>
      <c r="M88" s="13"/>
      <c r="N88" s="13"/>
      <c r="O88" s="18"/>
      <c r="P88" s="35"/>
      <c r="Q88" s="21"/>
      <c r="R88" s="21"/>
      <c r="S88" s="13"/>
      <c r="T88" s="12"/>
      <c r="U88" s="12"/>
      <c r="V88" s="12"/>
      <c r="W88" s="14"/>
      <c r="Y88" s="42" t="str">
        <f>IF(AND(C88=Master!$H$1,B88="2012-2013",E88&gt;1000,G88="PLN03"),H88,"")</f>
        <v/>
      </c>
      <c r="Z88" s="42" t="str">
        <f>IF(AND(C88=Master!$H$1,B88="2012-2013",E88="",G88="PLN03"),H88,"")</f>
        <v/>
      </c>
      <c r="AA88" s="42" t="str">
        <f>IF(AND(C88=Master!$H$2,B88="2012-2013",E88&gt;1000,G88="PLN03"),H88,"")</f>
        <v/>
      </c>
      <c r="AB88" s="42" t="str">
        <f>IF(AND(C88=Master!$H$2,B88="2012-2013",E88="",G88="PLN03"),H88,"")</f>
        <v/>
      </c>
      <c r="AC88" s="42" t="str">
        <f>IF(AND(C88=Master!$H$3,B88="2012-2013",E88&gt;1000,G88="PLN03"),H88,"")</f>
        <v/>
      </c>
      <c r="AD88" s="42" t="str">
        <f>IF(AND(C88=Master!$H$3,B88="2012-2013",E88="",G88="PLN03"),H88,"")</f>
        <v/>
      </c>
      <c r="AE88" s="42" t="str">
        <f>IF(AND(C88=Master!$H$4,B88="2012-2013",E88&gt;1000,G88="PLN03"),H88,"")</f>
        <v/>
      </c>
      <c r="AF88" s="42" t="str">
        <f>IF(AND(C88=Master!$H$4,B88="2012-2013",E88="",G88="PLN03"),H88,"")</f>
        <v/>
      </c>
      <c r="AG88" s="42" t="str">
        <f>IF(AND(C88=Master!$H$5,B88="2012-2013",E88&gt;1000,G88="PLN03"),H88,"")</f>
        <v/>
      </c>
      <c r="AH88" s="42" t="str">
        <f>IF(AND(C88=Master!$H$5,B88="2012-2013",E88="",G88="PLN03"),H88,"")</f>
        <v/>
      </c>
      <c r="AI88" s="42" t="str">
        <f>IF(AND(C88=Master!$H$6,B88="2012-2013",E88&gt;1000,G88="PLN03"),H88,"")</f>
        <v/>
      </c>
      <c r="AJ88" s="42" t="str">
        <f>IF(AND(C88=Master!$H$6,B88="2012-2013",E88="",G88="PLN03"),H88,"")</f>
        <v/>
      </c>
      <c r="AK88" s="42" t="str">
        <f>IF(AND(C88=Master!$H$7,B88="2012-2013",E88&gt;1000,G88="PLN03"),H88,"")</f>
        <v/>
      </c>
      <c r="AL88" s="42" t="str">
        <f>IF(AND(C88=Master!$H$7,B88="2012-2013",E88="",G88="PLN03"),H88,"")</f>
        <v/>
      </c>
      <c r="AM88" s="42" t="str">
        <f>IF(AND(C88=Master!$H$8,B88="2012-2013",E88&gt;1000,G88="PLN03"),H88,"")</f>
        <v/>
      </c>
      <c r="AN88" s="42" t="str">
        <f>IF(AND(C88=Master!$H$8,B88="2012-2013",E88="",G88="PLN03"),H88,"")</f>
        <v/>
      </c>
      <c r="AO88" s="42" t="str">
        <f>IF(AND(C88=Master!$H$9,B88="2012-2013",E88&gt;1000,G88="PLN03"),H88,"")</f>
        <v/>
      </c>
      <c r="AP88" s="42" t="str">
        <f>IF(AND(C88=Master!$H$9,B88="2012-2013",E88="",G88="PLN03"),H88,"")</f>
        <v/>
      </c>
      <c r="AQ88" s="44" t="str">
        <f>IF(AND(C88=Master!$H$1,B88="2012-2013",E88&gt;1000,G88="NPN05"),H88,"")</f>
        <v/>
      </c>
      <c r="AR88" s="44" t="str">
        <f>IF(AND(C88=Master!$H$1,B88="2012-2013",E88="",G88="NPN05"),H88,"")</f>
        <v/>
      </c>
      <c r="AS88" s="44" t="str">
        <f>IF(AND(C88=Master!$H$2,B88="2012-2013",E88&gt;1000,G88="NPN05"),H88,"")</f>
        <v/>
      </c>
      <c r="AT88" s="44" t="str">
        <f>IF(AND(C88=Master!$H$2,B88="2012-2013",E88="",G88="NPN05"),H88,"")</f>
        <v/>
      </c>
      <c r="AU88" s="44" t="str">
        <f>IF(AND(C88=Master!$H$3,B88="2012-2013",E88&gt;1000,G88="NPN05"),H88,"")</f>
        <v/>
      </c>
      <c r="AV88" s="44" t="str">
        <f>IF(AND(C88=Master!$H$3,B88="2012-2013",E88="",G88="NPN05"),H88,"")</f>
        <v/>
      </c>
      <c r="AW88" s="44" t="str">
        <f>IF(AND(C88=Master!$H$4,B88="2012-2013",E88&gt;1000,G88="NPN05"),H88,"")</f>
        <v/>
      </c>
      <c r="AX88" s="44" t="str">
        <f>IF(AND(C88=Master!$H$4,B88="2012-2013",E88="",G88="NPN05"),H88,"")</f>
        <v/>
      </c>
      <c r="AY88" s="44" t="str">
        <f>IF(AND(C88=Master!$H$5,B88="2012-2013",E88&gt;1000,G88="NPN05"),H88,"")</f>
        <v/>
      </c>
      <c r="AZ88" s="44" t="str">
        <f>IF(AND(C88=Master!$H$5,B88="2012-2013",E88="",G88="NPN05"),H88,"")</f>
        <v/>
      </c>
      <c r="BA88" s="44" t="str">
        <f>IF(AND(C88=Master!$H$6,B88="2012-2013",E88&gt;1000,G88="NPN05"),H88,"")</f>
        <v/>
      </c>
      <c r="BB88" s="44" t="str">
        <f>IF(AND(C88=Master!$H$6,B88="2012-2013",E88="",G88="NPN05"),H88,"")</f>
        <v/>
      </c>
      <c r="BC88" s="44" t="str">
        <f>IF(AND(C88=Master!$H$7,B88="2012-2013",E88&gt;1000,G88="NPN05"),H88,"")</f>
        <v/>
      </c>
      <c r="BD88" s="44" t="str">
        <f>IF(AND(C88=Master!$H$7,B88="2012-2013",E88="",G88="NPN05"),H88,"")</f>
        <v/>
      </c>
      <c r="BE88" s="44" t="str">
        <f>IF(AND(C88=Master!$H$8,B88="2012-2013",E88&gt;1000,G88="NPN05"),H88,"")</f>
        <v/>
      </c>
      <c r="BF88" s="44" t="str">
        <f>IF(AND(C88=Master!$H$8,B88="2012-2013",E88="",G88="NPN05"),H88,"")</f>
        <v/>
      </c>
      <c r="BG88" s="44" t="str">
        <f>IF(AND(C88=Master!$H$9,B88="2012-2013",E88&gt;1000,G88="NPN05"),H88,"")</f>
        <v/>
      </c>
      <c r="BH88" s="44" t="str">
        <f>IF(AND(C88=Master!$H$9,B88="2012-2013",E88="",G88="NPN05"),H88,"")</f>
        <v/>
      </c>
    </row>
    <row r="89" spans="1:60" x14ac:dyDescent="0.25">
      <c r="A89" s="3">
        <v>87</v>
      </c>
      <c r="B89" s="12"/>
      <c r="C89" s="12"/>
      <c r="D89" s="31"/>
      <c r="E89" s="4"/>
      <c r="F89" s="13"/>
      <c r="G89" s="21"/>
      <c r="H89" s="35"/>
      <c r="I89" s="27"/>
      <c r="J89" s="25" t="str">
        <f>IF(NOT(I89=""),INDEX(Master!$B$1:$B$46,MATCH(I89,Master!$A$1:$A$46,0)),"")</f>
        <v/>
      </c>
      <c r="K89" s="18"/>
      <c r="L89" s="86"/>
      <c r="M89" s="13"/>
      <c r="N89" s="13"/>
      <c r="O89" s="18"/>
      <c r="P89" s="35"/>
      <c r="Q89" s="21"/>
      <c r="R89" s="21"/>
      <c r="S89" s="13"/>
      <c r="T89" s="12"/>
      <c r="U89" s="12"/>
      <c r="V89" s="12"/>
      <c r="W89" s="14"/>
      <c r="Y89" s="42" t="str">
        <f>IF(AND(C89=Master!$H$1,B89="2012-2013",E89&gt;1000,G89="PLN03"),H89,"")</f>
        <v/>
      </c>
      <c r="Z89" s="42" t="str">
        <f>IF(AND(C89=Master!$H$1,B89="2012-2013",E89="",G89="PLN03"),H89,"")</f>
        <v/>
      </c>
      <c r="AA89" s="42" t="str">
        <f>IF(AND(C89=Master!$H$2,B89="2012-2013",E89&gt;1000,G89="PLN03"),H89,"")</f>
        <v/>
      </c>
      <c r="AB89" s="42" t="str">
        <f>IF(AND(C89=Master!$H$2,B89="2012-2013",E89="",G89="PLN03"),H89,"")</f>
        <v/>
      </c>
      <c r="AC89" s="42" t="str">
        <f>IF(AND(C89=Master!$H$3,B89="2012-2013",E89&gt;1000,G89="PLN03"),H89,"")</f>
        <v/>
      </c>
      <c r="AD89" s="42" t="str">
        <f>IF(AND(C89=Master!$H$3,B89="2012-2013",E89="",G89="PLN03"),H89,"")</f>
        <v/>
      </c>
      <c r="AE89" s="42" t="str">
        <f>IF(AND(C89=Master!$H$4,B89="2012-2013",E89&gt;1000,G89="PLN03"),H89,"")</f>
        <v/>
      </c>
      <c r="AF89" s="42" t="str">
        <f>IF(AND(C89=Master!$H$4,B89="2012-2013",E89="",G89="PLN03"),H89,"")</f>
        <v/>
      </c>
      <c r="AG89" s="42" t="str">
        <f>IF(AND(C89=Master!$H$5,B89="2012-2013",E89&gt;1000,G89="PLN03"),H89,"")</f>
        <v/>
      </c>
      <c r="AH89" s="42" t="str">
        <f>IF(AND(C89=Master!$H$5,B89="2012-2013",E89="",G89="PLN03"),H89,"")</f>
        <v/>
      </c>
      <c r="AI89" s="42" t="str">
        <f>IF(AND(C89=Master!$H$6,B89="2012-2013",E89&gt;1000,G89="PLN03"),H89,"")</f>
        <v/>
      </c>
      <c r="AJ89" s="42" t="str">
        <f>IF(AND(C89=Master!$H$6,B89="2012-2013",E89="",G89="PLN03"),H89,"")</f>
        <v/>
      </c>
      <c r="AK89" s="42" t="str">
        <f>IF(AND(C89=Master!$H$7,B89="2012-2013",E89&gt;1000,G89="PLN03"),H89,"")</f>
        <v/>
      </c>
      <c r="AL89" s="42" t="str">
        <f>IF(AND(C89=Master!$H$7,B89="2012-2013",E89="",G89="PLN03"),H89,"")</f>
        <v/>
      </c>
      <c r="AM89" s="42" t="str">
        <f>IF(AND(C89=Master!$H$8,B89="2012-2013",E89&gt;1000,G89="PLN03"),H89,"")</f>
        <v/>
      </c>
      <c r="AN89" s="42" t="str">
        <f>IF(AND(C89=Master!$H$8,B89="2012-2013",E89="",G89="PLN03"),H89,"")</f>
        <v/>
      </c>
      <c r="AO89" s="42" t="str">
        <f>IF(AND(C89=Master!$H$9,B89="2012-2013",E89&gt;1000,G89="PLN03"),H89,"")</f>
        <v/>
      </c>
      <c r="AP89" s="42" t="str">
        <f>IF(AND(C89=Master!$H$9,B89="2012-2013",E89="",G89="PLN03"),H89,"")</f>
        <v/>
      </c>
      <c r="AQ89" s="44" t="str">
        <f>IF(AND(C89=Master!$H$1,B89="2012-2013",E89&gt;1000,G89="NPN05"),H89,"")</f>
        <v/>
      </c>
      <c r="AR89" s="44" t="str">
        <f>IF(AND(C89=Master!$H$1,B89="2012-2013",E89="",G89="NPN05"),H89,"")</f>
        <v/>
      </c>
      <c r="AS89" s="44" t="str">
        <f>IF(AND(C89=Master!$H$2,B89="2012-2013",E89&gt;1000,G89="NPN05"),H89,"")</f>
        <v/>
      </c>
      <c r="AT89" s="44" t="str">
        <f>IF(AND(C89=Master!$H$2,B89="2012-2013",E89="",G89="NPN05"),H89,"")</f>
        <v/>
      </c>
      <c r="AU89" s="44" t="str">
        <f>IF(AND(C89=Master!$H$3,B89="2012-2013",E89&gt;1000,G89="NPN05"),H89,"")</f>
        <v/>
      </c>
      <c r="AV89" s="44" t="str">
        <f>IF(AND(C89=Master!$H$3,B89="2012-2013",E89="",G89="NPN05"),H89,"")</f>
        <v/>
      </c>
      <c r="AW89" s="44" t="str">
        <f>IF(AND(C89=Master!$H$4,B89="2012-2013",E89&gt;1000,G89="NPN05"),H89,"")</f>
        <v/>
      </c>
      <c r="AX89" s="44" t="str">
        <f>IF(AND(C89=Master!$H$4,B89="2012-2013",E89="",G89="NPN05"),H89,"")</f>
        <v/>
      </c>
      <c r="AY89" s="44" t="str">
        <f>IF(AND(C89=Master!$H$5,B89="2012-2013",E89&gt;1000,G89="NPN05"),H89,"")</f>
        <v/>
      </c>
      <c r="AZ89" s="44" t="str">
        <f>IF(AND(C89=Master!$H$5,B89="2012-2013",E89="",G89="NPN05"),H89,"")</f>
        <v/>
      </c>
      <c r="BA89" s="44" t="str">
        <f>IF(AND(C89=Master!$H$6,B89="2012-2013",E89&gt;1000,G89="NPN05"),H89,"")</f>
        <v/>
      </c>
      <c r="BB89" s="44" t="str">
        <f>IF(AND(C89=Master!$H$6,B89="2012-2013",E89="",G89="NPN05"),H89,"")</f>
        <v/>
      </c>
      <c r="BC89" s="44" t="str">
        <f>IF(AND(C89=Master!$H$7,B89="2012-2013",E89&gt;1000,G89="NPN05"),H89,"")</f>
        <v/>
      </c>
      <c r="BD89" s="44" t="str">
        <f>IF(AND(C89=Master!$H$7,B89="2012-2013",E89="",G89="NPN05"),H89,"")</f>
        <v/>
      </c>
      <c r="BE89" s="44" t="str">
        <f>IF(AND(C89=Master!$H$8,B89="2012-2013",E89&gt;1000,G89="NPN05"),H89,"")</f>
        <v/>
      </c>
      <c r="BF89" s="44" t="str">
        <f>IF(AND(C89=Master!$H$8,B89="2012-2013",E89="",G89="NPN05"),H89,"")</f>
        <v/>
      </c>
      <c r="BG89" s="44" t="str">
        <f>IF(AND(C89=Master!$H$9,B89="2012-2013",E89&gt;1000,G89="NPN05"),H89,"")</f>
        <v/>
      </c>
      <c r="BH89" s="44" t="str">
        <f>IF(AND(C89=Master!$H$9,B89="2012-2013",E89="",G89="NPN05"),H89,"")</f>
        <v/>
      </c>
    </row>
    <row r="90" spans="1:60" x14ac:dyDescent="0.25">
      <c r="A90" s="3">
        <v>88</v>
      </c>
      <c r="B90" s="12"/>
      <c r="C90" s="12"/>
      <c r="D90" s="31"/>
      <c r="E90" s="4"/>
      <c r="F90" s="13"/>
      <c r="G90" s="21"/>
      <c r="H90" s="35"/>
      <c r="I90" s="27"/>
      <c r="J90" s="25" t="str">
        <f>IF(NOT(I90=""),INDEX(Master!$B$1:$B$46,MATCH(I90,Master!$A$1:$A$46,0)),"")</f>
        <v/>
      </c>
      <c r="K90" s="18"/>
      <c r="L90" s="86"/>
      <c r="M90" s="13"/>
      <c r="N90" s="13"/>
      <c r="O90" s="18"/>
      <c r="P90" s="35"/>
      <c r="Q90" s="21"/>
      <c r="R90" s="21"/>
      <c r="S90" s="13"/>
      <c r="T90" s="12"/>
      <c r="U90" s="12"/>
      <c r="V90" s="12"/>
      <c r="W90" s="14"/>
      <c r="Y90" s="42" t="str">
        <f>IF(AND(C90=Master!$H$1,B90="2012-2013",E90&gt;1000,G90="PLN03"),H90,"")</f>
        <v/>
      </c>
      <c r="Z90" s="42" t="str">
        <f>IF(AND(C90=Master!$H$1,B90="2012-2013",E90="",G90="PLN03"),H90,"")</f>
        <v/>
      </c>
      <c r="AA90" s="42" t="str">
        <f>IF(AND(C90=Master!$H$2,B90="2012-2013",E90&gt;1000,G90="PLN03"),H90,"")</f>
        <v/>
      </c>
      <c r="AB90" s="42" t="str">
        <f>IF(AND(C90=Master!$H$2,B90="2012-2013",E90="",G90="PLN03"),H90,"")</f>
        <v/>
      </c>
      <c r="AC90" s="42" t="str">
        <f>IF(AND(C90=Master!$H$3,B90="2012-2013",E90&gt;1000,G90="PLN03"),H90,"")</f>
        <v/>
      </c>
      <c r="AD90" s="42" t="str">
        <f>IF(AND(C90=Master!$H$3,B90="2012-2013",E90="",G90="PLN03"),H90,"")</f>
        <v/>
      </c>
      <c r="AE90" s="42" t="str">
        <f>IF(AND(C90=Master!$H$4,B90="2012-2013",E90&gt;1000,G90="PLN03"),H90,"")</f>
        <v/>
      </c>
      <c r="AF90" s="42" t="str">
        <f>IF(AND(C90=Master!$H$4,B90="2012-2013",E90="",G90="PLN03"),H90,"")</f>
        <v/>
      </c>
      <c r="AG90" s="42" t="str">
        <f>IF(AND(C90=Master!$H$5,B90="2012-2013",E90&gt;1000,G90="PLN03"),H90,"")</f>
        <v/>
      </c>
      <c r="AH90" s="42" t="str">
        <f>IF(AND(C90=Master!$H$5,B90="2012-2013",E90="",G90="PLN03"),H90,"")</f>
        <v/>
      </c>
      <c r="AI90" s="42" t="str">
        <f>IF(AND(C90=Master!$H$6,B90="2012-2013",E90&gt;1000,G90="PLN03"),H90,"")</f>
        <v/>
      </c>
      <c r="AJ90" s="42" t="str">
        <f>IF(AND(C90=Master!$H$6,B90="2012-2013",E90="",G90="PLN03"),H90,"")</f>
        <v/>
      </c>
      <c r="AK90" s="42" t="str">
        <f>IF(AND(C90=Master!$H$7,B90="2012-2013",E90&gt;1000,G90="PLN03"),H90,"")</f>
        <v/>
      </c>
      <c r="AL90" s="42" t="str">
        <f>IF(AND(C90=Master!$H$7,B90="2012-2013",E90="",G90="PLN03"),H90,"")</f>
        <v/>
      </c>
      <c r="AM90" s="42" t="str">
        <f>IF(AND(C90=Master!$H$8,B90="2012-2013",E90&gt;1000,G90="PLN03"),H90,"")</f>
        <v/>
      </c>
      <c r="AN90" s="42" t="str">
        <f>IF(AND(C90=Master!$H$8,B90="2012-2013",E90="",G90="PLN03"),H90,"")</f>
        <v/>
      </c>
      <c r="AO90" s="42" t="str">
        <f>IF(AND(C90=Master!$H$9,B90="2012-2013",E90&gt;1000,G90="PLN03"),H90,"")</f>
        <v/>
      </c>
      <c r="AP90" s="42" t="str">
        <f>IF(AND(C90=Master!$H$9,B90="2012-2013",E90="",G90="PLN03"),H90,"")</f>
        <v/>
      </c>
      <c r="AQ90" s="44" t="str">
        <f>IF(AND(C90=Master!$H$1,B90="2012-2013",E90&gt;1000,G90="NPN05"),H90,"")</f>
        <v/>
      </c>
      <c r="AR90" s="44" t="str">
        <f>IF(AND(C90=Master!$H$1,B90="2012-2013",E90="",G90="NPN05"),H90,"")</f>
        <v/>
      </c>
      <c r="AS90" s="44" t="str">
        <f>IF(AND(C90=Master!$H$2,B90="2012-2013",E90&gt;1000,G90="NPN05"),H90,"")</f>
        <v/>
      </c>
      <c r="AT90" s="44" t="str">
        <f>IF(AND(C90=Master!$H$2,B90="2012-2013",E90="",G90="NPN05"),H90,"")</f>
        <v/>
      </c>
      <c r="AU90" s="44" t="str">
        <f>IF(AND(C90=Master!$H$3,B90="2012-2013",E90&gt;1000,G90="NPN05"),H90,"")</f>
        <v/>
      </c>
      <c r="AV90" s="44" t="str">
        <f>IF(AND(C90=Master!$H$3,B90="2012-2013",E90="",G90="NPN05"),H90,"")</f>
        <v/>
      </c>
      <c r="AW90" s="44" t="str">
        <f>IF(AND(C90=Master!$H$4,B90="2012-2013",E90&gt;1000,G90="NPN05"),H90,"")</f>
        <v/>
      </c>
      <c r="AX90" s="44" t="str">
        <f>IF(AND(C90=Master!$H$4,B90="2012-2013",E90="",G90="NPN05"),H90,"")</f>
        <v/>
      </c>
      <c r="AY90" s="44" t="str">
        <f>IF(AND(C90=Master!$H$5,B90="2012-2013",E90&gt;1000,G90="NPN05"),H90,"")</f>
        <v/>
      </c>
      <c r="AZ90" s="44" t="str">
        <f>IF(AND(C90=Master!$H$5,B90="2012-2013",E90="",G90="NPN05"),H90,"")</f>
        <v/>
      </c>
      <c r="BA90" s="44" t="str">
        <f>IF(AND(C90=Master!$H$6,B90="2012-2013",E90&gt;1000,G90="NPN05"),H90,"")</f>
        <v/>
      </c>
      <c r="BB90" s="44" t="str">
        <f>IF(AND(C90=Master!$H$6,B90="2012-2013",E90="",G90="NPN05"),H90,"")</f>
        <v/>
      </c>
      <c r="BC90" s="44" t="str">
        <f>IF(AND(C90=Master!$H$7,B90="2012-2013",E90&gt;1000,G90="NPN05"),H90,"")</f>
        <v/>
      </c>
      <c r="BD90" s="44" t="str">
        <f>IF(AND(C90=Master!$H$7,B90="2012-2013",E90="",G90="NPN05"),H90,"")</f>
        <v/>
      </c>
      <c r="BE90" s="44" t="str">
        <f>IF(AND(C90=Master!$H$8,B90="2012-2013",E90&gt;1000,G90="NPN05"),H90,"")</f>
        <v/>
      </c>
      <c r="BF90" s="44" t="str">
        <f>IF(AND(C90=Master!$H$8,B90="2012-2013",E90="",G90="NPN05"),H90,"")</f>
        <v/>
      </c>
      <c r="BG90" s="44" t="str">
        <f>IF(AND(C90=Master!$H$9,B90="2012-2013",E90&gt;1000,G90="NPN05"),H90,"")</f>
        <v/>
      </c>
      <c r="BH90" s="44" t="str">
        <f>IF(AND(C90=Master!$H$9,B90="2012-2013",E90="",G90="NPN05"),H90,"")</f>
        <v/>
      </c>
    </row>
    <row r="91" spans="1:60" x14ac:dyDescent="0.25">
      <c r="A91" s="3">
        <v>89</v>
      </c>
      <c r="B91" s="12"/>
      <c r="C91" s="12"/>
      <c r="D91" s="31"/>
      <c r="E91" s="4"/>
      <c r="F91" s="13"/>
      <c r="G91" s="21"/>
      <c r="H91" s="35"/>
      <c r="I91" s="27"/>
      <c r="J91" s="25" t="str">
        <f>IF(NOT(I91=""),INDEX(Master!$B$1:$B$46,MATCH(I91,Master!$A$1:$A$46,0)),"")</f>
        <v/>
      </c>
      <c r="K91" s="18"/>
      <c r="L91" s="86"/>
      <c r="M91" s="13"/>
      <c r="N91" s="13"/>
      <c r="O91" s="18"/>
      <c r="P91" s="35"/>
      <c r="Q91" s="21"/>
      <c r="R91" s="21"/>
      <c r="S91" s="13"/>
      <c r="T91" s="12"/>
      <c r="U91" s="12"/>
      <c r="V91" s="12"/>
      <c r="W91" s="14"/>
      <c r="Y91" s="42" t="str">
        <f>IF(AND(C91=Master!$H$1,B91="2012-2013",E91&gt;1000,G91="PLN03"),H91,"")</f>
        <v/>
      </c>
      <c r="Z91" s="42" t="str">
        <f>IF(AND(C91=Master!$H$1,B91="2012-2013",E91="",G91="PLN03"),H91,"")</f>
        <v/>
      </c>
      <c r="AA91" s="42" t="str">
        <f>IF(AND(C91=Master!$H$2,B91="2012-2013",E91&gt;1000,G91="PLN03"),H91,"")</f>
        <v/>
      </c>
      <c r="AB91" s="42" t="str">
        <f>IF(AND(C91=Master!$H$2,B91="2012-2013",E91="",G91="PLN03"),H91,"")</f>
        <v/>
      </c>
      <c r="AC91" s="42" t="str">
        <f>IF(AND(C91=Master!$H$3,B91="2012-2013",E91&gt;1000,G91="PLN03"),H91,"")</f>
        <v/>
      </c>
      <c r="AD91" s="42" t="str">
        <f>IF(AND(C91=Master!$H$3,B91="2012-2013",E91="",G91="PLN03"),H91,"")</f>
        <v/>
      </c>
      <c r="AE91" s="42" t="str">
        <f>IF(AND(C91=Master!$H$4,B91="2012-2013",E91&gt;1000,G91="PLN03"),H91,"")</f>
        <v/>
      </c>
      <c r="AF91" s="42" t="str">
        <f>IF(AND(C91=Master!$H$4,B91="2012-2013",E91="",G91="PLN03"),H91,"")</f>
        <v/>
      </c>
      <c r="AG91" s="42" t="str">
        <f>IF(AND(C91=Master!$H$5,B91="2012-2013",E91&gt;1000,G91="PLN03"),H91,"")</f>
        <v/>
      </c>
      <c r="AH91" s="42" t="str">
        <f>IF(AND(C91=Master!$H$5,B91="2012-2013",E91="",G91="PLN03"),H91,"")</f>
        <v/>
      </c>
      <c r="AI91" s="42" t="str">
        <f>IF(AND(C91=Master!$H$6,B91="2012-2013",E91&gt;1000,G91="PLN03"),H91,"")</f>
        <v/>
      </c>
      <c r="AJ91" s="42" t="str">
        <f>IF(AND(C91=Master!$H$6,B91="2012-2013",E91="",G91="PLN03"),H91,"")</f>
        <v/>
      </c>
      <c r="AK91" s="42" t="str">
        <f>IF(AND(C91=Master!$H$7,B91="2012-2013",E91&gt;1000,G91="PLN03"),H91,"")</f>
        <v/>
      </c>
      <c r="AL91" s="42" t="str">
        <f>IF(AND(C91=Master!$H$7,B91="2012-2013",E91="",G91="PLN03"),H91,"")</f>
        <v/>
      </c>
      <c r="AM91" s="42" t="str">
        <f>IF(AND(C91=Master!$H$8,B91="2012-2013",E91&gt;1000,G91="PLN03"),H91,"")</f>
        <v/>
      </c>
      <c r="AN91" s="42" t="str">
        <f>IF(AND(C91=Master!$H$8,B91="2012-2013",E91="",G91="PLN03"),H91,"")</f>
        <v/>
      </c>
      <c r="AO91" s="42" t="str">
        <f>IF(AND(C91=Master!$H$9,B91="2012-2013",E91&gt;1000,G91="PLN03"),H91,"")</f>
        <v/>
      </c>
      <c r="AP91" s="42" t="str">
        <f>IF(AND(C91=Master!$H$9,B91="2012-2013",E91="",G91="PLN03"),H91,"")</f>
        <v/>
      </c>
      <c r="AQ91" s="44" t="str">
        <f>IF(AND(C91=Master!$H$1,B91="2012-2013",E91&gt;1000,G91="NPN05"),H91,"")</f>
        <v/>
      </c>
      <c r="AR91" s="44" t="str">
        <f>IF(AND(C91=Master!$H$1,B91="2012-2013",E91="",G91="NPN05"),H91,"")</f>
        <v/>
      </c>
      <c r="AS91" s="44" t="str">
        <f>IF(AND(C91=Master!$H$2,B91="2012-2013",E91&gt;1000,G91="NPN05"),H91,"")</f>
        <v/>
      </c>
      <c r="AT91" s="44" t="str">
        <f>IF(AND(C91=Master!$H$2,B91="2012-2013",E91="",G91="NPN05"),H91,"")</f>
        <v/>
      </c>
      <c r="AU91" s="44" t="str">
        <f>IF(AND(C91=Master!$H$3,B91="2012-2013",E91&gt;1000,G91="NPN05"),H91,"")</f>
        <v/>
      </c>
      <c r="AV91" s="44" t="str">
        <f>IF(AND(C91=Master!$H$3,B91="2012-2013",E91="",G91="NPN05"),H91,"")</f>
        <v/>
      </c>
      <c r="AW91" s="44" t="str">
        <f>IF(AND(C91=Master!$H$4,B91="2012-2013",E91&gt;1000,G91="NPN05"),H91,"")</f>
        <v/>
      </c>
      <c r="AX91" s="44" t="str">
        <f>IF(AND(C91=Master!$H$4,B91="2012-2013",E91="",G91="NPN05"),H91,"")</f>
        <v/>
      </c>
      <c r="AY91" s="44" t="str">
        <f>IF(AND(C91=Master!$H$5,B91="2012-2013",E91&gt;1000,G91="NPN05"),H91,"")</f>
        <v/>
      </c>
      <c r="AZ91" s="44" t="str">
        <f>IF(AND(C91=Master!$H$5,B91="2012-2013",E91="",G91="NPN05"),H91,"")</f>
        <v/>
      </c>
      <c r="BA91" s="44" t="str">
        <f>IF(AND(C91=Master!$H$6,B91="2012-2013",E91&gt;1000,G91="NPN05"),H91,"")</f>
        <v/>
      </c>
      <c r="BB91" s="44" t="str">
        <f>IF(AND(C91=Master!$H$6,B91="2012-2013",E91="",G91="NPN05"),H91,"")</f>
        <v/>
      </c>
      <c r="BC91" s="44" t="str">
        <f>IF(AND(C91=Master!$H$7,B91="2012-2013",E91&gt;1000,G91="NPN05"),H91,"")</f>
        <v/>
      </c>
      <c r="BD91" s="44" t="str">
        <f>IF(AND(C91=Master!$H$7,B91="2012-2013",E91="",G91="NPN05"),H91,"")</f>
        <v/>
      </c>
      <c r="BE91" s="44" t="str">
        <f>IF(AND(C91=Master!$H$8,B91="2012-2013",E91&gt;1000,G91="NPN05"),H91,"")</f>
        <v/>
      </c>
      <c r="BF91" s="44" t="str">
        <f>IF(AND(C91=Master!$H$8,B91="2012-2013",E91="",G91="NPN05"),H91,"")</f>
        <v/>
      </c>
      <c r="BG91" s="44" t="str">
        <f>IF(AND(C91=Master!$H$9,B91="2012-2013",E91&gt;1000,G91="NPN05"),H91,"")</f>
        <v/>
      </c>
      <c r="BH91" s="44" t="str">
        <f>IF(AND(C91=Master!$H$9,B91="2012-2013",E91="",G91="NPN05"),H91,"")</f>
        <v/>
      </c>
    </row>
    <row r="92" spans="1:60" x14ac:dyDescent="0.25">
      <c r="A92" s="3">
        <v>90</v>
      </c>
      <c r="B92" s="12"/>
      <c r="C92" s="12"/>
      <c r="D92" s="31"/>
      <c r="E92" s="4"/>
      <c r="F92" s="13"/>
      <c r="G92" s="21"/>
      <c r="H92" s="35"/>
      <c r="I92" s="27"/>
      <c r="J92" s="25" t="str">
        <f>IF(NOT(I92=""),INDEX(Master!$B$1:$B$46,MATCH(I92,Master!$A$1:$A$46,0)),"")</f>
        <v/>
      </c>
      <c r="K92" s="18"/>
      <c r="L92" s="86"/>
      <c r="M92" s="13"/>
      <c r="N92" s="13"/>
      <c r="O92" s="18"/>
      <c r="P92" s="35"/>
      <c r="Q92" s="21"/>
      <c r="R92" s="21"/>
      <c r="S92" s="13"/>
      <c r="T92" s="12"/>
      <c r="U92" s="12"/>
      <c r="V92" s="12"/>
      <c r="W92" s="14"/>
      <c r="Y92" s="42" t="str">
        <f>IF(AND(C92=Master!$H$1,B92="2012-2013",E92&gt;1000,G92="PLN03"),H92,"")</f>
        <v/>
      </c>
      <c r="Z92" s="42" t="str">
        <f>IF(AND(C92=Master!$H$1,B92="2012-2013",E92="",G92="PLN03"),H92,"")</f>
        <v/>
      </c>
      <c r="AA92" s="42" t="str">
        <f>IF(AND(C92=Master!$H$2,B92="2012-2013",E92&gt;1000,G92="PLN03"),H92,"")</f>
        <v/>
      </c>
      <c r="AB92" s="42" t="str">
        <f>IF(AND(C92=Master!$H$2,B92="2012-2013",E92="",G92="PLN03"),H92,"")</f>
        <v/>
      </c>
      <c r="AC92" s="42" t="str">
        <f>IF(AND(C92=Master!$H$3,B92="2012-2013",E92&gt;1000,G92="PLN03"),H92,"")</f>
        <v/>
      </c>
      <c r="AD92" s="42" t="str">
        <f>IF(AND(C92=Master!$H$3,B92="2012-2013",E92="",G92="PLN03"),H92,"")</f>
        <v/>
      </c>
      <c r="AE92" s="42" t="str">
        <f>IF(AND(C92=Master!$H$4,B92="2012-2013",E92&gt;1000,G92="PLN03"),H92,"")</f>
        <v/>
      </c>
      <c r="AF92" s="42" t="str">
        <f>IF(AND(C92=Master!$H$4,B92="2012-2013",E92="",G92="PLN03"),H92,"")</f>
        <v/>
      </c>
      <c r="AG92" s="42" t="str">
        <f>IF(AND(C92=Master!$H$5,B92="2012-2013",E92&gt;1000,G92="PLN03"),H92,"")</f>
        <v/>
      </c>
      <c r="AH92" s="42" t="str">
        <f>IF(AND(C92=Master!$H$5,B92="2012-2013",E92="",G92="PLN03"),H92,"")</f>
        <v/>
      </c>
      <c r="AI92" s="42" t="str">
        <f>IF(AND(C92=Master!$H$6,B92="2012-2013",E92&gt;1000,G92="PLN03"),H92,"")</f>
        <v/>
      </c>
      <c r="AJ92" s="42" t="str">
        <f>IF(AND(C92=Master!$H$6,B92="2012-2013",E92="",G92="PLN03"),H92,"")</f>
        <v/>
      </c>
      <c r="AK92" s="42" t="str">
        <f>IF(AND(C92=Master!$H$7,B92="2012-2013",E92&gt;1000,G92="PLN03"),H92,"")</f>
        <v/>
      </c>
      <c r="AL92" s="42" t="str">
        <f>IF(AND(C92=Master!$H$7,B92="2012-2013",E92="",G92="PLN03"),H92,"")</f>
        <v/>
      </c>
      <c r="AM92" s="42" t="str">
        <f>IF(AND(C92=Master!$H$8,B92="2012-2013",E92&gt;1000,G92="PLN03"),H92,"")</f>
        <v/>
      </c>
      <c r="AN92" s="42" t="str">
        <f>IF(AND(C92=Master!$H$8,B92="2012-2013",E92="",G92="PLN03"),H92,"")</f>
        <v/>
      </c>
      <c r="AO92" s="42" t="str">
        <f>IF(AND(C92=Master!$H$9,B92="2012-2013",E92&gt;1000,G92="PLN03"),H92,"")</f>
        <v/>
      </c>
      <c r="AP92" s="42" t="str">
        <f>IF(AND(C92=Master!$H$9,B92="2012-2013",E92="",G92="PLN03"),H92,"")</f>
        <v/>
      </c>
      <c r="AQ92" s="44" t="str">
        <f>IF(AND(C92=Master!$H$1,B92="2012-2013",E92&gt;1000,G92="NPN05"),H92,"")</f>
        <v/>
      </c>
      <c r="AR92" s="44" t="str">
        <f>IF(AND(C92=Master!$H$1,B92="2012-2013",E92="",G92="NPN05"),H92,"")</f>
        <v/>
      </c>
      <c r="AS92" s="44" t="str">
        <f>IF(AND(C92=Master!$H$2,B92="2012-2013",E92&gt;1000,G92="NPN05"),H92,"")</f>
        <v/>
      </c>
      <c r="AT92" s="44" t="str">
        <f>IF(AND(C92=Master!$H$2,B92="2012-2013",E92="",G92="NPN05"),H92,"")</f>
        <v/>
      </c>
      <c r="AU92" s="44" t="str">
        <f>IF(AND(C92=Master!$H$3,B92="2012-2013",E92&gt;1000,G92="NPN05"),H92,"")</f>
        <v/>
      </c>
      <c r="AV92" s="44" t="str">
        <f>IF(AND(C92=Master!$H$3,B92="2012-2013",E92="",G92="NPN05"),H92,"")</f>
        <v/>
      </c>
      <c r="AW92" s="44" t="str">
        <f>IF(AND(C92=Master!$H$4,B92="2012-2013",E92&gt;1000,G92="NPN05"),H92,"")</f>
        <v/>
      </c>
      <c r="AX92" s="44" t="str">
        <f>IF(AND(C92=Master!$H$4,B92="2012-2013",E92="",G92="NPN05"),H92,"")</f>
        <v/>
      </c>
      <c r="AY92" s="44" t="str">
        <f>IF(AND(C92=Master!$H$5,B92="2012-2013",E92&gt;1000,G92="NPN05"),H92,"")</f>
        <v/>
      </c>
      <c r="AZ92" s="44" t="str">
        <f>IF(AND(C92=Master!$H$5,B92="2012-2013",E92="",G92="NPN05"),H92,"")</f>
        <v/>
      </c>
      <c r="BA92" s="44" t="str">
        <f>IF(AND(C92=Master!$H$6,B92="2012-2013",E92&gt;1000,G92="NPN05"),H92,"")</f>
        <v/>
      </c>
      <c r="BB92" s="44" t="str">
        <f>IF(AND(C92=Master!$H$6,B92="2012-2013",E92="",G92="NPN05"),H92,"")</f>
        <v/>
      </c>
      <c r="BC92" s="44" t="str">
        <f>IF(AND(C92=Master!$H$7,B92="2012-2013",E92&gt;1000,G92="NPN05"),H92,"")</f>
        <v/>
      </c>
      <c r="BD92" s="44" t="str">
        <f>IF(AND(C92=Master!$H$7,B92="2012-2013",E92="",G92="NPN05"),H92,"")</f>
        <v/>
      </c>
      <c r="BE92" s="44" t="str">
        <f>IF(AND(C92=Master!$H$8,B92="2012-2013",E92&gt;1000,G92="NPN05"),H92,"")</f>
        <v/>
      </c>
      <c r="BF92" s="44" t="str">
        <f>IF(AND(C92=Master!$H$8,B92="2012-2013",E92="",G92="NPN05"),H92,"")</f>
        <v/>
      </c>
      <c r="BG92" s="44" t="str">
        <f>IF(AND(C92=Master!$H$9,B92="2012-2013",E92&gt;1000,G92="NPN05"),H92,"")</f>
        <v/>
      </c>
      <c r="BH92" s="44" t="str">
        <f>IF(AND(C92=Master!$H$9,B92="2012-2013",E92="",G92="NPN05"),H92,"")</f>
        <v/>
      </c>
    </row>
    <row r="93" spans="1:60" x14ac:dyDescent="0.25">
      <c r="A93" s="3">
        <v>91</v>
      </c>
      <c r="B93" s="12"/>
      <c r="C93" s="12"/>
      <c r="D93" s="31"/>
      <c r="E93" s="4"/>
      <c r="F93" s="13"/>
      <c r="G93" s="21"/>
      <c r="H93" s="35"/>
      <c r="I93" s="27"/>
      <c r="J93" s="25" t="str">
        <f>IF(NOT(I93=""),INDEX(Master!$B$1:$B$46,MATCH(I93,Master!$A$1:$A$46,0)),"")</f>
        <v/>
      </c>
      <c r="K93" s="18"/>
      <c r="L93" s="86"/>
      <c r="M93" s="13"/>
      <c r="N93" s="13"/>
      <c r="O93" s="18"/>
      <c r="P93" s="35"/>
      <c r="Q93" s="21"/>
      <c r="R93" s="21"/>
      <c r="S93" s="13"/>
      <c r="T93" s="12"/>
      <c r="U93" s="12"/>
      <c r="V93" s="12"/>
      <c r="W93" s="14"/>
      <c r="Y93" s="42" t="str">
        <f>IF(AND(C93=Master!$H$1,B93="2012-2013",E93&gt;1000,G93="PLN03"),H93,"")</f>
        <v/>
      </c>
      <c r="Z93" s="42" t="str">
        <f>IF(AND(C93=Master!$H$1,B93="2012-2013",E93="",G93="PLN03"),H93,"")</f>
        <v/>
      </c>
      <c r="AA93" s="42" t="str">
        <f>IF(AND(C93=Master!$H$2,B93="2012-2013",E93&gt;1000,G93="PLN03"),H93,"")</f>
        <v/>
      </c>
      <c r="AB93" s="42" t="str">
        <f>IF(AND(C93=Master!$H$2,B93="2012-2013",E93="",G93="PLN03"),H93,"")</f>
        <v/>
      </c>
      <c r="AC93" s="42" t="str">
        <f>IF(AND(C93=Master!$H$3,B93="2012-2013",E93&gt;1000,G93="PLN03"),H93,"")</f>
        <v/>
      </c>
      <c r="AD93" s="42" t="str">
        <f>IF(AND(C93=Master!$H$3,B93="2012-2013",E93="",G93="PLN03"),H93,"")</f>
        <v/>
      </c>
      <c r="AE93" s="42" t="str">
        <f>IF(AND(C93=Master!$H$4,B93="2012-2013",E93&gt;1000,G93="PLN03"),H93,"")</f>
        <v/>
      </c>
      <c r="AF93" s="42" t="str">
        <f>IF(AND(C93=Master!$H$4,B93="2012-2013",E93="",G93="PLN03"),H93,"")</f>
        <v/>
      </c>
      <c r="AG93" s="42" t="str">
        <f>IF(AND(C93=Master!$H$5,B93="2012-2013",E93&gt;1000,G93="PLN03"),H93,"")</f>
        <v/>
      </c>
      <c r="AH93" s="42" t="str">
        <f>IF(AND(C93=Master!$H$5,B93="2012-2013",E93="",G93="PLN03"),H93,"")</f>
        <v/>
      </c>
      <c r="AI93" s="42" t="str">
        <f>IF(AND(C93=Master!$H$6,B93="2012-2013",E93&gt;1000,G93="PLN03"),H93,"")</f>
        <v/>
      </c>
      <c r="AJ93" s="42" t="str">
        <f>IF(AND(C93=Master!$H$6,B93="2012-2013",E93="",G93="PLN03"),H93,"")</f>
        <v/>
      </c>
      <c r="AK93" s="42" t="str">
        <f>IF(AND(C93=Master!$H$7,B93="2012-2013",E93&gt;1000,G93="PLN03"),H93,"")</f>
        <v/>
      </c>
      <c r="AL93" s="42" t="str">
        <f>IF(AND(C93=Master!$H$7,B93="2012-2013",E93="",G93="PLN03"),H93,"")</f>
        <v/>
      </c>
      <c r="AM93" s="42" t="str">
        <f>IF(AND(C93=Master!$H$8,B93="2012-2013",E93&gt;1000,G93="PLN03"),H93,"")</f>
        <v/>
      </c>
      <c r="AN93" s="42" t="str">
        <f>IF(AND(C93=Master!$H$8,B93="2012-2013",E93="",G93="PLN03"),H93,"")</f>
        <v/>
      </c>
      <c r="AO93" s="42" t="str">
        <f>IF(AND(C93=Master!$H$9,B93="2012-2013",E93&gt;1000,G93="PLN03"),H93,"")</f>
        <v/>
      </c>
      <c r="AP93" s="42" t="str">
        <f>IF(AND(C93=Master!$H$9,B93="2012-2013",E93="",G93="PLN03"),H93,"")</f>
        <v/>
      </c>
      <c r="AQ93" s="44" t="str">
        <f>IF(AND(C93=Master!$H$1,B93="2012-2013",E93&gt;1000,G93="NPN05"),H93,"")</f>
        <v/>
      </c>
      <c r="AR93" s="44" t="str">
        <f>IF(AND(C93=Master!$H$1,B93="2012-2013",E93="",G93="NPN05"),H93,"")</f>
        <v/>
      </c>
      <c r="AS93" s="44" t="str">
        <f>IF(AND(C93=Master!$H$2,B93="2012-2013",E93&gt;1000,G93="NPN05"),H93,"")</f>
        <v/>
      </c>
      <c r="AT93" s="44" t="str">
        <f>IF(AND(C93=Master!$H$2,B93="2012-2013",E93="",G93="NPN05"),H93,"")</f>
        <v/>
      </c>
      <c r="AU93" s="44" t="str">
        <f>IF(AND(C93=Master!$H$3,B93="2012-2013",E93&gt;1000,G93="NPN05"),H93,"")</f>
        <v/>
      </c>
      <c r="AV93" s="44" t="str">
        <f>IF(AND(C93=Master!$H$3,B93="2012-2013",E93="",G93="NPN05"),H93,"")</f>
        <v/>
      </c>
      <c r="AW93" s="44" t="str">
        <f>IF(AND(C93=Master!$H$4,B93="2012-2013",E93&gt;1000,G93="NPN05"),H93,"")</f>
        <v/>
      </c>
      <c r="AX93" s="44" t="str">
        <f>IF(AND(C93=Master!$H$4,B93="2012-2013",E93="",G93="NPN05"),H93,"")</f>
        <v/>
      </c>
      <c r="AY93" s="44" t="str">
        <f>IF(AND(C93=Master!$H$5,B93="2012-2013",E93&gt;1000,G93="NPN05"),H93,"")</f>
        <v/>
      </c>
      <c r="AZ93" s="44" t="str">
        <f>IF(AND(C93=Master!$H$5,B93="2012-2013",E93="",G93="NPN05"),H93,"")</f>
        <v/>
      </c>
      <c r="BA93" s="44" t="str">
        <f>IF(AND(C93=Master!$H$6,B93="2012-2013",E93&gt;1000,G93="NPN05"),H93,"")</f>
        <v/>
      </c>
      <c r="BB93" s="44" t="str">
        <f>IF(AND(C93=Master!$H$6,B93="2012-2013",E93="",G93="NPN05"),H93,"")</f>
        <v/>
      </c>
      <c r="BC93" s="44" t="str">
        <f>IF(AND(C93=Master!$H$7,B93="2012-2013",E93&gt;1000,G93="NPN05"),H93,"")</f>
        <v/>
      </c>
      <c r="BD93" s="44" t="str">
        <f>IF(AND(C93=Master!$H$7,B93="2012-2013",E93="",G93="NPN05"),H93,"")</f>
        <v/>
      </c>
      <c r="BE93" s="44" t="str">
        <f>IF(AND(C93=Master!$H$8,B93="2012-2013",E93&gt;1000,G93="NPN05"),H93,"")</f>
        <v/>
      </c>
      <c r="BF93" s="44" t="str">
        <f>IF(AND(C93=Master!$H$8,B93="2012-2013",E93="",G93="NPN05"),H93,"")</f>
        <v/>
      </c>
      <c r="BG93" s="44" t="str">
        <f>IF(AND(C93=Master!$H$9,B93="2012-2013",E93&gt;1000,G93="NPN05"),H93,"")</f>
        <v/>
      </c>
      <c r="BH93" s="44" t="str">
        <f>IF(AND(C93=Master!$H$9,B93="2012-2013",E93="",G93="NPN05"),H93,"")</f>
        <v/>
      </c>
    </row>
    <row r="94" spans="1:60" x14ac:dyDescent="0.25">
      <c r="A94" s="3">
        <v>92</v>
      </c>
      <c r="B94" s="12"/>
      <c r="C94" s="12"/>
      <c r="D94" s="31"/>
      <c r="E94" s="4"/>
      <c r="F94" s="13"/>
      <c r="G94" s="21"/>
      <c r="H94" s="35"/>
      <c r="I94" s="27"/>
      <c r="J94" s="25" t="str">
        <f>IF(NOT(I94=""),INDEX(Master!$B$1:$B$46,MATCH(I94,Master!$A$1:$A$46,0)),"")</f>
        <v/>
      </c>
      <c r="K94" s="18"/>
      <c r="L94" s="86"/>
      <c r="M94" s="13"/>
      <c r="N94" s="13"/>
      <c r="O94" s="18"/>
      <c r="P94" s="35"/>
      <c r="Q94" s="21"/>
      <c r="R94" s="21"/>
      <c r="S94" s="13"/>
      <c r="T94" s="12"/>
      <c r="U94" s="12"/>
      <c r="V94" s="12"/>
      <c r="W94" s="14"/>
      <c r="Y94" s="42" t="str">
        <f>IF(AND(C94=Master!$H$1,B94="2012-2013",E94&gt;1000,G94="PLN03"),H94,"")</f>
        <v/>
      </c>
      <c r="Z94" s="42" t="str">
        <f>IF(AND(C94=Master!$H$1,B94="2012-2013",E94="",G94="PLN03"),H94,"")</f>
        <v/>
      </c>
      <c r="AA94" s="42" t="str">
        <f>IF(AND(C94=Master!$H$2,B94="2012-2013",E94&gt;1000,G94="PLN03"),H94,"")</f>
        <v/>
      </c>
      <c r="AB94" s="42" t="str">
        <f>IF(AND(C94=Master!$H$2,B94="2012-2013",E94="",G94="PLN03"),H94,"")</f>
        <v/>
      </c>
      <c r="AC94" s="42" t="str">
        <f>IF(AND(C94=Master!$H$3,B94="2012-2013",E94&gt;1000,G94="PLN03"),H94,"")</f>
        <v/>
      </c>
      <c r="AD94" s="42" t="str">
        <f>IF(AND(C94=Master!$H$3,B94="2012-2013",E94="",G94="PLN03"),H94,"")</f>
        <v/>
      </c>
      <c r="AE94" s="42" t="str">
        <f>IF(AND(C94=Master!$H$4,B94="2012-2013",E94&gt;1000,G94="PLN03"),H94,"")</f>
        <v/>
      </c>
      <c r="AF94" s="42" t="str">
        <f>IF(AND(C94=Master!$H$4,B94="2012-2013",E94="",G94="PLN03"),H94,"")</f>
        <v/>
      </c>
      <c r="AG94" s="42" t="str">
        <f>IF(AND(C94=Master!$H$5,B94="2012-2013",E94&gt;1000,G94="PLN03"),H94,"")</f>
        <v/>
      </c>
      <c r="AH94" s="42" t="str">
        <f>IF(AND(C94=Master!$H$5,B94="2012-2013",E94="",G94="PLN03"),H94,"")</f>
        <v/>
      </c>
      <c r="AI94" s="42" t="str">
        <f>IF(AND(C94=Master!$H$6,B94="2012-2013",E94&gt;1000,G94="PLN03"),H94,"")</f>
        <v/>
      </c>
      <c r="AJ94" s="42" t="str">
        <f>IF(AND(C94=Master!$H$6,B94="2012-2013",E94="",G94="PLN03"),H94,"")</f>
        <v/>
      </c>
      <c r="AK94" s="42" t="str">
        <f>IF(AND(C94=Master!$H$7,B94="2012-2013",E94&gt;1000,G94="PLN03"),H94,"")</f>
        <v/>
      </c>
      <c r="AL94" s="42" t="str">
        <f>IF(AND(C94=Master!$H$7,B94="2012-2013",E94="",G94="PLN03"),H94,"")</f>
        <v/>
      </c>
      <c r="AM94" s="42" t="str">
        <f>IF(AND(C94=Master!$H$8,B94="2012-2013",E94&gt;1000,G94="PLN03"),H94,"")</f>
        <v/>
      </c>
      <c r="AN94" s="42" t="str">
        <f>IF(AND(C94=Master!$H$8,B94="2012-2013",E94="",G94="PLN03"),H94,"")</f>
        <v/>
      </c>
      <c r="AO94" s="42" t="str">
        <f>IF(AND(C94=Master!$H$9,B94="2012-2013",E94&gt;1000,G94="PLN03"),H94,"")</f>
        <v/>
      </c>
      <c r="AP94" s="42" t="str">
        <f>IF(AND(C94=Master!$H$9,B94="2012-2013",E94="",G94="PLN03"),H94,"")</f>
        <v/>
      </c>
      <c r="AQ94" s="44" t="str">
        <f>IF(AND(C94=Master!$H$1,B94="2012-2013",E94&gt;1000,G94="NPN05"),H94,"")</f>
        <v/>
      </c>
      <c r="AR94" s="44" t="str">
        <f>IF(AND(C94=Master!$H$1,B94="2012-2013",E94="",G94="NPN05"),H94,"")</f>
        <v/>
      </c>
      <c r="AS94" s="44" t="str">
        <f>IF(AND(C94=Master!$H$2,B94="2012-2013",E94&gt;1000,G94="NPN05"),H94,"")</f>
        <v/>
      </c>
      <c r="AT94" s="44" t="str">
        <f>IF(AND(C94=Master!$H$2,B94="2012-2013",E94="",G94="NPN05"),H94,"")</f>
        <v/>
      </c>
      <c r="AU94" s="44" t="str">
        <f>IF(AND(C94=Master!$H$3,B94="2012-2013",E94&gt;1000,G94="NPN05"),H94,"")</f>
        <v/>
      </c>
      <c r="AV94" s="44" t="str">
        <f>IF(AND(C94=Master!$H$3,B94="2012-2013",E94="",G94="NPN05"),H94,"")</f>
        <v/>
      </c>
      <c r="AW94" s="44" t="str">
        <f>IF(AND(C94=Master!$H$4,B94="2012-2013",E94&gt;1000,G94="NPN05"),H94,"")</f>
        <v/>
      </c>
      <c r="AX94" s="44" t="str">
        <f>IF(AND(C94=Master!$H$4,B94="2012-2013",E94="",G94="NPN05"),H94,"")</f>
        <v/>
      </c>
      <c r="AY94" s="44" t="str">
        <f>IF(AND(C94=Master!$H$5,B94="2012-2013",E94&gt;1000,G94="NPN05"),H94,"")</f>
        <v/>
      </c>
      <c r="AZ94" s="44" t="str">
        <f>IF(AND(C94=Master!$H$5,B94="2012-2013",E94="",G94="NPN05"),H94,"")</f>
        <v/>
      </c>
      <c r="BA94" s="44" t="str">
        <f>IF(AND(C94=Master!$H$6,B94="2012-2013",E94&gt;1000,G94="NPN05"),H94,"")</f>
        <v/>
      </c>
      <c r="BB94" s="44" t="str">
        <f>IF(AND(C94=Master!$H$6,B94="2012-2013",E94="",G94="NPN05"),H94,"")</f>
        <v/>
      </c>
      <c r="BC94" s="44" t="str">
        <f>IF(AND(C94=Master!$H$7,B94="2012-2013",E94&gt;1000,G94="NPN05"),H94,"")</f>
        <v/>
      </c>
      <c r="BD94" s="44" t="str">
        <f>IF(AND(C94=Master!$H$7,B94="2012-2013",E94="",G94="NPN05"),H94,"")</f>
        <v/>
      </c>
      <c r="BE94" s="44" t="str">
        <f>IF(AND(C94=Master!$H$8,B94="2012-2013",E94&gt;1000,G94="NPN05"),H94,"")</f>
        <v/>
      </c>
      <c r="BF94" s="44" t="str">
        <f>IF(AND(C94=Master!$H$8,B94="2012-2013",E94="",G94="NPN05"),H94,"")</f>
        <v/>
      </c>
      <c r="BG94" s="44" t="str">
        <f>IF(AND(C94=Master!$H$9,B94="2012-2013",E94&gt;1000,G94="NPN05"),H94,"")</f>
        <v/>
      </c>
      <c r="BH94" s="44" t="str">
        <f>IF(AND(C94=Master!$H$9,B94="2012-2013",E94="",G94="NPN05"),H94,"")</f>
        <v/>
      </c>
    </row>
    <row r="95" spans="1:60" x14ac:dyDescent="0.25">
      <c r="A95" s="3">
        <v>93</v>
      </c>
      <c r="B95" s="12"/>
      <c r="C95" s="12"/>
      <c r="D95" s="31"/>
      <c r="E95" s="4"/>
      <c r="F95" s="13"/>
      <c r="G95" s="21"/>
      <c r="H95" s="35"/>
      <c r="I95" s="27"/>
      <c r="J95" s="25" t="str">
        <f>IF(NOT(I95=""),INDEX(Master!$B$1:$B$46,MATCH(I95,Master!$A$1:$A$46,0)),"")</f>
        <v/>
      </c>
      <c r="K95" s="18"/>
      <c r="L95" s="86"/>
      <c r="M95" s="13"/>
      <c r="N95" s="13"/>
      <c r="O95" s="18"/>
      <c r="P95" s="35"/>
      <c r="Q95" s="21"/>
      <c r="R95" s="21"/>
      <c r="S95" s="13"/>
      <c r="T95" s="12"/>
      <c r="U95" s="12"/>
      <c r="V95" s="12"/>
      <c r="W95" s="14"/>
      <c r="Y95" s="42" t="str">
        <f>IF(AND(C95=Master!$H$1,B95="2012-2013",E95&gt;1000,G95="PLN03"),H95,"")</f>
        <v/>
      </c>
      <c r="Z95" s="42" t="str">
        <f>IF(AND(C95=Master!$H$1,B95="2012-2013",E95="",G95="PLN03"),H95,"")</f>
        <v/>
      </c>
      <c r="AA95" s="42" t="str">
        <f>IF(AND(C95=Master!$H$2,B95="2012-2013",E95&gt;1000,G95="PLN03"),H95,"")</f>
        <v/>
      </c>
      <c r="AB95" s="42" t="str">
        <f>IF(AND(C95=Master!$H$2,B95="2012-2013",E95="",G95="PLN03"),H95,"")</f>
        <v/>
      </c>
      <c r="AC95" s="42" t="str">
        <f>IF(AND(C95=Master!$H$3,B95="2012-2013",E95&gt;1000,G95="PLN03"),H95,"")</f>
        <v/>
      </c>
      <c r="AD95" s="42" t="str">
        <f>IF(AND(C95=Master!$H$3,B95="2012-2013",E95="",G95="PLN03"),H95,"")</f>
        <v/>
      </c>
      <c r="AE95" s="42" t="str">
        <f>IF(AND(C95=Master!$H$4,B95="2012-2013",E95&gt;1000,G95="PLN03"),H95,"")</f>
        <v/>
      </c>
      <c r="AF95" s="42" t="str">
        <f>IF(AND(C95=Master!$H$4,B95="2012-2013",E95="",G95="PLN03"),H95,"")</f>
        <v/>
      </c>
      <c r="AG95" s="42" t="str">
        <f>IF(AND(C95=Master!$H$5,B95="2012-2013",E95&gt;1000,G95="PLN03"),H95,"")</f>
        <v/>
      </c>
      <c r="AH95" s="42" t="str">
        <f>IF(AND(C95=Master!$H$5,B95="2012-2013",E95="",G95="PLN03"),H95,"")</f>
        <v/>
      </c>
      <c r="AI95" s="42" t="str">
        <f>IF(AND(C95=Master!$H$6,B95="2012-2013",E95&gt;1000,G95="PLN03"),H95,"")</f>
        <v/>
      </c>
      <c r="AJ95" s="42" t="str">
        <f>IF(AND(C95=Master!$H$6,B95="2012-2013",E95="",G95="PLN03"),H95,"")</f>
        <v/>
      </c>
      <c r="AK95" s="42" t="str">
        <f>IF(AND(C95=Master!$H$7,B95="2012-2013",E95&gt;1000,G95="PLN03"),H95,"")</f>
        <v/>
      </c>
      <c r="AL95" s="42" t="str">
        <f>IF(AND(C95=Master!$H$7,B95="2012-2013",E95="",G95="PLN03"),H95,"")</f>
        <v/>
      </c>
      <c r="AM95" s="42" t="str">
        <f>IF(AND(C95=Master!$H$8,B95="2012-2013",E95&gt;1000,G95="PLN03"),H95,"")</f>
        <v/>
      </c>
      <c r="AN95" s="42" t="str">
        <f>IF(AND(C95=Master!$H$8,B95="2012-2013",E95="",G95="PLN03"),H95,"")</f>
        <v/>
      </c>
      <c r="AO95" s="42" t="str">
        <f>IF(AND(C95=Master!$H$9,B95="2012-2013",E95&gt;1000,G95="PLN03"),H95,"")</f>
        <v/>
      </c>
      <c r="AP95" s="42" t="str">
        <f>IF(AND(C95=Master!$H$9,B95="2012-2013",E95="",G95="PLN03"),H95,"")</f>
        <v/>
      </c>
      <c r="AQ95" s="44" t="str">
        <f>IF(AND(C95=Master!$H$1,B95="2012-2013",E95&gt;1000,G95="NPN05"),H95,"")</f>
        <v/>
      </c>
      <c r="AR95" s="44" t="str">
        <f>IF(AND(C95=Master!$H$1,B95="2012-2013",E95="",G95="NPN05"),H95,"")</f>
        <v/>
      </c>
      <c r="AS95" s="44" t="str">
        <f>IF(AND(C95=Master!$H$2,B95="2012-2013",E95&gt;1000,G95="NPN05"),H95,"")</f>
        <v/>
      </c>
      <c r="AT95" s="44" t="str">
        <f>IF(AND(C95=Master!$H$2,B95="2012-2013",E95="",G95="NPN05"),H95,"")</f>
        <v/>
      </c>
      <c r="AU95" s="44" t="str">
        <f>IF(AND(C95=Master!$H$3,B95="2012-2013",E95&gt;1000,G95="NPN05"),H95,"")</f>
        <v/>
      </c>
      <c r="AV95" s="44" t="str">
        <f>IF(AND(C95=Master!$H$3,B95="2012-2013",E95="",G95="NPN05"),H95,"")</f>
        <v/>
      </c>
      <c r="AW95" s="44" t="str">
        <f>IF(AND(C95=Master!$H$4,B95="2012-2013",E95&gt;1000,G95="NPN05"),H95,"")</f>
        <v/>
      </c>
      <c r="AX95" s="44" t="str">
        <f>IF(AND(C95=Master!$H$4,B95="2012-2013",E95="",G95="NPN05"),H95,"")</f>
        <v/>
      </c>
      <c r="AY95" s="44" t="str">
        <f>IF(AND(C95=Master!$H$5,B95="2012-2013",E95&gt;1000,G95="NPN05"),H95,"")</f>
        <v/>
      </c>
      <c r="AZ95" s="44" t="str">
        <f>IF(AND(C95=Master!$H$5,B95="2012-2013",E95="",G95="NPN05"),H95,"")</f>
        <v/>
      </c>
      <c r="BA95" s="44" t="str">
        <f>IF(AND(C95=Master!$H$6,B95="2012-2013",E95&gt;1000,G95="NPN05"),H95,"")</f>
        <v/>
      </c>
      <c r="BB95" s="44" t="str">
        <f>IF(AND(C95=Master!$H$6,B95="2012-2013",E95="",G95="NPN05"),H95,"")</f>
        <v/>
      </c>
      <c r="BC95" s="44" t="str">
        <f>IF(AND(C95=Master!$H$7,B95="2012-2013",E95&gt;1000,G95="NPN05"),H95,"")</f>
        <v/>
      </c>
      <c r="BD95" s="44" t="str">
        <f>IF(AND(C95=Master!$H$7,B95="2012-2013",E95="",G95="NPN05"),H95,"")</f>
        <v/>
      </c>
      <c r="BE95" s="44" t="str">
        <f>IF(AND(C95=Master!$H$8,B95="2012-2013",E95&gt;1000,G95="NPN05"),H95,"")</f>
        <v/>
      </c>
      <c r="BF95" s="44" t="str">
        <f>IF(AND(C95=Master!$H$8,B95="2012-2013",E95="",G95="NPN05"),H95,"")</f>
        <v/>
      </c>
      <c r="BG95" s="44" t="str">
        <f>IF(AND(C95=Master!$H$9,B95="2012-2013",E95&gt;1000,G95="NPN05"),H95,"")</f>
        <v/>
      </c>
      <c r="BH95" s="44" t="str">
        <f>IF(AND(C95=Master!$H$9,B95="2012-2013",E95="",G95="NPN05"),H95,"")</f>
        <v/>
      </c>
    </row>
    <row r="96" spans="1:60" x14ac:dyDescent="0.25">
      <c r="A96" s="3">
        <v>94</v>
      </c>
      <c r="B96" s="12"/>
      <c r="C96" s="12"/>
      <c r="D96" s="31"/>
      <c r="E96" s="4"/>
      <c r="F96" s="13"/>
      <c r="G96" s="21"/>
      <c r="H96" s="35"/>
      <c r="I96" s="27"/>
      <c r="J96" s="25" t="str">
        <f>IF(NOT(I96=""),INDEX(Master!$B$1:$B$46,MATCH(I96,Master!$A$1:$A$46,0)),"")</f>
        <v/>
      </c>
      <c r="K96" s="18"/>
      <c r="L96" s="86"/>
      <c r="M96" s="13"/>
      <c r="N96" s="13"/>
      <c r="O96" s="18"/>
      <c r="P96" s="35"/>
      <c r="Q96" s="21"/>
      <c r="R96" s="21"/>
      <c r="S96" s="13"/>
      <c r="T96" s="12"/>
      <c r="U96" s="12"/>
      <c r="V96" s="12"/>
      <c r="W96" s="14"/>
      <c r="Y96" s="42" t="str">
        <f>IF(AND(C96=Master!$H$1,B96="2012-2013",E96&gt;1000,G96="PLN03"),H96,"")</f>
        <v/>
      </c>
      <c r="Z96" s="42" t="str">
        <f>IF(AND(C96=Master!$H$1,B96="2012-2013",E96="",G96="PLN03"),H96,"")</f>
        <v/>
      </c>
      <c r="AA96" s="42" t="str">
        <f>IF(AND(C96=Master!$H$2,B96="2012-2013",E96&gt;1000,G96="PLN03"),H96,"")</f>
        <v/>
      </c>
      <c r="AB96" s="42" t="str">
        <f>IF(AND(C96=Master!$H$2,B96="2012-2013",E96="",G96="PLN03"),H96,"")</f>
        <v/>
      </c>
      <c r="AC96" s="42" t="str">
        <f>IF(AND(C96=Master!$H$3,B96="2012-2013",E96&gt;1000,G96="PLN03"),H96,"")</f>
        <v/>
      </c>
      <c r="AD96" s="42" t="str">
        <f>IF(AND(C96=Master!$H$3,B96="2012-2013",E96="",G96="PLN03"),H96,"")</f>
        <v/>
      </c>
      <c r="AE96" s="42" t="str">
        <f>IF(AND(C96=Master!$H$4,B96="2012-2013",E96&gt;1000,G96="PLN03"),H96,"")</f>
        <v/>
      </c>
      <c r="AF96" s="42" t="str">
        <f>IF(AND(C96=Master!$H$4,B96="2012-2013",E96="",G96="PLN03"),H96,"")</f>
        <v/>
      </c>
      <c r="AG96" s="42" t="str">
        <f>IF(AND(C96=Master!$H$5,B96="2012-2013",E96&gt;1000,G96="PLN03"),H96,"")</f>
        <v/>
      </c>
      <c r="AH96" s="42" t="str">
        <f>IF(AND(C96=Master!$H$5,B96="2012-2013",E96="",G96="PLN03"),H96,"")</f>
        <v/>
      </c>
      <c r="AI96" s="42" t="str">
        <f>IF(AND(C96=Master!$H$6,B96="2012-2013",E96&gt;1000,G96="PLN03"),H96,"")</f>
        <v/>
      </c>
      <c r="AJ96" s="42" t="str">
        <f>IF(AND(C96=Master!$H$6,B96="2012-2013",E96="",G96="PLN03"),H96,"")</f>
        <v/>
      </c>
      <c r="AK96" s="42" t="str">
        <f>IF(AND(C96=Master!$H$7,B96="2012-2013",E96&gt;1000,G96="PLN03"),H96,"")</f>
        <v/>
      </c>
      <c r="AL96" s="42" t="str">
        <f>IF(AND(C96=Master!$H$7,B96="2012-2013",E96="",G96="PLN03"),H96,"")</f>
        <v/>
      </c>
      <c r="AM96" s="42" t="str">
        <f>IF(AND(C96=Master!$H$8,B96="2012-2013",E96&gt;1000,G96="PLN03"),H96,"")</f>
        <v/>
      </c>
      <c r="AN96" s="42" t="str">
        <f>IF(AND(C96=Master!$H$8,B96="2012-2013",E96="",G96="PLN03"),H96,"")</f>
        <v/>
      </c>
      <c r="AO96" s="42" t="str">
        <f>IF(AND(C96=Master!$H$9,B96="2012-2013",E96&gt;1000,G96="PLN03"),H96,"")</f>
        <v/>
      </c>
      <c r="AP96" s="42" t="str">
        <f>IF(AND(C96=Master!$H$9,B96="2012-2013",E96="",G96="PLN03"),H96,"")</f>
        <v/>
      </c>
      <c r="AQ96" s="44" t="str">
        <f>IF(AND(C96=Master!$H$1,B96="2012-2013",E96&gt;1000,G96="NPN05"),H96,"")</f>
        <v/>
      </c>
      <c r="AR96" s="44" t="str">
        <f>IF(AND(C96=Master!$H$1,B96="2012-2013",E96="",G96="NPN05"),H96,"")</f>
        <v/>
      </c>
      <c r="AS96" s="44" t="str">
        <f>IF(AND(C96=Master!$H$2,B96="2012-2013",E96&gt;1000,G96="NPN05"),H96,"")</f>
        <v/>
      </c>
      <c r="AT96" s="44" t="str">
        <f>IF(AND(C96=Master!$H$2,B96="2012-2013",E96="",G96="NPN05"),H96,"")</f>
        <v/>
      </c>
      <c r="AU96" s="44" t="str">
        <f>IF(AND(C96=Master!$H$3,B96="2012-2013",E96&gt;1000,G96="NPN05"),H96,"")</f>
        <v/>
      </c>
      <c r="AV96" s="44" t="str">
        <f>IF(AND(C96=Master!$H$3,B96="2012-2013",E96="",G96="NPN05"),H96,"")</f>
        <v/>
      </c>
      <c r="AW96" s="44" t="str">
        <f>IF(AND(C96=Master!$H$4,B96="2012-2013",E96&gt;1000,G96="NPN05"),H96,"")</f>
        <v/>
      </c>
      <c r="AX96" s="44" t="str">
        <f>IF(AND(C96=Master!$H$4,B96="2012-2013",E96="",G96="NPN05"),H96,"")</f>
        <v/>
      </c>
      <c r="AY96" s="44" t="str">
        <f>IF(AND(C96=Master!$H$5,B96="2012-2013",E96&gt;1000,G96="NPN05"),H96,"")</f>
        <v/>
      </c>
      <c r="AZ96" s="44" t="str">
        <f>IF(AND(C96=Master!$H$5,B96="2012-2013",E96="",G96="NPN05"),H96,"")</f>
        <v/>
      </c>
      <c r="BA96" s="44" t="str">
        <f>IF(AND(C96=Master!$H$6,B96="2012-2013",E96&gt;1000,G96="NPN05"),H96,"")</f>
        <v/>
      </c>
      <c r="BB96" s="44" t="str">
        <f>IF(AND(C96=Master!$H$6,B96="2012-2013",E96="",G96="NPN05"),H96,"")</f>
        <v/>
      </c>
      <c r="BC96" s="44" t="str">
        <f>IF(AND(C96=Master!$H$7,B96="2012-2013",E96&gt;1000,G96="NPN05"),H96,"")</f>
        <v/>
      </c>
      <c r="BD96" s="44" t="str">
        <f>IF(AND(C96=Master!$H$7,B96="2012-2013",E96="",G96="NPN05"),H96,"")</f>
        <v/>
      </c>
      <c r="BE96" s="44" t="str">
        <f>IF(AND(C96=Master!$H$8,B96="2012-2013",E96&gt;1000,G96="NPN05"),H96,"")</f>
        <v/>
      </c>
      <c r="BF96" s="44" t="str">
        <f>IF(AND(C96=Master!$H$8,B96="2012-2013",E96="",G96="NPN05"),H96,"")</f>
        <v/>
      </c>
      <c r="BG96" s="44" t="str">
        <f>IF(AND(C96=Master!$H$9,B96="2012-2013",E96&gt;1000,G96="NPN05"),H96,"")</f>
        <v/>
      </c>
      <c r="BH96" s="44" t="str">
        <f>IF(AND(C96=Master!$H$9,B96="2012-2013",E96="",G96="NPN05"),H96,"")</f>
        <v/>
      </c>
    </row>
    <row r="97" spans="1:60" x14ac:dyDescent="0.25">
      <c r="A97" s="3">
        <v>95</v>
      </c>
      <c r="B97" s="12"/>
      <c r="C97" s="12"/>
      <c r="D97" s="31"/>
      <c r="E97" s="4"/>
      <c r="F97" s="13"/>
      <c r="G97" s="21"/>
      <c r="H97" s="35"/>
      <c r="I97" s="27"/>
      <c r="J97" s="25" t="str">
        <f>IF(NOT(I97=""),INDEX(Master!$B$1:$B$46,MATCH(I97,Master!$A$1:$A$46,0)),"")</f>
        <v/>
      </c>
      <c r="K97" s="18"/>
      <c r="L97" s="86"/>
      <c r="M97" s="13"/>
      <c r="N97" s="13"/>
      <c r="O97" s="18"/>
      <c r="P97" s="35"/>
      <c r="Q97" s="21"/>
      <c r="R97" s="21"/>
      <c r="S97" s="13"/>
      <c r="T97" s="12"/>
      <c r="U97" s="12"/>
      <c r="V97" s="12"/>
      <c r="W97" s="14"/>
      <c r="Y97" s="42" t="str">
        <f>IF(AND(C97=Master!$H$1,B97="2012-2013",E97&gt;1000,G97="PLN03"),H97,"")</f>
        <v/>
      </c>
      <c r="Z97" s="42" t="str">
        <f>IF(AND(C97=Master!$H$1,B97="2012-2013",E97="",G97="PLN03"),H97,"")</f>
        <v/>
      </c>
      <c r="AA97" s="42" t="str">
        <f>IF(AND(C97=Master!$H$2,B97="2012-2013",E97&gt;1000,G97="PLN03"),H97,"")</f>
        <v/>
      </c>
      <c r="AB97" s="42" t="str">
        <f>IF(AND(C97=Master!$H$2,B97="2012-2013",E97="",G97="PLN03"),H97,"")</f>
        <v/>
      </c>
      <c r="AC97" s="42" t="str">
        <f>IF(AND(C97=Master!$H$3,B97="2012-2013",E97&gt;1000,G97="PLN03"),H97,"")</f>
        <v/>
      </c>
      <c r="AD97" s="42" t="str">
        <f>IF(AND(C97=Master!$H$3,B97="2012-2013",E97="",G97="PLN03"),H97,"")</f>
        <v/>
      </c>
      <c r="AE97" s="42" t="str">
        <f>IF(AND(C97=Master!$H$4,B97="2012-2013",E97&gt;1000,G97="PLN03"),H97,"")</f>
        <v/>
      </c>
      <c r="AF97" s="42" t="str">
        <f>IF(AND(C97=Master!$H$4,B97="2012-2013",E97="",G97="PLN03"),H97,"")</f>
        <v/>
      </c>
      <c r="AG97" s="42" t="str">
        <f>IF(AND(C97=Master!$H$5,B97="2012-2013",E97&gt;1000,G97="PLN03"),H97,"")</f>
        <v/>
      </c>
      <c r="AH97" s="42" t="str">
        <f>IF(AND(C97=Master!$H$5,B97="2012-2013",E97="",G97="PLN03"),H97,"")</f>
        <v/>
      </c>
      <c r="AI97" s="42" t="str">
        <f>IF(AND(C97=Master!$H$6,B97="2012-2013",E97&gt;1000,G97="PLN03"),H97,"")</f>
        <v/>
      </c>
      <c r="AJ97" s="42" t="str">
        <f>IF(AND(C97=Master!$H$6,B97="2012-2013",E97="",G97="PLN03"),H97,"")</f>
        <v/>
      </c>
      <c r="AK97" s="42" t="str">
        <f>IF(AND(C97=Master!$H$7,B97="2012-2013",E97&gt;1000,G97="PLN03"),H97,"")</f>
        <v/>
      </c>
      <c r="AL97" s="42" t="str">
        <f>IF(AND(C97=Master!$H$7,B97="2012-2013",E97="",G97="PLN03"),H97,"")</f>
        <v/>
      </c>
      <c r="AM97" s="42" t="str">
        <f>IF(AND(C97=Master!$H$8,B97="2012-2013",E97&gt;1000,G97="PLN03"),H97,"")</f>
        <v/>
      </c>
      <c r="AN97" s="42" t="str">
        <f>IF(AND(C97=Master!$H$8,B97="2012-2013",E97="",G97="PLN03"),H97,"")</f>
        <v/>
      </c>
      <c r="AO97" s="42" t="str">
        <f>IF(AND(C97=Master!$H$9,B97="2012-2013",E97&gt;1000,G97="PLN03"),H97,"")</f>
        <v/>
      </c>
      <c r="AP97" s="42" t="str">
        <f>IF(AND(C97=Master!$H$9,B97="2012-2013",E97="",G97="PLN03"),H97,"")</f>
        <v/>
      </c>
      <c r="AQ97" s="44" t="str">
        <f>IF(AND(C97=Master!$H$1,B97="2012-2013",E97&gt;1000,G97="NPN05"),H97,"")</f>
        <v/>
      </c>
      <c r="AR97" s="44" t="str">
        <f>IF(AND(C97=Master!$H$1,B97="2012-2013",E97="",G97="NPN05"),H97,"")</f>
        <v/>
      </c>
      <c r="AS97" s="44" t="str">
        <f>IF(AND(C97=Master!$H$2,B97="2012-2013",E97&gt;1000,G97="NPN05"),H97,"")</f>
        <v/>
      </c>
      <c r="AT97" s="44" t="str">
        <f>IF(AND(C97=Master!$H$2,B97="2012-2013",E97="",G97="NPN05"),H97,"")</f>
        <v/>
      </c>
      <c r="AU97" s="44" t="str">
        <f>IF(AND(C97=Master!$H$3,B97="2012-2013",E97&gt;1000,G97="NPN05"),H97,"")</f>
        <v/>
      </c>
      <c r="AV97" s="44" t="str">
        <f>IF(AND(C97=Master!$H$3,B97="2012-2013",E97="",G97="NPN05"),H97,"")</f>
        <v/>
      </c>
      <c r="AW97" s="44" t="str">
        <f>IF(AND(C97=Master!$H$4,B97="2012-2013",E97&gt;1000,G97="NPN05"),H97,"")</f>
        <v/>
      </c>
      <c r="AX97" s="44" t="str">
        <f>IF(AND(C97=Master!$H$4,B97="2012-2013",E97="",G97="NPN05"),H97,"")</f>
        <v/>
      </c>
      <c r="AY97" s="44" t="str">
        <f>IF(AND(C97=Master!$H$5,B97="2012-2013",E97&gt;1000,G97="NPN05"),H97,"")</f>
        <v/>
      </c>
      <c r="AZ97" s="44" t="str">
        <f>IF(AND(C97=Master!$H$5,B97="2012-2013",E97="",G97="NPN05"),H97,"")</f>
        <v/>
      </c>
      <c r="BA97" s="44" t="str">
        <f>IF(AND(C97=Master!$H$6,B97="2012-2013",E97&gt;1000,G97="NPN05"),H97,"")</f>
        <v/>
      </c>
      <c r="BB97" s="44" t="str">
        <f>IF(AND(C97=Master!$H$6,B97="2012-2013",E97="",G97="NPN05"),H97,"")</f>
        <v/>
      </c>
      <c r="BC97" s="44" t="str">
        <f>IF(AND(C97=Master!$H$7,B97="2012-2013",E97&gt;1000,G97="NPN05"),H97,"")</f>
        <v/>
      </c>
      <c r="BD97" s="44" t="str">
        <f>IF(AND(C97=Master!$H$7,B97="2012-2013",E97="",G97="NPN05"),H97,"")</f>
        <v/>
      </c>
      <c r="BE97" s="44" t="str">
        <f>IF(AND(C97=Master!$H$8,B97="2012-2013",E97&gt;1000,G97="NPN05"),H97,"")</f>
        <v/>
      </c>
      <c r="BF97" s="44" t="str">
        <f>IF(AND(C97=Master!$H$8,B97="2012-2013",E97="",G97="NPN05"),H97,"")</f>
        <v/>
      </c>
      <c r="BG97" s="44" t="str">
        <f>IF(AND(C97=Master!$H$9,B97="2012-2013",E97&gt;1000,G97="NPN05"),H97,"")</f>
        <v/>
      </c>
      <c r="BH97" s="44" t="str">
        <f>IF(AND(C97=Master!$H$9,B97="2012-2013",E97="",G97="NPN05"),H97,"")</f>
        <v/>
      </c>
    </row>
    <row r="98" spans="1:60" x14ac:dyDescent="0.25">
      <c r="A98" s="3">
        <v>96</v>
      </c>
      <c r="B98" s="12"/>
      <c r="C98" s="12"/>
      <c r="D98" s="31"/>
      <c r="E98" s="4"/>
      <c r="F98" s="13"/>
      <c r="G98" s="21"/>
      <c r="H98" s="35"/>
      <c r="I98" s="27"/>
      <c r="J98" s="25" t="str">
        <f>IF(NOT(I98=""),INDEX(Master!$B$1:$B$46,MATCH(I98,Master!$A$1:$A$46,0)),"")</f>
        <v/>
      </c>
      <c r="K98" s="18"/>
      <c r="L98" s="86"/>
      <c r="M98" s="13"/>
      <c r="N98" s="13"/>
      <c r="O98" s="18"/>
      <c r="P98" s="35"/>
      <c r="Q98" s="21"/>
      <c r="R98" s="21"/>
      <c r="S98" s="13"/>
      <c r="T98" s="12"/>
      <c r="U98" s="12"/>
      <c r="V98" s="12"/>
      <c r="W98" s="14"/>
      <c r="Y98" s="42" t="str">
        <f>IF(AND(C98=Master!$H$1,B98="2012-2013",E98&gt;1000,G98="PLN03"),H98,"")</f>
        <v/>
      </c>
      <c r="Z98" s="42" t="str">
        <f>IF(AND(C98=Master!$H$1,B98="2012-2013",E98="",G98="PLN03"),H98,"")</f>
        <v/>
      </c>
      <c r="AA98" s="42" t="str">
        <f>IF(AND(C98=Master!$H$2,B98="2012-2013",E98&gt;1000,G98="PLN03"),H98,"")</f>
        <v/>
      </c>
      <c r="AB98" s="42" t="str">
        <f>IF(AND(C98=Master!$H$2,B98="2012-2013",E98="",G98="PLN03"),H98,"")</f>
        <v/>
      </c>
      <c r="AC98" s="42" t="str">
        <f>IF(AND(C98=Master!$H$3,B98="2012-2013",E98&gt;1000,G98="PLN03"),H98,"")</f>
        <v/>
      </c>
      <c r="AD98" s="42" t="str">
        <f>IF(AND(C98=Master!$H$3,B98="2012-2013",E98="",G98="PLN03"),H98,"")</f>
        <v/>
      </c>
      <c r="AE98" s="42" t="str">
        <f>IF(AND(C98=Master!$H$4,B98="2012-2013",E98&gt;1000,G98="PLN03"),H98,"")</f>
        <v/>
      </c>
      <c r="AF98" s="42" t="str">
        <f>IF(AND(C98=Master!$H$4,B98="2012-2013",E98="",G98="PLN03"),H98,"")</f>
        <v/>
      </c>
      <c r="AG98" s="42" t="str">
        <f>IF(AND(C98=Master!$H$5,B98="2012-2013",E98&gt;1000,G98="PLN03"),H98,"")</f>
        <v/>
      </c>
      <c r="AH98" s="42" t="str">
        <f>IF(AND(C98=Master!$H$5,B98="2012-2013",E98="",G98="PLN03"),H98,"")</f>
        <v/>
      </c>
      <c r="AI98" s="42" t="str">
        <f>IF(AND(C98=Master!$H$6,B98="2012-2013",E98&gt;1000,G98="PLN03"),H98,"")</f>
        <v/>
      </c>
      <c r="AJ98" s="42" t="str">
        <f>IF(AND(C98=Master!$H$6,B98="2012-2013",E98="",G98="PLN03"),H98,"")</f>
        <v/>
      </c>
      <c r="AK98" s="42" t="str">
        <f>IF(AND(C98=Master!$H$7,B98="2012-2013",E98&gt;1000,G98="PLN03"),H98,"")</f>
        <v/>
      </c>
      <c r="AL98" s="42" t="str">
        <f>IF(AND(C98=Master!$H$7,B98="2012-2013",E98="",G98="PLN03"),H98,"")</f>
        <v/>
      </c>
      <c r="AM98" s="42" t="str">
        <f>IF(AND(C98=Master!$H$8,B98="2012-2013",E98&gt;1000,G98="PLN03"),H98,"")</f>
        <v/>
      </c>
      <c r="AN98" s="42" t="str">
        <f>IF(AND(C98=Master!$H$8,B98="2012-2013",E98="",G98="PLN03"),H98,"")</f>
        <v/>
      </c>
      <c r="AO98" s="42" t="str">
        <f>IF(AND(C98=Master!$H$9,B98="2012-2013",E98&gt;1000,G98="PLN03"),H98,"")</f>
        <v/>
      </c>
      <c r="AP98" s="42" t="str">
        <f>IF(AND(C98=Master!$H$9,B98="2012-2013",E98="",G98="PLN03"),H98,"")</f>
        <v/>
      </c>
      <c r="AQ98" s="44" t="str">
        <f>IF(AND(C98=Master!$H$1,B98="2012-2013",E98&gt;1000,G98="NPN05"),H98,"")</f>
        <v/>
      </c>
      <c r="AR98" s="44" t="str">
        <f>IF(AND(C98=Master!$H$1,B98="2012-2013",E98="",G98="NPN05"),H98,"")</f>
        <v/>
      </c>
      <c r="AS98" s="44" t="str">
        <f>IF(AND(C98=Master!$H$2,B98="2012-2013",E98&gt;1000,G98="NPN05"),H98,"")</f>
        <v/>
      </c>
      <c r="AT98" s="44" t="str">
        <f>IF(AND(C98=Master!$H$2,B98="2012-2013",E98="",G98="NPN05"),H98,"")</f>
        <v/>
      </c>
      <c r="AU98" s="44" t="str">
        <f>IF(AND(C98=Master!$H$3,B98="2012-2013",E98&gt;1000,G98="NPN05"),H98,"")</f>
        <v/>
      </c>
      <c r="AV98" s="44" t="str">
        <f>IF(AND(C98=Master!$H$3,B98="2012-2013",E98="",G98="NPN05"),H98,"")</f>
        <v/>
      </c>
      <c r="AW98" s="44" t="str">
        <f>IF(AND(C98=Master!$H$4,B98="2012-2013",E98&gt;1000,G98="NPN05"),H98,"")</f>
        <v/>
      </c>
      <c r="AX98" s="44" t="str">
        <f>IF(AND(C98=Master!$H$4,B98="2012-2013",E98="",G98="NPN05"),H98,"")</f>
        <v/>
      </c>
      <c r="AY98" s="44" t="str">
        <f>IF(AND(C98=Master!$H$5,B98="2012-2013",E98&gt;1000,G98="NPN05"),H98,"")</f>
        <v/>
      </c>
      <c r="AZ98" s="44" t="str">
        <f>IF(AND(C98=Master!$H$5,B98="2012-2013",E98="",G98="NPN05"),H98,"")</f>
        <v/>
      </c>
      <c r="BA98" s="44" t="str">
        <f>IF(AND(C98=Master!$H$6,B98="2012-2013",E98&gt;1000,G98="NPN05"),H98,"")</f>
        <v/>
      </c>
      <c r="BB98" s="44" t="str">
        <f>IF(AND(C98=Master!$H$6,B98="2012-2013",E98="",G98="NPN05"),H98,"")</f>
        <v/>
      </c>
      <c r="BC98" s="44" t="str">
        <f>IF(AND(C98=Master!$H$7,B98="2012-2013",E98&gt;1000,G98="NPN05"),H98,"")</f>
        <v/>
      </c>
      <c r="BD98" s="44" t="str">
        <f>IF(AND(C98=Master!$H$7,B98="2012-2013",E98="",G98="NPN05"),H98,"")</f>
        <v/>
      </c>
      <c r="BE98" s="44" t="str">
        <f>IF(AND(C98=Master!$H$8,B98="2012-2013",E98&gt;1000,G98="NPN05"),H98,"")</f>
        <v/>
      </c>
      <c r="BF98" s="44" t="str">
        <f>IF(AND(C98=Master!$H$8,B98="2012-2013",E98="",G98="NPN05"),H98,"")</f>
        <v/>
      </c>
      <c r="BG98" s="44" t="str">
        <f>IF(AND(C98=Master!$H$9,B98="2012-2013",E98&gt;1000,G98="NPN05"),H98,"")</f>
        <v/>
      </c>
      <c r="BH98" s="44" t="str">
        <f>IF(AND(C98=Master!$H$9,B98="2012-2013",E98="",G98="NPN05"),H98,"")</f>
        <v/>
      </c>
    </row>
    <row r="99" spans="1:60" x14ac:dyDescent="0.25">
      <c r="A99" s="3">
        <v>97</v>
      </c>
      <c r="B99" s="12"/>
      <c r="C99" s="12"/>
      <c r="D99" s="31"/>
      <c r="E99" s="4"/>
      <c r="F99" s="13"/>
      <c r="G99" s="21"/>
      <c r="H99" s="35"/>
      <c r="I99" s="27"/>
      <c r="J99" s="25" t="str">
        <f>IF(NOT(I99=""),INDEX(Master!$B$1:$B$46,MATCH(I99,Master!$A$1:$A$46,0)),"")</f>
        <v/>
      </c>
      <c r="K99" s="18"/>
      <c r="L99" s="86"/>
      <c r="M99" s="13"/>
      <c r="N99" s="13"/>
      <c r="O99" s="18"/>
      <c r="P99" s="35"/>
      <c r="Q99" s="21"/>
      <c r="R99" s="21"/>
      <c r="S99" s="13"/>
      <c r="T99" s="12"/>
      <c r="U99" s="12"/>
      <c r="V99" s="12"/>
      <c r="W99" s="14"/>
      <c r="Y99" s="42" t="str">
        <f>IF(AND(C99=Master!$H$1,B99="2012-2013",E99&gt;1000,G99="PLN03"),H99,"")</f>
        <v/>
      </c>
      <c r="Z99" s="42" t="str">
        <f>IF(AND(C99=Master!$H$1,B99="2012-2013",E99="",G99="PLN03"),H99,"")</f>
        <v/>
      </c>
      <c r="AA99" s="42" t="str">
        <f>IF(AND(C99=Master!$H$2,B99="2012-2013",E99&gt;1000,G99="PLN03"),H99,"")</f>
        <v/>
      </c>
      <c r="AB99" s="42" t="str">
        <f>IF(AND(C99=Master!$H$2,B99="2012-2013",E99="",G99="PLN03"),H99,"")</f>
        <v/>
      </c>
      <c r="AC99" s="42" t="str">
        <f>IF(AND(C99=Master!$H$3,B99="2012-2013",E99&gt;1000,G99="PLN03"),H99,"")</f>
        <v/>
      </c>
      <c r="AD99" s="42" t="str">
        <f>IF(AND(C99=Master!$H$3,B99="2012-2013",E99="",G99="PLN03"),H99,"")</f>
        <v/>
      </c>
      <c r="AE99" s="42" t="str">
        <f>IF(AND(C99=Master!$H$4,B99="2012-2013",E99&gt;1000,G99="PLN03"),H99,"")</f>
        <v/>
      </c>
      <c r="AF99" s="42" t="str">
        <f>IF(AND(C99=Master!$H$4,B99="2012-2013",E99="",G99="PLN03"),H99,"")</f>
        <v/>
      </c>
      <c r="AG99" s="42" t="str">
        <f>IF(AND(C99=Master!$H$5,B99="2012-2013",E99&gt;1000,G99="PLN03"),H99,"")</f>
        <v/>
      </c>
      <c r="AH99" s="42" t="str">
        <f>IF(AND(C99=Master!$H$5,B99="2012-2013",E99="",G99="PLN03"),H99,"")</f>
        <v/>
      </c>
      <c r="AI99" s="42" t="str">
        <f>IF(AND(C99=Master!$H$6,B99="2012-2013",E99&gt;1000,G99="PLN03"),H99,"")</f>
        <v/>
      </c>
      <c r="AJ99" s="42" t="str">
        <f>IF(AND(C99=Master!$H$6,B99="2012-2013",E99="",G99="PLN03"),H99,"")</f>
        <v/>
      </c>
      <c r="AK99" s="42" t="str">
        <f>IF(AND(C99=Master!$H$7,B99="2012-2013",E99&gt;1000,G99="PLN03"),H99,"")</f>
        <v/>
      </c>
      <c r="AL99" s="42" t="str">
        <f>IF(AND(C99=Master!$H$7,B99="2012-2013",E99="",G99="PLN03"),H99,"")</f>
        <v/>
      </c>
      <c r="AM99" s="42" t="str">
        <f>IF(AND(C99=Master!$H$8,B99="2012-2013",E99&gt;1000,G99="PLN03"),H99,"")</f>
        <v/>
      </c>
      <c r="AN99" s="42" t="str">
        <f>IF(AND(C99=Master!$H$8,B99="2012-2013",E99="",G99="PLN03"),H99,"")</f>
        <v/>
      </c>
      <c r="AO99" s="42" t="str">
        <f>IF(AND(C99=Master!$H$9,B99="2012-2013",E99&gt;1000,G99="PLN03"),H99,"")</f>
        <v/>
      </c>
      <c r="AP99" s="42" t="str">
        <f>IF(AND(C99=Master!$H$9,B99="2012-2013",E99="",G99="PLN03"),H99,"")</f>
        <v/>
      </c>
      <c r="AQ99" s="44" t="str">
        <f>IF(AND(C99=Master!$H$1,B99="2012-2013",E99&gt;1000,G99="NPN05"),H99,"")</f>
        <v/>
      </c>
      <c r="AR99" s="44" t="str">
        <f>IF(AND(C99=Master!$H$1,B99="2012-2013",E99="",G99="NPN05"),H99,"")</f>
        <v/>
      </c>
      <c r="AS99" s="44" t="str">
        <f>IF(AND(C99=Master!$H$2,B99="2012-2013",E99&gt;1000,G99="NPN05"),H99,"")</f>
        <v/>
      </c>
      <c r="AT99" s="44" t="str">
        <f>IF(AND(C99=Master!$H$2,B99="2012-2013",E99="",G99="NPN05"),H99,"")</f>
        <v/>
      </c>
      <c r="AU99" s="44" t="str">
        <f>IF(AND(C99=Master!$H$3,B99="2012-2013",E99&gt;1000,G99="NPN05"),H99,"")</f>
        <v/>
      </c>
      <c r="AV99" s="44" t="str">
        <f>IF(AND(C99=Master!$H$3,B99="2012-2013",E99="",G99="NPN05"),H99,"")</f>
        <v/>
      </c>
      <c r="AW99" s="44" t="str">
        <f>IF(AND(C99=Master!$H$4,B99="2012-2013",E99&gt;1000,G99="NPN05"),H99,"")</f>
        <v/>
      </c>
      <c r="AX99" s="44" t="str">
        <f>IF(AND(C99=Master!$H$4,B99="2012-2013",E99="",G99="NPN05"),H99,"")</f>
        <v/>
      </c>
      <c r="AY99" s="44" t="str">
        <f>IF(AND(C99=Master!$H$5,B99="2012-2013",E99&gt;1000,G99="NPN05"),H99,"")</f>
        <v/>
      </c>
      <c r="AZ99" s="44" t="str">
        <f>IF(AND(C99=Master!$H$5,B99="2012-2013",E99="",G99="NPN05"),H99,"")</f>
        <v/>
      </c>
      <c r="BA99" s="44" t="str">
        <f>IF(AND(C99=Master!$H$6,B99="2012-2013",E99&gt;1000,G99="NPN05"),H99,"")</f>
        <v/>
      </c>
      <c r="BB99" s="44" t="str">
        <f>IF(AND(C99=Master!$H$6,B99="2012-2013",E99="",G99="NPN05"),H99,"")</f>
        <v/>
      </c>
      <c r="BC99" s="44" t="str">
        <f>IF(AND(C99=Master!$H$7,B99="2012-2013",E99&gt;1000,G99="NPN05"),H99,"")</f>
        <v/>
      </c>
      <c r="BD99" s="44" t="str">
        <f>IF(AND(C99=Master!$H$7,B99="2012-2013",E99="",G99="NPN05"),H99,"")</f>
        <v/>
      </c>
      <c r="BE99" s="44" t="str">
        <f>IF(AND(C99=Master!$H$8,B99="2012-2013",E99&gt;1000,G99="NPN05"),H99,"")</f>
        <v/>
      </c>
      <c r="BF99" s="44" t="str">
        <f>IF(AND(C99=Master!$H$8,B99="2012-2013",E99="",G99="NPN05"),H99,"")</f>
        <v/>
      </c>
      <c r="BG99" s="44" t="str">
        <f>IF(AND(C99=Master!$H$9,B99="2012-2013",E99&gt;1000,G99="NPN05"),H99,"")</f>
        <v/>
      </c>
      <c r="BH99" s="44" t="str">
        <f>IF(AND(C99=Master!$H$9,B99="2012-2013",E99="",G99="NPN05"),H99,"")</f>
        <v/>
      </c>
    </row>
    <row r="100" spans="1:60" x14ac:dyDescent="0.25">
      <c r="A100" s="3">
        <v>98</v>
      </c>
      <c r="B100" s="12"/>
      <c r="C100" s="12"/>
      <c r="D100" s="31"/>
      <c r="E100" s="4"/>
      <c r="F100" s="13"/>
      <c r="G100" s="21"/>
      <c r="H100" s="35"/>
      <c r="I100" s="27"/>
      <c r="J100" s="25" t="str">
        <f>IF(NOT(I100=""),INDEX(Master!$B$1:$B$46,MATCH(I100,Master!$A$1:$A$46,0)),"")</f>
        <v/>
      </c>
      <c r="K100" s="18"/>
      <c r="L100" s="86"/>
      <c r="M100" s="13"/>
      <c r="N100" s="13"/>
      <c r="O100" s="18"/>
      <c r="P100" s="35"/>
      <c r="Q100" s="21"/>
      <c r="R100" s="21"/>
      <c r="S100" s="13"/>
      <c r="T100" s="12"/>
      <c r="U100" s="12"/>
      <c r="V100" s="12"/>
      <c r="W100" s="14"/>
      <c r="Y100" s="42" t="str">
        <f>IF(AND(C100=Master!$H$1,B100="2012-2013",E100&gt;1000,G100="PLN03"),H100,"")</f>
        <v/>
      </c>
      <c r="Z100" s="42" t="str">
        <f>IF(AND(C100=Master!$H$1,B100="2012-2013",E100="",G100="PLN03"),H100,"")</f>
        <v/>
      </c>
      <c r="AA100" s="42" t="str">
        <f>IF(AND(C100=Master!$H$2,B100="2012-2013",E100&gt;1000,G100="PLN03"),H100,"")</f>
        <v/>
      </c>
      <c r="AB100" s="42" t="str">
        <f>IF(AND(C100=Master!$H$2,B100="2012-2013",E100="",G100="PLN03"),H100,"")</f>
        <v/>
      </c>
      <c r="AC100" s="42" t="str">
        <f>IF(AND(C100=Master!$H$3,B100="2012-2013",E100&gt;1000,G100="PLN03"),H100,"")</f>
        <v/>
      </c>
      <c r="AD100" s="42" t="str">
        <f>IF(AND(C100=Master!$H$3,B100="2012-2013",E100="",G100="PLN03"),H100,"")</f>
        <v/>
      </c>
      <c r="AE100" s="42" t="str">
        <f>IF(AND(C100=Master!$H$4,B100="2012-2013",E100&gt;1000,G100="PLN03"),H100,"")</f>
        <v/>
      </c>
      <c r="AF100" s="42" t="str">
        <f>IF(AND(C100=Master!$H$4,B100="2012-2013",E100="",G100="PLN03"),H100,"")</f>
        <v/>
      </c>
      <c r="AG100" s="42" t="str">
        <f>IF(AND(C100=Master!$H$5,B100="2012-2013",E100&gt;1000,G100="PLN03"),H100,"")</f>
        <v/>
      </c>
      <c r="AH100" s="42" t="str">
        <f>IF(AND(C100=Master!$H$5,B100="2012-2013",E100="",G100="PLN03"),H100,"")</f>
        <v/>
      </c>
      <c r="AI100" s="42" t="str">
        <f>IF(AND(C100=Master!$H$6,B100="2012-2013",E100&gt;1000,G100="PLN03"),H100,"")</f>
        <v/>
      </c>
      <c r="AJ100" s="42" t="str">
        <f>IF(AND(C100=Master!$H$6,B100="2012-2013",E100="",G100="PLN03"),H100,"")</f>
        <v/>
      </c>
      <c r="AK100" s="42" t="str">
        <f>IF(AND(C100=Master!$H$7,B100="2012-2013",E100&gt;1000,G100="PLN03"),H100,"")</f>
        <v/>
      </c>
      <c r="AL100" s="42" t="str">
        <f>IF(AND(C100=Master!$H$7,B100="2012-2013",E100="",G100="PLN03"),H100,"")</f>
        <v/>
      </c>
      <c r="AM100" s="42" t="str">
        <f>IF(AND(C100=Master!$H$8,B100="2012-2013",E100&gt;1000,G100="PLN03"),H100,"")</f>
        <v/>
      </c>
      <c r="AN100" s="42" t="str">
        <f>IF(AND(C100=Master!$H$8,B100="2012-2013",E100="",G100="PLN03"),H100,"")</f>
        <v/>
      </c>
      <c r="AO100" s="42" t="str">
        <f>IF(AND(C100=Master!$H$9,B100="2012-2013",E100&gt;1000,G100="PLN03"),H100,"")</f>
        <v/>
      </c>
      <c r="AP100" s="42" t="str">
        <f>IF(AND(C100=Master!$H$9,B100="2012-2013",E100="",G100="PLN03"),H100,"")</f>
        <v/>
      </c>
      <c r="AQ100" s="44" t="str">
        <f>IF(AND(C100=Master!$H$1,B100="2012-2013",E100&gt;1000,G100="NPN05"),H100,"")</f>
        <v/>
      </c>
      <c r="AR100" s="44" t="str">
        <f>IF(AND(C100=Master!$H$1,B100="2012-2013",E100="",G100="NPN05"),H100,"")</f>
        <v/>
      </c>
      <c r="AS100" s="44" t="str">
        <f>IF(AND(C100=Master!$H$2,B100="2012-2013",E100&gt;1000,G100="NPN05"),H100,"")</f>
        <v/>
      </c>
      <c r="AT100" s="44" t="str">
        <f>IF(AND(C100=Master!$H$2,B100="2012-2013",E100="",G100="NPN05"),H100,"")</f>
        <v/>
      </c>
      <c r="AU100" s="44" t="str">
        <f>IF(AND(C100=Master!$H$3,B100="2012-2013",E100&gt;1000,G100="NPN05"),H100,"")</f>
        <v/>
      </c>
      <c r="AV100" s="44" t="str">
        <f>IF(AND(C100=Master!$H$3,B100="2012-2013",E100="",G100="NPN05"),H100,"")</f>
        <v/>
      </c>
      <c r="AW100" s="44" t="str">
        <f>IF(AND(C100=Master!$H$4,B100="2012-2013",E100&gt;1000,G100="NPN05"),H100,"")</f>
        <v/>
      </c>
      <c r="AX100" s="44" t="str">
        <f>IF(AND(C100=Master!$H$4,B100="2012-2013",E100="",G100="NPN05"),H100,"")</f>
        <v/>
      </c>
      <c r="AY100" s="44" t="str">
        <f>IF(AND(C100=Master!$H$5,B100="2012-2013",E100&gt;1000,G100="NPN05"),H100,"")</f>
        <v/>
      </c>
      <c r="AZ100" s="44" t="str">
        <f>IF(AND(C100=Master!$H$5,B100="2012-2013",E100="",G100="NPN05"),H100,"")</f>
        <v/>
      </c>
      <c r="BA100" s="44" t="str">
        <f>IF(AND(C100=Master!$H$6,B100="2012-2013",E100&gt;1000,G100="NPN05"),H100,"")</f>
        <v/>
      </c>
      <c r="BB100" s="44" t="str">
        <f>IF(AND(C100=Master!$H$6,B100="2012-2013",E100="",G100="NPN05"),H100,"")</f>
        <v/>
      </c>
      <c r="BC100" s="44" t="str">
        <f>IF(AND(C100=Master!$H$7,B100="2012-2013",E100&gt;1000,G100="NPN05"),H100,"")</f>
        <v/>
      </c>
      <c r="BD100" s="44" t="str">
        <f>IF(AND(C100=Master!$H$7,B100="2012-2013",E100="",G100="NPN05"),H100,"")</f>
        <v/>
      </c>
      <c r="BE100" s="44" t="str">
        <f>IF(AND(C100=Master!$H$8,B100="2012-2013",E100&gt;1000,G100="NPN05"),H100,"")</f>
        <v/>
      </c>
      <c r="BF100" s="44" t="str">
        <f>IF(AND(C100=Master!$H$8,B100="2012-2013",E100="",G100="NPN05"),H100,"")</f>
        <v/>
      </c>
      <c r="BG100" s="44" t="str">
        <f>IF(AND(C100=Master!$H$9,B100="2012-2013",E100&gt;1000,G100="NPN05"),H100,"")</f>
        <v/>
      </c>
      <c r="BH100" s="44" t="str">
        <f>IF(AND(C100=Master!$H$9,B100="2012-2013",E100="",G100="NPN05"),H100,"")</f>
        <v/>
      </c>
    </row>
    <row r="101" spans="1:60" x14ac:dyDescent="0.25">
      <c r="A101" s="3">
        <v>99</v>
      </c>
      <c r="B101" s="12"/>
      <c r="C101" s="12"/>
      <c r="D101" s="31"/>
      <c r="E101" s="4"/>
      <c r="F101" s="13"/>
      <c r="G101" s="21"/>
      <c r="H101" s="35"/>
      <c r="I101" s="27"/>
      <c r="J101" s="25" t="str">
        <f>IF(NOT(I101=""),INDEX(Master!$B$1:$B$46,MATCH(I101,Master!$A$1:$A$46,0)),"")</f>
        <v/>
      </c>
      <c r="K101" s="18"/>
      <c r="L101" s="86"/>
      <c r="M101" s="13"/>
      <c r="N101" s="13"/>
      <c r="O101" s="18"/>
      <c r="P101" s="35"/>
      <c r="Q101" s="21"/>
      <c r="R101" s="21"/>
      <c r="S101" s="13"/>
      <c r="T101" s="12"/>
      <c r="U101" s="12"/>
      <c r="V101" s="12"/>
      <c r="W101" s="14"/>
      <c r="Y101" s="42" t="str">
        <f>IF(AND(C101=Master!$H$1,B101="2012-2013",E101&gt;1000,G101="PLN03"),H101,"")</f>
        <v/>
      </c>
      <c r="Z101" s="42" t="str">
        <f>IF(AND(C101=Master!$H$1,B101="2012-2013",E101="",G101="PLN03"),H101,"")</f>
        <v/>
      </c>
      <c r="AA101" s="42" t="str">
        <f>IF(AND(C101=Master!$H$2,B101="2012-2013",E101&gt;1000,G101="PLN03"),H101,"")</f>
        <v/>
      </c>
      <c r="AB101" s="42" t="str">
        <f>IF(AND(C101=Master!$H$2,B101="2012-2013",E101="",G101="PLN03"),H101,"")</f>
        <v/>
      </c>
      <c r="AC101" s="42" t="str">
        <f>IF(AND(C101=Master!$H$3,B101="2012-2013",E101&gt;1000,G101="PLN03"),H101,"")</f>
        <v/>
      </c>
      <c r="AD101" s="42" t="str">
        <f>IF(AND(C101=Master!$H$3,B101="2012-2013",E101="",G101="PLN03"),H101,"")</f>
        <v/>
      </c>
      <c r="AE101" s="42" t="str">
        <f>IF(AND(C101=Master!$H$4,B101="2012-2013",E101&gt;1000,G101="PLN03"),H101,"")</f>
        <v/>
      </c>
      <c r="AF101" s="42" t="str">
        <f>IF(AND(C101=Master!$H$4,B101="2012-2013",E101="",G101="PLN03"),H101,"")</f>
        <v/>
      </c>
      <c r="AG101" s="42" t="str">
        <f>IF(AND(C101=Master!$H$5,B101="2012-2013",E101&gt;1000,G101="PLN03"),H101,"")</f>
        <v/>
      </c>
      <c r="AH101" s="42" t="str">
        <f>IF(AND(C101=Master!$H$5,B101="2012-2013",E101="",G101="PLN03"),H101,"")</f>
        <v/>
      </c>
      <c r="AI101" s="42" t="str">
        <f>IF(AND(C101=Master!$H$6,B101="2012-2013",E101&gt;1000,G101="PLN03"),H101,"")</f>
        <v/>
      </c>
      <c r="AJ101" s="42" t="str">
        <f>IF(AND(C101=Master!$H$6,B101="2012-2013",E101="",G101="PLN03"),H101,"")</f>
        <v/>
      </c>
      <c r="AK101" s="42" t="str">
        <f>IF(AND(C101=Master!$H$7,B101="2012-2013",E101&gt;1000,G101="PLN03"),H101,"")</f>
        <v/>
      </c>
      <c r="AL101" s="42" t="str">
        <f>IF(AND(C101=Master!$H$7,B101="2012-2013",E101="",G101="PLN03"),H101,"")</f>
        <v/>
      </c>
      <c r="AM101" s="42" t="str">
        <f>IF(AND(C101=Master!$H$8,B101="2012-2013",E101&gt;1000,G101="PLN03"),H101,"")</f>
        <v/>
      </c>
      <c r="AN101" s="42" t="str">
        <f>IF(AND(C101=Master!$H$8,B101="2012-2013",E101="",G101="PLN03"),H101,"")</f>
        <v/>
      </c>
      <c r="AO101" s="42" t="str">
        <f>IF(AND(C101=Master!$H$9,B101="2012-2013",E101&gt;1000,G101="PLN03"),H101,"")</f>
        <v/>
      </c>
      <c r="AP101" s="42" t="str">
        <f>IF(AND(C101=Master!$H$9,B101="2012-2013",E101="",G101="PLN03"),H101,"")</f>
        <v/>
      </c>
      <c r="AQ101" s="44" t="str">
        <f>IF(AND(C101=Master!$H$1,B101="2012-2013",E101&gt;1000,G101="NPN05"),H101,"")</f>
        <v/>
      </c>
      <c r="AR101" s="44" t="str">
        <f>IF(AND(C101=Master!$H$1,B101="2012-2013",E101="",G101="NPN05"),H101,"")</f>
        <v/>
      </c>
      <c r="AS101" s="44" t="str">
        <f>IF(AND(C101=Master!$H$2,B101="2012-2013",E101&gt;1000,G101="NPN05"),H101,"")</f>
        <v/>
      </c>
      <c r="AT101" s="44" t="str">
        <f>IF(AND(C101=Master!$H$2,B101="2012-2013",E101="",G101="NPN05"),H101,"")</f>
        <v/>
      </c>
      <c r="AU101" s="44" t="str">
        <f>IF(AND(C101=Master!$H$3,B101="2012-2013",E101&gt;1000,G101="NPN05"),H101,"")</f>
        <v/>
      </c>
      <c r="AV101" s="44" t="str">
        <f>IF(AND(C101=Master!$H$3,B101="2012-2013",E101="",G101="NPN05"),H101,"")</f>
        <v/>
      </c>
      <c r="AW101" s="44" t="str">
        <f>IF(AND(C101=Master!$H$4,B101="2012-2013",E101&gt;1000,G101="NPN05"),H101,"")</f>
        <v/>
      </c>
      <c r="AX101" s="44" t="str">
        <f>IF(AND(C101=Master!$H$4,B101="2012-2013",E101="",G101="NPN05"),H101,"")</f>
        <v/>
      </c>
      <c r="AY101" s="44" t="str">
        <f>IF(AND(C101=Master!$H$5,B101="2012-2013",E101&gt;1000,G101="NPN05"),H101,"")</f>
        <v/>
      </c>
      <c r="AZ101" s="44" t="str">
        <f>IF(AND(C101=Master!$H$5,B101="2012-2013",E101="",G101="NPN05"),H101,"")</f>
        <v/>
      </c>
      <c r="BA101" s="44" t="str">
        <f>IF(AND(C101=Master!$H$6,B101="2012-2013",E101&gt;1000,G101="NPN05"),H101,"")</f>
        <v/>
      </c>
      <c r="BB101" s="44" t="str">
        <f>IF(AND(C101=Master!$H$6,B101="2012-2013",E101="",G101="NPN05"),H101,"")</f>
        <v/>
      </c>
      <c r="BC101" s="44" t="str">
        <f>IF(AND(C101=Master!$H$7,B101="2012-2013",E101&gt;1000,G101="NPN05"),H101,"")</f>
        <v/>
      </c>
      <c r="BD101" s="44" t="str">
        <f>IF(AND(C101=Master!$H$7,B101="2012-2013",E101="",G101="NPN05"),H101,"")</f>
        <v/>
      </c>
      <c r="BE101" s="44" t="str">
        <f>IF(AND(C101=Master!$H$8,B101="2012-2013",E101&gt;1000,G101="NPN05"),H101,"")</f>
        <v/>
      </c>
      <c r="BF101" s="44" t="str">
        <f>IF(AND(C101=Master!$H$8,B101="2012-2013",E101="",G101="NPN05"),H101,"")</f>
        <v/>
      </c>
      <c r="BG101" s="44" t="str">
        <f>IF(AND(C101=Master!$H$9,B101="2012-2013",E101&gt;1000,G101="NPN05"),H101,"")</f>
        <v/>
      </c>
      <c r="BH101" s="44" t="str">
        <f>IF(AND(C101=Master!$H$9,B101="2012-2013",E101="",G101="NPN05"),H101,"")</f>
        <v/>
      </c>
    </row>
    <row r="102" spans="1:60" x14ac:dyDescent="0.25">
      <c r="A102" s="3">
        <v>100</v>
      </c>
      <c r="B102" s="12"/>
      <c r="C102" s="12"/>
      <c r="D102" s="31"/>
      <c r="E102" s="4"/>
      <c r="F102" s="13"/>
      <c r="G102" s="21"/>
      <c r="H102" s="35"/>
      <c r="I102" s="27"/>
      <c r="J102" s="25" t="str">
        <f>IF(NOT(I102=""),INDEX(Master!$B$1:$B$46,MATCH(I102,Master!$A$1:$A$46,0)),"")</f>
        <v/>
      </c>
      <c r="K102" s="18"/>
      <c r="L102" s="86"/>
      <c r="M102" s="13"/>
      <c r="N102" s="13"/>
      <c r="O102" s="18"/>
      <c r="P102" s="35"/>
      <c r="Q102" s="21"/>
      <c r="R102" s="21"/>
      <c r="S102" s="13"/>
      <c r="T102" s="12"/>
      <c r="U102" s="12"/>
      <c r="V102" s="12"/>
      <c r="W102" s="14"/>
      <c r="Y102" s="42" t="str">
        <f>IF(AND(C102=Master!$H$1,B102="2012-2013",E102&gt;1000,G102="PLN03"),H102,"")</f>
        <v/>
      </c>
      <c r="Z102" s="42" t="str">
        <f>IF(AND(C102=Master!$H$1,B102="2012-2013",E102="",G102="PLN03"),H102,"")</f>
        <v/>
      </c>
      <c r="AA102" s="42" t="str">
        <f>IF(AND(C102=Master!$H$2,B102="2012-2013",E102&gt;1000,G102="PLN03"),H102,"")</f>
        <v/>
      </c>
      <c r="AB102" s="42" t="str">
        <f>IF(AND(C102=Master!$H$2,B102="2012-2013",E102="",G102="PLN03"),H102,"")</f>
        <v/>
      </c>
      <c r="AC102" s="42" t="str">
        <f>IF(AND(C102=Master!$H$3,B102="2012-2013",E102&gt;1000,G102="PLN03"),H102,"")</f>
        <v/>
      </c>
      <c r="AD102" s="42" t="str">
        <f>IF(AND(C102=Master!$H$3,B102="2012-2013",E102="",G102="PLN03"),H102,"")</f>
        <v/>
      </c>
      <c r="AE102" s="42" t="str">
        <f>IF(AND(C102=Master!$H$4,B102="2012-2013",E102&gt;1000,G102="PLN03"),H102,"")</f>
        <v/>
      </c>
      <c r="AF102" s="42" t="str">
        <f>IF(AND(C102=Master!$H$4,B102="2012-2013",E102="",G102="PLN03"),H102,"")</f>
        <v/>
      </c>
      <c r="AG102" s="42" t="str">
        <f>IF(AND(C102=Master!$H$5,B102="2012-2013",E102&gt;1000,G102="PLN03"),H102,"")</f>
        <v/>
      </c>
      <c r="AH102" s="42" t="str">
        <f>IF(AND(C102=Master!$H$5,B102="2012-2013",E102="",G102="PLN03"),H102,"")</f>
        <v/>
      </c>
      <c r="AI102" s="42" t="str">
        <f>IF(AND(C102=Master!$H$6,B102="2012-2013",E102&gt;1000,G102="PLN03"),H102,"")</f>
        <v/>
      </c>
      <c r="AJ102" s="42" t="str">
        <f>IF(AND(C102=Master!$H$6,B102="2012-2013",E102="",G102="PLN03"),H102,"")</f>
        <v/>
      </c>
      <c r="AK102" s="42" t="str">
        <f>IF(AND(C102=Master!$H$7,B102="2012-2013",E102&gt;1000,G102="PLN03"),H102,"")</f>
        <v/>
      </c>
      <c r="AL102" s="42" t="str">
        <f>IF(AND(C102=Master!$H$7,B102="2012-2013",E102="",G102="PLN03"),H102,"")</f>
        <v/>
      </c>
      <c r="AM102" s="42" t="str">
        <f>IF(AND(C102=Master!$H$8,B102="2012-2013",E102&gt;1000,G102="PLN03"),H102,"")</f>
        <v/>
      </c>
      <c r="AN102" s="42" t="str">
        <f>IF(AND(C102=Master!$H$8,B102="2012-2013",E102="",G102="PLN03"),H102,"")</f>
        <v/>
      </c>
      <c r="AO102" s="42" t="str">
        <f>IF(AND(C102=Master!$H$9,B102="2012-2013",E102&gt;1000,G102="PLN03"),H102,"")</f>
        <v/>
      </c>
      <c r="AP102" s="42" t="str">
        <f>IF(AND(C102=Master!$H$9,B102="2012-2013",E102="",G102="PLN03"),H102,"")</f>
        <v/>
      </c>
      <c r="AQ102" s="44" t="str">
        <f>IF(AND(C102=Master!$H$1,B102="2012-2013",E102&gt;1000,G102="NPN05"),H102,"")</f>
        <v/>
      </c>
      <c r="AR102" s="44" t="str">
        <f>IF(AND(C102=Master!$H$1,B102="2012-2013",E102="",G102="NPN05"),H102,"")</f>
        <v/>
      </c>
      <c r="AS102" s="44" t="str">
        <f>IF(AND(C102=Master!$H$2,B102="2012-2013",E102&gt;1000,G102="NPN05"),H102,"")</f>
        <v/>
      </c>
      <c r="AT102" s="44" t="str">
        <f>IF(AND(C102=Master!$H$2,B102="2012-2013",E102="",G102="NPN05"),H102,"")</f>
        <v/>
      </c>
      <c r="AU102" s="44" t="str">
        <f>IF(AND(C102=Master!$H$3,B102="2012-2013",E102&gt;1000,G102="NPN05"),H102,"")</f>
        <v/>
      </c>
      <c r="AV102" s="44" t="str">
        <f>IF(AND(C102=Master!$H$3,B102="2012-2013",E102="",G102="NPN05"),H102,"")</f>
        <v/>
      </c>
      <c r="AW102" s="44" t="str">
        <f>IF(AND(C102=Master!$H$4,B102="2012-2013",E102&gt;1000,G102="NPN05"),H102,"")</f>
        <v/>
      </c>
      <c r="AX102" s="44" t="str">
        <f>IF(AND(C102=Master!$H$4,B102="2012-2013",E102="",G102="NPN05"),H102,"")</f>
        <v/>
      </c>
      <c r="AY102" s="44" t="str">
        <f>IF(AND(C102=Master!$H$5,B102="2012-2013",E102&gt;1000,G102="NPN05"),H102,"")</f>
        <v/>
      </c>
      <c r="AZ102" s="44" t="str">
        <f>IF(AND(C102=Master!$H$5,B102="2012-2013",E102="",G102="NPN05"),H102,"")</f>
        <v/>
      </c>
      <c r="BA102" s="44" t="str">
        <f>IF(AND(C102=Master!$H$6,B102="2012-2013",E102&gt;1000,G102="NPN05"),H102,"")</f>
        <v/>
      </c>
      <c r="BB102" s="44" t="str">
        <f>IF(AND(C102=Master!$H$6,B102="2012-2013",E102="",G102="NPN05"),H102,"")</f>
        <v/>
      </c>
      <c r="BC102" s="44" t="str">
        <f>IF(AND(C102=Master!$H$7,B102="2012-2013",E102&gt;1000,G102="NPN05"),H102,"")</f>
        <v/>
      </c>
      <c r="BD102" s="44" t="str">
        <f>IF(AND(C102=Master!$H$7,B102="2012-2013",E102="",G102="NPN05"),H102,"")</f>
        <v/>
      </c>
      <c r="BE102" s="44" t="str">
        <f>IF(AND(C102=Master!$H$8,B102="2012-2013",E102&gt;1000,G102="NPN05"),H102,"")</f>
        <v/>
      </c>
      <c r="BF102" s="44" t="str">
        <f>IF(AND(C102=Master!$H$8,B102="2012-2013",E102="",G102="NPN05"),H102,"")</f>
        <v/>
      </c>
      <c r="BG102" s="44" t="str">
        <f>IF(AND(C102=Master!$H$9,B102="2012-2013",E102&gt;1000,G102="NPN05"),H102,"")</f>
        <v/>
      </c>
      <c r="BH102" s="44" t="str">
        <f>IF(AND(C102=Master!$H$9,B102="2012-2013",E102="",G102="NPN05"),H102,"")</f>
        <v/>
      </c>
    </row>
    <row r="103" spans="1:60" s="2" customFormat="1" x14ac:dyDescent="0.25">
      <c r="A103" s="5">
        <v>101</v>
      </c>
      <c r="B103" s="15"/>
      <c r="C103" s="15"/>
      <c r="D103" s="32"/>
      <c r="E103" s="16"/>
      <c r="F103" s="17"/>
      <c r="G103" s="22"/>
      <c r="H103" s="36"/>
      <c r="I103" s="22"/>
      <c r="J103" s="25" t="str">
        <f>IF(NOT(I103=""),INDEX(Master!$B$1:$B$46,MATCH(I103,Master!$A$1:$A$46,0)),"")</f>
        <v/>
      </c>
      <c r="K103" s="19"/>
      <c r="L103" s="87"/>
      <c r="M103" s="17"/>
      <c r="N103" s="17"/>
      <c r="O103" s="19"/>
      <c r="P103" s="36"/>
      <c r="Q103" s="22"/>
      <c r="R103" s="22"/>
      <c r="S103" s="17"/>
      <c r="T103" s="15"/>
      <c r="U103" s="15"/>
      <c r="V103" s="15"/>
      <c r="W103" s="20"/>
      <c r="Y103" s="42" t="str">
        <f>IF(AND(C103=Master!$H$1,B103="2012-2013",E103&gt;1000,G103="PLN03"),H103,"")</f>
        <v/>
      </c>
      <c r="Z103" s="42" t="str">
        <f>IF(AND(C103=Master!$H$1,B103="2012-2013",E103="",G103="PLN03"),H103,"")</f>
        <v/>
      </c>
      <c r="AA103" s="42" t="str">
        <f>IF(AND(C103=Master!$H$2,B103="2012-2013",E103&gt;1000,G103="PLN03"),H103,"")</f>
        <v/>
      </c>
      <c r="AB103" s="42" t="str">
        <f>IF(AND(C103=Master!$H$2,B103="2012-2013",E103="",G103="PLN03"),H103,"")</f>
        <v/>
      </c>
      <c r="AC103" s="42" t="str">
        <f>IF(AND(C103=Master!$H$3,B103="2012-2013",E103&gt;1000,G103="PLN03"),H103,"")</f>
        <v/>
      </c>
      <c r="AD103" s="42" t="str">
        <f>IF(AND(C103=Master!$H$3,B103="2012-2013",E103="",G103="PLN03"),H103,"")</f>
        <v/>
      </c>
      <c r="AE103" s="42" t="str">
        <f>IF(AND(C103=Master!$H$4,B103="2012-2013",E103&gt;1000,G103="PLN03"),H103,"")</f>
        <v/>
      </c>
      <c r="AF103" s="42" t="str">
        <f>IF(AND(C103=Master!$H$4,B103="2012-2013",E103="",G103="PLN03"),H103,"")</f>
        <v/>
      </c>
      <c r="AG103" s="42" t="str">
        <f>IF(AND(C103=Master!$H$5,B103="2012-2013",E103&gt;1000,G103="PLN03"),H103,"")</f>
        <v/>
      </c>
      <c r="AH103" s="42" t="str">
        <f>IF(AND(C103=Master!$H$5,B103="2012-2013",E103="",G103="PLN03"),H103,"")</f>
        <v/>
      </c>
      <c r="AI103" s="42" t="str">
        <f>IF(AND(C103=Master!$H$6,B103="2012-2013",E103&gt;1000,G103="PLN03"),H103,"")</f>
        <v/>
      </c>
      <c r="AJ103" s="42" t="str">
        <f>IF(AND(C103=Master!$H$6,B103="2012-2013",E103="",G103="PLN03"),H103,"")</f>
        <v/>
      </c>
      <c r="AK103" s="42" t="str">
        <f>IF(AND(C103=Master!$H$7,B103="2012-2013",E103&gt;1000,G103="PLN03"),H103,"")</f>
        <v/>
      </c>
      <c r="AL103" s="42" t="str">
        <f>IF(AND(C103=Master!$H$7,B103="2012-2013",E103="",G103="PLN03"),H103,"")</f>
        <v/>
      </c>
      <c r="AM103" s="42" t="str">
        <f>IF(AND(C103=Master!$H$8,B103="2012-2013",E103&gt;1000,G103="PLN03"),H103,"")</f>
        <v/>
      </c>
      <c r="AN103" s="42" t="str">
        <f>IF(AND(C103=Master!$H$8,B103="2012-2013",E103="",G103="PLN03"),H103,"")</f>
        <v/>
      </c>
      <c r="AO103" s="42" t="str">
        <f>IF(AND(C103=Master!$H$9,B103="2012-2013",E103&gt;1000,G103="PLN03"),H103,"")</f>
        <v/>
      </c>
      <c r="AP103" s="42" t="str">
        <f>IF(AND(C103=Master!$H$9,B103="2012-2013",E103="",G103="PLN03"),H103,"")</f>
        <v/>
      </c>
      <c r="AQ103" s="44" t="str">
        <f>IF(AND(C103=Master!$H$1,B103="2012-2013",E103&gt;1000,G103="NPN05"),H103,"")</f>
        <v/>
      </c>
      <c r="AR103" s="44" t="str">
        <f>IF(AND(C103=Master!$H$1,B103="2012-2013",E103="",G103="NPN05"),H103,"")</f>
        <v/>
      </c>
      <c r="AS103" s="44" t="str">
        <f>IF(AND(C103=Master!$H$2,B103="2012-2013",E103&gt;1000,G103="NPN05"),H103,"")</f>
        <v/>
      </c>
      <c r="AT103" s="44" t="str">
        <f>IF(AND(C103=Master!$H$2,B103="2012-2013",E103="",G103="NPN05"),H103,"")</f>
        <v/>
      </c>
      <c r="AU103" s="44" t="str">
        <f>IF(AND(C103=Master!$H$3,B103="2012-2013",E103&gt;1000,G103="NPN05"),H103,"")</f>
        <v/>
      </c>
      <c r="AV103" s="44" t="str">
        <f>IF(AND(C103=Master!$H$3,B103="2012-2013",E103="",G103="NPN05"),H103,"")</f>
        <v/>
      </c>
      <c r="AW103" s="44" t="str">
        <f>IF(AND(C103=Master!$H$4,B103="2012-2013",E103&gt;1000,G103="NPN05"),H103,"")</f>
        <v/>
      </c>
      <c r="AX103" s="44" t="str">
        <f>IF(AND(C103=Master!$H$4,B103="2012-2013",E103="",G103="NPN05"),H103,"")</f>
        <v/>
      </c>
      <c r="AY103" s="44" t="str">
        <f>IF(AND(C103=Master!$H$5,B103="2012-2013",E103&gt;1000,G103="NPN05"),H103,"")</f>
        <v/>
      </c>
      <c r="AZ103" s="44" t="str">
        <f>IF(AND(C103=Master!$H$5,B103="2012-2013",E103="",G103="NPN05"),H103,"")</f>
        <v/>
      </c>
      <c r="BA103" s="44" t="str">
        <f>IF(AND(C103=Master!$H$6,B103="2012-2013",E103&gt;1000,G103="NPN05"),H103,"")</f>
        <v/>
      </c>
      <c r="BB103" s="44" t="str">
        <f>IF(AND(C103=Master!$H$6,B103="2012-2013",E103="",G103="NPN05"),H103,"")</f>
        <v/>
      </c>
      <c r="BC103" s="44" t="str">
        <f>IF(AND(C103=Master!$H$7,B103="2012-2013",E103&gt;1000,G103="NPN05"),H103,"")</f>
        <v/>
      </c>
      <c r="BD103" s="44" t="str">
        <f>IF(AND(C103=Master!$H$7,B103="2012-2013",E103="",G103="NPN05"),H103,"")</f>
        <v/>
      </c>
      <c r="BE103" s="44" t="str">
        <f>IF(AND(C103=Master!$H$8,B103="2012-2013",E103&gt;1000,G103="NPN05"),H103,"")</f>
        <v/>
      </c>
      <c r="BF103" s="44" t="str">
        <f>IF(AND(C103=Master!$H$8,B103="2012-2013",E103="",G103="NPN05"),H103,"")</f>
        <v/>
      </c>
      <c r="BG103" s="44" t="str">
        <f>IF(AND(C103=Master!$H$9,B103="2012-2013",E103&gt;1000,G103="NPN05"),H103,"")</f>
        <v/>
      </c>
      <c r="BH103" s="44" t="str">
        <f>IF(AND(C103=Master!$H$9,B103="2012-2013",E103="",G103="NPN05"),H103,"")</f>
        <v/>
      </c>
    </row>
    <row r="104" spans="1:60" x14ac:dyDescent="0.25">
      <c r="A104" s="3">
        <v>102</v>
      </c>
      <c r="B104" s="12"/>
      <c r="C104" s="12"/>
      <c r="D104" s="31"/>
      <c r="E104" s="4"/>
      <c r="F104" s="13"/>
      <c r="G104" s="21"/>
      <c r="H104" s="35"/>
      <c r="I104" s="21"/>
      <c r="J104" s="25" t="str">
        <f>IF(NOT(I104=""),INDEX(Master!$B$1:$B$46,MATCH(I104,Master!$A$1:$A$46,0)),"")</f>
        <v/>
      </c>
      <c r="K104" s="18"/>
      <c r="L104" s="86"/>
      <c r="M104" s="13"/>
      <c r="N104" s="13"/>
      <c r="O104" s="18"/>
      <c r="P104" s="35"/>
      <c r="Q104" s="21"/>
      <c r="R104" s="21"/>
      <c r="S104" s="13"/>
      <c r="T104" s="12"/>
      <c r="U104" s="12"/>
      <c r="V104" s="12"/>
      <c r="W104" s="14"/>
      <c r="Y104" s="42" t="str">
        <f>IF(AND(C104=Master!$H$1,B104="2012-2013",E104&gt;1000,G104="PLN03"),H104,"")</f>
        <v/>
      </c>
      <c r="Z104" s="42" t="str">
        <f>IF(AND(C104=Master!$H$1,B104="2012-2013",E104="",G104="PLN03"),H104,"")</f>
        <v/>
      </c>
      <c r="AA104" s="42" t="str">
        <f>IF(AND(C104=Master!$H$2,B104="2012-2013",E104&gt;1000,G104="PLN03"),H104,"")</f>
        <v/>
      </c>
      <c r="AB104" s="42" t="str">
        <f>IF(AND(C104=Master!$H$2,B104="2012-2013",E104="",G104="PLN03"),H104,"")</f>
        <v/>
      </c>
      <c r="AC104" s="42" t="str">
        <f>IF(AND(C104=Master!$H$3,B104="2012-2013",E104&gt;1000,G104="PLN03"),H104,"")</f>
        <v/>
      </c>
      <c r="AD104" s="42" t="str">
        <f>IF(AND(C104=Master!$H$3,B104="2012-2013",E104="",G104="PLN03"),H104,"")</f>
        <v/>
      </c>
      <c r="AE104" s="42" t="str">
        <f>IF(AND(C104=Master!$H$4,B104="2012-2013",E104&gt;1000,G104="PLN03"),H104,"")</f>
        <v/>
      </c>
      <c r="AF104" s="42" t="str">
        <f>IF(AND(C104=Master!$H$4,B104="2012-2013",E104="",G104="PLN03"),H104,"")</f>
        <v/>
      </c>
      <c r="AG104" s="42" t="str">
        <f>IF(AND(C104=Master!$H$5,B104="2012-2013",E104&gt;1000,G104="PLN03"),H104,"")</f>
        <v/>
      </c>
      <c r="AH104" s="42" t="str">
        <f>IF(AND(C104=Master!$H$5,B104="2012-2013",E104="",G104="PLN03"),H104,"")</f>
        <v/>
      </c>
      <c r="AI104" s="42" t="str">
        <f>IF(AND(C104=Master!$H$6,B104="2012-2013",E104&gt;1000,G104="PLN03"),H104,"")</f>
        <v/>
      </c>
      <c r="AJ104" s="42" t="str">
        <f>IF(AND(C104=Master!$H$6,B104="2012-2013",E104="",G104="PLN03"),H104,"")</f>
        <v/>
      </c>
      <c r="AK104" s="42" t="str">
        <f>IF(AND(C104=Master!$H$7,B104="2012-2013",E104&gt;1000,G104="PLN03"),H104,"")</f>
        <v/>
      </c>
      <c r="AL104" s="42" t="str">
        <f>IF(AND(C104=Master!$H$7,B104="2012-2013",E104="",G104="PLN03"),H104,"")</f>
        <v/>
      </c>
      <c r="AM104" s="42" t="str">
        <f>IF(AND(C104=Master!$H$8,B104="2012-2013",E104&gt;1000,G104="PLN03"),H104,"")</f>
        <v/>
      </c>
      <c r="AN104" s="42" t="str">
        <f>IF(AND(C104=Master!$H$8,B104="2012-2013",E104="",G104="PLN03"),H104,"")</f>
        <v/>
      </c>
      <c r="AO104" s="42" t="str">
        <f>IF(AND(C104=Master!$H$9,B104="2012-2013",E104&gt;1000,G104="PLN03"),H104,"")</f>
        <v/>
      </c>
      <c r="AP104" s="42" t="str">
        <f>IF(AND(C104=Master!$H$9,B104="2012-2013",E104="",G104="PLN03"),H104,"")</f>
        <v/>
      </c>
      <c r="AQ104" s="44" t="str">
        <f>IF(AND(C104=Master!$H$1,B104="2012-2013",E104&gt;1000,G104="NPN05"),H104,"")</f>
        <v/>
      </c>
      <c r="AR104" s="44" t="str">
        <f>IF(AND(C104=Master!$H$1,B104="2012-2013",E104="",G104="NPN05"),H104,"")</f>
        <v/>
      </c>
      <c r="AS104" s="44" t="str">
        <f>IF(AND(C104=Master!$H$2,B104="2012-2013",E104&gt;1000,G104="NPN05"),H104,"")</f>
        <v/>
      </c>
      <c r="AT104" s="44" t="str">
        <f>IF(AND(C104=Master!$H$2,B104="2012-2013",E104="",G104="NPN05"),H104,"")</f>
        <v/>
      </c>
      <c r="AU104" s="44" t="str">
        <f>IF(AND(C104=Master!$H$3,B104="2012-2013",E104&gt;1000,G104="NPN05"),H104,"")</f>
        <v/>
      </c>
      <c r="AV104" s="44" t="str">
        <f>IF(AND(C104=Master!$H$3,B104="2012-2013",E104="",G104="NPN05"),H104,"")</f>
        <v/>
      </c>
      <c r="AW104" s="44" t="str">
        <f>IF(AND(C104=Master!$H$4,B104="2012-2013",E104&gt;1000,G104="NPN05"),H104,"")</f>
        <v/>
      </c>
      <c r="AX104" s="44" t="str">
        <f>IF(AND(C104=Master!$H$4,B104="2012-2013",E104="",G104="NPN05"),H104,"")</f>
        <v/>
      </c>
      <c r="AY104" s="44" t="str">
        <f>IF(AND(C104=Master!$H$5,B104="2012-2013",E104&gt;1000,G104="NPN05"),H104,"")</f>
        <v/>
      </c>
      <c r="AZ104" s="44" t="str">
        <f>IF(AND(C104=Master!$H$5,B104="2012-2013",E104="",G104="NPN05"),H104,"")</f>
        <v/>
      </c>
      <c r="BA104" s="44" t="str">
        <f>IF(AND(C104=Master!$H$6,B104="2012-2013",E104&gt;1000,G104="NPN05"),H104,"")</f>
        <v/>
      </c>
      <c r="BB104" s="44" t="str">
        <f>IF(AND(C104=Master!$H$6,B104="2012-2013",E104="",G104="NPN05"),H104,"")</f>
        <v/>
      </c>
      <c r="BC104" s="44" t="str">
        <f>IF(AND(C104=Master!$H$7,B104="2012-2013",E104&gt;1000,G104="NPN05"),H104,"")</f>
        <v/>
      </c>
      <c r="BD104" s="44" t="str">
        <f>IF(AND(C104=Master!$H$7,B104="2012-2013",E104="",G104="NPN05"),H104,"")</f>
        <v/>
      </c>
      <c r="BE104" s="44" t="str">
        <f>IF(AND(C104=Master!$H$8,B104="2012-2013",E104&gt;1000,G104="NPN05"),H104,"")</f>
        <v/>
      </c>
      <c r="BF104" s="44" t="str">
        <f>IF(AND(C104=Master!$H$8,B104="2012-2013",E104="",G104="NPN05"),H104,"")</f>
        <v/>
      </c>
      <c r="BG104" s="44" t="str">
        <f>IF(AND(C104=Master!$H$9,B104="2012-2013",E104&gt;1000,G104="NPN05"),H104,"")</f>
        <v/>
      </c>
      <c r="BH104" s="44" t="str">
        <f>IF(AND(C104=Master!$H$9,B104="2012-2013",E104="",G104="NPN05"),H104,"")</f>
        <v/>
      </c>
    </row>
    <row r="105" spans="1:60" x14ac:dyDescent="0.25">
      <c r="A105" s="3">
        <v>103</v>
      </c>
      <c r="B105" s="12"/>
      <c r="C105" s="12"/>
      <c r="D105" s="31"/>
      <c r="E105" s="4"/>
      <c r="F105" s="13"/>
      <c r="G105" s="21"/>
      <c r="H105" s="35"/>
      <c r="I105" s="21"/>
      <c r="J105" s="25" t="str">
        <f>IF(NOT(I105=""),INDEX(Master!$B$1:$B$46,MATCH(I105,Master!$A$1:$A$46,0)),"")</f>
        <v/>
      </c>
      <c r="K105" s="18"/>
      <c r="L105" s="86"/>
      <c r="M105" s="13"/>
      <c r="N105" s="13"/>
      <c r="O105" s="18"/>
      <c r="P105" s="35"/>
      <c r="Q105" s="21"/>
      <c r="R105" s="21"/>
      <c r="S105" s="13"/>
      <c r="T105" s="12"/>
      <c r="U105" s="12"/>
      <c r="V105" s="12"/>
      <c r="W105" s="14"/>
      <c r="Y105" s="42" t="str">
        <f>IF(AND(C105=Master!$H$1,B105="2012-2013",E105&gt;1000,G105="PLN03"),H105,"")</f>
        <v/>
      </c>
      <c r="Z105" s="42" t="str">
        <f>IF(AND(C105=Master!$H$1,B105="2012-2013",E105="",G105="PLN03"),H105,"")</f>
        <v/>
      </c>
      <c r="AA105" s="42" t="str">
        <f>IF(AND(C105=Master!$H$2,B105="2012-2013",E105&gt;1000,G105="PLN03"),H105,"")</f>
        <v/>
      </c>
      <c r="AB105" s="42" t="str">
        <f>IF(AND(C105=Master!$H$2,B105="2012-2013",E105="",G105="PLN03"),H105,"")</f>
        <v/>
      </c>
      <c r="AC105" s="42" t="str">
        <f>IF(AND(C105=Master!$H$3,B105="2012-2013",E105&gt;1000,G105="PLN03"),H105,"")</f>
        <v/>
      </c>
      <c r="AD105" s="42" t="str">
        <f>IF(AND(C105=Master!$H$3,B105="2012-2013",E105="",G105="PLN03"),H105,"")</f>
        <v/>
      </c>
      <c r="AE105" s="42" t="str">
        <f>IF(AND(C105=Master!$H$4,B105="2012-2013",E105&gt;1000,G105="PLN03"),H105,"")</f>
        <v/>
      </c>
      <c r="AF105" s="42" t="str">
        <f>IF(AND(C105=Master!$H$4,B105="2012-2013",E105="",G105="PLN03"),H105,"")</f>
        <v/>
      </c>
      <c r="AG105" s="42" t="str">
        <f>IF(AND(C105=Master!$H$5,B105="2012-2013",E105&gt;1000,G105="PLN03"),H105,"")</f>
        <v/>
      </c>
      <c r="AH105" s="42" t="str">
        <f>IF(AND(C105=Master!$H$5,B105="2012-2013",E105="",G105="PLN03"),H105,"")</f>
        <v/>
      </c>
      <c r="AI105" s="42" t="str">
        <f>IF(AND(C105=Master!$H$6,B105="2012-2013",E105&gt;1000,G105="PLN03"),H105,"")</f>
        <v/>
      </c>
      <c r="AJ105" s="42" t="str">
        <f>IF(AND(C105=Master!$H$6,B105="2012-2013",E105="",G105="PLN03"),H105,"")</f>
        <v/>
      </c>
      <c r="AK105" s="42" t="str">
        <f>IF(AND(C105=Master!$H$7,B105="2012-2013",E105&gt;1000,G105="PLN03"),H105,"")</f>
        <v/>
      </c>
      <c r="AL105" s="42" t="str">
        <f>IF(AND(C105=Master!$H$7,B105="2012-2013",E105="",G105="PLN03"),H105,"")</f>
        <v/>
      </c>
      <c r="AM105" s="42" t="str">
        <f>IF(AND(C105=Master!$H$8,B105="2012-2013",E105&gt;1000,G105="PLN03"),H105,"")</f>
        <v/>
      </c>
      <c r="AN105" s="42" t="str">
        <f>IF(AND(C105=Master!$H$8,B105="2012-2013",E105="",G105="PLN03"),H105,"")</f>
        <v/>
      </c>
      <c r="AO105" s="42" t="str">
        <f>IF(AND(C105=Master!$H$9,B105="2012-2013",E105&gt;1000,G105="PLN03"),H105,"")</f>
        <v/>
      </c>
      <c r="AP105" s="42" t="str">
        <f>IF(AND(C105=Master!$H$9,B105="2012-2013",E105="",G105="PLN03"),H105,"")</f>
        <v/>
      </c>
      <c r="AQ105" s="44" t="str">
        <f>IF(AND(C105=Master!$H$1,B105="2012-2013",E105&gt;1000,G105="NPN05"),H105,"")</f>
        <v/>
      </c>
      <c r="AR105" s="44" t="str">
        <f>IF(AND(C105=Master!$H$1,B105="2012-2013",E105="",G105="NPN05"),H105,"")</f>
        <v/>
      </c>
      <c r="AS105" s="44" t="str">
        <f>IF(AND(C105=Master!$H$2,B105="2012-2013",E105&gt;1000,G105="NPN05"),H105,"")</f>
        <v/>
      </c>
      <c r="AT105" s="44" t="str">
        <f>IF(AND(C105=Master!$H$2,B105="2012-2013",E105="",G105="NPN05"),H105,"")</f>
        <v/>
      </c>
      <c r="AU105" s="44" t="str">
        <f>IF(AND(C105=Master!$H$3,B105="2012-2013",E105&gt;1000,G105="NPN05"),H105,"")</f>
        <v/>
      </c>
      <c r="AV105" s="44" t="str">
        <f>IF(AND(C105=Master!$H$3,B105="2012-2013",E105="",G105="NPN05"),H105,"")</f>
        <v/>
      </c>
      <c r="AW105" s="44" t="str">
        <f>IF(AND(C105=Master!$H$4,B105="2012-2013",E105&gt;1000,G105="NPN05"),H105,"")</f>
        <v/>
      </c>
      <c r="AX105" s="44" t="str">
        <f>IF(AND(C105=Master!$H$4,B105="2012-2013",E105="",G105="NPN05"),H105,"")</f>
        <v/>
      </c>
      <c r="AY105" s="44" t="str">
        <f>IF(AND(C105=Master!$H$5,B105="2012-2013",E105&gt;1000,G105="NPN05"),H105,"")</f>
        <v/>
      </c>
      <c r="AZ105" s="44" t="str">
        <f>IF(AND(C105=Master!$H$5,B105="2012-2013",E105="",G105="NPN05"),H105,"")</f>
        <v/>
      </c>
      <c r="BA105" s="44" t="str">
        <f>IF(AND(C105=Master!$H$6,B105="2012-2013",E105&gt;1000,G105="NPN05"),H105,"")</f>
        <v/>
      </c>
      <c r="BB105" s="44" t="str">
        <f>IF(AND(C105=Master!$H$6,B105="2012-2013",E105="",G105="NPN05"),H105,"")</f>
        <v/>
      </c>
      <c r="BC105" s="44" t="str">
        <f>IF(AND(C105=Master!$H$7,B105="2012-2013",E105&gt;1000,G105="NPN05"),H105,"")</f>
        <v/>
      </c>
      <c r="BD105" s="44" t="str">
        <f>IF(AND(C105=Master!$H$7,B105="2012-2013",E105="",G105="NPN05"),H105,"")</f>
        <v/>
      </c>
      <c r="BE105" s="44" t="str">
        <f>IF(AND(C105=Master!$H$8,B105="2012-2013",E105&gt;1000,G105="NPN05"),H105,"")</f>
        <v/>
      </c>
      <c r="BF105" s="44" t="str">
        <f>IF(AND(C105=Master!$H$8,B105="2012-2013",E105="",G105="NPN05"),H105,"")</f>
        <v/>
      </c>
      <c r="BG105" s="44" t="str">
        <f>IF(AND(C105=Master!$H$9,B105="2012-2013",E105&gt;1000,G105="NPN05"),H105,"")</f>
        <v/>
      </c>
      <c r="BH105" s="44" t="str">
        <f>IF(AND(C105=Master!$H$9,B105="2012-2013",E105="",G105="NPN05"),H105,"")</f>
        <v/>
      </c>
    </row>
    <row r="106" spans="1:60" x14ac:dyDescent="0.25">
      <c r="A106" s="3">
        <v>104</v>
      </c>
      <c r="B106" s="12"/>
      <c r="C106" s="12"/>
      <c r="D106" s="31"/>
      <c r="E106" s="4"/>
      <c r="F106" s="13"/>
      <c r="G106" s="21"/>
      <c r="H106" s="35"/>
      <c r="I106" s="21"/>
      <c r="J106" s="25" t="str">
        <f>IF(NOT(I106=""),INDEX(Master!$B$1:$B$46,MATCH(I106,Master!$A$1:$A$46,0)),"")</f>
        <v/>
      </c>
      <c r="K106" s="18"/>
      <c r="L106" s="86"/>
      <c r="M106" s="13"/>
      <c r="N106" s="13"/>
      <c r="O106" s="18"/>
      <c r="P106" s="35"/>
      <c r="Q106" s="21"/>
      <c r="R106" s="21"/>
      <c r="S106" s="13"/>
      <c r="T106" s="12"/>
      <c r="U106" s="12"/>
      <c r="V106" s="12"/>
      <c r="W106" s="14"/>
      <c r="Y106" s="42" t="str">
        <f>IF(AND(C106=Master!$H$1,B106="2012-2013",E106&gt;1000,G106="PLN03"),H106,"")</f>
        <v/>
      </c>
      <c r="Z106" s="42" t="str">
        <f>IF(AND(C106=Master!$H$1,B106="2012-2013",E106="",G106="PLN03"),H106,"")</f>
        <v/>
      </c>
      <c r="AA106" s="42" t="str">
        <f>IF(AND(C106=Master!$H$2,B106="2012-2013",E106&gt;1000,G106="PLN03"),H106,"")</f>
        <v/>
      </c>
      <c r="AB106" s="42" t="str">
        <f>IF(AND(C106=Master!$H$2,B106="2012-2013",E106="",G106="PLN03"),H106,"")</f>
        <v/>
      </c>
      <c r="AC106" s="42" t="str">
        <f>IF(AND(C106=Master!$H$3,B106="2012-2013",E106&gt;1000,G106="PLN03"),H106,"")</f>
        <v/>
      </c>
      <c r="AD106" s="42" t="str">
        <f>IF(AND(C106=Master!$H$3,B106="2012-2013",E106="",G106="PLN03"),H106,"")</f>
        <v/>
      </c>
      <c r="AE106" s="42" t="str">
        <f>IF(AND(C106=Master!$H$4,B106="2012-2013",E106&gt;1000,G106="PLN03"),H106,"")</f>
        <v/>
      </c>
      <c r="AF106" s="42" t="str">
        <f>IF(AND(C106=Master!$H$4,B106="2012-2013",E106="",G106="PLN03"),H106,"")</f>
        <v/>
      </c>
      <c r="AG106" s="42" t="str">
        <f>IF(AND(C106=Master!$H$5,B106="2012-2013",E106&gt;1000,G106="PLN03"),H106,"")</f>
        <v/>
      </c>
      <c r="AH106" s="42" t="str">
        <f>IF(AND(C106=Master!$H$5,B106="2012-2013",E106="",G106="PLN03"),H106,"")</f>
        <v/>
      </c>
      <c r="AI106" s="42" t="str">
        <f>IF(AND(C106=Master!$H$6,B106="2012-2013",E106&gt;1000,G106="PLN03"),H106,"")</f>
        <v/>
      </c>
      <c r="AJ106" s="42" t="str">
        <f>IF(AND(C106=Master!$H$6,B106="2012-2013",E106="",G106="PLN03"),H106,"")</f>
        <v/>
      </c>
      <c r="AK106" s="42" t="str">
        <f>IF(AND(C106=Master!$H$7,B106="2012-2013",E106&gt;1000,G106="PLN03"),H106,"")</f>
        <v/>
      </c>
      <c r="AL106" s="42" t="str">
        <f>IF(AND(C106=Master!$H$7,B106="2012-2013",E106="",G106="PLN03"),H106,"")</f>
        <v/>
      </c>
      <c r="AM106" s="42" t="str">
        <f>IF(AND(C106=Master!$H$8,B106="2012-2013",E106&gt;1000,G106="PLN03"),H106,"")</f>
        <v/>
      </c>
      <c r="AN106" s="42" t="str">
        <f>IF(AND(C106=Master!$H$8,B106="2012-2013",E106="",G106="PLN03"),H106,"")</f>
        <v/>
      </c>
      <c r="AO106" s="42" t="str">
        <f>IF(AND(C106=Master!$H$9,B106="2012-2013",E106&gt;1000,G106="PLN03"),H106,"")</f>
        <v/>
      </c>
      <c r="AP106" s="42" t="str">
        <f>IF(AND(C106=Master!$H$9,B106="2012-2013",E106="",G106="PLN03"),H106,"")</f>
        <v/>
      </c>
      <c r="AQ106" s="44" t="str">
        <f>IF(AND(C106=Master!$H$1,B106="2012-2013",E106&gt;1000,G106="NPN05"),H106,"")</f>
        <v/>
      </c>
      <c r="AR106" s="44" t="str">
        <f>IF(AND(C106=Master!$H$1,B106="2012-2013",E106="",G106="NPN05"),H106,"")</f>
        <v/>
      </c>
      <c r="AS106" s="44" t="str">
        <f>IF(AND(C106=Master!$H$2,B106="2012-2013",E106&gt;1000,G106="NPN05"),H106,"")</f>
        <v/>
      </c>
      <c r="AT106" s="44" t="str">
        <f>IF(AND(C106=Master!$H$2,B106="2012-2013",E106="",G106="NPN05"),H106,"")</f>
        <v/>
      </c>
      <c r="AU106" s="44" t="str">
        <f>IF(AND(C106=Master!$H$3,B106="2012-2013",E106&gt;1000,G106="NPN05"),H106,"")</f>
        <v/>
      </c>
      <c r="AV106" s="44" t="str">
        <f>IF(AND(C106=Master!$H$3,B106="2012-2013",E106="",G106="NPN05"),H106,"")</f>
        <v/>
      </c>
      <c r="AW106" s="44" t="str">
        <f>IF(AND(C106=Master!$H$4,B106="2012-2013",E106&gt;1000,G106="NPN05"),H106,"")</f>
        <v/>
      </c>
      <c r="AX106" s="44" t="str">
        <f>IF(AND(C106=Master!$H$4,B106="2012-2013",E106="",G106="NPN05"),H106,"")</f>
        <v/>
      </c>
      <c r="AY106" s="44" t="str">
        <f>IF(AND(C106=Master!$H$5,B106="2012-2013",E106&gt;1000,G106="NPN05"),H106,"")</f>
        <v/>
      </c>
      <c r="AZ106" s="44" t="str">
        <f>IF(AND(C106=Master!$H$5,B106="2012-2013",E106="",G106="NPN05"),H106,"")</f>
        <v/>
      </c>
      <c r="BA106" s="44" t="str">
        <f>IF(AND(C106=Master!$H$6,B106="2012-2013",E106&gt;1000,G106="NPN05"),H106,"")</f>
        <v/>
      </c>
      <c r="BB106" s="44" t="str">
        <f>IF(AND(C106=Master!$H$6,B106="2012-2013",E106="",G106="NPN05"),H106,"")</f>
        <v/>
      </c>
      <c r="BC106" s="44" t="str">
        <f>IF(AND(C106=Master!$H$7,B106="2012-2013",E106&gt;1000,G106="NPN05"),H106,"")</f>
        <v/>
      </c>
      <c r="BD106" s="44" t="str">
        <f>IF(AND(C106=Master!$H$7,B106="2012-2013",E106="",G106="NPN05"),H106,"")</f>
        <v/>
      </c>
      <c r="BE106" s="44" t="str">
        <f>IF(AND(C106=Master!$H$8,B106="2012-2013",E106&gt;1000,G106="NPN05"),H106,"")</f>
        <v/>
      </c>
      <c r="BF106" s="44" t="str">
        <f>IF(AND(C106=Master!$H$8,B106="2012-2013",E106="",G106="NPN05"),H106,"")</f>
        <v/>
      </c>
      <c r="BG106" s="44" t="str">
        <f>IF(AND(C106=Master!$H$9,B106="2012-2013",E106&gt;1000,G106="NPN05"),H106,"")</f>
        <v/>
      </c>
      <c r="BH106" s="44" t="str">
        <f>IF(AND(C106=Master!$H$9,B106="2012-2013",E106="",G106="NPN05"),H106,"")</f>
        <v/>
      </c>
    </row>
    <row r="107" spans="1:60" x14ac:dyDescent="0.25">
      <c r="A107" s="3">
        <v>105</v>
      </c>
      <c r="B107" s="12"/>
      <c r="C107" s="15"/>
      <c r="D107" s="32"/>
      <c r="E107" s="4"/>
      <c r="F107" s="13"/>
      <c r="G107" s="21"/>
      <c r="H107" s="35"/>
      <c r="I107" s="21"/>
      <c r="J107" s="25" t="str">
        <f>IF(NOT(I107=""),INDEX(Master!$B$1:$B$46,MATCH(I107,Master!$A$1:$A$46,0)),"")</f>
        <v/>
      </c>
      <c r="K107" s="18"/>
      <c r="L107" s="86"/>
      <c r="M107" s="13"/>
      <c r="N107" s="13"/>
      <c r="O107" s="18"/>
      <c r="P107" s="35"/>
      <c r="Q107" s="21"/>
      <c r="R107" s="21"/>
      <c r="S107" s="13"/>
      <c r="T107" s="12"/>
      <c r="U107" s="12"/>
      <c r="V107" s="12"/>
      <c r="W107" s="14"/>
      <c r="Y107" s="42" t="str">
        <f>IF(AND(C107=Master!$H$1,B107="2012-2013",E107&gt;1000,G107="PLN03"),H107,"")</f>
        <v/>
      </c>
      <c r="Z107" s="42" t="str">
        <f>IF(AND(C107=Master!$H$1,B107="2012-2013",E107="",G107="PLN03"),H107,"")</f>
        <v/>
      </c>
      <c r="AA107" s="42" t="str">
        <f>IF(AND(C107=Master!$H$2,B107="2012-2013",E107&gt;1000,G107="PLN03"),H107,"")</f>
        <v/>
      </c>
      <c r="AB107" s="42" t="str">
        <f>IF(AND(C107=Master!$H$2,B107="2012-2013",E107="",G107="PLN03"),H107,"")</f>
        <v/>
      </c>
      <c r="AC107" s="42" t="str">
        <f>IF(AND(C107=Master!$H$3,B107="2012-2013",E107&gt;1000,G107="PLN03"),H107,"")</f>
        <v/>
      </c>
      <c r="AD107" s="42" t="str">
        <f>IF(AND(C107=Master!$H$3,B107="2012-2013",E107="",G107="PLN03"),H107,"")</f>
        <v/>
      </c>
      <c r="AE107" s="42" t="str">
        <f>IF(AND(C107=Master!$H$4,B107="2012-2013",E107&gt;1000,G107="PLN03"),H107,"")</f>
        <v/>
      </c>
      <c r="AF107" s="42" t="str">
        <f>IF(AND(C107=Master!$H$4,B107="2012-2013",E107="",G107="PLN03"),H107,"")</f>
        <v/>
      </c>
      <c r="AG107" s="42" t="str">
        <f>IF(AND(C107=Master!$H$5,B107="2012-2013",E107&gt;1000,G107="PLN03"),H107,"")</f>
        <v/>
      </c>
      <c r="AH107" s="42" t="str">
        <f>IF(AND(C107=Master!$H$5,B107="2012-2013",E107="",G107="PLN03"),H107,"")</f>
        <v/>
      </c>
      <c r="AI107" s="42" t="str">
        <f>IF(AND(C107=Master!$H$6,B107="2012-2013",E107&gt;1000,G107="PLN03"),H107,"")</f>
        <v/>
      </c>
      <c r="AJ107" s="42" t="str">
        <f>IF(AND(C107=Master!$H$6,B107="2012-2013",E107="",G107="PLN03"),H107,"")</f>
        <v/>
      </c>
      <c r="AK107" s="42" t="str">
        <f>IF(AND(C107=Master!$H$7,B107="2012-2013",E107&gt;1000,G107="PLN03"),H107,"")</f>
        <v/>
      </c>
      <c r="AL107" s="42" t="str">
        <f>IF(AND(C107=Master!$H$7,B107="2012-2013",E107="",G107="PLN03"),H107,"")</f>
        <v/>
      </c>
      <c r="AM107" s="42" t="str">
        <f>IF(AND(C107=Master!$H$8,B107="2012-2013",E107&gt;1000,G107="PLN03"),H107,"")</f>
        <v/>
      </c>
      <c r="AN107" s="42" t="str">
        <f>IF(AND(C107=Master!$H$8,B107="2012-2013",E107="",G107="PLN03"),H107,"")</f>
        <v/>
      </c>
      <c r="AO107" s="42" t="str">
        <f>IF(AND(C107=Master!$H$9,B107="2012-2013",E107&gt;1000,G107="PLN03"),H107,"")</f>
        <v/>
      </c>
      <c r="AP107" s="42" t="str">
        <f>IF(AND(C107=Master!$H$9,B107="2012-2013",E107="",G107="PLN03"),H107,"")</f>
        <v/>
      </c>
      <c r="AQ107" s="44" t="str">
        <f>IF(AND(C107=Master!$H$1,B107="2012-2013",E107&gt;1000,G107="NPN05"),H107,"")</f>
        <v/>
      </c>
      <c r="AR107" s="44" t="str">
        <f>IF(AND(C107=Master!$H$1,B107="2012-2013",E107="",G107="NPN05"),H107,"")</f>
        <v/>
      </c>
      <c r="AS107" s="44" t="str">
        <f>IF(AND(C107=Master!$H$2,B107="2012-2013",E107&gt;1000,G107="NPN05"),H107,"")</f>
        <v/>
      </c>
      <c r="AT107" s="44" t="str">
        <f>IF(AND(C107=Master!$H$2,B107="2012-2013",E107="",G107="NPN05"),H107,"")</f>
        <v/>
      </c>
      <c r="AU107" s="44" t="str">
        <f>IF(AND(C107=Master!$H$3,B107="2012-2013",E107&gt;1000,G107="NPN05"),H107,"")</f>
        <v/>
      </c>
      <c r="AV107" s="44" t="str">
        <f>IF(AND(C107=Master!$H$3,B107="2012-2013",E107="",G107="NPN05"),H107,"")</f>
        <v/>
      </c>
      <c r="AW107" s="44" t="str">
        <f>IF(AND(C107=Master!$H$4,B107="2012-2013",E107&gt;1000,G107="NPN05"),H107,"")</f>
        <v/>
      </c>
      <c r="AX107" s="44" t="str">
        <f>IF(AND(C107=Master!$H$4,B107="2012-2013",E107="",G107="NPN05"),H107,"")</f>
        <v/>
      </c>
      <c r="AY107" s="44" t="str">
        <f>IF(AND(C107=Master!$H$5,B107="2012-2013",E107&gt;1000,G107="NPN05"),H107,"")</f>
        <v/>
      </c>
      <c r="AZ107" s="44" t="str">
        <f>IF(AND(C107=Master!$H$5,B107="2012-2013",E107="",G107="NPN05"),H107,"")</f>
        <v/>
      </c>
      <c r="BA107" s="44" t="str">
        <f>IF(AND(C107=Master!$H$6,B107="2012-2013",E107&gt;1000,G107="NPN05"),H107,"")</f>
        <v/>
      </c>
      <c r="BB107" s="44" t="str">
        <f>IF(AND(C107=Master!$H$6,B107="2012-2013",E107="",G107="NPN05"),H107,"")</f>
        <v/>
      </c>
      <c r="BC107" s="44" t="str">
        <f>IF(AND(C107=Master!$H$7,B107="2012-2013",E107&gt;1000,G107="NPN05"),H107,"")</f>
        <v/>
      </c>
      <c r="BD107" s="44" t="str">
        <f>IF(AND(C107=Master!$H$7,B107="2012-2013",E107="",G107="NPN05"),H107,"")</f>
        <v/>
      </c>
      <c r="BE107" s="44" t="str">
        <f>IF(AND(C107=Master!$H$8,B107="2012-2013",E107&gt;1000,G107="NPN05"),H107,"")</f>
        <v/>
      </c>
      <c r="BF107" s="44" t="str">
        <f>IF(AND(C107=Master!$H$8,B107="2012-2013",E107="",G107="NPN05"),H107,"")</f>
        <v/>
      </c>
      <c r="BG107" s="44" t="str">
        <f>IF(AND(C107=Master!$H$9,B107="2012-2013",E107&gt;1000,G107="NPN05"),H107,"")</f>
        <v/>
      </c>
      <c r="BH107" s="44" t="str">
        <f>IF(AND(C107=Master!$H$9,B107="2012-2013",E107="",G107="NPN05"),H107,"")</f>
        <v/>
      </c>
    </row>
    <row r="108" spans="1:60" x14ac:dyDescent="0.25">
      <c r="A108" s="3">
        <v>106</v>
      </c>
      <c r="B108" s="12"/>
      <c r="C108" s="12"/>
      <c r="D108" s="31"/>
      <c r="E108" s="4"/>
      <c r="F108" s="13"/>
      <c r="G108" s="21"/>
      <c r="H108" s="35"/>
      <c r="I108" s="21"/>
      <c r="J108" s="25" t="str">
        <f>IF(NOT(I108=""),INDEX(Master!$B$1:$B$46,MATCH(I108,Master!$A$1:$A$46,0)),"")</f>
        <v/>
      </c>
      <c r="K108" s="18"/>
      <c r="L108" s="86"/>
      <c r="M108" s="13"/>
      <c r="N108" s="13"/>
      <c r="O108" s="18"/>
      <c r="P108" s="35"/>
      <c r="Q108" s="21"/>
      <c r="R108" s="21"/>
      <c r="S108" s="13"/>
      <c r="T108" s="12"/>
      <c r="U108" s="12"/>
      <c r="V108" s="12"/>
      <c r="W108" s="14"/>
      <c r="Y108" s="42" t="str">
        <f>IF(AND(C108=Master!$H$1,B108="2012-2013",E108&gt;1000,G108="PLN03"),H108,"")</f>
        <v/>
      </c>
      <c r="Z108" s="42" t="str">
        <f>IF(AND(C108=Master!$H$1,B108="2012-2013",E108="",G108="PLN03"),H108,"")</f>
        <v/>
      </c>
      <c r="AA108" s="42" t="str">
        <f>IF(AND(C108=Master!$H$2,B108="2012-2013",E108&gt;1000,G108="PLN03"),H108,"")</f>
        <v/>
      </c>
      <c r="AB108" s="42" t="str">
        <f>IF(AND(C108=Master!$H$2,B108="2012-2013",E108="",G108="PLN03"),H108,"")</f>
        <v/>
      </c>
      <c r="AC108" s="42" t="str">
        <f>IF(AND(C108=Master!$H$3,B108="2012-2013",E108&gt;1000,G108="PLN03"),H108,"")</f>
        <v/>
      </c>
      <c r="AD108" s="42" t="str">
        <f>IF(AND(C108=Master!$H$3,B108="2012-2013",E108="",G108="PLN03"),H108,"")</f>
        <v/>
      </c>
      <c r="AE108" s="42" t="str">
        <f>IF(AND(C108=Master!$H$4,B108="2012-2013",E108&gt;1000,G108="PLN03"),H108,"")</f>
        <v/>
      </c>
      <c r="AF108" s="42" t="str">
        <f>IF(AND(C108=Master!$H$4,B108="2012-2013",E108="",G108="PLN03"),H108,"")</f>
        <v/>
      </c>
      <c r="AG108" s="42" t="str">
        <f>IF(AND(C108=Master!$H$5,B108="2012-2013",E108&gt;1000,G108="PLN03"),H108,"")</f>
        <v/>
      </c>
      <c r="AH108" s="42" t="str">
        <f>IF(AND(C108=Master!$H$5,B108="2012-2013",E108="",G108="PLN03"),H108,"")</f>
        <v/>
      </c>
      <c r="AI108" s="42" t="str">
        <f>IF(AND(C108=Master!$H$6,B108="2012-2013",E108&gt;1000,G108="PLN03"),H108,"")</f>
        <v/>
      </c>
      <c r="AJ108" s="42" t="str">
        <f>IF(AND(C108=Master!$H$6,B108="2012-2013",E108="",G108="PLN03"),H108,"")</f>
        <v/>
      </c>
      <c r="AK108" s="42" t="str">
        <f>IF(AND(C108=Master!$H$7,B108="2012-2013",E108&gt;1000,G108="PLN03"),H108,"")</f>
        <v/>
      </c>
      <c r="AL108" s="42" t="str">
        <f>IF(AND(C108=Master!$H$7,B108="2012-2013",E108="",G108="PLN03"),H108,"")</f>
        <v/>
      </c>
      <c r="AM108" s="42" t="str">
        <f>IF(AND(C108=Master!$H$8,B108="2012-2013",E108&gt;1000,G108="PLN03"),H108,"")</f>
        <v/>
      </c>
      <c r="AN108" s="42" t="str">
        <f>IF(AND(C108=Master!$H$8,B108="2012-2013",E108="",G108="PLN03"),H108,"")</f>
        <v/>
      </c>
      <c r="AO108" s="42" t="str">
        <f>IF(AND(C108=Master!$H$9,B108="2012-2013",E108&gt;1000,G108="PLN03"),H108,"")</f>
        <v/>
      </c>
      <c r="AP108" s="42" t="str">
        <f>IF(AND(C108=Master!$H$9,B108="2012-2013",E108="",G108="PLN03"),H108,"")</f>
        <v/>
      </c>
      <c r="AQ108" s="44" t="str">
        <f>IF(AND(C108=Master!$H$1,B108="2012-2013",E108&gt;1000,G108="NPN05"),H108,"")</f>
        <v/>
      </c>
      <c r="AR108" s="44" t="str">
        <f>IF(AND(C108=Master!$H$1,B108="2012-2013",E108="",G108="NPN05"),H108,"")</f>
        <v/>
      </c>
      <c r="AS108" s="44" t="str">
        <f>IF(AND(C108=Master!$H$2,B108="2012-2013",E108&gt;1000,G108="NPN05"),H108,"")</f>
        <v/>
      </c>
      <c r="AT108" s="44" t="str">
        <f>IF(AND(C108=Master!$H$2,B108="2012-2013",E108="",G108="NPN05"),H108,"")</f>
        <v/>
      </c>
      <c r="AU108" s="44" t="str">
        <f>IF(AND(C108=Master!$H$3,B108="2012-2013",E108&gt;1000,G108="NPN05"),H108,"")</f>
        <v/>
      </c>
      <c r="AV108" s="44" t="str">
        <f>IF(AND(C108=Master!$H$3,B108="2012-2013",E108="",G108="NPN05"),H108,"")</f>
        <v/>
      </c>
      <c r="AW108" s="44" t="str">
        <f>IF(AND(C108=Master!$H$4,B108="2012-2013",E108&gt;1000,G108="NPN05"),H108,"")</f>
        <v/>
      </c>
      <c r="AX108" s="44" t="str">
        <f>IF(AND(C108=Master!$H$4,B108="2012-2013",E108="",G108="NPN05"),H108,"")</f>
        <v/>
      </c>
      <c r="AY108" s="44" t="str">
        <f>IF(AND(C108=Master!$H$5,B108="2012-2013",E108&gt;1000,G108="NPN05"),H108,"")</f>
        <v/>
      </c>
      <c r="AZ108" s="44" t="str">
        <f>IF(AND(C108=Master!$H$5,B108="2012-2013",E108="",G108="NPN05"),H108,"")</f>
        <v/>
      </c>
      <c r="BA108" s="44" t="str">
        <f>IF(AND(C108=Master!$H$6,B108="2012-2013",E108&gt;1000,G108="NPN05"),H108,"")</f>
        <v/>
      </c>
      <c r="BB108" s="44" t="str">
        <f>IF(AND(C108=Master!$H$6,B108="2012-2013",E108="",G108="NPN05"),H108,"")</f>
        <v/>
      </c>
      <c r="BC108" s="44" t="str">
        <f>IF(AND(C108=Master!$H$7,B108="2012-2013",E108&gt;1000,G108="NPN05"),H108,"")</f>
        <v/>
      </c>
      <c r="BD108" s="44" t="str">
        <f>IF(AND(C108=Master!$H$7,B108="2012-2013",E108="",G108="NPN05"),H108,"")</f>
        <v/>
      </c>
      <c r="BE108" s="44" t="str">
        <f>IF(AND(C108=Master!$H$8,B108="2012-2013",E108&gt;1000,G108="NPN05"),H108,"")</f>
        <v/>
      </c>
      <c r="BF108" s="44" t="str">
        <f>IF(AND(C108=Master!$H$8,B108="2012-2013",E108="",G108="NPN05"),H108,"")</f>
        <v/>
      </c>
      <c r="BG108" s="44" t="str">
        <f>IF(AND(C108=Master!$H$9,B108="2012-2013",E108&gt;1000,G108="NPN05"),H108,"")</f>
        <v/>
      </c>
      <c r="BH108" s="44" t="str">
        <f>IF(AND(C108=Master!$H$9,B108="2012-2013",E108="",G108="NPN05"),H108,"")</f>
        <v/>
      </c>
    </row>
    <row r="109" spans="1:60" x14ac:dyDescent="0.25">
      <c r="A109" s="3">
        <v>107</v>
      </c>
      <c r="B109" s="12"/>
      <c r="C109" s="12"/>
      <c r="D109" s="31"/>
      <c r="E109" s="4"/>
      <c r="F109" s="13"/>
      <c r="G109" s="21"/>
      <c r="H109" s="35"/>
      <c r="I109" s="21"/>
      <c r="J109" s="25" t="str">
        <f>IF(NOT(I109=""),INDEX(Master!$B$1:$B$46,MATCH(I109,Master!$A$1:$A$46,0)),"")</f>
        <v/>
      </c>
      <c r="K109" s="18"/>
      <c r="L109" s="86"/>
      <c r="M109" s="13"/>
      <c r="N109" s="13"/>
      <c r="O109" s="18"/>
      <c r="P109" s="35"/>
      <c r="Q109" s="21"/>
      <c r="R109" s="21"/>
      <c r="S109" s="13"/>
      <c r="T109" s="12"/>
      <c r="U109" s="12"/>
      <c r="V109" s="12"/>
      <c r="W109" s="14"/>
      <c r="Y109" s="42" t="str">
        <f>IF(AND(C109=Master!$H$1,B109="2012-2013",E109&gt;1000,G109="PLN03"),H109,"")</f>
        <v/>
      </c>
      <c r="Z109" s="42" t="str">
        <f>IF(AND(C109=Master!$H$1,B109="2012-2013",E109="",G109="PLN03"),H109,"")</f>
        <v/>
      </c>
      <c r="AA109" s="42" t="str">
        <f>IF(AND(C109=Master!$H$2,B109="2012-2013",E109&gt;1000,G109="PLN03"),H109,"")</f>
        <v/>
      </c>
      <c r="AB109" s="42" t="str">
        <f>IF(AND(C109=Master!$H$2,B109="2012-2013",E109="",G109="PLN03"),H109,"")</f>
        <v/>
      </c>
      <c r="AC109" s="42" t="str">
        <f>IF(AND(C109=Master!$H$3,B109="2012-2013",E109&gt;1000,G109="PLN03"),H109,"")</f>
        <v/>
      </c>
      <c r="AD109" s="42" t="str">
        <f>IF(AND(C109=Master!$H$3,B109="2012-2013",E109="",G109="PLN03"),H109,"")</f>
        <v/>
      </c>
      <c r="AE109" s="42" t="str">
        <f>IF(AND(C109=Master!$H$4,B109="2012-2013",E109&gt;1000,G109="PLN03"),H109,"")</f>
        <v/>
      </c>
      <c r="AF109" s="42" t="str">
        <f>IF(AND(C109=Master!$H$4,B109="2012-2013",E109="",G109="PLN03"),H109,"")</f>
        <v/>
      </c>
      <c r="AG109" s="42" t="str">
        <f>IF(AND(C109=Master!$H$5,B109="2012-2013",E109&gt;1000,G109="PLN03"),H109,"")</f>
        <v/>
      </c>
      <c r="AH109" s="42" t="str">
        <f>IF(AND(C109=Master!$H$5,B109="2012-2013",E109="",G109="PLN03"),H109,"")</f>
        <v/>
      </c>
      <c r="AI109" s="42" t="str">
        <f>IF(AND(C109=Master!$H$6,B109="2012-2013",E109&gt;1000,G109="PLN03"),H109,"")</f>
        <v/>
      </c>
      <c r="AJ109" s="42" t="str">
        <f>IF(AND(C109=Master!$H$6,B109="2012-2013",E109="",G109="PLN03"),H109,"")</f>
        <v/>
      </c>
      <c r="AK109" s="42" t="str">
        <f>IF(AND(C109=Master!$H$7,B109="2012-2013",E109&gt;1000,G109="PLN03"),H109,"")</f>
        <v/>
      </c>
      <c r="AL109" s="42" t="str">
        <f>IF(AND(C109=Master!$H$7,B109="2012-2013",E109="",G109="PLN03"),H109,"")</f>
        <v/>
      </c>
      <c r="AM109" s="42" t="str">
        <f>IF(AND(C109=Master!$H$8,B109="2012-2013",E109&gt;1000,G109="PLN03"),H109,"")</f>
        <v/>
      </c>
      <c r="AN109" s="42" t="str">
        <f>IF(AND(C109=Master!$H$8,B109="2012-2013",E109="",G109="PLN03"),H109,"")</f>
        <v/>
      </c>
      <c r="AO109" s="42" t="str">
        <f>IF(AND(C109=Master!$H$9,B109="2012-2013",E109&gt;1000,G109="PLN03"),H109,"")</f>
        <v/>
      </c>
      <c r="AP109" s="42" t="str">
        <f>IF(AND(C109=Master!$H$9,B109="2012-2013",E109="",G109="PLN03"),H109,"")</f>
        <v/>
      </c>
      <c r="AQ109" s="44" t="str">
        <f>IF(AND(C109=Master!$H$1,B109="2012-2013",E109&gt;1000,G109="NPN05"),H109,"")</f>
        <v/>
      </c>
      <c r="AR109" s="44" t="str">
        <f>IF(AND(C109=Master!$H$1,B109="2012-2013",E109="",G109="NPN05"),H109,"")</f>
        <v/>
      </c>
      <c r="AS109" s="44" t="str">
        <f>IF(AND(C109=Master!$H$2,B109="2012-2013",E109&gt;1000,G109="NPN05"),H109,"")</f>
        <v/>
      </c>
      <c r="AT109" s="44" t="str">
        <f>IF(AND(C109=Master!$H$2,B109="2012-2013",E109="",G109="NPN05"),H109,"")</f>
        <v/>
      </c>
      <c r="AU109" s="44" t="str">
        <f>IF(AND(C109=Master!$H$3,B109="2012-2013",E109&gt;1000,G109="NPN05"),H109,"")</f>
        <v/>
      </c>
      <c r="AV109" s="44" t="str">
        <f>IF(AND(C109=Master!$H$3,B109="2012-2013",E109="",G109="NPN05"),H109,"")</f>
        <v/>
      </c>
      <c r="AW109" s="44" t="str">
        <f>IF(AND(C109=Master!$H$4,B109="2012-2013",E109&gt;1000,G109="NPN05"),H109,"")</f>
        <v/>
      </c>
      <c r="AX109" s="44" t="str">
        <f>IF(AND(C109=Master!$H$4,B109="2012-2013",E109="",G109="NPN05"),H109,"")</f>
        <v/>
      </c>
      <c r="AY109" s="44" t="str">
        <f>IF(AND(C109=Master!$H$5,B109="2012-2013",E109&gt;1000,G109="NPN05"),H109,"")</f>
        <v/>
      </c>
      <c r="AZ109" s="44" t="str">
        <f>IF(AND(C109=Master!$H$5,B109="2012-2013",E109="",G109="NPN05"),H109,"")</f>
        <v/>
      </c>
      <c r="BA109" s="44" t="str">
        <f>IF(AND(C109=Master!$H$6,B109="2012-2013",E109&gt;1000,G109="NPN05"),H109,"")</f>
        <v/>
      </c>
      <c r="BB109" s="44" t="str">
        <f>IF(AND(C109=Master!$H$6,B109="2012-2013",E109="",G109="NPN05"),H109,"")</f>
        <v/>
      </c>
      <c r="BC109" s="44" t="str">
        <f>IF(AND(C109=Master!$H$7,B109="2012-2013",E109&gt;1000,G109="NPN05"),H109,"")</f>
        <v/>
      </c>
      <c r="BD109" s="44" t="str">
        <f>IF(AND(C109=Master!$H$7,B109="2012-2013",E109="",G109="NPN05"),H109,"")</f>
        <v/>
      </c>
      <c r="BE109" s="44" t="str">
        <f>IF(AND(C109=Master!$H$8,B109="2012-2013",E109&gt;1000,G109="NPN05"),H109,"")</f>
        <v/>
      </c>
      <c r="BF109" s="44" t="str">
        <f>IF(AND(C109=Master!$H$8,B109="2012-2013",E109="",G109="NPN05"),H109,"")</f>
        <v/>
      </c>
      <c r="BG109" s="44" t="str">
        <f>IF(AND(C109=Master!$H$9,B109="2012-2013",E109&gt;1000,G109="NPN05"),H109,"")</f>
        <v/>
      </c>
      <c r="BH109" s="44" t="str">
        <f>IF(AND(C109=Master!$H$9,B109="2012-2013",E109="",G109="NPN05"),H109,"")</f>
        <v/>
      </c>
    </row>
    <row r="110" spans="1:60" x14ac:dyDescent="0.25">
      <c r="A110" s="3">
        <v>108</v>
      </c>
      <c r="B110" s="12"/>
      <c r="C110" s="12"/>
      <c r="D110" s="31"/>
      <c r="E110" s="4"/>
      <c r="F110" s="13"/>
      <c r="G110" s="21"/>
      <c r="H110" s="35"/>
      <c r="I110" s="21"/>
      <c r="J110" s="25" t="str">
        <f>IF(NOT(I110=""),INDEX(Master!$B$1:$B$46,MATCH(I110,Master!$A$1:$A$46,0)),"")</f>
        <v/>
      </c>
      <c r="K110" s="18"/>
      <c r="L110" s="86"/>
      <c r="M110" s="13"/>
      <c r="N110" s="13"/>
      <c r="O110" s="18"/>
      <c r="P110" s="35"/>
      <c r="Q110" s="21"/>
      <c r="R110" s="21"/>
      <c r="S110" s="13"/>
      <c r="T110" s="12"/>
      <c r="U110" s="12"/>
      <c r="V110" s="12"/>
      <c r="W110" s="14"/>
      <c r="Y110" s="42" t="str">
        <f>IF(AND(C110=Master!$H$1,B110="2012-2013",E110&gt;1000,G110="PLN03"),H110,"")</f>
        <v/>
      </c>
      <c r="Z110" s="42" t="str">
        <f>IF(AND(C110=Master!$H$1,B110="2012-2013",E110="",G110="PLN03"),H110,"")</f>
        <v/>
      </c>
      <c r="AA110" s="42" t="str">
        <f>IF(AND(C110=Master!$H$2,B110="2012-2013",E110&gt;1000,G110="PLN03"),H110,"")</f>
        <v/>
      </c>
      <c r="AB110" s="42" t="str">
        <f>IF(AND(C110=Master!$H$2,B110="2012-2013",E110="",G110="PLN03"),H110,"")</f>
        <v/>
      </c>
      <c r="AC110" s="42" t="str">
        <f>IF(AND(C110=Master!$H$3,B110="2012-2013",E110&gt;1000,G110="PLN03"),H110,"")</f>
        <v/>
      </c>
      <c r="AD110" s="42" t="str">
        <f>IF(AND(C110=Master!$H$3,B110="2012-2013",E110="",G110="PLN03"),H110,"")</f>
        <v/>
      </c>
      <c r="AE110" s="42" t="str">
        <f>IF(AND(C110=Master!$H$4,B110="2012-2013",E110&gt;1000,G110="PLN03"),H110,"")</f>
        <v/>
      </c>
      <c r="AF110" s="42" t="str">
        <f>IF(AND(C110=Master!$H$4,B110="2012-2013",E110="",G110="PLN03"),H110,"")</f>
        <v/>
      </c>
      <c r="AG110" s="42" t="str">
        <f>IF(AND(C110=Master!$H$5,B110="2012-2013",E110&gt;1000,G110="PLN03"),H110,"")</f>
        <v/>
      </c>
      <c r="AH110" s="42" t="str">
        <f>IF(AND(C110=Master!$H$5,B110="2012-2013",E110="",G110="PLN03"),H110,"")</f>
        <v/>
      </c>
      <c r="AI110" s="42" t="str">
        <f>IF(AND(C110=Master!$H$6,B110="2012-2013",E110&gt;1000,G110="PLN03"),H110,"")</f>
        <v/>
      </c>
      <c r="AJ110" s="42" t="str">
        <f>IF(AND(C110=Master!$H$6,B110="2012-2013",E110="",G110="PLN03"),H110,"")</f>
        <v/>
      </c>
      <c r="AK110" s="42" t="str">
        <f>IF(AND(C110=Master!$H$7,B110="2012-2013",E110&gt;1000,G110="PLN03"),H110,"")</f>
        <v/>
      </c>
      <c r="AL110" s="42" t="str">
        <f>IF(AND(C110=Master!$H$7,B110="2012-2013",E110="",G110="PLN03"),H110,"")</f>
        <v/>
      </c>
      <c r="AM110" s="42" t="str">
        <f>IF(AND(C110=Master!$H$8,B110="2012-2013",E110&gt;1000,G110="PLN03"),H110,"")</f>
        <v/>
      </c>
      <c r="AN110" s="42" t="str">
        <f>IF(AND(C110=Master!$H$8,B110="2012-2013",E110="",G110="PLN03"),H110,"")</f>
        <v/>
      </c>
      <c r="AO110" s="42" t="str">
        <f>IF(AND(C110=Master!$H$9,B110="2012-2013",E110&gt;1000,G110="PLN03"),H110,"")</f>
        <v/>
      </c>
      <c r="AP110" s="42" t="str">
        <f>IF(AND(C110=Master!$H$9,B110="2012-2013",E110="",G110="PLN03"),H110,"")</f>
        <v/>
      </c>
      <c r="AQ110" s="44" t="str">
        <f>IF(AND(C110=Master!$H$1,B110="2012-2013",E110&gt;1000,G110="NPN05"),H110,"")</f>
        <v/>
      </c>
      <c r="AR110" s="44" t="str">
        <f>IF(AND(C110=Master!$H$1,B110="2012-2013",E110="",G110="NPN05"),H110,"")</f>
        <v/>
      </c>
      <c r="AS110" s="44" t="str">
        <f>IF(AND(C110=Master!$H$2,B110="2012-2013",E110&gt;1000,G110="NPN05"),H110,"")</f>
        <v/>
      </c>
      <c r="AT110" s="44" t="str">
        <f>IF(AND(C110=Master!$H$2,B110="2012-2013",E110="",G110="NPN05"),H110,"")</f>
        <v/>
      </c>
      <c r="AU110" s="44" t="str">
        <f>IF(AND(C110=Master!$H$3,B110="2012-2013",E110&gt;1000,G110="NPN05"),H110,"")</f>
        <v/>
      </c>
      <c r="AV110" s="44" t="str">
        <f>IF(AND(C110=Master!$H$3,B110="2012-2013",E110="",G110="NPN05"),H110,"")</f>
        <v/>
      </c>
      <c r="AW110" s="44" t="str">
        <f>IF(AND(C110=Master!$H$4,B110="2012-2013",E110&gt;1000,G110="NPN05"),H110,"")</f>
        <v/>
      </c>
      <c r="AX110" s="44" t="str">
        <f>IF(AND(C110=Master!$H$4,B110="2012-2013",E110="",G110="NPN05"),H110,"")</f>
        <v/>
      </c>
      <c r="AY110" s="44" t="str">
        <f>IF(AND(C110=Master!$H$5,B110="2012-2013",E110&gt;1000,G110="NPN05"),H110,"")</f>
        <v/>
      </c>
      <c r="AZ110" s="44" t="str">
        <f>IF(AND(C110=Master!$H$5,B110="2012-2013",E110="",G110="NPN05"),H110,"")</f>
        <v/>
      </c>
      <c r="BA110" s="44" t="str">
        <f>IF(AND(C110=Master!$H$6,B110="2012-2013",E110&gt;1000,G110="NPN05"),H110,"")</f>
        <v/>
      </c>
      <c r="BB110" s="44" t="str">
        <f>IF(AND(C110=Master!$H$6,B110="2012-2013",E110="",G110="NPN05"),H110,"")</f>
        <v/>
      </c>
      <c r="BC110" s="44" t="str">
        <f>IF(AND(C110=Master!$H$7,B110="2012-2013",E110&gt;1000,G110="NPN05"),H110,"")</f>
        <v/>
      </c>
      <c r="BD110" s="44" t="str">
        <f>IF(AND(C110=Master!$H$7,B110="2012-2013",E110="",G110="NPN05"),H110,"")</f>
        <v/>
      </c>
      <c r="BE110" s="44" t="str">
        <f>IF(AND(C110=Master!$H$8,B110="2012-2013",E110&gt;1000,G110="NPN05"),H110,"")</f>
        <v/>
      </c>
      <c r="BF110" s="44" t="str">
        <f>IF(AND(C110=Master!$H$8,B110="2012-2013",E110="",G110="NPN05"),H110,"")</f>
        <v/>
      </c>
      <c r="BG110" s="44" t="str">
        <f>IF(AND(C110=Master!$H$9,B110="2012-2013",E110&gt;1000,G110="NPN05"),H110,"")</f>
        <v/>
      </c>
      <c r="BH110" s="44" t="str">
        <f>IF(AND(C110=Master!$H$9,B110="2012-2013",E110="",G110="NPN05"),H110,"")</f>
        <v/>
      </c>
    </row>
    <row r="111" spans="1:60" x14ac:dyDescent="0.25">
      <c r="A111" s="3">
        <v>109</v>
      </c>
      <c r="B111" s="12"/>
      <c r="C111" s="12"/>
      <c r="D111" s="31"/>
      <c r="E111" s="4"/>
      <c r="F111" s="13"/>
      <c r="G111" s="21"/>
      <c r="H111" s="35"/>
      <c r="I111" s="21"/>
      <c r="J111" s="25" t="str">
        <f>IF(NOT(I111=""),INDEX(Master!$B$1:$B$46,MATCH(I111,Master!$A$1:$A$46,0)),"")</f>
        <v/>
      </c>
      <c r="K111" s="18"/>
      <c r="L111" s="86"/>
      <c r="M111" s="13"/>
      <c r="N111" s="13"/>
      <c r="O111" s="18"/>
      <c r="P111" s="35"/>
      <c r="Q111" s="21"/>
      <c r="R111" s="21"/>
      <c r="S111" s="13"/>
      <c r="T111" s="12"/>
      <c r="U111" s="12"/>
      <c r="V111" s="12"/>
      <c r="W111" s="14"/>
      <c r="Y111" s="42" t="str">
        <f>IF(AND(C111=Master!$H$1,B111="2012-2013",E111&gt;1000,G111="PLN03"),H111,"")</f>
        <v/>
      </c>
      <c r="Z111" s="42" t="str">
        <f>IF(AND(C111=Master!$H$1,B111="2012-2013",E111="",G111="PLN03"),H111,"")</f>
        <v/>
      </c>
      <c r="AA111" s="42" t="str">
        <f>IF(AND(C111=Master!$H$2,B111="2012-2013",E111&gt;1000,G111="PLN03"),H111,"")</f>
        <v/>
      </c>
      <c r="AB111" s="42" t="str">
        <f>IF(AND(C111=Master!$H$2,B111="2012-2013",E111="",G111="PLN03"),H111,"")</f>
        <v/>
      </c>
      <c r="AC111" s="42" t="str">
        <f>IF(AND(C111=Master!$H$3,B111="2012-2013",E111&gt;1000,G111="PLN03"),H111,"")</f>
        <v/>
      </c>
      <c r="AD111" s="42" t="str">
        <f>IF(AND(C111=Master!$H$3,B111="2012-2013",E111="",G111="PLN03"),H111,"")</f>
        <v/>
      </c>
      <c r="AE111" s="42" t="str">
        <f>IF(AND(C111=Master!$H$4,B111="2012-2013",E111&gt;1000,G111="PLN03"),H111,"")</f>
        <v/>
      </c>
      <c r="AF111" s="42" t="str">
        <f>IF(AND(C111=Master!$H$4,B111="2012-2013",E111="",G111="PLN03"),H111,"")</f>
        <v/>
      </c>
      <c r="AG111" s="42" t="str">
        <f>IF(AND(C111=Master!$H$5,B111="2012-2013",E111&gt;1000,G111="PLN03"),H111,"")</f>
        <v/>
      </c>
      <c r="AH111" s="42" t="str">
        <f>IF(AND(C111=Master!$H$5,B111="2012-2013",E111="",G111="PLN03"),H111,"")</f>
        <v/>
      </c>
      <c r="AI111" s="42" t="str">
        <f>IF(AND(C111=Master!$H$6,B111="2012-2013",E111&gt;1000,G111="PLN03"),H111,"")</f>
        <v/>
      </c>
      <c r="AJ111" s="42" t="str">
        <f>IF(AND(C111=Master!$H$6,B111="2012-2013",E111="",G111="PLN03"),H111,"")</f>
        <v/>
      </c>
      <c r="AK111" s="42" t="str">
        <f>IF(AND(C111=Master!$H$7,B111="2012-2013",E111&gt;1000,G111="PLN03"),H111,"")</f>
        <v/>
      </c>
      <c r="AL111" s="42" t="str">
        <f>IF(AND(C111=Master!$H$7,B111="2012-2013",E111="",G111="PLN03"),H111,"")</f>
        <v/>
      </c>
      <c r="AM111" s="42" t="str">
        <f>IF(AND(C111=Master!$H$8,B111="2012-2013",E111&gt;1000,G111="PLN03"),H111,"")</f>
        <v/>
      </c>
      <c r="AN111" s="42" t="str">
        <f>IF(AND(C111=Master!$H$8,B111="2012-2013",E111="",G111="PLN03"),H111,"")</f>
        <v/>
      </c>
      <c r="AO111" s="42" t="str">
        <f>IF(AND(C111=Master!$H$9,B111="2012-2013",E111&gt;1000,G111="PLN03"),H111,"")</f>
        <v/>
      </c>
      <c r="AP111" s="42" t="str">
        <f>IF(AND(C111=Master!$H$9,B111="2012-2013",E111="",G111="PLN03"),H111,"")</f>
        <v/>
      </c>
      <c r="AQ111" s="44" t="str">
        <f>IF(AND(C111=Master!$H$1,B111="2012-2013",E111&gt;1000,G111="NPN05"),H111,"")</f>
        <v/>
      </c>
      <c r="AR111" s="44" t="str">
        <f>IF(AND(C111=Master!$H$1,B111="2012-2013",E111="",G111="NPN05"),H111,"")</f>
        <v/>
      </c>
      <c r="AS111" s="44" t="str">
        <f>IF(AND(C111=Master!$H$2,B111="2012-2013",E111&gt;1000,G111="NPN05"),H111,"")</f>
        <v/>
      </c>
      <c r="AT111" s="44" t="str">
        <f>IF(AND(C111=Master!$H$2,B111="2012-2013",E111="",G111="NPN05"),H111,"")</f>
        <v/>
      </c>
      <c r="AU111" s="44" t="str">
        <f>IF(AND(C111=Master!$H$3,B111="2012-2013",E111&gt;1000,G111="NPN05"),H111,"")</f>
        <v/>
      </c>
      <c r="AV111" s="44" t="str">
        <f>IF(AND(C111=Master!$H$3,B111="2012-2013",E111="",G111="NPN05"),H111,"")</f>
        <v/>
      </c>
      <c r="AW111" s="44" t="str">
        <f>IF(AND(C111=Master!$H$4,B111="2012-2013",E111&gt;1000,G111="NPN05"),H111,"")</f>
        <v/>
      </c>
      <c r="AX111" s="44" t="str">
        <f>IF(AND(C111=Master!$H$4,B111="2012-2013",E111="",G111="NPN05"),H111,"")</f>
        <v/>
      </c>
      <c r="AY111" s="44" t="str">
        <f>IF(AND(C111=Master!$H$5,B111="2012-2013",E111&gt;1000,G111="NPN05"),H111,"")</f>
        <v/>
      </c>
      <c r="AZ111" s="44" t="str">
        <f>IF(AND(C111=Master!$H$5,B111="2012-2013",E111="",G111="NPN05"),H111,"")</f>
        <v/>
      </c>
      <c r="BA111" s="44" t="str">
        <f>IF(AND(C111=Master!$H$6,B111="2012-2013",E111&gt;1000,G111="NPN05"),H111,"")</f>
        <v/>
      </c>
      <c r="BB111" s="44" t="str">
        <f>IF(AND(C111=Master!$H$6,B111="2012-2013",E111="",G111="NPN05"),H111,"")</f>
        <v/>
      </c>
      <c r="BC111" s="44" t="str">
        <f>IF(AND(C111=Master!$H$7,B111="2012-2013",E111&gt;1000,G111="NPN05"),H111,"")</f>
        <v/>
      </c>
      <c r="BD111" s="44" t="str">
        <f>IF(AND(C111=Master!$H$7,B111="2012-2013",E111="",G111="NPN05"),H111,"")</f>
        <v/>
      </c>
      <c r="BE111" s="44" t="str">
        <f>IF(AND(C111=Master!$H$8,B111="2012-2013",E111&gt;1000,G111="NPN05"),H111,"")</f>
        <v/>
      </c>
      <c r="BF111" s="44" t="str">
        <f>IF(AND(C111=Master!$H$8,B111="2012-2013",E111="",G111="NPN05"),H111,"")</f>
        <v/>
      </c>
      <c r="BG111" s="44" t="str">
        <f>IF(AND(C111=Master!$H$9,B111="2012-2013",E111&gt;1000,G111="NPN05"),H111,"")</f>
        <v/>
      </c>
      <c r="BH111" s="44" t="str">
        <f>IF(AND(C111=Master!$H$9,B111="2012-2013",E111="",G111="NPN05"),H111,"")</f>
        <v/>
      </c>
    </row>
    <row r="112" spans="1:60" x14ac:dyDescent="0.25">
      <c r="A112" s="5">
        <v>110</v>
      </c>
      <c r="B112" s="12"/>
      <c r="C112" s="12"/>
      <c r="D112" s="31"/>
      <c r="E112" s="4"/>
      <c r="F112" s="13"/>
      <c r="G112" s="21"/>
      <c r="H112" s="35"/>
      <c r="I112" s="21"/>
      <c r="J112" s="25" t="str">
        <f>IF(NOT(I112=""),INDEX(Master!$B$1:$B$46,MATCH(I112,Master!$A$1:$A$46,0)),"")</f>
        <v/>
      </c>
      <c r="K112" s="18"/>
      <c r="L112" s="86"/>
      <c r="M112" s="13"/>
      <c r="N112" s="13"/>
      <c r="O112" s="18"/>
      <c r="P112" s="35"/>
      <c r="Q112" s="21"/>
      <c r="R112" s="21"/>
      <c r="S112" s="13"/>
      <c r="T112" s="12"/>
      <c r="U112" s="12"/>
      <c r="V112" s="12"/>
      <c r="W112" s="14"/>
      <c r="Y112" s="42" t="str">
        <f>IF(AND(C112=Master!$H$1,B112="2012-2013",E112&gt;1000,G112="PLN03"),H112,"")</f>
        <v/>
      </c>
      <c r="Z112" s="42" t="str">
        <f>IF(AND(C112=Master!$H$1,B112="2012-2013",E112="",G112="PLN03"),H112,"")</f>
        <v/>
      </c>
      <c r="AA112" s="42" t="str">
        <f>IF(AND(C112=Master!$H$2,B112="2012-2013",E112&gt;1000,G112="PLN03"),H112,"")</f>
        <v/>
      </c>
      <c r="AB112" s="42" t="str">
        <f>IF(AND(C112=Master!$H$2,B112="2012-2013",E112="",G112="PLN03"),H112,"")</f>
        <v/>
      </c>
      <c r="AC112" s="42" t="str">
        <f>IF(AND(C112=Master!$H$3,B112="2012-2013",E112&gt;1000,G112="PLN03"),H112,"")</f>
        <v/>
      </c>
      <c r="AD112" s="42" t="str">
        <f>IF(AND(C112=Master!$H$3,B112="2012-2013",E112="",G112="PLN03"),H112,"")</f>
        <v/>
      </c>
      <c r="AE112" s="42" t="str">
        <f>IF(AND(C112=Master!$H$4,B112="2012-2013",E112&gt;1000,G112="PLN03"),H112,"")</f>
        <v/>
      </c>
      <c r="AF112" s="42" t="str">
        <f>IF(AND(C112=Master!$H$4,B112="2012-2013",E112="",G112="PLN03"),H112,"")</f>
        <v/>
      </c>
      <c r="AG112" s="42" t="str">
        <f>IF(AND(C112=Master!$H$5,B112="2012-2013",E112&gt;1000,G112="PLN03"),H112,"")</f>
        <v/>
      </c>
      <c r="AH112" s="42" t="str">
        <f>IF(AND(C112=Master!$H$5,B112="2012-2013",E112="",G112="PLN03"),H112,"")</f>
        <v/>
      </c>
      <c r="AI112" s="42" t="str">
        <f>IF(AND(C112=Master!$H$6,B112="2012-2013",E112&gt;1000,G112="PLN03"),H112,"")</f>
        <v/>
      </c>
      <c r="AJ112" s="42" t="str">
        <f>IF(AND(C112=Master!$H$6,B112="2012-2013",E112="",G112="PLN03"),H112,"")</f>
        <v/>
      </c>
      <c r="AK112" s="42" t="str">
        <f>IF(AND(C112=Master!$H$7,B112="2012-2013",E112&gt;1000,G112="PLN03"),H112,"")</f>
        <v/>
      </c>
      <c r="AL112" s="42" t="str">
        <f>IF(AND(C112=Master!$H$7,B112="2012-2013",E112="",G112="PLN03"),H112,"")</f>
        <v/>
      </c>
      <c r="AM112" s="42" t="str">
        <f>IF(AND(C112=Master!$H$8,B112="2012-2013",E112&gt;1000,G112="PLN03"),H112,"")</f>
        <v/>
      </c>
      <c r="AN112" s="42" t="str">
        <f>IF(AND(C112=Master!$H$8,B112="2012-2013",E112="",G112="PLN03"),H112,"")</f>
        <v/>
      </c>
      <c r="AO112" s="42" t="str">
        <f>IF(AND(C112=Master!$H$9,B112="2012-2013",E112&gt;1000,G112="PLN03"),H112,"")</f>
        <v/>
      </c>
      <c r="AP112" s="42" t="str">
        <f>IF(AND(C112=Master!$H$9,B112="2012-2013",E112="",G112="PLN03"),H112,"")</f>
        <v/>
      </c>
      <c r="AQ112" s="44" t="str">
        <f>IF(AND(C112=Master!$H$1,B112="2012-2013",E112&gt;1000,G112="NPN05"),H112,"")</f>
        <v/>
      </c>
      <c r="AR112" s="44" t="str">
        <f>IF(AND(C112=Master!$H$1,B112="2012-2013",E112="",G112="NPN05"),H112,"")</f>
        <v/>
      </c>
      <c r="AS112" s="44" t="str">
        <f>IF(AND(C112=Master!$H$2,B112="2012-2013",E112&gt;1000,G112="NPN05"),H112,"")</f>
        <v/>
      </c>
      <c r="AT112" s="44" t="str">
        <f>IF(AND(C112=Master!$H$2,B112="2012-2013",E112="",G112="NPN05"),H112,"")</f>
        <v/>
      </c>
      <c r="AU112" s="44" t="str">
        <f>IF(AND(C112=Master!$H$3,B112="2012-2013",E112&gt;1000,G112="NPN05"),H112,"")</f>
        <v/>
      </c>
      <c r="AV112" s="44" t="str">
        <f>IF(AND(C112=Master!$H$3,B112="2012-2013",E112="",G112="NPN05"),H112,"")</f>
        <v/>
      </c>
      <c r="AW112" s="44" t="str">
        <f>IF(AND(C112=Master!$H$4,B112="2012-2013",E112&gt;1000,G112="NPN05"),H112,"")</f>
        <v/>
      </c>
      <c r="AX112" s="44" t="str">
        <f>IF(AND(C112=Master!$H$4,B112="2012-2013",E112="",G112="NPN05"),H112,"")</f>
        <v/>
      </c>
      <c r="AY112" s="44" t="str">
        <f>IF(AND(C112=Master!$H$5,B112="2012-2013",E112&gt;1000,G112="NPN05"),H112,"")</f>
        <v/>
      </c>
      <c r="AZ112" s="44" t="str">
        <f>IF(AND(C112=Master!$H$5,B112="2012-2013",E112="",G112="NPN05"),H112,"")</f>
        <v/>
      </c>
      <c r="BA112" s="44" t="str">
        <f>IF(AND(C112=Master!$H$6,B112="2012-2013",E112&gt;1000,G112="NPN05"),H112,"")</f>
        <v/>
      </c>
      <c r="BB112" s="44" t="str">
        <f>IF(AND(C112=Master!$H$6,B112="2012-2013",E112="",G112="NPN05"),H112,"")</f>
        <v/>
      </c>
      <c r="BC112" s="44" t="str">
        <f>IF(AND(C112=Master!$H$7,B112="2012-2013",E112&gt;1000,G112="NPN05"),H112,"")</f>
        <v/>
      </c>
      <c r="BD112" s="44" t="str">
        <f>IF(AND(C112=Master!$H$7,B112="2012-2013",E112="",G112="NPN05"),H112,"")</f>
        <v/>
      </c>
      <c r="BE112" s="44" t="str">
        <f>IF(AND(C112=Master!$H$8,B112="2012-2013",E112&gt;1000,G112="NPN05"),H112,"")</f>
        <v/>
      </c>
      <c r="BF112" s="44" t="str">
        <f>IF(AND(C112=Master!$H$8,B112="2012-2013",E112="",G112="NPN05"),H112,"")</f>
        <v/>
      </c>
      <c r="BG112" s="44" t="str">
        <f>IF(AND(C112=Master!$H$9,B112="2012-2013",E112&gt;1000,G112="NPN05"),H112,"")</f>
        <v/>
      </c>
      <c r="BH112" s="44" t="str">
        <f>IF(AND(C112=Master!$H$9,B112="2012-2013",E112="",G112="NPN05"),H112,"")</f>
        <v/>
      </c>
    </row>
    <row r="113" spans="1:60" x14ac:dyDescent="0.25">
      <c r="A113" s="3">
        <v>111</v>
      </c>
      <c r="B113" s="12"/>
      <c r="C113" s="12"/>
      <c r="D113" s="31"/>
      <c r="E113" s="4"/>
      <c r="F113" s="13"/>
      <c r="G113" s="21"/>
      <c r="H113" s="35"/>
      <c r="I113" s="21"/>
      <c r="J113" s="25" t="str">
        <f>IF(NOT(I113=""),INDEX(Master!$B$1:$B$46,MATCH(I113,Master!$A$1:$A$46,0)),"")</f>
        <v/>
      </c>
      <c r="K113" s="18"/>
      <c r="L113" s="86"/>
      <c r="M113" s="13"/>
      <c r="N113" s="13"/>
      <c r="O113" s="18"/>
      <c r="P113" s="35"/>
      <c r="Q113" s="21"/>
      <c r="R113" s="21"/>
      <c r="S113" s="13"/>
      <c r="T113" s="12"/>
      <c r="U113" s="12"/>
      <c r="V113" s="12"/>
      <c r="W113" s="14"/>
      <c r="Y113" s="42" t="str">
        <f>IF(AND(C113=Master!$H$1,B113="2012-2013",E113&gt;1000,G113="PLN03"),H113,"")</f>
        <v/>
      </c>
      <c r="Z113" s="42" t="str">
        <f>IF(AND(C113=Master!$H$1,B113="2012-2013",E113="",G113="PLN03"),H113,"")</f>
        <v/>
      </c>
      <c r="AA113" s="42" t="str">
        <f>IF(AND(C113=Master!$H$2,B113="2012-2013",E113&gt;1000,G113="PLN03"),H113,"")</f>
        <v/>
      </c>
      <c r="AB113" s="42" t="str">
        <f>IF(AND(C113=Master!$H$2,B113="2012-2013",E113="",G113="PLN03"),H113,"")</f>
        <v/>
      </c>
      <c r="AC113" s="42" t="str">
        <f>IF(AND(C113=Master!$H$3,B113="2012-2013",E113&gt;1000,G113="PLN03"),H113,"")</f>
        <v/>
      </c>
      <c r="AD113" s="42" t="str">
        <f>IF(AND(C113=Master!$H$3,B113="2012-2013",E113="",G113="PLN03"),H113,"")</f>
        <v/>
      </c>
      <c r="AE113" s="42" t="str">
        <f>IF(AND(C113=Master!$H$4,B113="2012-2013",E113&gt;1000,G113="PLN03"),H113,"")</f>
        <v/>
      </c>
      <c r="AF113" s="42" t="str">
        <f>IF(AND(C113=Master!$H$4,B113="2012-2013",E113="",G113="PLN03"),H113,"")</f>
        <v/>
      </c>
      <c r="AG113" s="42" t="str">
        <f>IF(AND(C113=Master!$H$5,B113="2012-2013",E113&gt;1000,G113="PLN03"),H113,"")</f>
        <v/>
      </c>
      <c r="AH113" s="42" t="str">
        <f>IF(AND(C113=Master!$H$5,B113="2012-2013",E113="",G113="PLN03"),H113,"")</f>
        <v/>
      </c>
      <c r="AI113" s="42" t="str">
        <f>IF(AND(C113=Master!$H$6,B113="2012-2013",E113&gt;1000,G113="PLN03"),H113,"")</f>
        <v/>
      </c>
      <c r="AJ113" s="42" t="str">
        <f>IF(AND(C113=Master!$H$6,B113="2012-2013",E113="",G113="PLN03"),H113,"")</f>
        <v/>
      </c>
      <c r="AK113" s="42" t="str">
        <f>IF(AND(C113=Master!$H$7,B113="2012-2013",E113&gt;1000,G113="PLN03"),H113,"")</f>
        <v/>
      </c>
      <c r="AL113" s="42" t="str">
        <f>IF(AND(C113=Master!$H$7,B113="2012-2013",E113="",G113="PLN03"),H113,"")</f>
        <v/>
      </c>
      <c r="AM113" s="42" t="str">
        <f>IF(AND(C113=Master!$H$8,B113="2012-2013",E113&gt;1000,G113="PLN03"),H113,"")</f>
        <v/>
      </c>
      <c r="AN113" s="42" t="str">
        <f>IF(AND(C113=Master!$H$8,B113="2012-2013",E113="",G113="PLN03"),H113,"")</f>
        <v/>
      </c>
      <c r="AO113" s="42" t="str">
        <f>IF(AND(C113=Master!$H$9,B113="2012-2013",E113&gt;1000,G113="PLN03"),H113,"")</f>
        <v/>
      </c>
      <c r="AP113" s="42" t="str">
        <f>IF(AND(C113=Master!$H$9,B113="2012-2013",E113="",G113="PLN03"),H113,"")</f>
        <v/>
      </c>
      <c r="AQ113" s="44" t="str">
        <f>IF(AND(C113=Master!$H$1,B113="2012-2013",E113&gt;1000,G113="NPN05"),H113,"")</f>
        <v/>
      </c>
      <c r="AR113" s="44" t="str">
        <f>IF(AND(C113=Master!$H$1,B113="2012-2013",E113="",G113="NPN05"),H113,"")</f>
        <v/>
      </c>
      <c r="AS113" s="44" t="str">
        <f>IF(AND(C113=Master!$H$2,B113="2012-2013",E113&gt;1000,G113="NPN05"),H113,"")</f>
        <v/>
      </c>
      <c r="AT113" s="44" t="str">
        <f>IF(AND(C113=Master!$H$2,B113="2012-2013",E113="",G113="NPN05"),H113,"")</f>
        <v/>
      </c>
      <c r="AU113" s="44" t="str">
        <f>IF(AND(C113=Master!$H$3,B113="2012-2013",E113&gt;1000,G113="NPN05"),H113,"")</f>
        <v/>
      </c>
      <c r="AV113" s="44" t="str">
        <f>IF(AND(C113=Master!$H$3,B113="2012-2013",E113="",G113="NPN05"),H113,"")</f>
        <v/>
      </c>
      <c r="AW113" s="44" t="str">
        <f>IF(AND(C113=Master!$H$4,B113="2012-2013",E113&gt;1000,G113="NPN05"),H113,"")</f>
        <v/>
      </c>
      <c r="AX113" s="44" t="str">
        <f>IF(AND(C113=Master!$H$4,B113="2012-2013",E113="",G113="NPN05"),H113,"")</f>
        <v/>
      </c>
      <c r="AY113" s="44" t="str">
        <f>IF(AND(C113=Master!$H$5,B113="2012-2013",E113&gt;1000,G113="NPN05"),H113,"")</f>
        <v/>
      </c>
      <c r="AZ113" s="44" t="str">
        <f>IF(AND(C113=Master!$H$5,B113="2012-2013",E113="",G113="NPN05"),H113,"")</f>
        <v/>
      </c>
      <c r="BA113" s="44" t="str">
        <f>IF(AND(C113=Master!$H$6,B113="2012-2013",E113&gt;1000,G113="NPN05"),H113,"")</f>
        <v/>
      </c>
      <c r="BB113" s="44" t="str">
        <f>IF(AND(C113=Master!$H$6,B113="2012-2013",E113="",G113="NPN05"),H113,"")</f>
        <v/>
      </c>
      <c r="BC113" s="44" t="str">
        <f>IF(AND(C113=Master!$H$7,B113="2012-2013",E113&gt;1000,G113="NPN05"),H113,"")</f>
        <v/>
      </c>
      <c r="BD113" s="44" t="str">
        <f>IF(AND(C113=Master!$H$7,B113="2012-2013",E113="",G113="NPN05"),H113,"")</f>
        <v/>
      </c>
      <c r="BE113" s="44" t="str">
        <f>IF(AND(C113=Master!$H$8,B113="2012-2013",E113&gt;1000,G113="NPN05"),H113,"")</f>
        <v/>
      </c>
      <c r="BF113" s="44" t="str">
        <f>IF(AND(C113=Master!$H$8,B113="2012-2013",E113="",G113="NPN05"),H113,"")</f>
        <v/>
      </c>
      <c r="BG113" s="44" t="str">
        <f>IF(AND(C113=Master!$H$9,B113="2012-2013",E113&gt;1000,G113="NPN05"),H113,"")</f>
        <v/>
      </c>
      <c r="BH113" s="44" t="str">
        <f>IF(AND(C113=Master!$H$9,B113="2012-2013",E113="",G113="NPN05"),H113,"")</f>
        <v/>
      </c>
    </row>
    <row r="114" spans="1:60" x14ac:dyDescent="0.25">
      <c r="A114" s="3">
        <v>112</v>
      </c>
      <c r="B114" s="12"/>
      <c r="C114" s="12"/>
      <c r="D114" s="31"/>
      <c r="E114" s="4"/>
      <c r="F114" s="13"/>
      <c r="G114" s="21"/>
      <c r="H114" s="35"/>
      <c r="I114" s="21"/>
      <c r="J114" s="25" t="str">
        <f>IF(NOT(I114=""),INDEX(Master!$B$1:$B$46,MATCH(I114,Master!$A$1:$A$46,0)),"")</f>
        <v/>
      </c>
      <c r="K114" s="18"/>
      <c r="L114" s="86"/>
      <c r="M114" s="13"/>
      <c r="N114" s="13"/>
      <c r="O114" s="18"/>
      <c r="P114" s="35"/>
      <c r="Q114" s="21"/>
      <c r="R114" s="21"/>
      <c r="S114" s="13"/>
      <c r="T114" s="12"/>
      <c r="U114" s="12"/>
      <c r="V114" s="12"/>
      <c r="W114" s="14"/>
      <c r="Y114" s="42" t="str">
        <f>IF(AND(C114=Master!$H$1,B114="2012-2013",E114&gt;1000,G114="PLN03"),H114,"")</f>
        <v/>
      </c>
      <c r="Z114" s="42" t="str">
        <f>IF(AND(C114=Master!$H$1,B114="2012-2013",E114="",G114="PLN03"),H114,"")</f>
        <v/>
      </c>
      <c r="AA114" s="42" t="str">
        <f>IF(AND(C114=Master!$H$2,B114="2012-2013",E114&gt;1000,G114="PLN03"),H114,"")</f>
        <v/>
      </c>
      <c r="AB114" s="42" t="str">
        <f>IF(AND(C114=Master!$H$2,B114="2012-2013",E114="",G114="PLN03"),H114,"")</f>
        <v/>
      </c>
      <c r="AC114" s="42" t="str">
        <f>IF(AND(C114=Master!$H$3,B114="2012-2013",E114&gt;1000,G114="PLN03"),H114,"")</f>
        <v/>
      </c>
      <c r="AD114" s="42" t="str">
        <f>IF(AND(C114=Master!$H$3,B114="2012-2013",E114="",G114="PLN03"),H114,"")</f>
        <v/>
      </c>
      <c r="AE114" s="42" t="str">
        <f>IF(AND(C114=Master!$H$4,B114="2012-2013",E114&gt;1000,G114="PLN03"),H114,"")</f>
        <v/>
      </c>
      <c r="AF114" s="42" t="str">
        <f>IF(AND(C114=Master!$H$4,B114="2012-2013",E114="",G114="PLN03"),H114,"")</f>
        <v/>
      </c>
      <c r="AG114" s="42" t="str">
        <f>IF(AND(C114=Master!$H$5,B114="2012-2013",E114&gt;1000,G114="PLN03"),H114,"")</f>
        <v/>
      </c>
      <c r="AH114" s="42" t="str">
        <f>IF(AND(C114=Master!$H$5,B114="2012-2013",E114="",G114="PLN03"),H114,"")</f>
        <v/>
      </c>
      <c r="AI114" s="42" t="str">
        <f>IF(AND(C114=Master!$H$6,B114="2012-2013",E114&gt;1000,G114="PLN03"),H114,"")</f>
        <v/>
      </c>
      <c r="AJ114" s="42" t="str">
        <f>IF(AND(C114=Master!$H$6,B114="2012-2013",E114="",G114="PLN03"),H114,"")</f>
        <v/>
      </c>
      <c r="AK114" s="42" t="str">
        <f>IF(AND(C114=Master!$H$7,B114="2012-2013",E114&gt;1000,G114="PLN03"),H114,"")</f>
        <v/>
      </c>
      <c r="AL114" s="42" t="str">
        <f>IF(AND(C114=Master!$H$7,B114="2012-2013",E114="",G114="PLN03"),H114,"")</f>
        <v/>
      </c>
      <c r="AM114" s="42" t="str">
        <f>IF(AND(C114=Master!$H$8,B114="2012-2013",E114&gt;1000,G114="PLN03"),H114,"")</f>
        <v/>
      </c>
      <c r="AN114" s="42" t="str">
        <f>IF(AND(C114=Master!$H$8,B114="2012-2013",E114="",G114="PLN03"),H114,"")</f>
        <v/>
      </c>
      <c r="AO114" s="42" t="str">
        <f>IF(AND(C114=Master!$H$9,B114="2012-2013",E114&gt;1000,G114="PLN03"),H114,"")</f>
        <v/>
      </c>
      <c r="AP114" s="42" t="str">
        <f>IF(AND(C114=Master!$H$9,B114="2012-2013",E114="",G114="PLN03"),H114,"")</f>
        <v/>
      </c>
      <c r="AQ114" s="44" t="str">
        <f>IF(AND(C114=Master!$H$1,B114="2012-2013",E114&gt;1000,G114="NPN05"),H114,"")</f>
        <v/>
      </c>
      <c r="AR114" s="44" t="str">
        <f>IF(AND(C114=Master!$H$1,B114="2012-2013",E114="",G114="NPN05"),H114,"")</f>
        <v/>
      </c>
      <c r="AS114" s="44" t="str">
        <f>IF(AND(C114=Master!$H$2,B114="2012-2013",E114&gt;1000,G114="NPN05"),H114,"")</f>
        <v/>
      </c>
      <c r="AT114" s="44" t="str">
        <f>IF(AND(C114=Master!$H$2,B114="2012-2013",E114="",G114="NPN05"),H114,"")</f>
        <v/>
      </c>
      <c r="AU114" s="44" t="str">
        <f>IF(AND(C114=Master!$H$3,B114="2012-2013",E114&gt;1000,G114="NPN05"),H114,"")</f>
        <v/>
      </c>
      <c r="AV114" s="44" t="str">
        <f>IF(AND(C114=Master!$H$3,B114="2012-2013",E114="",G114="NPN05"),H114,"")</f>
        <v/>
      </c>
      <c r="AW114" s="44" t="str">
        <f>IF(AND(C114=Master!$H$4,B114="2012-2013",E114&gt;1000,G114="NPN05"),H114,"")</f>
        <v/>
      </c>
      <c r="AX114" s="44" t="str">
        <f>IF(AND(C114=Master!$H$4,B114="2012-2013",E114="",G114="NPN05"),H114,"")</f>
        <v/>
      </c>
      <c r="AY114" s="44" t="str">
        <f>IF(AND(C114=Master!$H$5,B114="2012-2013",E114&gt;1000,G114="NPN05"),H114,"")</f>
        <v/>
      </c>
      <c r="AZ114" s="44" t="str">
        <f>IF(AND(C114=Master!$H$5,B114="2012-2013",E114="",G114="NPN05"),H114,"")</f>
        <v/>
      </c>
      <c r="BA114" s="44" t="str">
        <f>IF(AND(C114=Master!$H$6,B114="2012-2013",E114&gt;1000,G114="NPN05"),H114,"")</f>
        <v/>
      </c>
      <c r="BB114" s="44" t="str">
        <f>IF(AND(C114=Master!$H$6,B114="2012-2013",E114="",G114="NPN05"),H114,"")</f>
        <v/>
      </c>
      <c r="BC114" s="44" t="str">
        <f>IF(AND(C114=Master!$H$7,B114="2012-2013",E114&gt;1000,G114="NPN05"),H114,"")</f>
        <v/>
      </c>
      <c r="BD114" s="44" t="str">
        <f>IF(AND(C114=Master!$H$7,B114="2012-2013",E114="",G114="NPN05"),H114,"")</f>
        <v/>
      </c>
      <c r="BE114" s="44" t="str">
        <f>IF(AND(C114=Master!$H$8,B114="2012-2013",E114&gt;1000,G114="NPN05"),H114,"")</f>
        <v/>
      </c>
      <c r="BF114" s="44" t="str">
        <f>IF(AND(C114=Master!$H$8,B114="2012-2013",E114="",G114="NPN05"),H114,"")</f>
        <v/>
      </c>
      <c r="BG114" s="44" t="str">
        <f>IF(AND(C114=Master!$H$9,B114="2012-2013",E114&gt;1000,G114="NPN05"),H114,"")</f>
        <v/>
      </c>
      <c r="BH114" s="44" t="str">
        <f>IF(AND(C114=Master!$H$9,B114="2012-2013",E114="",G114="NPN05"),H114,"")</f>
        <v/>
      </c>
    </row>
    <row r="115" spans="1:60" x14ac:dyDescent="0.25">
      <c r="A115" s="3">
        <v>113</v>
      </c>
      <c r="B115" s="12"/>
      <c r="C115" s="12"/>
      <c r="D115" s="31"/>
      <c r="E115" s="4"/>
      <c r="F115" s="13"/>
      <c r="G115" s="21"/>
      <c r="H115" s="35"/>
      <c r="I115" s="21"/>
      <c r="J115" s="25" t="str">
        <f>IF(NOT(I115=""),INDEX(Master!$B$1:$B$46,MATCH(I115,Master!$A$1:$A$46,0)),"")</f>
        <v/>
      </c>
      <c r="K115" s="18"/>
      <c r="L115" s="86"/>
      <c r="M115" s="13"/>
      <c r="N115" s="13"/>
      <c r="O115" s="18"/>
      <c r="P115" s="35"/>
      <c r="Q115" s="21"/>
      <c r="R115" s="21"/>
      <c r="S115" s="13"/>
      <c r="T115" s="12"/>
      <c r="U115" s="12"/>
      <c r="V115" s="12"/>
      <c r="W115" s="14"/>
      <c r="Y115" s="42" t="str">
        <f>IF(AND(C115=Master!$H$1,B115="2012-2013",E115&gt;1000,G115="PLN03"),H115,"")</f>
        <v/>
      </c>
      <c r="Z115" s="42" t="str">
        <f>IF(AND(C115=Master!$H$1,B115="2012-2013",E115="",G115="PLN03"),H115,"")</f>
        <v/>
      </c>
      <c r="AA115" s="42" t="str">
        <f>IF(AND(C115=Master!$H$2,B115="2012-2013",E115&gt;1000,G115="PLN03"),H115,"")</f>
        <v/>
      </c>
      <c r="AB115" s="42" t="str">
        <f>IF(AND(C115=Master!$H$2,B115="2012-2013",E115="",G115="PLN03"),H115,"")</f>
        <v/>
      </c>
      <c r="AC115" s="42" t="str">
        <f>IF(AND(C115=Master!$H$3,B115="2012-2013",E115&gt;1000,G115="PLN03"),H115,"")</f>
        <v/>
      </c>
      <c r="AD115" s="42" t="str">
        <f>IF(AND(C115=Master!$H$3,B115="2012-2013",E115="",G115="PLN03"),H115,"")</f>
        <v/>
      </c>
      <c r="AE115" s="42" t="str">
        <f>IF(AND(C115=Master!$H$4,B115="2012-2013",E115&gt;1000,G115="PLN03"),H115,"")</f>
        <v/>
      </c>
      <c r="AF115" s="42" t="str">
        <f>IF(AND(C115=Master!$H$4,B115="2012-2013",E115="",G115="PLN03"),H115,"")</f>
        <v/>
      </c>
      <c r="AG115" s="42" t="str">
        <f>IF(AND(C115=Master!$H$5,B115="2012-2013",E115&gt;1000,G115="PLN03"),H115,"")</f>
        <v/>
      </c>
      <c r="AH115" s="42" t="str">
        <f>IF(AND(C115=Master!$H$5,B115="2012-2013",E115="",G115="PLN03"),H115,"")</f>
        <v/>
      </c>
      <c r="AI115" s="42" t="str">
        <f>IF(AND(C115=Master!$H$6,B115="2012-2013",E115&gt;1000,G115="PLN03"),H115,"")</f>
        <v/>
      </c>
      <c r="AJ115" s="42" t="str">
        <f>IF(AND(C115=Master!$H$6,B115="2012-2013",E115="",G115="PLN03"),H115,"")</f>
        <v/>
      </c>
      <c r="AK115" s="42" t="str">
        <f>IF(AND(C115=Master!$H$7,B115="2012-2013",E115&gt;1000,G115="PLN03"),H115,"")</f>
        <v/>
      </c>
      <c r="AL115" s="42" t="str">
        <f>IF(AND(C115=Master!$H$7,B115="2012-2013",E115="",G115="PLN03"),H115,"")</f>
        <v/>
      </c>
      <c r="AM115" s="42" t="str">
        <f>IF(AND(C115=Master!$H$8,B115="2012-2013",E115&gt;1000,G115="PLN03"),H115,"")</f>
        <v/>
      </c>
      <c r="AN115" s="42" t="str">
        <f>IF(AND(C115=Master!$H$8,B115="2012-2013",E115="",G115="PLN03"),H115,"")</f>
        <v/>
      </c>
      <c r="AO115" s="42" t="str">
        <f>IF(AND(C115=Master!$H$9,B115="2012-2013",E115&gt;1000,G115="PLN03"),H115,"")</f>
        <v/>
      </c>
      <c r="AP115" s="42" t="str">
        <f>IF(AND(C115=Master!$H$9,B115="2012-2013",E115="",G115="PLN03"),H115,"")</f>
        <v/>
      </c>
      <c r="AQ115" s="44" t="str">
        <f>IF(AND(C115=Master!$H$1,B115="2012-2013",E115&gt;1000,G115="NPN05"),H115,"")</f>
        <v/>
      </c>
      <c r="AR115" s="44" t="str">
        <f>IF(AND(C115=Master!$H$1,B115="2012-2013",E115="",G115="NPN05"),H115,"")</f>
        <v/>
      </c>
      <c r="AS115" s="44" t="str">
        <f>IF(AND(C115=Master!$H$2,B115="2012-2013",E115&gt;1000,G115="NPN05"),H115,"")</f>
        <v/>
      </c>
      <c r="AT115" s="44" t="str">
        <f>IF(AND(C115=Master!$H$2,B115="2012-2013",E115="",G115="NPN05"),H115,"")</f>
        <v/>
      </c>
      <c r="AU115" s="44" t="str">
        <f>IF(AND(C115=Master!$H$3,B115="2012-2013",E115&gt;1000,G115="NPN05"),H115,"")</f>
        <v/>
      </c>
      <c r="AV115" s="44" t="str">
        <f>IF(AND(C115=Master!$H$3,B115="2012-2013",E115="",G115="NPN05"),H115,"")</f>
        <v/>
      </c>
      <c r="AW115" s="44" t="str">
        <f>IF(AND(C115=Master!$H$4,B115="2012-2013",E115&gt;1000,G115="NPN05"),H115,"")</f>
        <v/>
      </c>
      <c r="AX115" s="44" t="str">
        <f>IF(AND(C115=Master!$H$4,B115="2012-2013",E115="",G115="NPN05"),H115,"")</f>
        <v/>
      </c>
      <c r="AY115" s="44" t="str">
        <f>IF(AND(C115=Master!$H$5,B115="2012-2013",E115&gt;1000,G115="NPN05"),H115,"")</f>
        <v/>
      </c>
      <c r="AZ115" s="44" t="str">
        <f>IF(AND(C115=Master!$H$5,B115="2012-2013",E115="",G115="NPN05"),H115,"")</f>
        <v/>
      </c>
      <c r="BA115" s="44" t="str">
        <f>IF(AND(C115=Master!$H$6,B115="2012-2013",E115&gt;1000,G115="NPN05"),H115,"")</f>
        <v/>
      </c>
      <c r="BB115" s="44" t="str">
        <f>IF(AND(C115=Master!$H$6,B115="2012-2013",E115="",G115="NPN05"),H115,"")</f>
        <v/>
      </c>
      <c r="BC115" s="44" t="str">
        <f>IF(AND(C115=Master!$H$7,B115="2012-2013",E115&gt;1000,G115="NPN05"),H115,"")</f>
        <v/>
      </c>
      <c r="BD115" s="44" t="str">
        <f>IF(AND(C115=Master!$H$7,B115="2012-2013",E115="",G115="NPN05"),H115,"")</f>
        <v/>
      </c>
      <c r="BE115" s="44" t="str">
        <f>IF(AND(C115=Master!$H$8,B115="2012-2013",E115&gt;1000,G115="NPN05"),H115,"")</f>
        <v/>
      </c>
      <c r="BF115" s="44" t="str">
        <f>IF(AND(C115=Master!$H$8,B115="2012-2013",E115="",G115="NPN05"),H115,"")</f>
        <v/>
      </c>
      <c r="BG115" s="44" t="str">
        <f>IF(AND(C115=Master!$H$9,B115="2012-2013",E115&gt;1000,G115="NPN05"),H115,"")</f>
        <v/>
      </c>
      <c r="BH115" s="44" t="str">
        <f>IF(AND(C115=Master!$H$9,B115="2012-2013",E115="",G115="NPN05"),H115,"")</f>
        <v/>
      </c>
    </row>
    <row r="116" spans="1:60" x14ac:dyDescent="0.25">
      <c r="A116" s="3">
        <v>114</v>
      </c>
      <c r="B116" s="12"/>
      <c r="C116" s="12"/>
      <c r="D116" s="31"/>
      <c r="E116" s="4"/>
      <c r="F116" s="13"/>
      <c r="G116" s="21"/>
      <c r="H116" s="35"/>
      <c r="I116" s="21"/>
      <c r="J116" s="25" t="str">
        <f>IF(NOT(I116=""),INDEX(Master!$B$1:$B$46,MATCH(I116,Master!$A$1:$A$46,0)),"")</f>
        <v/>
      </c>
      <c r="K116" s="18"/>
      <c r="L116" s="86"/>
      <c r="M116" s="13"/>
      <c r="N116" s="13"/>
      <c r="O116" s="18"/>
      <c r="P116" s="35"/>
      <c r="Q116" s="21"/>
      <c r="R116" s="21"/>
      <c r="S116" s="13"/>
      <c r="T116" s="12"/>
      <c r="U116" s="12"/>
      <c r="V116" s="12"/>
      <c r="W116" s="14"/>
      <c r="Y116" s="42" t="str">
        <f>IF(AND(C116=Master!$H$1,B116="2012-2013",E116&gt;1000,G116="PLN03"),H116,"")</f>
        <v/>
      </c>
      <c r="Z116" s="42" t="str">
        <f>IF(AND(C116=Master!$H$1,B116="2012-2013",E116="",G116="PLN03"),H116,"")</f>
        <v/>
      </c>
      <c r="AA116" s="42" t="str">
        <f>IF(AND(C116=Master!$H$2,B116="2012-2013",E116&gt;1000,G116="PLN03"),H116,"")</f>
        <v/>
      </c>
      <c r="AB116" s="42" t="str">
        <f>IF(AND(C116=Master!$H$2,B116="2012-2013",E116="",G116="PLN03"),H116,"")</f>
        <v/>
      </c>
      <c r="AC116" s="42" t="str">
        <f>IF(AND(C116=Master!$H$3,B116="2012-2013",E116&gt;1000,G116="PLN03"),H116,"")</f>
        <v/>
      </c>
      <c r="AD116" s="42" t="str">
        <f>IF(AND(C116=Master!$H$3,B116="2012-2013",E116="",G116="PLN03"),H116,"")</f>
        <v/>
      </c>
      <c r="AE116" s="42" t="str">
        <f>IF(AND(C116=Master!$H$4,B116="2012-2013",E116&gt;1000,G116="PLN03"),H116,"")</f>
        <v/>
      </c>
      <c r="AF116" s="42" t="str">
        <f>IF(AND(C116=Master!$H$4,B116="2012-2013",E116="",G116="PLN03"),H116,"")</f>
        <v/>
      </c>
      <c r="AG116" s="42" t="str">
        <f>IF(AND(C116=Master!$H$5,B116="2012-2013",E116&gt;1000,G116="PLN03"),H116,"")</f>
        <v/>
      </c>
      <c r="AH116" s="42" t="str">
        <f>IF(AND(C116=Master!$H$5,B116="2012-2013",E116="",G116="PLN03"),H116,"")</f>
        <v/>
      </c>
      <c r="AI116" s="42" t="str">
        <f>IF(AND(C116=Master!$H$6,B116="2012-2013",E116&gt;1000,G116="PLN03"),H116,"")</f>
        <v/>
      </c>
      <c r="AJ116" s="42" t="str">
        <f>IF(AND(C116=Master!$H$6,B116="2012-2013",E116="",G116="PLN03"),H116,"")</f>
        <v/>
      </c>
      <c r="AK116" s="42" t="str">
        <f>IF(AND(C116=Master!$H$7,B116="2012-2013",E116&gt;1000,G116="PLN03"),H116,"")</f>
        <v/>
      </c>
      <c r="AL116" s="42" t="str">
        <f>IF(AND(C116=Master!$H$7,B116="2012-2013",E116="",G116="PLN03"),H116,"")</f>
        <v/>
      </c>
      <c r="AM116" s="42" t="str">
        <f>IF(AND(C116=Master!$H$8,B116="2012-2013",E116&gt;1000,G116="PLN03"),H116,"")</f>
        <v/>
      </c>
      <c r="AN116" s="42" t="str">
        <f>IF(AND(C116=Master!$H$8,B116="2012-2013",E116="",G116="PLN03"),H116,"")</f>
        <v/>
      </c>
      <c r="AO116" s="42" t="str">
        <f>IF(AND(C116=Master!$H$9,B116="2012-2013",E116&gt;1000,G116="PLN03"),H116,"")</f>
        <v/>
      </c>
      <c r="AP116" s="42" t="str">
        <f>IF(AND(C116=Master!$H$9,B116="2012-2013",E116="",G116="PLN03"),H116,"")</f>
        <v/>
      </c>
      <c r="AQ116" s="44" t="str">
        <f>IF(AND(C116=Master!$H$1,B116="2012-2013",E116&gt;1000,G116="NPN05"),H116,"")</f>
        <v/>
      </c>
      <c r="AR116" s="44" t="str">
        <f>IF(AND(C116=Master!$H$1,B116="2012-2013",E116="",G116="NPN05"),H116,"")</f>
        <v/>
      </c>
      <c r="AS116" s="44" t="str">
        <f>IF(AND(C116=Master!$H$2,B116="2012-2013",E116&gt;1000,G116="NPN05"),H116,"")</f>
        <v/>
      </c>
      <c r="AT116" s="44" t="str">
        <f>IF(AND(C116=Master!$H$2,B116="2012-2013",E116="",G116="NPN05"),H116,"")</f>
        <v/>
      </c>
      <c r="AU116" s="44" t="str">
        <f>IF(AND(C116=Master!$H$3,B116="2012-2013",E116&gt;1000,G116="NPN05"),H116,"")</f>
        <v/>
      </c>
      <c r="AV116" s="44" t="str">
        <f>IF(AND(C116=Master!$H$3,B116="2012-2013",E116="",G116="NPN05"),H116,"")</f>
        <v/>
      </c>
      <c r="AW116" s="44" t="str">
        <f>IF(AND(C116=Master!$H$4,B116="2012-2013",E116&gt;1000,G116="NPN05"),H116,"")</f>
        <v/>
      </c>
      <c r="AX116" s="44" t="str">
        <f>IF(AND(C116=Master!$H$4,B116="2012-2013",E116="",G116="NPN05"),H116,"")</f>
        <v/>
      </c>
      <c r="AY116" s="44" t="str">
        <f>IF(AND(C116=Master!$H$5,B116="2012-2013",E116&gt;1000,G116="NPN05"),H116,"")</f>
        <v/>
      </c>
      <c r="AZ116" s="44" t="str">
        <f>IF(AND(C116=Master!$H$5,B116="2012-2013",E116="",G116="NPN05"),H116,"")</f>
        <v/>
      </c>
      <c r="BA116" s="44" t="str">
        <f>IF(AND(C116=Master!$H$6,B116="2012-2013",E116&gt;1000,G116="NPN05"),H116,"")</f>
        <v/>
      </c>
      <c r="BB116" s="44" t="str">
        <f>IF(AND(C116=Master!$H$6,B116="2012-2013",E116="",G116="NPN05"),H116,"")</f>
        <v/>
      </c>
      <c r="BC116" s="44" t="str">
        <f>IF(AND(C116=Master!$H$7,B116="2012-2013",E116&gt;1000,G116="NPN05"),H116,"")</f>
        <v/>
      </c>
      <c r="BD116" s="44" t="str">
        <f>IF(AND(C116=Master!$H$7,B116="2012-2013",E116="",G116="NPN05"),H116,"")</f>
        <v/>
      </c>
      <c r="BE116" s="44" t="str">
        <f>IF(AND(C116=Master!$H$8,B116="2012-2013",E116&gt;1000,G116="NPN05"),H116,"")</f>
        <v/>
      </c>
      <c r="BF116" s="44" t="str">
        <f>IF(AND(C116=Master!$H$8,B116="2012-2013",E116="",G116="NPN05"),H116,"")</f>
        <v/>
      </c>
      <c r="BG116" s="44" t="str">
        <f>IF(AND(C116=Master!$H$9,B116="2012-2013",E116&gt;1000,G116="NPN05"),H116,"")</f>
        <v/>
      </c>
      <c r="BH116" s="44" t="str">
        <f>IF(AND(C116=Master!$H$9,B116="2012-2013",E116="",G116="NPN05"),H116,"")</f>
        <v/>
      </c>
    </row>
    <row r="117" spans="1:60" x14ac:dyDescent="0.25">
      <c r="A117" s="3">
        <v>115</v>
      </c>
      <c r="B117" s="12"/>
      <c r="C117" s="12"/>
      <c r="D117" s="31"/>
      <c r="E117" s="4"/>
      <c r="F117" s="13"/>
      <c r="G117" s="21"/>
      <c r="H117" s="35"/>
      <c r="I117" s="21"/>
      <c r="J117" s="25" t="str">
        <f>IF(NOT(I117=""),INDEX(Master!$B$1:$B$46,MATCH(I117,Master!$A$1:$A$46,0)),"")</f>
        <v/>
      </c>
      <c r="K117" s="18"/>
      <c r="L117" s="86"/>
      <c r="M117" s="13"/>
      <c r="N117" s="13"/>
      <c r="O117" s="18"/>
      <c r="P117" s="35"/>
      <c r="Q117" s="21"/>
      <c r="R117" s="21"/>
      <c r="S117" s="13"/>
      <c r="T117" s="12"/>
      <c r="U117" s="12"/>
      <c r="V117" s="12"/>
      <c r="W117" s="14"/>
      <c r="Y117" s="42" t="str">
        <f>IF(AND(C117=Master!$H$1,B117="2012-2013",E117&gt;1000,G117="PLN03"),H117,"")</f>
        <v/>
      </c>
      <c r="Z117" s="42" t="str">
        <f>IF(AND(C117=Master!$H$1,B117="2012-2013",E117="",G117="PLN03"),H117,"")</f>
        <v/>
      </c>
      <c r="AA117" s="42" t="str">
        <f>IF(AND(C117=Master!$H$2,B117="2012-2013",E117&gt;1000,G117="PLN03"),H117,"")</f>
        <v/>
      </c>
      <c r="AB117" s="42" t="str">
        <f>IF(AND(C117=Master!$H$2,B117="2012-2013",E117="",G117="PLN03"),H117,"")</f>
        <v/>
      </c>
      <c r="AC117" s="42" t="str">
        <f>IF(AND(C117=Master!$H$3,B117="2012-2013",E117&gt;1000,G117="PLN03"),H117,"")</f>
        <v/>
      </c>
      <c r="AD117" s="42" t="str">
        <f>IF(AND(C117=Master!$H$3,B117="2012-2013",E117="",G117="PLN03"),H117,"")</f>
        <v/>
      </c>
      <c r="AE117" s="42" t="str">
        <f>IF(AND(C117=Master!$H$4,B117="2012-2013",E117&gt;1000,G117="PLN03"),H117,"")</f>
        <v/>
      </c>
      <c r="AF117" s="42" t="str">
        <f>IF(AND(C117=Master!$H$4,B117="2012-2013",E117="",G117="PLN03"),H117,"")</f>
        <v/>
      </c>
      <c r="AG117" s="42" t="str">
        <f>IF(AND(C117=Master!$H$5,B117="2012-2013",E117&gt;1000,G117="PLN03"),H117,"")</f>
        <v/>
      </c>
      <c r="AH117" s="42" t="str">
        <f>IF(AND(C117=Master!$H$5,B117="2012-2013",E117="",G117="PLN03"),H117,"")</f>
        <v/>
      </c>
      <c r="AI117" s="42" t="str">
        <f>IF(AND(C117=Master!$H$6,B117="2012-2013",E117&gt;1000,G117="PLN03"),H117,"")</f>
        <v/>
      </c>
      <c r="AJ117" s="42" t="str">
        <f>IF(AND(C117=Master!$H$6,B117="2012-2013",E117="",G117="PLN03"),H117,"")</f>
        <v/>
      </c>
      <c r="AK117" s="42" t="str">
        <f>IF(AND(C117=Master!$H$7,B117="2012-2013",E117&gt;1000,G117="PLN03"),H117,"")</f>
        <v/>
      </c>
      <c r="AL117" s="42" t="str">
        <f>IF(AND(C117=Master!$H$7,B117="2012-2013",E117="",G117="PLN03"),H117,"")</f>
        <v/>
      </c>
      <c r="AM117" s="42" t="str">
        <f>IF(AND(C117=Master!$H$8,B117="2012-2013",E117&gt;1000,G117="PLN03"),H117,"")</f>
        <v/>
      </c>
      <c r="AN117" s="42" t="str">
        <f>IF(AND(C117=Master!$H$8,B117="2012-2013",E117="",G117="PLN03"),H117,"")</f>
        <v/>
      </c>
      <c r="AO117" s="42" t="str">
        <f>IF(AND(C117=Master!$H$9,B117="2012-2013",E117&gt;1000,G117="PLN03"),H117,"")</f>
        <v/>
      </c>
      <c r="AP117" s="42" t="str">
        <f>IF(AND(C117=Master!$H$9,B117="2012-2013",E117="",G117="PLN03"),H117,"")</f>
        <v/>
      </c>
      <c r="AQ117" s="44" t="str">
        <f>IF(AND(C117=Master!$H$1,B117="2012-2013",E117&gt;1000,G117="NPN05"),H117,"")</f>
        <v/>
      </c>
      <c r="AR117" s="44" t="str">
        <f>IF(AND(C117=Master!$H$1,B117="2012-2013",E117="",G117="NPN05"),H117,"")</f>
        <v/>
      </c>
      <c r="AS117" s="44" t="str">
        <f>IF(AND(C117=Master!$H$2,B117="2012-2013",E117&gt;1000,G117="NPN05"),H117,"")</f>
        <v/>
      </c>
      <c r="AT117" s="44" t="str">
        <f>IF(AND(C117=Master!$H$2,B117="2012-2013",E117="",G117="NPN05"),H117,"")</f>
        <v/>
      </c>
      <c r="AU117" s="44" t="str">
        <f>IF(AND(C117=Master!$H$3,B117="2012-2013",E117&gt;1000,G117="NPN05"),H117,"")</f>
        <v/>
      </c>
      <c r="AV117" s="44" t="str">
        <f>IF(AND(C117=Master!$H$3,B117="2012-2013",E117="",G117="NPN05"),H117,"")</f>
        <v/>
      </c>
      <c r="AW117" s="44" t="str">
        <f>IF(AND(C117=Master!$H$4,B117="2012-2013",E117&gt;1000,G117="NPN05"),H117,"")</f>
        <v/>
      </c>
      <c r="AX117" s="44" t="str">
        <f>IF(AND(C117=Master!$H$4,B117="2012-2013",E117="",G117="NPN05"),H117,"")</f>
        <v/>
      </c>
      <c r="AY117" s="44" t="str">
        <f>IF(AND(C117=Master!$H$5,B117="2012-2013",E117&gt;1000,G117="NPN05"),H117,"")</f>
        <v/>
      </c>
      <c r="AZ117" s="44" t="str">
        <f>IF(AND(C117=Master!$H$5,B117="2012-2013",E117="",G117="NPN05"),H117,"")</f>
        <v/>
      </c>
      <c r="BA117" s="44" t="str">
        <f>IF(AND(C117=Master!$H$6,B117="2012-2013",E117&gt;1000,G117="NPN05"),H117,"")</f>
        <v/>
      </c>
      <c r="BB117" s="44" t="str">
        <f>IF(AND(C117=Master!$H$6,B117="2012-2013",E117="",G117="NPN05"),H117,"")</f>
        <v/>
      </c>
      <c r="BC117" s="44" t="str">
        <f>IF(AND(C117=Master!$H$7,B117="2012-2013",E117&gt;1000,G117="NPN05"),H117,"")</f>
        <v/>
      </c>
      <c r="BD117" s="44" t="str">
        <f>IF(AND(C117=Master!$H$7,B117="2012-2013",E117="",G117="NPN05"),H117,"")</f>
        <v/>
      </c>
      <c r="BE117" s="44" t="str">
        <f>IF(AND(C117=Master!$H$8,B117="2012-2013",E117&gt;1000,G117="NPN05"),H117,"")</f>
        <v/>
      </c>
      <c r="BF117" s="44" t="str">
        <f>IF(AND(C117=Master!$H$8,B117="2012-2013",E117="",G117="NPN05"),H117,"")</f>
        <v/>
      </c>
      <c r="BG117" s="44" t="str">
        <f>IF(AND(C117=Master!$H$9,B117="2012-2013",E117&gt;1000,G117="NPN05"),H117,"")</f>
        <v/>
      </c>
      <c r="BH117" s="44" t="str">
        <f>IF(AND(C117=Master!$H$9,B117="2012-2013",E117="",G117="NPN05"),H117,"")</f>
        <v/>
      </c>
    </row>
    <row r="118" spans="1:60" x14ac:dyDescent="0.25">
      <c r="A118" s="3">
        <v>116</v>
      </c>
      <c r="B118" s="12"/>
      <c r="C118" s="12"/>
      <c r="D118" s="31"/>
      <c r="E118" s="4"/>
      <c r="F118" s="13"/>
      <c r="G118" s="21"/>
      <c r="H118" s="35"/>
      <c r="I118" s="21"/>
      <c r="J118" s="25" t="str">
        <f>IF(NOT(I118=""),INDEX(Master!$B$1:$B$46,MATCH(I118,Master!$A$1:$A$46,0)),"")</f>
        <v/>
      </c>
      <c r="K118" s="18"/>
      <c r="L118" s="86"/>
      <c r="M118" s="13"/>
      <c r="N118" s="13"/>
      <c r="O118" s="18"/>
      <c r="P118" s="35"/>
      <c r="Q118" s="21"/>
      <c r="R118" s="21"/>
      <c r="S118" s="13"/>
      <c r="T118" s="12"/>
      <c r="U118" s="12"/>
      <c r="V118" s="12"/>
      <c r="W118" s="14"/>
      <c r="Y118" s="42" t="str">
        <f>IF(AND(C118=Master!$H$1,B118="2012-2013",E118&gt;1000,G118="PLN03"),H118,"")</f>
        <v/>
      </c>
      <c r="Z118" s="42" t="str">
        <f>IF(AND(C118=Master!$H$1,B118="2012-2013",E118="",G118="PLN03"),H118,"")</f>
        <v/>
      </c>
      <c r="AA118" s="42" t="str">
        <f>IF(AND(C118=Master!$H$2,B118="2012-2013",E118&gt;1000,G118="PLN03"),H118,"")</f>
        <v/>
      </c>
      <c r="AB118" s="42" t="str">
        <f>IF(AND(C118=Master!$H$2,B118="2012-2013",E118="",G118="PLN03"),H118,"")</f>
        <v/>
      </c>
      <c r="AC118" s="42" t="str">
        <f>IF(AND(C118=Master!$H$3,B118="2012-2013",E118&gt;1000,G118="PLN03"),H118,"")</f>
        <v/>
      </c>
      <c r="AD118" s="42" t="str">
        <f>IF(AND(C118=Master!$H$3,B118="2012-2013",E118="",G118="PLN03"),H118,"")</f>
        <v/>
      </c>
      <c r="AE118" s="42" t="str">
        <f>IF(AND(C118=Master!$H$4,B118="2012-2013",E118&gt;1000,G118="PLN03"),H118,"")</f>
        <v/>
      </c>
      <c r="AF118" s="42" t="str">
        <f>IF(AND(C118=Master!$H$4,B118="2012-2013",E118="",G118="PLN03"),H118,"")</f>
        <v/>
      </c>
      <c r="AG118" s="42" t="str">
        <f>IF(AND(C118=Master!$H$5,B118="2012-2013",E118&gt;1000,G118="PLN03"),H118,"")</f>
        <v/>
      </c>
      <c r="AH118" s="42" t="str">
        <f>IF(AND(C118=Master!$H$5,B118="2012-2013",E118="",G118="PLN03"),H118,"")</f>
        <v/>
      </c>
      <c r="AI118" s="42" t="str">
        <f>IF(AND(C118=Master!$H$6,B118="2012-2013",E118&gt;1000,G118="PLN03"),H118,"")</f>
        <v/>
      </c>
      <c r="AJ118" s="42" t="str">
        <f>IF(AND(C118=Master!$H$6,B118="2012-2013",E118="",G118="PLN03"),H118,"")</f>
        <v/>
      </c>
      <c r="AK118" s="42" t="str">
        <f>IF(AND(C118=Master!$H$7,B118="2012-2013",E118&gt;1000,G118="PLN03"),H118,"")</f>
        <v/>
      </c>
      <c r="AL118" s="42" t="str">
        <f>IF(AND(C118=Master!$H$7,B118="2012-2013",E118="",G118="PLN03"),H118,"")</f>
        <v/>
      </c>
      <c r="AM118" s="42" t="str">
        <f>IF(AND(C118=Master!$H$8,B118="2012-2013",E118&gt;1000,G118="PLN03"),H118,"")</f>
        <v/>
      </c>
      <c r="AN118" s="42" t="str">
        <f>IF(AND(C118=Master!$H$8,B118="2012-2013",E118="",G118="PLN03"),H118,"")</f>
        <v/>
      </c>
      <c r="AO118" s="42" t="str">
        <f>IF(AND(C118=Master!$H$9,B118="2012-2013",E118&gt;1000,G118="PLN03"),H118,"")</f>
        <v/>
      </c>
      <c r="AP118" s="42" t="str">
        <f>IF(AND(C118=Master!$H$9,B118="2012-2013",E118="",G118="PLN03"),H118,"")</f>
        <v/>
      </c>
      <c r="AQ118" s="44" t="str">
        <f>IF(AND(C118=Master!$H$1,B118="2012-2013",E118&gt;1000,G118="NPN05"),H118,"")</f>
        <v/>
      </c>
      <c r="AR118" s="44" t="str">
        <f>IF(AND(C118=Master!$H$1,B118="2012-2013",E118="",G118="NPN05"),H118,"")</f>
        <v/>
      </c>
      <c r="AS118" s="44" t="str">
        <f>IF(AND(C118=Master!$H$2,B118="2012-2013",E118&gt;1000,G118="NPN05"),H118,"")</f>
        <v/>
      </c>
      <c r="AT118" s="44" t="str">
        <f>IF(AND(C118=Master!$H$2,B118="2012-2013",E118="",G118="NPN05"),H118,"")</f>
        <v/>
      </c>
      <c r="AU118" s="44" t="str">
        <f>IF(AND(C118=Master!$H$3,B118="2012-2013",E118&gt;1000,G118="NPN05"),H118,"")</f>
        <v/>
      </c>
      <c r="AV118" s="44" t="str">
        <f>IF(AND(C118=Master!$H$3,B118="2012-2013",E118="",G118="NPN05"),H118,"")</f>
        <v/>
      </c>
      <c r="AW118" s="44" t="str">
        <f>IF(AND(C118=Master!$H$4,B118="2012-2013",E118&gt;1000,G118="NPN05"),H118,"")</f>
        <v/>
      </c>
      <c r="AX118" s="44" t="str">
        <f>IF(AND(C118=Master!$H$4,B118="2012-2013",E118="",G118="NPN05"),H118,"")</f>
        <v/>
      </c>
      <c r="AY118" s="44" t="str">
        <f>IF(AND(C118=Master!$H$5,B118="2012-2013",E118&gt;1000,G118="NPN05"),H118,"")</f>
        <v/>
      </c>
      <c r="AZ118" s="44" t="str">
        <f>IF(AND(C118=Master!$H$5,B118="2012-2013",E118="",G118="NPN05"),H118,"")</f>
        <v/>
      </c>
      <c r="BA118" s="44" t="str">
        <f>IF(AND(C118=Master!$H$6,B118="2012-2013",E118&gt;1000,G118="NPN05"),H118,"")</f>
        <v/>
      </c>
      <c r="BB118" s="44" t="str">
        <f>IF(AND(C118=Master!$H$6,B118="2012-2013",E118="",G118="NPN05"),H118,"")</f>
        <v/>
      </c>
      <c r="BC118" s="44" t="str">
        <f>IF(AND(C118=Master!$H$7,B118="2012-2013",E118&gt;1000,G118="NPN05"),H118,"")</f>
        <v/>
      </c>
      <c r="BD118" s="44" t="str">
        <f>IF(AND(C118=Master!$H$7,B118="2012-2013",E118="",G118="NPN05"),H118,"")</f>
        <v/>
      </c>
      <c r="BE118" s="44" t="str">
        <f>IF(AND(C118=Master!$H$8,B118="2012-2013",E118&gt;1000,G118="NPN05"),H118,"")</f>
        <v/>
      </c>
      <c r="BF118" s="44" t="str">
        <f>IF(AND(C118=Master!$H$8,B118="2012-2013",E118="",G118="NPN05"),H118,"")</f>
        <v/>
      </c>
      <c r="BG118" s="44" t="str">
        <f>IF(AND(C118=Master!$H$9,B118="2012-2013",E118&gt;1000,G118="NPN05"),H118,"")</f>
        <v/>
      </c>
      <c r="BH118" s="44" t="str">
        <f>IF(AND(C118=Master!$H$9,B118="2012-2013",E118="",G118="NPN05"),H118,"")</f>
        <v/>
      </c>
    </row>
    <row r="119" spans="1:60" x14ac:dyDescent="0.25">
      <c r="A119" s="3">
        <v>117</v>
      </c>
      <c r="B119" s="12"/>
      <c r="C119" s="12"/>
      <c r="D119" s="31"/>
      <c r="E119" s="4"/>
      <c r="F119" s="13"/>
      <c r="G119" s="21"/>
      <c r="H119" s="35"/>
      <c r="I119" s="21"/>
      <c r="J119" s="25" t="str">
        <f>IF(NOT(I119=""),INDEX(Master!$B$1:$B$46,MATCH(I119,Master!$A$1:$A$46,0)),"")</f>
        <v/>
      </c>
      <c r="K119" s="18"/>
      <c r="L119" s="86"/>
      <c r="M119" s="13"/>
      <c r="N119" s="13"/>
      <c r="O119" s="18"/>
      <c r="P119" s="35"/>
      <c r="Q119" s="21"/>
      <c r="R119" s="21"/>
      <c r="S119" s="13"/>
      <c r="T119" s="12"/>
      <c r="U119" s="12"/>
      <c r="V119" s="12"/>
      <c r="W119" s="14"/>
      <c r="Y119" s="42" t="str">
        <f>IF(AND(C119=Master!$H$1,B119="2012-2013",E119&gt;1000,G119="PLN03"),H119,"")</f>
        <v/>
      </c>
      <c r="Z119" s="42" t="str">
        <f>IF(AND(C119=Master!$H$1,B119="2012-2013",E119="",G119="PLN03"),H119,"")</f>
        <v/>
      </c>
      <c r="AA119" s="42" t="str">
        <f>IF(AND(C119=Master!$H$2,B119="2012-2013",E119&gt;1000,G119="PLN03"),H119,"")</f>
        <v/>
      </c>
      <c r="AB119" s="42" t="str">
        <f>IF(AND(C119=Master!$H$2,B119="2012-2013",E119="",G119="PLN03"),H119,"")</f>
        <v/>
      </c>
      <c r="AC119" s="42" t="str">
        <f>IF(AND(C119=Master!$H$3,B119="2012-2013",E119&gt;1000,G119="PLN03"),H119,"")</f>
        <v/>
      </c>
      <c r="AD119" s="42" t="str">
        <f>IF(AND(C119=Master!$H$3,B119="2012-2013",E119="",G119="PLN03"),H119,"")</f>
        <v/>
      </c>
      <c r="AE119" s="42" t="str">
        <f>IF(AND(C119=Master!$H$4,B119="2012-2013",E119&gt;1000,G119="PLN03"),H119,"")</f>
        <v/>
      </c>
      <c r="AF119" s="42" t="str">
        <f>IF(AND(C119=Master!$H$4,B119="2012-2013",E119="",G119="PLN03"),H119,"")</f>
        <v/>
      </c>
      <c r="AG119" s="42" t="str">
        <f>IF(AND(C119=Master!$H$5,B119="2012-2013",E119&gt;1000,G119="PLN03"),H119,"")</f>
        <v/>
      </c>
      <c r="AH119" s="42" t="str">
        <f>IF(AND(C119=Master!$H$5,B119="2012-2013",E119="",G119="PLN03"),H119,"")</f>
        <v/>
      </c>
      <c r="AI119" s="42" t="str">
        <f>IF(AND(C119=Master!$H$6,B119="2012-2013",E119&gt;1000,G119="PLN03"),H119,"")</f>
        <v/>
      </c>
      <c r="AJ119" s="42" t="str">
        <f>IF(AND(C119=Master!$H$6,B119="2012-2013",E119="",G119="PLN03"),H119,"")</f>
        <v/>
      </c>
      <c r="AK119" s="42" t="str">
        <f>IF(AND(C119=Master!$H$7,B119="2012-2013",E119&gt;1000,G119="PLN03"),H119,"")</f>
        <v/>
      </c>
      <c r="AL119" s="42" t="str">
        <f>IF(AND(C119=Master!$H$7,B119="2012-2013",E119="",G119="PLN03"),H119,"")</f>
        <v/>
      </c>
      <c r="AM119" s="42" t="str">
        <f>IF(AND(C119=Master!$H$8,B119="2012-2013",E119&gt;1000,G119="PLN03"),H119,"")</f>
        <v/>
      </c>
      <c r="AN119" s="42" t="str">
        <f>IF(AND(C119=Master!$H$8,B119="2012-2013",E119="",G119="PLN03"),H119,"")</f>
        <v/>
      </c>
      <c r="AO119" s="42" t="str">
        <f>IF(AND(C119=Master!$H$9,B119="2012-2013",E119&gt;1000,G119="PLN03"),H119,"")</f>
        <v/>
      </c>
      <c r="AP119" s="42" t="str">
        <f>IF(AND(C119=Master!$H$9,B119="2012-2013",E119="",G119="PLN03"),H119,"")</f>
        <v/>
      </c>
      <c r="AQ119" s="44" t="str">
        <f>IF(AND(C119=Master!$H$1,B119="2012-2013",E119&gt;1000,G119="NPN05"),H119,"")</f>
        <v/>
      </c>
      <c r="AR119" s="44" t="str">
        <f>IF(AND(C119=Master!$H$1,B119="2012-2013",E119="",G119="NPN05"),H119,"")</f>
        <v/>
      </c>
      <c r="AS119" s="44" t="str">
        <f>IF(AND(C119=Master!$H$2,B119="2012-2013",E119&gt;1000,G119="NPN05"),H119,"")</f>
        <v/>
      </c>
      <c r="AT119" s="44" t="str">
        <f>IF(AND(C119=Master!$H$2,B119="2012-2013",E119="",G119="NPN05"),H119,"")</f>
        <v/>
      </c>
      <c r="AU119" s="44" t="str">
        <f>IF(AND(C119=Master!$H$3,B119="2012-2013",E119&gt;1000,G119="NPN05"),H119,"")</f>
        <v/>
      </c>
      <c r="AV119" s="44" t="str">
        <f>IF(AND(C119=Master!$H$3,B119="2012-2013",E119="",G119="NPN05"),H119,"")</f>
        <v/>
      </c>
      <c r="AW119" s="44" t="str">
        <f>IF(AND(C119=Master!$H$4,B119="2012-2013",E119&gt;1000,G119="NPN05"),H119,"")</f>
        <v/>
      </c>
      <c r="AX119" s="44" t="str">
        <f>IF(AND(C119=Master!$H$4,B119="2012-2013",E119="",G119="NPN05"),H119,"")</f>
        <v/>
      </c>
      <c r="AY119" s="44" t="str">
        <f>IF(AND(C119=Master!$H$5,B119="2012-2013",E119&gt;1000,G119="NPN05"),H119,"")</f>
        <v/>
      </c>
      <c r="AZ119" s="44" t="str">
        <f>IF(AND(C119=Master!$H$5,B119="2012-2013",E119="",G119="NPN05"),H119,"")</f>
        <v/>
      </c>
      <c r="BA119" s="44" t="str">
        <f>IF(AND(C119=Master!$H$6,B119="2012-2013",E119&gt;1000,G119="NPN05"),H119,"")</f>
        <v/>
      </c>
      <c r="BB119" s="44" t="str">
        <f>IF(AND(C119=Master!$H$6,B119="2012-2013",E119="",G119="NPN05"),H119,"")</f>
        <v/>
      </c>
      <c r="BC119" s="44" t="str">
        <f>IF(AND(C119=Master!$H$7,B119="2012-2013",E119&gt;1000,G119="NPN05"),H119,"")</f>
        <v/>
      </c>
      <c r="BD119" s="44" t="str">
        <f>IF(AND(C119=Master!$H$7,B119="2012-2013",E119="",G119="NPN05"),H119,"")</f>
        <v/>
      </c>
      <c r="BE119" s="44" t="str">
        <f>IF(AND(C119=Master!$H$8,B119="2012-2013",E119&gt;1000,G119="NPN05"),H119,"")</f>
        <v/>
      </c>
      <c r="BF119" s="44" t="str">
        <f>IF(AND(C119=Master!$H$8,B119="2012-2013",E119="",G119="NPN05"),H119,"")</f>
        <v/>
      </c>
      <c r="BG119" s="44" t="str">
        <f>IF(AND(C119=Master!$H$9,B119="2012-2013",E119&gt;1000,G119="NPN05"),H119,"")</f>
        <v/>
      </c>
      <c r="BH119" s="44" t="str">
        <f>IF(AND(C119=Master!$H$9,B119="2012-2013",E119="",G119="NPN05"),H119,"")</f>
        <v/>
      </c>
    </row>
    <row r="120" spans="1:60" x14ac:dyDescent="0.25">
      <c r="A120" s="3">
        <v>118</v>
      </c>
      <c r="B120" s="12"/>
      <c r="C120" s="12"/>
      <c r="D120" s="31"/>
      <c r="E120" s="4"/>
      <c r="F120" s="13"/>
      <c r="G120" s="21"/>
      <c r="H120" s="35"/>
      <c r="I120" s="21"/>
      <c r="J120" s="25" t="str">
        <f>IF(NOT(I120=""),INDEX(Master!$B$1:$B$46,MATCH(I120,Master!$A$1:$A$46,0)),"")</f>
        <v/>
      </c>
      <c r="K120" s="18"/>
      <c r="L120" s="86"/>
      <c r="M120" s="13"/>
      <c r="N120" s="13"/>
      <c r="O120" s="18"/>
      <c r="P120" s="35"/>
      <c r="Q120" s="21"/>
      <c r="R120" s="21"/>
      <c r="S120" s="13"/>
      <c r="T120" s="12"/>
      <c r="U120" s="12"/>
      <c r="V120" s="12"/>
      <c r="W120" s="14"/>
      <c r="Y120" s="42" t="str">
        <f>IF(AND(C120=Master!$H$1,B120="2012-2013",E120&gt;1000,G120="PLN03"),H120,"")</f>
        <v/>
      </c>
      <c r="Z120" s="42" t="str">
        <f>IF(AND(C120=Master!$H$1,B120="2012-2013",E120="",G120="PLN03"),H120,"")</f>
        <v/>
      </c>
      <c r="AA120" s="42" t="str">
        <f>IF(AND(C120=Master!$H$2,B120="2012-2013",E120&gt;1000,G120="PLN03"),H120,"")</f>
        <v/>
      </c>
      <c r="AB120" s="42" t="str">
        <f>IF(AND(C120=Master!$H$2,B120="2012-2013",E120="",G120="PLN03"),H120,"")</f>
        <v/>
      </c>
      <c r="AC120" s="42" t="str">
        <f>IF(AND(C120=Master!$H$3,B120="2012-2013",E120&gt;1000,G120="PLN03"),H120,"")</f>
        <v/>
      </c>
      <c r="AD120" s="42" t="str">
        <f>IF(AND(C120=Master!$H$3,B120="2012-2013",E120="",G120="PLN03"),H120,"")</f>
        <v/>
      </c>
      <c r="AE120" s="42" t="str">
        <f>IF(AND(C120=Master!$H$4,B120="2012-2013",E120&gt;1000,G120="PLN03"),H120,"")</f>
        <v/>
      </c>
      <c r="AF120" s="42" t="str">
        <f>IF(AND(C120=Master!$H$4,B120="2012-2013",E120="",G120="PLN03"),H120,"")</f>
        <v/>
      </c>
      <c r="AG120" s="42" t="str">
        <f>IF(AND(C120=Master!$H$5,B120="2012-2013",E120&gt;1000,G120="PLN03"),H120,"")</f>
        <v/>
      </c>
      <c r="AH120" s="42" t="str">
        <f>IF(AND(C120=Master!$H$5,B120="2012-2013",E120="",G120="PLN03"),H120,"")</f>
        <v/>
      </c>
      <c r="AI120" s="42" t="str">
        <f>IF(AND(C120=Master!$H$6,B120="2012-2013",E120&gt;1000,G120="PLN03"),H120,"")</f>
        <v/>
      </c>
      <c r="AJ120" s="42" t="str">
        <f>IF(AND(C120=Master!$H$6,B120="2012-2013",E120="",G120="PLN03"),H120,"")</f>
        <v/>
      </c>
      <c r="AK120" s="42" t="str">
        <f>IF(AND(C120=Master!$H$7,B120="2012-2013",E120&gt;1000,G120="PLN03"),H120,"")</f>
        <v/>
      </c>
      <c r="AL120" s="42" t="str">
        <f>IF(AND(C120=Master!$H$7,B120="2012-2013",E120="",G120="PLN03"),H120,"")</f>
        <v/>
      </c>
      <c r="AM120" s="42" t="str">
        <f>IF(AND(C120=Master!$H$8,B120="2012-2013",E120&gt;1000,G120="PLN03"),H120,"")</f>
        <v/>
      </c>
      <c r="AN120" s="42" t="str">
        <f>IF(AND(C120=Master!$H$8,B120="2012-2013",E120="",G120="PLN03"),H120,"")</f>
        <v/>
      </c>
      <c r="AO120" s="42" t="str">
        <f>IF(AND(C120=Master!$H$9,B120="2012-2013",E120&gt;1000,G120="PLN03"),H120,"")</f>
        <v/>
      </c>
      <c r="AP120" s="42" t="str">
        <f>IF(AND(C120=Master!$H$9,B120="2012-2013",E120="",G120="PLN03"),H120,"")</f>
        <v/>
      </c>
      <c r="AQ120" s="44" t="str">
        <f>IF(AND(C120=Master!$H$1,B120="2012-2013",E120&gt;1000,G120="NPN05"),H120,"")</f>
        <v/>
      </c>
      <c r="AR120" s="44" t="str">
        <f>IF(AND(C120=Master!$H$1,B120="2012-2013",E120="",G120="NPN05"),H120,"")</f>
        <v/>
      </c>
      <c r="AS120" s="44" t="str">
        <f>IF(AND(C120=Master!$H$2,B120="2012-2013",E120&gt;1000,G120="NPN05"),H120,"")</f>
        <v/>
      </c>
      <c r="AT120" s="44" t="str">
        <f>IF(AND(C120=Master!$H$2,B120="2012-2013",E120="",G120="NPN05"),H120,"")</f>
        <v/>
      </c>
      <c r="AU120" s="44" t="str">
        <f>IF(AND(C120=Master!$H$3,B120="2012-2013",E120&gt;1000,G120="NPN05"),H120,"")</f>
        <v/>
      </c>
      <c r="AV120" s="44" t="str">
        <f>IF(AND(C120=Master!$H$3,B120="2012-2013",E120="",G120="NPN05"),H120,"")</f>
        <v/>
      </c>
      <c r="AW120" s="44" t="str">
        <f>IF(AND(C120=Master!$H$4,B120="2012-2013",E120&gt;1000,G120="NPN05"),H120,"")</f>
        <v/>
      </c>
      <c r="AX120" s="44" t="str">
        <f>IF(AND(C120=Master!$H$4,B120="2012-2013",E120="",G120="NPN05"),H120,"")</f>
        <v/>
      </c>
      <c r="AY120" s="44" t="str">
        <f>IF(AND(C120=Master!$H$5,B120="2012-2013",E120&gt;1000,G120="NPN05"),H120,"")</f>
        <v/>
      </c>
      <c r="AZ120" s="44" t="str">
        <f>IF(AND(C120=Master!$H$5,B120="2012-2013",E120="",G120="NPN05"),H120,"")</f>
        <v/>
      </c>
      <c r="BA120" s="44" t="str">
        <f>IF(AND(C120=Master!$H$6,B120="2012-2013",E120&gt;1000,G120="NPN05"),H120,"")</f>
        <v/>
      </c>
      <c r="BB120" s="44" t="str">
        <f>IF(AND(C120=Master!$H$6,B120="2012-2013",E120="",G120="NPN05"),H120,"")</f>
        <v/>
      </c>
      <c r="BC120" s="44" t="str">
        <f>IF(AND(C120=Master!$H$7,B120="2012-2013",E120&gt;1000,G120="NPN05"),H120,"")</f>
        <v/>
      </c>
      <c r="BD120" s="44" t="str">
        <f>IF(AND(C120=Master!$H$7,B120="2012-2013",E120="",G120="NPN05"),H120,"")</f>
        <v/>
      </c>
      <c r="BE120" s="44" t="str">
        <f>IF(AND(C120=Master!$H$8,B120="2012-2013",E120&gt;1000,G120="NPN05"),H120,"")</f>
        <v/>
      </c>
      <c r="BF120" s="44" t="str">
        <f>IF(AND(C120=Master!$H$8,B120="2012-2013",E120="",G120="NPN05"),H120,"")</f>
        <v/>
      </c>
      <c r="BG120" s="44" t="str">
        <f>IF(AND(C120=Master!$H$9,B120="2012-2013",E120&gt;1000,G120="NPN05"),H120,"")</f>
        <v/>
      </c>
      <c r="BH120" s="44" t="str">
        <f>IF(AND(C120=Master!$H$9,B120="2012-2013",E120="",G120="NPN05"),H120,"")</f>
        <v/>
      </c>
    </row>
    <row r="121" spans="1:60" x14ac:dyDescent="0.25">
      <c r="A121" s="5">
        <v>119</v>
      </c>
      <c r="B121" s="12"/>
      <c r="C121" s="12"/>
      <c r="D121" s="31"/>
      <c r="E121" s="4"/>
      <c r="F121" s="13"/>
      <c r="G121" s="21"/>
      <c r="H121" s="35"/>
      <c r="I121" s="21"/>
      <c r="J121" s="25" t="str">
        <f>IF(NOT(I121=""),INDEX(Master!$B$1:$B$46,MATCH(I121,Master!$A$1:$A$46,0)),"")</f>
        <v/>
      </c>
      <c r="K121" s="18"/>
      <c r="L121" s="86"/>
      <c r="M121" s="13"/>
      <c r="N121" s="13"/>
      <c r="O121" s="18"/>
      <c r="P121" s="35"/>
      <c r="Q121" s="21"/>
      <c r="R121" s="21"/>
      <c r="S121" s="13"/>
      <c r="T121" s="12"/>
      <c r="U121" s="12"/>
      <c r="V121" s="12"/>
      <c r="W121" s="14"/>
      <c r="Y121" s="42" t="str">
        <f>IF(AND(C121=Master!$H$1,B121="2012-2013",E121&gt;1000,G121="PLN03"),H121,"")</f>
        <v/>
      </c>
      <c r="Z121" s="42" t="str">
        <f>IF(AND(C121=Master!$H$1,B121="2012-2013",E121="",G121="PLN03"),H121,"")</f>
        <v/>
      </c>
      <c r="AA121" s="42" t="str">
        <f>IF(AND(C121=Master!$H$2,B121="2012-2013",E121&gt;1000,G121="PLN03"),H121,"")</f>
        <v/>
      </c>
      <c r="AB121" s="42" t="str">
        <f>IF(AND(C121=Master!$H$2,B121="2012-2013",E121="",G121="PLN03"),H121,"")</f>
        <v/>
      </c>
      <c r="AC121" s="42" t="str">
        <f>IF(AND(C121=Master!$H$3,B121="2012-2013",E121&gt;1000,G121="PLN03"),H121,"")</f>
        <v/>
      </c>
      <c r="AD121" s="42" t="str">
        <f>IF(AND(C121=Master!$H$3,B121="2012-2013",E121="",G121="PLN03"),H121,"")</f>
        <v/>
      </c>
      <c r="AE121" s="42" t="str">
        <f>IF(AND(C121=Master!$H$4,B121="2012-2013",E121&gt;1000,G121="PLN03"),H121,"")</f>
        <v/>
      </c>
      <c r="AF121" s="42" t="str">
        <f>IF(AND(C121=Master!$H$4,B121="2012-2013",E121="",G121="PLN03"),H121,"")</f>
        <v/>
      </c>
      <c r="AG121" s="42" t="str">
        <f>IF(AND(C121=Master!$H$5,B121="2012-2013",E121&gt;1000,G121="PLN03"),H121,"")</f>
        <v/>
      </c>
      <c r="AH121" s="42" t="str">
        <f>IF(AND(C121=Master!$H$5,B121="2012-2013",E121="",G121="PLN03"),H121,"")</f>
        <v/>
      </c>
      <c r="AI121" s="42" t="str">
        <f>IF(AND(C121=Master!$H$6,B121="2012-2013",E121&gt;1000,G121="PLN03"),H121,"")</f>
        <v/>
      </c>
      <c r="AJ121" s="42" t="str">
        <f>IF(AND(C121=Master!$H$6,B121="2012-2013",E121="",G121="PLN03"),H121,"")</f>
        <v/>
      </c>
      <c r="AK121" s="42" t="str">
        <f>IF(AND(C121=Master!$H$7,B121="2012-2013",E121&gt;1000,G121="PLN03"),H121,"")</f>
        <v/>
      </c>
      <c r="AL121" s="42" t="str">
        <f>IF(AND(C121=Master!$H$7,B121="2012-2013",E121="",G121="PLN03"),H121,"")</f>
        <v/>
      </c>
      <c r="AM121" s="42" t="str">
        <f>IF(AND(C121=Master!$H$8,B121="2012-2013",E121&gt;1000,G121="PLN03"),H121,"")</f>
        <v/>
      </c>
      <c r="AN121" s="42" t="str">
        <f>IF(AND(C121=Master!$H$8,B121="2012-2013",E121="",G121="PLN03"),H121,"")</f>
        <v/>
      </c>
      <c r="AO121" s="42" t="str">
        <f>IF(AND(C121=Master!$H$9,B121="2012-2013",E121&gt;1000,G121="PLN03"),H121,"")</f>
        <v/>
      </c>
      <c r="AP121" s="42" t="str">
        <f>IF(AND(C121=Master!$H$9,B121="2012-2013",E121="",G121="PLN03"),H121,"")</f>
        <v/>
      </c>
      <c r="AQ121" s="44" t="str">
        <f>IF(AND(C121=Master!$H$1,B121="2012-2013",E121&gt;1000,G121="NPN05"),H121,"")</f>
        <v/>
      </c>
      <c r="AR121" s="44" t="str">
        <f>IF(AND(C121=Master!$H$1,B121="2012-2013",E121="",G121="NPN05"),H121,"")</f>
        <v/>
      </c>
      <c r="AS121" s="44" t="str">
        <f>IF(AND(C121=Master!$H$2,B121="2012-2013",E121&gt;1000,G121="NPN05"),H121,"")</f>
        <v/>
      </c>
      <c r="AT121" s="44" t="str">
        <f>IF(AND(C121=Master!$H$2,B121="2012-2013",E121="",G121="NPN05"),H121,"")</f>
        <v/>
      </c>
      <c r="AU121" s="44" t="str">
        <f>IF(AND(C121=Master!$H$3,B121="2012-2013",E121&gt;1000,G121="NPN05"),H121,"")</f>
        <v/>
      </c>
      <c r="AV121" s="44" t="str">
        <f>IF(AND(C121=Master!$H$3,B121="2012-2013",E121="",G121="NPN05"),H121,"")</f>
        <v/>
      </c>
      <c r="AW121" s="44" t="str">
        <f>IF(AND(C121=Master!$H$4,B121="2012-2013",E121&gt;1000,G121="NPN05"),H121,"")</f>
        <v/>
      </c>
      <c r="AX121" s="44" t="str">
        <f>IF(AND(C121=Master!$H$4,B121="2012-2013",E121="",G121="NPN05"),H121,"")</f>
        <v/>
      </c>
      <c r="AY121" s="44" t="str">
        <f>IF(AND(C121=Master!$H$5,B121="2012-2013",E121&gt;1000,G121="NPN05"),H121,"")</f>
        <v/>
      </c>
      <c r="AZ121" s="44" t="str">
        <f>IF(AND(C121=Master!$H$5,B121="2012-2013",E121="",G121="NPN05"),H121,"")</f>
        <v/>
      </c>
      <c r="BA121" s="44" t="str">
        <f>IF(AND(C121=Master!$H$6,B121="2012-2013",E121&gt;1000,G121="NPN05"),H121,"")</f>
        <v/>
      </c>
      <c r="BB121" s="44" t="str">
        <f>IF(AND(C121=Master!$H$6,B121="2012-2013",E121="",G121="NPN05"),H121,"")</f>
        <v/>
      </c>
      <c r="BC121" s="44" t="str">
        <f>IF(AND(C121=Master!$H$7,B121="2012-2013",E121&gt;1000,G121="NPN05"),H121,"")</f>
        <v/>
      </c>
      <c r="BD121" s="44" t="str">
        <f>IF(AND(C121=Master!$H$7,B121="2012-2013",E121="",G121="NPN05"),H121,"")</f>
        <v/>
      </c>
      <c r="BE121" s="44" t="str">
        <f>IF(AND(C121=Master!$H$8,B121="2012-2013",E121&gt;1000,G121="NPN05"),H121,"")</f>
        <v/>
      </c>
      <c r="BF121" s="44" t="str">
        <f>IF(AND(C121=Master!$H$8,B121="2012-2013",E121="",G121="NPN05"),H121,"")</f>
        <v/>
      </c>
      <c r="BG121" s="44" t="str">
        <f>IF(AND(C121=Master!$H$9,B121="2012-2013",E121&gt;1000,G121="NPN05"),H121,"")</f>
        <v/>
      </c>
      <c r="BH121" s="44" t="str">
        <f>IF(AND(C121=Master!$H$9,B121="2012-2013",E121="",G121="NPN05"),H121,"")</f>
        <v/>
      </c>
    </row>
    <row r="122" spans="1:60" x14ac:dyDescent="0.25">
      <c r="A122" s="3">
        <v>120</v>
      </c>
      <c r="B122" s="12"/>
      <c r="C122" s="12"/>
      <c r="D122" s="31"/>
      <c r="E122" s="4"/>
      <c r="F122" s="13"/>
      <c r="G122" s="21"/>
      <c r="H122" s="35"/>
      <c r="I122" s="21"/>
      <c r="J122" s="25" t="str">
        <f>IF(NOT(I122=""),INDEX(Master!$B$1:$B$46,MATCH(I122,Master!$A$1:$A$46,0)),"")</f>
        <v/>
      </c>
      <c r="K122" s="18"/>
      <c r="L122" s="86"/>
      <c r="M122" s="13"/>
      <c r="N122" s="13"/>
      <c r="O122" s="18"/>
      <c r="P122" s="35"/>
      <c r="Q122" s="21"/>
      <c r="R122" s="21"/>
      <c r="S122" s="13"/>
      <c r="T122" s="12"/>
      <c r="U122" s="12"/>
      <c r="V122" s="12"/>
      <c r="W122" s="14"/>
      <c r="Y122" s="42" t="str">
        <f>IF(AND(C122=Master!$H$1,B122="2012-2013",E122&gt;1000,G122="PLN03"),H122,"")</f>
        <v/>
      </c>
      <c r="Z122" s="42" t="str">
        <f>IF(AND(C122=Master!$H$1,B122="2012-2013",E122="",G122="PLN03"),H122,"")</f>
        <v/>
      </c>
      <c r="AA122" s="42" t="str">
        <f>IF(AND(C122=Master!$H$2,B122="2012-2013",E122&gt;1000,G122="PLN03"),H122,"")</f>
        <v/>
      </c>
      <c r="AB122" s="42" t="str">
        <f>IF(AND(C122=Master!$H$2,B122="2012-2013",E122="",G122="PLN03"),H122,"")</f>
        <v/>
      </c>
      <c r="AC122" s="42" t="str">
        <f>IF(AND(C122=Master!$H$3,B122="2012-2013",E122&gt;1000,G122="PLN03"),H122,"")</f>
        <v/>
      </c>
      <c r="AD122" s="42" t="str">
        <f>IF(AND(C122=Master!$H$3,B122="2012-2013",E122="",G122="PLN03"),H122,"")</f>
        <v/>
      </c>
      <c r="AE122" s="42" t="str">
        <f>IF(AND(C122=Master!$H$4,B122="2012-2013",E122&gt;1000,G122="PLN03"),H122,"")</f>
        <v/>
      </c>
      <c r="AF122" s="42" t="str">
        <f>IF(AND(C122=Master!$H$4,B122="2012-2013",E122="",G122="PLN03"),H122,"")</f>
        <v/>
      </c>
      <c r="AG122" s="42" t="str">
        <f>IF(AND(C122=Master!$H$5,B122="2012-2013",E122&gt;1000,G122="PLN03"),H122,"")</f>
        <v/>
      </c>
      <c r="AH122" s="42" t="str">
        <f>IF(AND(C122=Master!$H$5,B122="2012-2013",E122="",G122="PLN03"),H122,"")</f>
        <v/>
      </c>
      <c r="AI122" s="42" t="str">
        <f>IF(AND(C122=Master!$H$6,B122="2012-2013",E122&gt;1000,G122="PLN03"),H122,"")</f>
        <v/>
      </c>
      <c r="AJ122" s="42" t="str">
        <f>IF(AND(C122=Master!$H$6,B122="2012-2013",E122="",G122="PLN03"),H122,"")</f>
        <v/>
      </c>
      <c r="AK122" s="42" t="str">
        <f>IF(AND(C122=Master!$H$7,B122="2012-2013",E122&gt;1000,G122="PLN03"),H122,"")</f>
        <v/>
      </c>
      <c r="AL122" s="42" t="str">
        <f>IF(AND(C122=Master!$H$7,B122="2012-2013",E122="",G122="PLN03"),H122,"")</f>
        <v/>
      </c>
      <c r="AM122" s="42" t="str">
        <f>IF(AND(C122=Master!$H$8,B122="2012-2013",E122&gt;1000,G122="PLN03"),H122,"")</f>
        <v/>
      </c>
      <c r="AN122" s="42" t="str">
        <f>IF(AND(C122=Master!$H$8,B122="2012-2013",E122="",G122="PLN03"),H122,"")</f>
        <v/>
      </c>
      <c r="AO122" s="42" t="str">
        <f>IF(AND(C122=Master!$H$9,B122="2012-2013",E122&gt;1000,G122="PLN03"),H122,"")</f>
        <v/>
      </c>
      <c r="AP122" s="42" t="str">
        <f>IF(AND(C122=Master!$H$9,B122="2012-2013",E122="",G122="PLN03"),H122,"")</f>
        <v/>
      </c>
      <c r="AQ122" s="44" t="str">
        <f>IF(AND(C122=Master!$H$1,B122="2012-2013",E122&gt;1000,G122="NPN05"),H122,"")</f>
        <v/>
      </c>
      <c r="AR122" s="44" t="str">
        <f>IF(AND(C122=Master!$H$1,B122="2012-2013",E122="",G122="NPN05"),H122,"")</f>
        <v/>
      </c>
      <c r="AS122" s="44" t="str">
        <f>IF(AND(C122=Master!$H$2,B122="2012-2013",E122&gt;1000,G122="NPN05"),H122,"")</f>
        <v/>
      </c>
      <c r="AT122" s="44" t="str">
        <f>IF(AND(C122=Master!$H$2,B122="2012-2013",E122="",G122="NPN05"),H122,"")</f>
        <v/>
      </c>
      <c r="AU122" s="44" t="str">
        <f>IF(AND(C122=Master!$H$3,B122="2012-2013",E122&gt;1000,G122="NPN05"),H122,"")</f>
        <v/>
      </c>
      <c r="AV122" s="44" t="str">
        <f>IF(AND(C122=Master!$H$3,B122="2012-2013",E122="",G122="NPN05"),H122,"")</f>
        <v/>
      </c>
      <c r="AW122" s="44" t="str">
        <f>IF(AND(C122=Master!$H$4,B122="2012-2013",E122&gt;1000,G122="NPN05"),H122,"")</f>
        <v/>
      </c>
      <c r="AX122" s="44" t="str">
        <f>IF(AND(C122=Master!$H$4,B122="2012-2013",E122="",G122="NPN05"),H122,"")</f>
        <v/>
      </c>
      <c r="AY122" s="44" t="str">
        <f>IF(AND(C122=Master!$H$5,B122="2012-2013",E122&gt;1000,G122="NPN05"),H122,"")</f>
        <v/>
      </c>
      <c r="AZ122" s="44" t="str">
        <f>IF(AND(C122=Master!$H$5,B122="2012-2013",E122="",G122="NPN05"),H122,"")</f>
        <v/>
      </c>
      <c r="BA122" s="44" t="str">
        <f>IF(AND(C122=Master!$H$6,B122="2012-2013",E122&gt;1000,G122="NPN05"),H122,"")</f>
        <v/>
      </c>
      <c r="BB122" s="44" t="str">
        <f>IF(AND(C122=Master!$H$6,B122="2012-2013",E122="",G122="NPN05"),H122,"")</f>
        <v/>
      </c>
      <c r="BC122" s="44" t="str">
        <f>IF(AND(C122=Master!$H$7,B122="2012-2013",E122&gt;1000,G122="NPN05"),H122,"")</f>
        <v/>
      </c>
      <c r="BD122" s="44" t="str">
        <f>IF(AND(C122=Master!$H$7,B122="2012-2013",E122="",G122="NPN05"),H122,"")</f>
        <v/>
      </c>
      <c r="BE122" s="44" t="str">
        <f>IF(AND(C122=Master!$H$8,B122="2012-2013",E122&gt;1000,G122="NPN05"),H122,"")</f>
        <v/>
      </c>
      <c r="BF122" s="44" t="str">
        <f>IF(AND(C122=Master!$H$8,B122="2012-2013",E122="",G122="NPN05"),H122,"")</f>
        <v/>
      </c>
      <c r="BG122" s="44" t="str">
        <f>IF(AND(C122=Master!$H$9,B122="2012-2013",E122&gt;1000,G122="NPN05"),H122,"")</f>
        <v/>
      </c>
      <c r="BH122" s="44" t="str">
        <f>IF(AND(C122=Master!$H$9,B122="2012-2013",E122="",G122="NPN05"),H122,"")</f>
        <v/>
      </c>
    </row>
    <row r="123" spans="1:60" x14ac:dyDescent="0.25">
      <c r="A123" s="3">
        <v>121</v>
      </c>
      <c r="B123" s="12"/>
      <c r="C123" s="12"/>
      <c r="D123" s="31"/>
      <c r="E123" s="4"/>
      <c r="F123" s="13"/>
      <c r="G123" s="21"/>
      <c r="H123" s="35"/>
      <c r="I123" s="21"/>
      <c r="J123" s="25" t="str">
        <f>IF(NOT(I123=""),INDEX(Master!$B$1:$B$46,MATCH(I123,Master!$A$1:$A$46,0)),"")</f>
        <v/>
      </c>
      <c r="K123" s="18"/>
      <c r="L123" s="86"/>
      <c r="M123" s="13"/>
      <c r="N123" s="13"/>
      <c r="O123" s="18"/>
      <c r="P123" s="35"/>
      <c r="Q123" s="21"/>
      <c r="R123" s="21"/>
      <c r="S123" s="13"/>
      <c r="T123" s="12"/>
      <c r="U123" s="12"/>
      <c r="V123" s="12"/>
      <c r="W123" s="14"/>
      <c r="Y123" s="42" t="str">
        <f>IF(AND(C123=Master!$H$1,B123="2012-2013",E123&gt;1000,G123="PLN03"),H123,"")</f>
        <v/>
      </c>
      <c r="Z123" s="42" t="str">
        <f>IF(AND(C123=Master!$H$1,B123="2012-2013",E123="",G123="PLN03"),H123,"")</f>
        <v/>
      </c>
      <c r="AA123" s="42" t="str">
        <f>IF(AND(C123=Master!$H$2,B123="2012-2013",E123&gt;1000,G123="PLN03"),H123,"")</f>
        <v/>
      </c>
      <c r="AB123" s="42" t="str">
        <f>IF(AND(C123=Master!$H$2,B123="2012-2013",E123="",G123="PLN03"),H123,"")</f>
        <v/>
      </c>
      <c r="AC123" s="42" t="str">
        <f>IF(AND(C123=Master!$H$3,B123="2012-2013",E123&gt;1000,G123="PLN03"),H123,"")</f>
        <v/>
      </c>
      <c r="AD123" s="42" t="str">
        <f>IF(AND(C123=Master!$H$3,B123="2012-2013",E123="",G123="PLN03"),H123,"")</f>
        <v/>
      </c>
      <c r="AE123" s="42" t="str">
        <f>IF(AND(C123=Master!$H$4,B123="2012-2013",E123&gt;1000,G123="PLN03"),H123,"")</f>
        <v/>
      </c>
      <c r="AF123" s="42" t="str">
        <f>IF(AND(C123=Master!$H$4,B123="2012-2013",E123="",G123="PLN03"),H123,"")</f>
        <v/>
      </c>
      <c r="AG123" s="42" t="str">
        <f>IF(AND(C123=Master!$H$5,B123="2012-2013",E123&gt;1000,G123="PLN03"),H123,"")</f>
        <v/>
      </c>
      <c r="AH123" s="42" t="str">
        <f>IF(AND(C123=Master!$H$5,B123="2012-2013",E123="",G123="PLN03"),H123,"")</f>
        <v/>
      </c>
      <c r="AI123" s="42" t="str">
        <f>IF(AND(C123=Master!$H$6,B123="2012-2013",E123&gt;1000,G123="PLN03"),H123,"")</f>
        <v/>
      </c>
      <c r="AJ123" s="42" t="str">
        <f>IF(AND(C123=Master!$H$6,B123="2012-2013",E123="",G123="PLN03"),H123,"")</f>
        <v/>
      </c>
      <c r="AK123" s="42" t="str">
        <f>IF(AND(C123=Master!$H$7,B123="2012-2013",E123&gt;1000,G123="PLN03"),H123,"")</f>
        <v/>
      </c>
      <c r="AL123" s="42" t="str">
        <f>IF(AND(C123=Master!$H$7,B123="2012-2013",E123="",G123="PLN03"),H123,"")</f>
        <v/>
      </c>
      <c r="AM123" s="42" t="str">
        <f>IF(AND(C123=Master!$H$8,B123="2012-2013",E123&gt;1000,G123="PLN03"),H123,"")</f>
        <v/>
      </c>
      <c r="AN123" s="42" t="str">
        <f>IF(AND(C123=Master!$H$8,B123="2012-2013",E123="",G123="PLN03"),H123,"")</f>
        <v/>
      </c>
      <c r="AO123" s="42" t="str">
        <f>IF(AND(C123=Master!$H$9,B123="2012-2013",E123&gt;1000,G123="PLN03"),H123,"")</f>
        <v/>
      </c>
      <c r="AP123" s="42" t="str">
        <f>IF(AND(C123=Master!$H$9,B123="2012-2013",E123="",G123="PLN03"),H123,"")</f>
        <v/>
      </c>
      <c r="AQ123" s="44" t="str">
        <f>IF(AND(C123=Master!$H$1,B123="2012-2013",E123&gt;1000,G123="NPN05"),H123,"")</f>
        <v/>
      </c>
      <c r="AR123" s="44" t="str">
        <f>IF(AND(C123=Master!$H$1,B123="2012-2013",E123="",G123="NPN05"),H123,"")</f>
        <v/>
      </c>
      <c r="AS123" s="44" t="str">
        <f>IF(AND(C123=Master!$H$2,B123="2012-2013",E123&gt;1000,G123="NPN05"),H123,"")</f>
        <v/>
      </c>
      <c r="AT123" s="44" t="str">
        <f>IF(AND(C123=Master!$H$2,B123="2012-2013",E123="",G123="NPN05"),H123,"")</f>
        <v/>
      </c>
      <c r="AU123" s="44" t="str">
        <f>IF(AND(C123=Master!$H$3,B123="2012-2013",E123&gt;1000,G123="NPN05"),H123,"")</f>
        <v/>
      </c>
      <c r="AV123" s="44" t="str">
        <f>IF(AND(C123=Master!$H$3,B123="2012-2013",E123="",G123="NPN05"),H123,"")</f>
        <v/>
      </c>
      <c r="AW123" s="44" t="str">
        <f>IF(AND(C123=Master!$H$4,B123="2012-2013",E123&gt;1000,G123="NPN05"),H123,"")</f>
        <v/>
      </c>
      <c r="AX123" s="44" t="str">
        <f>IF(AND(C123=Master!$H$4,B123="2012-2013",E123="",G123="NPN05"),H123,"")</f>
        <v/>
      </c>
      <c r="AY123" s="44" t="str">
        <f>IF(AND(C123=Master!$H$5,B123="2012-2013",E123&gt;1000,G123="NPN05"),H123,"")</f>
        <v/>
      </c>
      <c r="AZ123" s="44" t="str">
        <f>IF(AND(C123=Master!$H$5,B123="2012-2013",E123="",G123="NPN05"),H123,"")</f>
        <v/>
      </c>
      <c r="BA123" s="44" t="str">
        <f>IF(AND(C123=Master!$H$6,B123="2012-2013",E123&gt;1000,G123="NPN05"),H123,"")</f>
        <v/>
      </c>
      <c r="BB123" s="44" t="str">
        <f>IF(AND(C123=Master!$H$6,B123="2012-2013",E123="",G123="NPN05"),H123,"")</f>
        <v/>
      </c>
      <c r="BC123" s="44" t="str">
        <f>IF(AND(C123=Master!$H$7,B123="2012-2013",E123&gt;1000,G123="NPN05"),H123,"")</f>
        <v/>
      </c>
      <c r="BD123" s="44" t="str">
        <f>IF(AND(C123=Master!$H$7,B123="2012-2013",E123="",G123="NPN05"),H123,"")</f>
        <v/>
      </c>
      <c r="BE123" s="44" t="str">
        <f>IF(AND(C123=Master!$H$8,B123="2012-2013",E123&gt;1000,G123="NPN05"),H123,"")</f>
        <v/>
      </c>
      <c r="BF123" s="44" t="str">
        <f>IF(AND(C123=Master!$H$8,B123="2012-2013",E123="",G123="NPN05"),H123,"")</f>
        <v/>
      </c>
      <c r="BG123" s="44" t="str">
        <f>IF(AND(C123=Master!$H$9,B123="2012-2013",E123&gt;1000,G123="NPN05"),H123,"")</f>
        <v/>
      </c>
      <c r="BH123" s="44" t="str">
        <f>IF(AND(C123=Master!$H$9,B123="2012-2013",E123="",G123="NPN05"),H123,"")</f>
        <v/>
      </c>
    </row>
    <row r="124" spans="1:60" x14ac:dyDescent="0.25">
      <c r="A124" s="3">
        <v>122</v>
      </c>
      <c r="B124" s="12"/>
      <c r="C124" s="12"/>
      <c r="D124" s="31"/>
      <c r="E124" s="4"/>
      <c r="F124" s="13"/>
      <c r="G124" s="21"/>
      <c r="H124" s="35"/>
      <c r="I124" s="21"/>
      <c r="J124" s="25" t="str">
        <f>IF(NOT(I124=""),INDEX(Master!$B$1:$B$46,MATCH(I124,Master!$A$1:$A$46,0)),"")</f>
        <v/>
      </c>
      <c r="K124" s="18"/>
      <c r="L124" s="86"/>
      <c r="M124" s="13"/>
      <c r="N124" s="13"/>
      <c r="O124" s="18"/>
      <c r="P124" s="35"/>
      <c r="Q124" s="21"/>
      <c r="R124" s="21"/>
      <c r="S124" s="13"/>
      <c r="T124" s="12"/>
      <c r="U124" s="12"/>
      <c r="V124" s="12"/>
      <c r="W124" s="14"/>
      <c r="Y124" s="42" t="str">
        <f>IF(AND(C124=Master!$H$1,B124="2012-2013",E124&gt;1000,G124="PLN03"),H124,"")</f>
        <v/>
      </c>
      <c r="Z124" s="42" t="str">
        <f>IF(AND(C124=Master!$H$1,B124="2012-2013",E124="",G124="PLN03"),H124,"")</f>
        <v/>
      </c>
      <c r="AA124" s="42" t="str">
        <f>IF(AND(C124=Master!$H$2,B124="2012-2013",E124&gt;1000,G124="PLN03"),H124,"")</f>
        <v/>
      </c>
      <c r="AB124" s="42" t="str">
        <f>IF(AND(C124=Master!$H$2,B124="2012-2013",E124="",G124="PLN03"),H124,"")</f>
        <v/>
      </c>
      <c r="AC124" s="42" t="str">
        <f>IF(AND(C124=Master!$H$3,B124="2012-2013",E124&gt;1000,G124="PLN03"),H124,"")</f>
        <v/>
      </c>
      <c r="AD124" s="42" t="str">
        <f>IF(AND(C124=Master!$H$3,B124="2012-2013",E124="",G124="PLN03"),H124,"")</f>
        <v/>
      </c>
      <c r="AE124" s="42" t="str">
        <f>IF(AND(C124=Master!$H$4,B124="2012-2013",E124&gt;1000,G124="PLN03"),H124,"")</f>
        <v/>
      </c>
      <c r="AF124" s="42" t="str">
        <f>IF(AND(C124=Master!$H$4,B124="2012-2013",E124="",G124="PLN03"),H124,"")</f>
        <v/>
      </c>
      <c r="AG124" s="42" t="str">
        <f>IF(AND(C124=Master!$H$5,B124="2012-2013",E124&gt;1000,G124="PLN03"),H124,"")</f>
        <v/>
      </c>
      <c r="AH124" s="42" t="str">
        <f>IF(AND(C124=Master!$H$5,B124="2012-2013",E124="",G124="PLN03"),H124,"")</f>
        <v/>
      </c>
      <c r="AI124" s="42" t="str">
        <f>IF(AND(C124=Master!$H$6,B124="2012-2013",E124&gt;1000,G124="PLN03"),H124,"")</f>
        <v/>
      </c>
      <c r="AJ124" s="42" t="str">
        <f>IF(AND(C124=Master!$H$6,B124="2012-2013",E124="",G124="PLN03"),H124,"")</f>
        <v/>
      </c>
      <c r="AK124" s="42" t="str">
        <f>IF(AND(C124=Master!$H$7,B124="2012-2013",E124&gt;1000,G124="PLN03"),H124,"")</f>
        <v/>
      </c>
      <c r="AL124" s="42" t="str">
        <f>IF(AND(C124=Master!$H$7,B124="2012-2013",E124="",G124="PLN03"),H124,"")</f>
        <v/>
      </c>
      <c r="AM124" s="42" t="str">
        <f>IF(AND(C124=Master!$H$8,B124="2012-2013",E124&gt;1000,G124="PLN03"),H124,"")</f>
        <v/>
      </c>
      <c r="AN124" s="42" t="str">
        <f>IF(AND(C124=Master!$H$8,B124="2012-2013",E124="",G124="PLN03"),H124,"")</f>
        <v/>
      </c>
      <c r="AO124" s="42" t="str">
        <f>IF(AND(C124=Master!$H$9,B124="2012-2013",E124&gt;1000,G124="PLN03"),H124,"")</f>
        <v/>
      </c>
      <c r="AP124" s="42" t="str">
        <f>IF(AND(C124=Master!$H$9,B124="2012-2013",E124="",G124="PLN03"),H124,"")</f>
        <v/>
      </c>
      <c r="AQ124" s="44" t="str">
        <f>IF(AND(C124=Master!$H$1,B124="2012-2013",E124&gt;1000,G124="NPN05"),H124,"")</f>
        <v/>
      </c>
      <c r="AR124" s="44" t="str">
        <f>IF(AND(C124=Master!$H$1,B124="2012-2013",E124="",G124="NPN05"),H124,"")</f>
        <v/>
      </c>
      <c r="AS124" s="44" t="str">
        <f>IF(AND(C124=Master!$H$2,B124="2012-2013",E124&gt;1000,G124="NPN05"),H124,"")</f>
        <v/>
      </c>
      <c r="AT124" s="44" t="str">
        <f>IF(AND(C124=Master!$H$2,B124="2012-2013",E124="",G124="NPN05"),H124,"")</f>
        <v/>
      </c>
      <c r="AU124" s="44" t="str">
        <f>IF(AND(C124=Master!$H$3,B124="2012-2013",E124&gt;1000,G124="NPN05"),H124,"")</f>
        <v/>
      </c>
      <c r="AV124" s="44" t="str">
        <f>IF(AND(C124=Master!$H$3,B124="2012-2013",E124="",G124="NPN05"),H124,"")</f>
        <v/>
      </c>
      <c r="AW124" s="44" t="str">
        <f>IF(AND(C124=Master!$H$4,B124="2012-2013",E124&gt;1000,G124="NPN05"),H124,"")</f>
        <v/>
      </c>
      <c r="AX124" s="44" t="str">
        <f>IF(AND(C124=Master!$H$4,B124="2012-2013",E124="",G124="NPN05"),H124,"")</f>
        <v/>
      </c>
      <c r="AY124" s="44" t="str">
        <f>IF(AND(C124=Master!$H$5,B124="2012-2013",E124&gt;1000,G124="NPN05"),H124,"")</f>
        <v/>
      </c>
      <c r="AZ124" s="44" t="str">
        <f>IF(AND(C124=Master!$H$5,B124="2012-2013",E124="",G124="NPN05"),H124,"")</f>
        <v/>
      </c>
      <c r="BA124" s="44" t="str">
        <f>IF(AND(C124=Master!$H$6,B124="2012-2013",E124&gt;1000,G124="NPN05"),H124,"")</f>
        <v/>
      </c>
      <c r="BB124" s="44" t="str">
        <f>IF(AND(C124=Master!$H$6,B124="2012-2013",E124="",G124="NPN05"),H124,"")</f>
        <v/>
      </c>
      <c r="BC124" s="44" t="str">
        <f>IF(AND(C124=Master!$H$7,B124="2012-2013",E124&gt;1000,G124="NPN05"),H124,"")</f>
        <v/>
      </c>
      <c r="BD124" s="44" t="str">
        <f>IF(AND(C124=Master!$H$7,B124="2012-2013",E124="",G124="NPN05"),H124,"")</f>
        <v/>
      </c>
      <c r="BE124" s="44" t="str">
        <f>IF(AND(C124=Master!$H$8,B124="2012-2013",E124&gt;1000,G124="NPN05"),H124,"")</f>
        <v/>
      </c>
      <c r="BF124" s="44" t="str">
        <f>IF(AND(C124=Master!$H$8,B124="2012-2013",E124="",G124="NPN05"),H124,"")</f>
        <v/>
      </c>
      <c r="BG124" s="44" t="str">
        <f>IF(AND(C124=Master!$H$9,B124="2012-2013",E124&gt;1000,G124="NPN05"),H124,"")</f>
        <v/>
      </c>
      <c r="BH124" s="44" t="str">
        <f>IF(AND(C124=Master!$H$9,B124="2012-2013",E124="",G124="NPN05"),H124,"")</f>
        <v/>
      </c>
    </row>
    <row r="125" spans="1:60" x14ac:dyDescent="0.25">
      <c r="A125" s="3">
        <v>123</v>
      </c>
      <c r="B125" s="12"/>
      <c r="C125" s="12"/>
      <c r="D125" s="31"/>
      <c r="E125" s="4"/>
      <c r="F125" s="13"/>
      <c r="G125" s="21"/>
      <c r="H125" s="35"/>
      <c r="I125" s="21"/>
      <c r="J125" s="25" t="str">
        <f>IF(NOT(I125=""),INDEX(Master!$B$1:$B$46,MATCH(I125,Master!$A$1:$A$46,0)),"")</f>
        <v/>
      </c>
      <c r="K125" s="18"/>
      <c r="L125" s="86"/>
      <c r="M125" s="13"/>
      <c r="N125" s="13"/>
      <c r="O125" s="18"/>
      <c r="P125" s="35"/>
      <c r="Q125" s="21"/>
      <c r="R125" s="21"/>
      <c r="S125" s="13"/>
      <c r="T125" s="12"/>
      <c r="U125" s="12"/>
      <c r="V125" s="12"/>
      <c r="W125" s="14"/>
      <c r="Y125" s="42" t="str">
        <f>IF(AND(C125=Master!$H$1,B125="2012-2013",E125&gt;1000,G125="PLN03"),H125,"")</f>
        <v/>
      </c>
      <c r="Z125" s="42" t="str">
        <f>IF(AND(C125=Master!$H$1,B125="2012-2013",E125="",G125="PLN03"),H125,"")</f>
        <v/>
      </c>
      <c r="AA125" s="42" t="str">
        <f>IF(AND(C125=Master!$H$2,B125="2012-2013",E125&gt;1000,G125="PLN03"),H125,"")</f>
        <v/>
      </c>
      <c r="AB125" s="42" t="str">
        <f>IF(AND(C125=Master!$H$2,B125="2012-2013",E125="",G125="PLN03"),H125,"")</f>
        <v/>
      </c>
      <c r="AC125" s="42" t="str">
        <f>IF(AND(C125=Master!$H$3,B125="2012-2013",E125&gt;1000,G125="PLN03"),H125,"")</f>
        <v/>
      </c>
      <c r="AD125" s="42" t="str">
        <f>IF(AND(C125=Master!$H$3,B125="2012-2013",E125="",G125="PLN03"),H125,"")</f>
        <v/>
      </c>
      <c r="AE125" s="42" t="str">
        <f>IF(AND(C125=Master!$H$4,B125="2012-2013",E125&gt;1000,G125="PLN03"),H125,"")</f>
        <v/>
      </c>
      <c r="AF125" s="42" t="str">
        <f>IF(AND(C125=Master!$H$4,B125="2012-2013",E125="",G125="PLN03"),H125,"")</f>
        <v/>
      </c>
      <c r="AG125" s="42" t="str">
        <f>IF(AND(C125=Master!$H$5,B125="2012-2013",E125&gt;1000,G125="PLN03"),H125,"")</f>
        <v/>
      </c>
      <c r="AH125" s="42" t="str">
        <f>IF(AND(C125=Master!$H$5,B125="2012-2013",E125="",G125="PLN03"),H125,"")</f>
        <v/>
      </c>
      <c r="AI125" s="42" t="str">
        <f>IF(AND(C125=Master!$H$6,B125="2012-2013",E125&gt;1000,G125="PLN03"),H125,"")</f>
        <v/>
      </c>
      <c r="AJ125" s="42" t="str">
        <f>IF(AND(C125=Master!$H$6,B125="2012-2013",E125="",G125="PLN03"),H125,"")</f>
        <v/>
      </c>
      <c r="AK125" s="42" t="str">
        <f>IF(AND(C125=Master!$H$7,B125="2012-2013",E125&gt;1000,G125="PLN03"),H125,"")</f>
        <v/>
      </c>
      <c r="AL125" s="42" t="str">
        <f>IF(AND(C125=Master!$H$7,B125="2012-2013",E125="",G125="PLN03"),H125,"")</f>
        <v/>
      </c>
      <c r="AM125" s="42" t="str">
        <f>IF(AND(C125=Master!$H$8,B125="2012-2013",E125&gt;1000,G125="PLN03"),H125,"")</f>
        <v/>
      </c>
      <c r="AN125" s="42" t="str">
        <f>IF(AND(C125=Master!$H$8,B125="2012-2013",E125="",G125="PLN03"),H125,"")</f>
        <v/>
      </c>
      <c r="AO125" s="42" t="str">
        <f>IF(AND(C125=Master!$H$9,B125="2012-2013",E125&gt;1000,G125="PLN03"),H125,"")</f>
        <v/>
      </c>
      <c r="AP125" s="42" t="str">
        <f>IF(AND(C125=Master!$H$9,B125="2012-2013",E125="",G125="PLN03"),H125,"")</f>
        <v/>
      </c>
      <c r="AQ125" s="44" t="str">
        <f>IF(AND(C125=Master!$H$1,B125="2012-2013",E125&gt;1000,G125="NPN05"),H125,"")</f>
        <v/>
      </c>
      <c r="AR125" s="44" t="str">
        <f>IF(AND(C125=Master!$H$1,B125="2012-2013",E125="",G125="NPN05"),H125,"")</f>
        <v/>
      </c>
      <c r="AS125" s="44" t="str">
        <f>IF(AND(C125=Master!$H$2,B125="2012-2013",E125&gt;1000,G125="NPN05"),H125,"")</f>
        <v/>
      </c>
      <c r="AT125" s="44" t="str">
        <f>IF(AND(C125=Master!$H$2,B125="2012-2013",E125="",G125="NPN05"),H125,"")</f>
        <v/>
      </c>
      <c r="AU125" s="44" t="str">
        <f>IF(AND(C125=Master!$H$3,B125="2012-2013",E125&gt;1000,G125="NPN05"),H125,"")</f>
        <v/>
      </c>
      <c r="AV125" s="44" t="str">
        <f>IF(AND(C125=Master!$H$3,B125="2012-2013",E125="",G125="NPN05"),H125,"")</f>
        <v/>
      </c>
      <c r="AW125" s="44" t="str">
        <f>IF(AND(C125=Master!$H$4,B125="2012-2013",E125&gt;1000,G125="NPN05"),H125,"")</f>
        <v/>
      </c>
      <c r="AX125" s="44" t="str">
        <f>IF(AND(C125=Master!$H$4,B125="2012-2013",E125="",G125="NPN05"),H125,"")</f>
        <v/>
      </c>
      <c r="AY125" s="44" t="str">
        <f>IF(AND(C125=Master!$H$5,B125="2012-2013",E125&gt;1000,G125="NPN05"),H125,"")</f>
        <v/>
      </c>
      <c r="AZ125" s="44" t="str">
        <f>IF(AND(C125=Master!$H$5,B125="2012-2013",E125="",G125="NPN05"),H125,"")</f>
        <v/>
      </c>
      <c r="BA125" s="44" t="str">
        <f>IF(AND(C125=Master!$H$6,B125="2012-2013",E125&gt;1000,G125="NPN05"),H125,"")</f>
        <v/>
      </c>
      <c r="BB125" s="44" t="str">
        <f>IF(AND(C125=Master!$H$6,B125="2012-2013",E125="",G125="NPN05"),H125,"")</f>
        <v/>
      </c>
      <c r="BC125" s="44" t="str">
        <f>IF(AND(C125=Master!$H$7,B125="2012-2013",E125&gt;1000,G125="NPN05"),H125,"")</f>
        <v/>
      </c>
      <c r="BD125" s="44" t="str">
        <f>IF(AND(C125=Master!$H$7,B125="2012-2013",E125="",G125="NPN05"),H125,"")</f>
        <v/>
      </c>
      <c r="BE125" s="44" t="str">
        <f>IF(AND(C125=Master!$H$8,B125="2012-2013",E125&gt;1000,G125="NPN05"),H125,"")</f>
        <v/>
      </c>
      <c r="BF125" s="44" t="str">
        <f>IF(AND(C125=Master!$H$8,B125="2012-2013",E125="",G125="NPN05"),H125,"")</f>
        <v/>
      </c>
      <c r="BG125" s="44" t="str">
        <f>IF(AND(C125=Master!$H$9,B125="2012-2013",E125&gt;1000,G125="NPN05"),H125,"")</f>
        <v/>
      </c>
      <c r="BH125" s="44" t="str">
        <f>IF(AND(C125=Master!$H$9,B125="2012-2013",E125="",G125="NPN05"),H125,"")</f>
        <v/>
      </c>
    </row>
    <row r="126" spans="1:60" x14ac:dyDescent="0.25">
      <c r="A126" s="3">
        <v>124</v>
      </c>
      <c r="B126" s="12"/>
      <c r="C126" s="12"/>
      <c r="D126" s="31"/>
      <c r="E126" s="4"/>
      <c r="F126" s="13"/>
      <c r="G126" s="21"/>
      <c r="H126" s="35"/>
      <c r="I126" s="21"/>
      <c r="J126" s="25" t="str">
        <f>IF(NOT(I126=""),INDEX(Master!$B$1:$B$46,MATCH(I126,Master!$A$1:$A$46,0)),"")</f>
        <v/>
      </c>
      <c r="K126" s="18"/>
      <c r="L126" s="86"/>
      <c r="M126" s="13"/>
      <c r="N126" s="13"/>
      <c r="O126" s="18"/>
      <c r="P126" s="35"/>
      <c r="Q126" s="21"/>
      <c r="R126" s="21"/>
      <c r="S126" s="13"/>
      <c r="T126" s="12"/>
      <c r="U126" s="12"/>
      <c r="V126" s="12"/>
      <c r="W126" s="14"/>
      <c r="Y126" s="42" t="str">
        <f>IF(AND(C126=Master!$H$1,B126="2012-2013",E126&gt;1000,G126="PLN03"),H126,"")</f>
        <v/>
      </c>
      <c r="Z126" s="42" t="str">
        <f>IF(AND(C126=Master!$H$1,B126="2012-2013",E126="",G126="PLN03"),H126,"")</f>
        <v/>
      </c>
      <c r="AA126" s="42" t="str">
        <f>IF(AND(C126=Master!$H$2,B126="2012-2013",E126&gt;1000,G126="PLN03"),H126,"")</f>
        <v/>
      </c>
      <c r="AB126" s="42" t="str">
        <f>IF(AND(C126=Master!$H$2,B126="2012-2013",E126="",G126="PLN03"),H126,"")</f>
        <v/>
      </c>
      <c r="AC126" s="42" t="str">
        <f>IF(AND(C126=Master!$H$3,B126="2012-2013",E126&gt;1000,G126="PLN03"),H126,"")</f>
        <v/>
      </c>
      <c r="AD126" s="42" t="str">
        <f>IF(AND(C126=Master!$H$3,B126="2012-2013",E126="",G126="PLN03"),H126,"")</f>
        <v/>
      </c>
      <c r="AE126" s="42" t="str">
        <f>IF(AND(C126=Master!$H$4,B126="2012-2013",E126&gt;1000,G126="PLN03"),H126,"")</f>
        <v/>
      </c>
      <c r="AF126" s="42" t="str">
        <f>IF(AND(C126=Master!$H$4,B126="2012-2013",E126="",G126="PLN03"),H126,"")</f>
        <v/>
      </c>
      <c r="AG126" s="42" t="str">
        <f>IF(AND(C126=Master!$H$5,B126="2012-2013",E126&gt;1000,G126="PLN03"),H126,"")</f>
        <v/>
      </c>
      <c r="AH126" s="42" t="str">
        <f>IF(AND(C126=Master!$H$5,B126="2012-2013",E126="",G126="PLN03"),H126,"")</f>
        <v/>
      </c>
      <c r="AI126" s="42" t="str">
        <f>IF(AND(C126=Master!$H$6,B126="2012-2013",E126&gt;1000,G126="PLN03"),H126,"")</f>
        <v/>
      </c>
      <c r="AJ126" s="42" t="str">
        <f>IF(AND(C126=Master!$H$6,B126="2012-2013",E126="",G126="PLN03"),H126,"")</f>
        <v/>
      </c>
      <c r="AK126" s="42" t="str">
        <f>IF(AND(C126=Master!$H$7,B126="2012-2013",E126&gt;1000,G126="PLN03"),H126,"")</f>
        <v/>
      </c>
      <c r="AL126" s="42" t="str">
        <f>IF(AND(C126=Master!$H$7,B126="2012-2013",E126="",G126="PLN03"),H126,"")</f>
        <v/>
      </c>
      <c r="AM126" s="42" t="str">
        <f>IF(AND(C126=Master!$H$8,B126="2012-2013",E126&gt;1000,G126="PLN03"),H126,"")</f>
        <v/>
      </c>
      <c r="AN126" s="42" t="str">
        <f>IF(AND(C126=Master!$H$8,B126="2012-2013",E126="",G126="PLN03"),H126,"")</f>
        <v/>
      </c>
      <c r="AO126" s="42" t="str">
        <f>IF(AND(C126=Master!$H$9,B126="2012-2013",E126&gt;1000,G126="PLN03"),H126,"")</f>
        <v/>
      </c>
      <c r="AP126" s="42" t="str">
        <f>IF(AND(C126=Master!$H$9,B126="2012-2013",E126="",G126="PLN03"),H126,"")</f>
        <v/>
      </c>
      <c r="AQ126" s="44" t="str">
        <f>IF(AND(C126=Master!$H$1,B126="2012-2013",E126&gt;1000,G126="NPN05"),H126,"")</f>
        <v/>
      </c>
      <c r="AR126" s="44" t="str">
        <f>IF(AND(C126=Master!$H$1,B126="2012-2013",E126="",G126="NPN05"),H126,"")</f>
        <v/>
      </c>
      <c r="AS126" s="44" t="str">
        <f>IF(AND(C126=Master!$H$2,B126="2012-2013",E126&gt;1000,G126="NPN05"),H126,"")</f>
        <v/>
      </c>
      <c r="AT126" s="44" t="str">
        <f>IF(AND(C126=Master!$H$2,B126="2012-2013",E126="",G126="NPN05"),H126,"")</f>
        <v/>
      </c>
      <c r="AU126" s="44" t="str">
        <f>IF(AND(C126=Master!$H$3,B126="2012-2013",E126&gt;1000,G126="NPN05"),H126,"")</f>
        <v/>
      </c>
      <c r="AV126" s="44" t="str">
        <f>IF(AND(C126=Master!$H$3,B126="2012-2013",E126="",G126="NPN05"),H126,"")</f>
        <v/>
      </c>
      <c r="AW126" s="44" t="str">
        <f>IF(AND(C126=Master!$H$4,B126="2012-2013",E126&gt;1000,G126="NPN05"),H126,"")</f>
        <v/>
      </c>
      <c r="AX126" s="44" t="str">
        <f>IF(AND(C126=Master!$H$4,B126="2012-2013",E126="",G126="NPN05"),H126,"")</f>
        <v/>
      </c>
      <c r="AY126" s="44" t="str">
        <f>IF(AND(C126=Master!$H$5,B126="2012-2013",E126&gt;1000,G126="NPN05"),H126,"")</f>
        <v/>
      </c>
      <c r="AZ126" s="44" t="str">
        <f>IF(AND(C126=Master!$H$5,B126="2012-2013",E126="",G126="NPN05"),H126,"")</f>
        <v/>
      </c>
      <c r="BA126" s="44" t="str">
        <f>IF(AND(C126=Master!$H$6,B126="2012-2013",E126&gt;1000,G126="NPN05"),H126,"")</f>
        <v/>
      </c>
      <c r="BB126" s="44" t="str">
        <f>IF(AND(C126=Master!$H$6,B126="2012-2013",E126="",G126="NPN05"),H126,"")</f>
        <v/>
      </c>
      <c r="BC126" s="44" t="str">
        <f>IF(AND(C126=Master!$H$7,B126="2012-2013",E126&gt;1000,G126="NPN05"),H126,"")</f>
        <v/>
      </c>
      <c r="BD126" s="44" t="str">
        <f>IF(AND(C126=Master!$H$7,B126="2012-2013",E126="",G126="NPN05"),H126,"")</f>
        <v/>
      </c>
      <c r="BE126" s="44" t="str">
        <f>IF(AND(C126=Master!$H$8,B126="2012-2013",E126&gt;1000,G126="NPN05"),H126,"")</f>
        <v/>
      </c>
      <c r="BF126" s="44" t="str">
        <f>IF(AND(C126=Master!$H$8,B126="2012-2013",E126="",G126="NPN05"),H126,"")</f>
        <v/>
      </c>
      <c r="BG126" s="44" t="str">
        <f>IF(AND(C126=Master!$H$9,B126="2012-2013",E126&gt;1000,G126="NPN05"),H126,"")</f>
        <v/>
      </c>
      <c r="BH126" s="44" t="str">
        <f>IF(AND(C126=Master!$H$9,B126="2012-2013",E126="",G126="NPN05"),H126,"")</f>
        <v/>
      </c>
    </row>
    <row r="127" spans="1:60" x14ac:dyDescent="0.25">
      <c r="A127" s="3">
        <v>125</v>
      </c>
      <c r="B127" s="12"/>
      <c r="C127" s="12"/>
      <c r="D127" s="31"/>
      <c r="E127" s="4"/>
      <c r="F127" s="13"/>
      <c r="G127" s="21"/>
      <c r="H127" s="35"/>
      <c r="I127" s="21"/>
      <c r="J127" s="25" t="str">
        <f>IF(NOT(I127=""),INDEX(Master!$B$1:$B$46,MATCH(I127,Master!$A$1:$A$46,0)),"")</f>
        <v/>
      </c>
      <c r="K127" s="18"/>
      <c r="L127" s="86"/>
      <c r="M127" s="13"/>
      <c r="N127" s="13"/>
      <c r="O127" s="18"/>
      <c r="P127" s="35"/>
      <c r="Q127" s="21"/>
      <c r="R127" s="21"/>
      <c r="S127" s="13"/>
      <c r="T127" s="12"/>
      <c r="U127" s="12"/>
      <c r="V127" s="12"/>
      <c r="W127" s="14"/>
      <c r="Y127" s="42" t="str">
        <f>IF(AND(C127=Master!$H$1,B127="2012-2013",E127&gt;1000,G127="PLN03"),H127,"")</f>
        <v/>
      </c>
      <c r="Z127" s="42" t="str">
        <f>IF(AND(C127=Master!$H$1,B127="2012-2013",E127="",G127="PLN03"),H127,"")</f>
        <v/>
      </c>
      <c r="AA127" s="42" t="str">
        <f>IF(AND(C127=Master!$H$2,B127="2012-2013",E127&gt;1000,G127="PLN03"),H127,"")</f>
        <v/>
      </c>
      <c r="AB127" s="42" t="str">
        <f>IF(AND(C127=Master!$H$2,B127="2012-2013",E127="",G127="PLN03"),H127,"")</f>
        <v/>
      </c>
      <c r="AC127" s="42" t="str">
        <f>IF(AND(C127=Master!$H$3,B127="2012-2013",E127&gt;1000,G127="PLN03"),H127,"")</f>
        <v/>
      </c>
      <c r="AD127" s="42" t="str">
        <f>IF(AND(C127=Master!$H$3,B127="2012-2013",E127="",G127="PLN03"),H127,"")</f>
        <v/>
      </c>
      <c r="AE127" s="42" t="str">
        <f>IF(AND(C127=Master!$H$4,B127="2012-2013",E127&gt;1000,G127="PLN03"),H127,"")</f>
        <v/>
      </c>
      <c r="AF127" s="42" t="str">
        <f>IF(AND(C127=Master!$H$4,B127="2012-2013",E127="",G127="PLN03"),H127,"")</f>
        <v/>
      </c>
      <c r="AG127" s="42" t="str">
        <f>IF(AND(C127=Master!$H$5,B127="2012-2013",E127&gt;1000,G127="PLN03"),H127,"")</f>
        <v/>
      </c>
      <c r="AH127" s="42" t="str">
        <f>IF(AND(C127=Master!$H$5,B127="2012-2013",E127="",G127="PLN03"),H127,"")</f>
        <v/>
      </c>
      <c r="AI127" s="42" t="str">
        <f>IF(AND(C127=Master!$H$6,B127="2012-2013",E127&gt;1000,G127="PLN03"),H127,"")</f>
        <v/>
      </c>
      <c r="AJ127" s="42" t="str">
        <f>IF(AND(C127=Master!$H$6,B127="2012-2013",E127="",G127="PLN03"),H127,"")</f>
        <v/>
      </c>
      <c r="AK127" s="42" t="str">
        <f>IF(AND(C127=Master!$H$7,B127="2012-2013",E127&gt;1000,G127="PLN03"),H127,"")</f>
        <v/>
      </c>
      <c r="AL127" s="42" t="str">
        <f>IF(AND(C127=Master!$H$7,B127="2012-2013",E127="",G127="PLN03"),H127,"")</f>
        <v/>
      </c>
      <c r="AM127" s="42" t="str">
        <f>IF(AND(C127=Master!$H$8,B127="2012-2013",E127&gt;1000,G127="PLN03"),H127,"")</f>
        <v/>
      </c>
      <c r="AN127" s="42" t="str">
        <f>IF(AND(C127=Master!$H$8,B127="2012-2013",E127="",G127="PLN03"),H127,"")</f>
        <v/>
      </c>
      <c r="AO127" s="42" t="str">
        <f>IF(AND(C127=Master!$H$9,B127="2012-2013",E127&gt;1000,G127="PLN03"),H127,"")</f>
        <v/>
      </c>
      <c r="AP127" s="42" t="str">
        <f>IF(AND(C127=Master!$H$9,B127="2012-2013",E127="",G127="PLN03"),H127,"")</f>
        <v/>
      </c>
      <c r="AQ127" s="44" t="str">
        <f>IF(AND(C127=Master!$H$1,B127="2012-2013",E127&gt;1000,G127="NPN05"),H127,"")</f>
        <v/>
      </c>
      <c r="AR127" s="44" t="str">
        <f>IF(AND(C127=Master!$H$1,B127="2012-2013",E127="",G127="NPN05"),H127,"")</f>
        <v/>
      </c>
      <c r="AS127" s="44" t="str">
        <f>IF(AND(C127=Master!$H$2,B127="2012-2013",E127&gt;1000,G127="NPN05"),H127,"")</f>
        <v/>
      </c>
      <c r="AT127" s="44" t="str">
        <f>IF(AND(C127=Master!$H$2,B127="2012-2013",E127="",G127="NPN05"),H127,"")</f>
        <v/>
      </c>
      <c r="AU127" s="44" t="str">
        <f>IF(AND(C127=Master!$H$3,B127="2012-2013",E127&gt;1000,G127="NPN05"),H127,"")</f>
        <v/>
      </c>
      <c r="AV127" s="44" t="str">
        <f>IF(AND(C127=Master!$H$3,B127="2012-2013",E127="",G127="NPN05"),H127,"")</f>
        <v/>
      </c>
      <c r="AW127" s="44" t="str">
        <f>IF(AND(C127=Master!$H$4,B127="2012-2013",E127&gt;1000,G127="NPN05"),H127,"")</f>
        <v/>
      </c>
      <c r="AX127" s="44" t="str">
        <f>IF(AND(C127=Master!$H$4,B127="2012-2013",E127="",G127="NPN05"),H127,"")</f>
        <v/>
      </c>
      <c r="AY127" s="44" t="str">
        <f>IF(AND(C127=Master!$H$5,B127="2012-2013",E127&gt;1000,G127="NPN05"),H127,"")</f>
        <v/>
      </c>
      <c r="AZ127" s="44" t="str">
        <f>IF(AND(C127=Master!$H$5,B127="2012-2013",E127="",G127="NPN05"),H127,"")</f>
        <v/>
      </c>
      <c r="BA127" s="44" t="str">
        <f>IF(AND(C127=Master!$H$6,B127="2012-2013",E127&gt;1000,G127="NPN05"),H127,"")</f>
        <v/>
      </c>
      <c r="BB127" s="44" t="str">
        <f>IF(AND(C127=Master!$H$6,B127="2012-2013",E127="",G127="NPN05"),H127,"")</f>
        <v/>
      </c>
      <c r="BC127" s="44" t="str">
        <f>IF(AND(C127=Master!$H$7,B127="2012-2013",E127&gt;1000,G127="NPN05"),H127,"")</f>
        <v/>
      </c>
      <c r="BD127" s="44" t="str">
        <f>IF(AND(C127=Master!$H$7,B127="2012-2013",E127="",G127="NPN05"),H127,"")</f>
        <v/>
      </c>
      <c r="BE127" s="44" t="str">
        <f>IF(AND(C127=Master!$H$8,B127="2012-2013",E127&gt;1000,G127="NPN05"),H127,"")</f>
        <v/>
      </c>
      <c r="BF127" s="44" t="str">
        <f>IF(AND(C127=Master!$H$8,B127="2012-2013",E127="",G127="NPN05"),H127,"")</f>
        <v/>
      </c>
      <c r="BG127" s="44" t="str">
        <f>IF(AND(C127=Master!$H$9,B127="2012-2013",E127&gt;1000,G127="NPN05"),H127,"")</f>
        <v/>
      </c>
      <c r="BH127" s="44" t="str">
        <f>IF(AND(C127=Master!$H$9,B127="2012-2013",E127="",G127="NPN05"),H127,"")</f>
        <v/>
      </c>
    </row>
    <row r="128" spans="1:60" x14ac:dyDescent="0.25">
      <c r="A128" s="3">
        <v>126</v>
      </c>
      <c r="B128" s="12"/>
      <c r="C128" s="12"/>
      <c r="D128" s="31"/>
      <c r="E128" s="4"/>
      <c r="F128" s="13"/>
      <c r="G128" s="21"/>
      <c r="H128" s="35"/>
      <c r="I128" s="21"/>
      <c r="J128" s="25" t="str">
        <f>IF(NOT(I128=""),INDEX(Master!$B$1:$B$46,MATCH(I128,Master!$A$1:$A$46,0)),"")</f>
        <v/>
      </c>
      <c r="K128" s="18"/>
      <c r="L128" s="86"/>
      <c r="M128" s="13"/>
      <c r="N128" s="13"/>
      <c r="O128" s="18"/>
      <c r="P128" s="35"/>
      <c r="Q128" s="21"/>
      <c r="R128" s="21"/>
      <c r="S128" s="13"/>
      <c r="T128" s="12"/>
      <c r="U128" s="12"/>
      <c r="V128" s="12"/>
      <c r="W128" s="14"/>
      <c r="Y128" s="42" t="str">
        <f>IF(AND(C128=Master!$H$1,B128="2012-2013",E128&gt;1000,G128="PLN03"),H128,"")</f>
        <v/>
      </c>
      <c r="Z128" s="42" t="str">
        <f>IF(AND(C128=Master!$H$1,B128="2012-2013",E128="",G128="PLN03"),H128,"")</f>
        <v/>
      </c>
      <c r="AA128" s="42" t="str">
        <f>IF(AND(C128=Master!$H$2,B128="2012-2013",E128&gt;1000,G128="PLN03"),H128,"")</f>
        <v/>
      </c>
      <c r="AB128" s="42" t="str">
        <f>IF(AND(C128=Master!$H$2,B128="2012-2013",E128="",G128="PLN03"),H128,"")</f>
        <v/>
      </c>
      <c r="AC128" s="42" t="str">
        <f>IF(AND(C128=Master!$H$3,B128="2012-2013",E128&gt;1000,G128="PLN03"),H128,"")</f>
        <v/>
      </c>
      <c r="AD128" s="42" t="str">
        <f>IF(AND(C128=Master!$H$3,B128="2012-2013",E128="",G128="PLN03"),H128,"")</f>
        <v/>
      </c>
      <c r="AE128" s="42" t="str">
        <f>IF(AND(C128=Master!$H$4,B128="2012-2013",E128&gt;1000,G128="PLN03"),H128,"")</f>
        <v/>
      </c>
      <c r="AF128" s="42" t="str">
        <f>IF(AND(C128=Master!$H$4,B128="2012-2013",E128="",G128="PLN03"),H128,"")</f>
        <v/>
      </c>
      <c r="AG128" s="42" t="str">
        <f>IF(AND(C128=Master!$H$5,B128="2012-2013",E128&gt;1000,G128="PLN03"),H128,"")</f>
        <v/>
      </c>
      <c r="AH128" s="42" t="str">
        <f>IF(AND(C128=Master!$H$5,B128="2012-2013",E128="",G128="PLN03"),H128,"")</f>
        <v/>
      </c>
      <c r="AI128" s="42" t="str">
        <f>IF(AND(C128=Master!$H$6,B128="2012-2013",E128&gt;1000,G128="PLN03"),H128,"")</f>
        <v/>
      </c>
      <c r="AJ128" s="42" t="str">
        <f>IF(AND(C128=Master!$H$6,B128="2012-2013",E128="",G128="PLN03"),H128,"")</f>
        <v/>
      </c>
      <c r="AK128" s="42" t="str">
        <f>IF(AND(C128=Master!$H$7,B128="2012-2013",E128&gt;1000,G128="PLN03"),H128,"")</f>
        <v/>
      </c>
      <c r="AL128" s="42" t="str">
        <f>IF(AND(C128=Master!$H$7,B128="2012-2013",E128="",G128="PLN03"),H128,"")</f>
        <v/>
      </c>
      <c r="AM128" s="42" t="str">
        <f>IF(AND(C128=Master!$H$8,B128="2012-2013",E128&gt;1000,G128="PLN03"),H128,"")</f>
        <v/>
      </c>
      <c r="AN128" s="42" t="str">
        <f>IF(AND(C128=Master!$H$8,B128="2012-2013",E128="",G128="PLN03"),H128,"")</f>
        <v/>
      </c>
      <c r="AO128" s="42" t="str">
        <f>IF(AND(C128=Master!$H$9,B128="2012-2013",E128&gt;1000,G128="PLN03"),H128,"")</f>
        <v/>
      </c>
      <c r="AP128" s="42" t="str">
        <f>IF(AND(C128=Master!$H$9,B128="2012-2013",E128="",G128="PLN03"),H128,"")</f>
        <v/>
      </c>
      <c r="AQ128" s="44" t="str">
        <f>IF(AND(C128=Master!$H$1,B128="2012-2013",E128&gt;1000,G128="NPN05"),H128,"")</f>
        <v/>
      </c>
      <c r="AR128" s="44" t="str">
        <f>IF(AND(C128=Master!$H$1,B128="2012-2013",E128="",G128="NPN05"),H128,"")</f>
        <v/>
      </c>
      <c r="AS128" s="44" t="str">
        <f>IF(AND(C128=Master!$H$2,B128="2012-2013",E128&gt;1000,G128="NPN05"),H128,"")</f>
        <v/>
      </c>
      <c r="AT128" s="44" t="str">
        <f>IF(AND(C128=Master!$H$2,B128="2012-2013",E128="",G128="NPN05"),H128,"")</f>
        <v/>
      </c>
      <c r="AU128" s="44" t="str">
        <f>IF(AND(C128=Master!$H$3,B128="2012-2013",E128&gt;1000,G128="NPN05"),H128,"")</f>
        <v/>
      </c>
      <c r="AV128" s="44" t="str">
        <f>IF(AND(C128=Master!$H$3,B128="2012-2013",E128="",G128="NPN05"),H128,"")</f>
        <v/>
      </c>
      <c r="AW128" s="44" t="str">
        <f>IF(AND(C128=Master!$H$4,B128="2012-2013",E128&gt;1000,G128="NPN05"),H128,"")</f>
        <v/>
      </c>
      <c r="AX128" s="44" t="str">
        <f>IF(AND(C128=Master!$H$4,B128="2012-2013",E128="",G128="NPN05"),H128,"")</f>
        <v/>
      </c>
      <c r="AY128" s="44" t="str">
        <f>IF(AND(C128=Master!$H$5,B128="2012-2013",E128&gt;1000,G128="NPN05"),H128,"")</f>
        <v/>
      </c>
      <c r="AZ128" s="44" t="str">
        <f>IF(AND(C128=Master!$H$5,B128="2012-2013",E128="",G128="NPN05"),H128,"")</f>
        <v/>
      </c>
      <c r="BA128" s="44" t="str">
        <f>IF(AND(C128=Master!$H$6,B128="2012-2013",E128&gt;1000,G128="NPN05"),H128,"")</f>
        <v/>
      </c>
      <c r="BB128" s="44" t="str">
        <f>IF(AND(C128=Master!$H$6,B128="2012-2013",E128="",G128="NPN05"),H128,"")</f>
        <v/>
      </c>
      <c r="BC128" s="44" t="str">
        <f>IF(AND(C128=Master!$H$7,B128="2012-2013",E128&gt;1000,G128="NPN05"),H128,"")</f>
        <v/>
      </c>
      <c r="BD128" s="44" t="str">
        <f>IF(AND(C128=Master!$H$7,B128="2012-2013",E128="",G128="NPN05"),H128,"")</f>
        <v/>
      </c>
      <c r="BE128" s="44" t="str">
        <f>IF(AND(C128=Master!$H$8,B128="2012-2013",E128&gt;1000,G128="NPN05"),H128,"")</f>
        <v/>
      </c>
      <c r="BF128" s="44" t="str">
        <f>IF(AND(C128=Master!$H$8,B128="2012-2013",E128="",G128="NPN05"),H128,"")</f>
        <v/>
      </c>
      <c r="BG128" s="44" t="str">
        <f>IF(AND(C128=Master!$H$9,B128="2012-2013",E128&gt;1000,G128="NPN05"),H128,"")</f>
        <v/>
      </c>
      <c r="BH128" s="44" t="str">
        <f>IF(AND(C128=Master!$H$9,B128="2012-2013",E128="",G128="NPN05"),H128,"")</f>
        <v/>
      </c>
    </row>
    <row r="129" spans="1:60" x14ac:dyDescent="0.25">
      <c r="A129" s="3">
        <v>127</v>
      </c>
      <c r="B129" s="12"/>
      <c r="C129" s="12"/>
      <c r="D129" s="31"/>
      <c r="E129" s="4"/>
      <c r="F129" s="13"/>
      <c r="G129" s="21"/>
      <c r="H129" s="35"/>
      <c r="I129" s="21"/>
      <c r="J129" s="25" t="str">
        <f>IF(NOT(I129=""),INDEX(Master!$B$1:$B$46,MATCH(I129,Master!$A$1:$A$46,0)),"")</f>
        <v/>
      </c>
      <c r="K129" s="18"/>
      <c r="L129" s="86"/>
      <c r="M129" s="13"/>
      <c r="N129" s="13"/>
      <c r="O129" s="18"/>
      <c r="P129" s="35"/>
      <c r="Q129" s="21"/>
      <c r="R129" s="21"/>
      <c r="S129" s="13"/>
      <c r="T129" s="12"/>
      <c r="U129" s="12"/>
      <c r="V129" s="12"/>
      <c r="W129" s="14"/>
      <c r="Y129" s="42" t="str">
        <f>IF(AND(C129=Master!$H$1,B129="2012-2013",E129&gt;1000,G129="PLN03"),H129,"")</f>
        <v/>
      </c>
      <c r="Z129" s="42" t="str">
        <f>IF(AND(C129=Master!$H$1,B129="2012-2013",E129="",G129="PLN03"),H129,"")</f>
        <v/>
      </c>
      <c r="AA129" s="42" t="str">
        <f>IF(AND(C129=Master!$H$2,B129="2012-2013",E129&gt;1000,G129="PLN03"),H129,"")</f>
        <v/>
      </c>
      <c r="AB129" s="42" t="str">
        <f>IF(AND(C129=Master!$H$2,B129="2012-2013",E129="",G129="PLN03"),H129,"")</f>
        <v/>
      </c>
      <c r="AC129" s="42" t="str">
        <f>IF(AND(C129=Master!$H$3,B129="2012-2013",E129&gt;1000,G129="PLN03"),H129,"")</f>
        <v/>
      </c>
      <c r="AD129" s="42" t="str">
        <f>IF(AND(C129=Master!$H$3,B129="2012-2013",E129="",G129="PLN03"),H129,"")</f>
        <v/>
      </c>
      <c r="AE129" s="42" t="str">
        <f>IF(AND(C129=Master!$H$4,B129="2012-2013",E129&gt;1000,G129="PLN03"),H129,"")</f>
        <v/>
      </c>
      <c r="AF129" s="42" t="str">
        <f>IF(AND(C129=Master!$H$4,B129="2012-2013",E129="",G129="PLN03"),H129,"")</f>
        <v/>
      </c>
      <c r="AG129" s="42" t="str">
        <f>IF(AND(C129=Master!$H$5,B129="2012-2013",E129&gt;1000,G129="PLN03"),H129,"")</f>
        <v/>
      </c>
      <c r="AH129" s="42" t="str">
        <f>IF(AND(C129=Master!$H$5,B129="2012-2013",E129="",G129="PLN03"),H129,"")</f>
        <v/>
      </c>
      <c r="AI129" s="42" t="str">
        <f>IF(AND(C129=Master!$H$6,B129="2012-2013",E129&gt;1000,G129="PLN03"),H129,"")</f>
        <v/>
      </c>
      <c r="AJ129" s="42" t="str">
        <f>IF(AND(C129=Master!$H$6,B129="2012-2013",E129="",G129="PLN03"),H129,"")</f>
        <v/>
      </c>
      <c r="AK129" s="42" t="str">
        <f>IF(AND(C129=Master!$H$7,B129="2012-2013",E129&gt;1000,G129="PLN03"),H129,"")</f>
        <v/>
      </c>
      <c r="AL129" s="42" t="str">
        <f>IF(AND(C129=Master!$H$7,B129="2012-2013",E129="",G129="PLN03"),H129,"")</f>
        <v/>
      </c>
      <c r="AM129" s="42" t="str">
        <f>IF(AND(C129=Master!$H$8,B129="2012-2013",E129&gt;1000,G129="PLN03"),H129,"")</f>
        <v/>
      </c>
      <c r="AN129" s="42" t="str">
        <f>IF(AND(C129=Master!$H$8,B129="2012-2013",E129="",G129="PLN03"),H129,"")</f>
        <v/>
      </c>
      <c r="AO129" s="42" t="str">
        <f>IF(AND(C129=Master!$H$9,B129="2012-2013",E129&gt;1000,G129="PLN03"),H129,"")</f>
        <v/>
      </c>
      <c r="AP129" s="42" t="str">
        <f>IF(AND(C129=Master!$H$9,B129="2012-2013",E129="",G129="PLN03"),H129,"")</f>
        <v/>
      </c>
      <c r="AQ129" s="44" t="str">
        <f>IF(AND(C129=Master!$H$1,B129="2012-2013",E129&gt;1000,G129="NPN05"),H129,"")</f>
        <v/>
      </c>
      <c r="AR129" s="44" t="str">
        <f>IF(AND(C129=Master!$H$1,B129="2012-2013",E129="",G129="NPN05"),H129,"")</f>
        <v/>
      </c>
      <c r="AS129" s="44" t="str">
        <f>IF(AND(C129=Master!$H$2,B129="2012-2013",E129&gt;1000,G129="NPN05"),H129,"")</f>
        <v/>
      </c>
      <c r="AT129" s="44" t="str">
        <f>IF(AND(C129=Master!$H$2,B129="2012-2013",E129="",G129="NPN05"),H129,"")</f>
        <v/>
      </c>
      <c r="AU129" s="44" t="str">
        <f>IF(AND(C129=Master!$H$3,B129="2012-2013",E129&gt;1000,G129="NPN05"),H129,"")</f>
        <v/>
      </c>
      <c r="AV129" s="44" t="str">
        <f>IF(AND(C129=Master!$H$3,B129="2012-2013",E129="",G129="NPN05"),H129,"")</f>
        <v/>
      </c>
      <c r="AW129" s="44" t="str">
        <f>IF(AND(C129=Master!$H$4,B129="2012-2013",E129&gt;1000,G129="NPN05"),H129,"")</f>
        <v/>
      </c>
      <c r="AX129" s="44" t="str">
        <f>IF(AND(C129=Master!$H$4,B129="2012-2013",E129="",G129="NPN05"),H129,"")</f>
        <v/>
      </c>
      <c r="AY129" s="44" t="str">
        <f>IF(AND(C129=Master!$H$5,B129="2012-2013",E129&gt;1000,G129="NPN05"),H129,"")</f>
        <v/>
      </c>
      <c r="AZ129" s="44" t="str">
        <f>IF(AND(C129=Master!$H$5,B129="2012-2013",E129="",G129="NPN05"),H129,"")</f>
        <v/>
      </c>
      <c r="BA129" s="44" t="str">
        <f>IF(AND(C129=Master!$H$6,B129="2012-2013",E129&gt;1000,G129="NPN05"),H129,"")</f>
        <v/>
      </c>
      <c r="BB129" s="44" t="str">
        <f>IF(AND(C129=Master!$H$6,B129="2012-2013",E129="",G129="NPN05"),H129,"")</f>
        <v/>
      </c>
      <c r="BC129" s="44" t="str">
        <f>IF(AND(C129=Master!$H$7,B129="2012-2013",E129&gt;1000,G129="NPN05"),H129,"")</f>
        <v/>
      </c>
      <c r="BD129" s="44" t="str">
        <f>IF(AND(C129=Master!$H$7,B129="2012-2013",E129="",G129="NPN05"),H129,"")</f>
        <v/>
      </c>
      <c r="BE129" s="44" t="str">
        <f>IF(AND(C129=Master!$H$8,B129="2012-2013",E129&gt;1000,G129="NPN05"),H129,"")</f>
        <v/>
      </c>
      <c r="BF129" s="44" t="str">
        <f>IF(AND(C129=Master!$H$8,B129="2012-2013",E129="",G129="NPN05"),H129,"")</f>
        <v/>
      </c>
      <c r="BG129" s="44" t="str">
        <f>IF(AND(C129=Master!$H$9,B129="2012-2013",E129&gt;1000,G129="NPN05"),H129,"")</f>
        <v/>
      </c>
      <c r="BH129" s="44" t="str">
        <f>IF(AND(C129=Master!$H$9,B129="2012-2013",E129="",G129="NPN05"),H129,"")</f>
        <v/>
      </c>
    </row>
    <row r="130" spans="1:60" x14ac:dyDescent="0.25">
      <c r="A130" s="5">
        <v>128</v>
      </c>
      <c r="B130" s="12"/>
      <c r="C130" s="12"/>
      <c r="D130" s="31"/>
      <c r="E130" s="4"/>
      <c r="F130" s="13"/>
      <c r="G130" s="21"/>
      <c r="H130" s="35"/>
      <c r="I130" s="21"/>
      <c r="J130" s="25" t="str">
        <f>IF(NOT(I130=""),INDEX(Master!$B$1:$B$46,MATCH(I130,Master!$A$1:$A$46,0)),"")</f>
        <v/>
      </c>
      <c r="K130" s="18"/>
      <c r="L130" s="86"/>
      <c r="M130" s="13"/>
      <c r="N130" s="13"/>
      <c r="O130" s="18"/>
      <c r="P130" s="35"/>
      <c r="Q130" s="21"/>
      <c r="R130" s="21"/>
      <c r="S130" s="13"/>
      <c r="T130" s="12"/>
      <c r="U130" s="12"/>
      <c r="V130" s="12"/>
      <c r="W130" s="14"/>
      <c r="Y130" s="42" t="str">
        <f>IF(AND(C130=Master!$H$1,B130="2012-2013",E130&gt;1000,G130="PLN03"),H130,"")</f>
        <v/>
      </c>
      <c r="Z130" s="42" t="str">
        <f>IF(AND(C130=Master!$H$1,B130="2012-2013",E130="",G130="PLN03"),H130,"")</f>
        <v/>
      </c>
      <c r="AA130" s="42" t="str">
        <f>IF(AND(C130=Master!$H$2,B130="2012-2013",E130&gt;1000,G130="PLN03"),H130,"")</f>
        <v/>
      </c>
      <c r="AB130" s="42" t="str">
        <f>IF(AND(C130=Master!$H$2,B130="2012-2013",E130="",G130="PLN03"),H130,"")</f>
        <v/>
      </c>
      <c r="AC130" s="42" t="str">
        <f>IF(AND(C130=Master!$H$3,B130="2012-2013",E130&gt;1000,G130="PLN03"),H130,"")</f>
        <v/>
      </c>
      <c r="AD130" s="42" t="str">
        <f>IF(AND(C130=Master!$H$3,B130="2012-2013",E130="",G130="PLN03"),H130,"")</f>
        <v/>
      </c>
      <c r="AE130" s="42" t="str">
        <f>IF(AND(C130=Master!$H$4,B130="2012-2013",E130&gt;1000,G130="PLN03"),H130,"")</f>
        <v/>
      </c>
      <c r="AF130" s="42" t="str">
        <f>IF(AND(C130=Master!$H$4,B130="2012-2013",E130="",G130="PLN03"),H130,"")</f>
        <v/>
      </c>
      <c r="AG130" s="42" t="str">
        <f>IF(AND(C130=Master!$H$5,B130="2012-2013",E130&gt;1000,G130="PLN03"),H130,"")</f>
        <v/>
      </c>
      <c r="AH130" s="42" t="str">
        <f>IF(AND(C130=Master!$H$5,B130="2012-2013",E130="",G130="PLN03"),H130,"")</f>
        <v/>
      </c>
      <c r="AI130" s="42" t="str">
        <f>IF(AND(C130=Master!$H$6,B130="2012-2013",E130&gt;1000,G130="PLN03"),H130,"")</f>
        <v/>
      </c>
      <c r="AJ130" s="42" t="str">
        <f>IF(AND(C130=Master!$H$6,B130="2012-2013",E130="",G130="PLN03"),H130,"")</f>
        <v/>
      </c>
      <c r="AK130" s="42" t="str">
        <f>IF(AND(C130=Master!$H$7,B130="2012-2013",E130&gt;1000,G130="PLN03"),H130,"")</f>
        <v/>
      </c>
      <c r="AL130" s="42" t="str">
        <f>IF(AND(C130=Master!$H$7,B130="2012-2013",E130="",G130="PLN03"),H130,"")</f>
        <v/>
      </c>
      <c r="AM130" s="42" t="str">
        <f>IF(AND(C130=Master!$H$8,B130="2012-2013",E130&gt;1000,G130="PLN03"),H130,"")</f>
        <v/>
      </c>
      <c r="AN130" s="42" t="str">
        <f>IF(AND(C130=Master!$H$8,B130="2012-2013",E130="",G130="PLN03"),H130,"")</f>
        <v/>
      </c>
      <c r="AO130" s="42" t="str">
        <f>IF(AND(C130=Master!$H$9,B130="2012-2013",E130&gt;1000,G130="PLN03"),H130,"")</f>
        <v/>
      </c>
      <c r="AP130" s="42" t="str">
        <f>IF(AND(C130=Master!$H$9,B130="2012-2013",E130="",G130="PLN03"),H130,"")</f>
        <v/>
      </c>
      <c r="AQ130" s="44" t="str">
        <f>IF(AND(C130=Master!$H$1,B130="2012-2013",E130&gt;1000,G130="NPN05"),H130,"")</f>
        <v/>
      </c>
      <c r="AR130" s="44" t="str">
        <f>IF(AND(C130=Master!$H$1,B130="2012-2013",E130="",G130="NPN05"),H130,"")</f>
        <v/>
      </c>
      <c r="AS130" s="44" t="str">
        <f>IF(AND(C130=Master!$H$2,B130="2012-2013",E130&gt;1000,G130="NPN05"),H130,"")</f>
        <v/>
      </c>
      <c r="AT130" s="44" t="str">
        <f>IF(AND(C130=Master!$H$2,B130="2012-2013",E130="",G130="NPN05"),H130,"")</f>
        <v/>
      </c>
      <c r="AU130" s="44" t="str">
        <f>IF(AND(C130=Master!$H$3,B130="2012-2013",E130&gt;1000,G130="NPN05"),H130,"")</f>
        <v/>
      </c>
      <c r="AV130" s="44" t="str">
        <f>IF(AND(C130=Master!$H$3,B130="2012-2013",E130="",G130="NPN05"),H130,"")</f>
        <v/>
      </c>
      <c r="AW130" s="44" t="str">
        <f>IF(AND(C130=Master!$H$4,B130="2012-2013",E130&gt;1000,G130="NPN05"),H130,"")</f>
        <v/>
      </c>
      <c r="AX130" s="44" t="str">
        <f>IF(AND(C130=Master!$H$4,B130="2012-2013",E130="",G130="NPN05"),H130,"")</f>
        <v/>
      </c>
      <c r="AY130" s="44" t="str">
        <f>IF(AND(C130=Master!$H$5,B130="2012-2013",E130&gt;1000,G130="NPN05"),H130,"")</f>
        <v/>
      </c>
      <c r="AZ130" s="44" t="str">
        <f>IF(AND(C130=Master!$H$5,B130="2012-2013",E130="",G130="NPN05"),H130,"")</f>
        <v/>
      </c>
      <c r="BA130" s="44" t="str">
        <f>IF(AND(C130=Master!$H$6,B130="2012-2013",E130&gt;1000,G130="NPN05"),H130,"")</f>
        <v/>
      </c>
      <c r="BB130" s="44" t="str">
        <f>IF(AND(C130=Master!$H$6,B130="2012-2013",E130="",G130="NPN05"),H130,"")</f>
        <v/>
      </c>
      <c r="BC130" s="44" t="str">
        <f>IF(AND(C130=Master!$H$7,B130="2012-2013",E130&gt;1000,G130="NPN05"),H130,"")</f>
        <v/>
      </c>
      <c r="BD130" s="44" t="str">
        <f>IF(AND(C130=Master!$H$7,B130="2012-2013",E130="",G130="NPN05"),H130,"")</f>
        <v/>
      </c>
      <c r="BE130" s="44" t="str">
        <f>IF(AND(C130=Master!$H$8,B130="2012-2013",E130&gt;1000,G130="NPN05"),H130,"")</f>
        <v/>
      </c>
      <c r="BF130" s="44" t="str">
        <f>IF(AND(C130=Master!$H$8,B130="2012-2013",E130="",G130="NPN05"),H130,"")</f>
        <v/>
      </c>
      <c r="BG130" s="44" t="str">
        <f>IF(AND(C130=Master!$H$9,B130="2012-2013",E130&gt;1000,G130="NPN05"),H130,"")</f>
        <v/>
      </c>
      <c r="BH130" s="44" t="str">
        <f>IF(AND(C130=Master!$H$9,B130="2012-2013",E130="",G130="NPN05"),H130,"")</f>
        <v/>
      </c>
    </row>
    <row r="131" spans="1:60" x14ac:dyDescent="0.25">
      <c r="A131" s="3">
        <v>129</v>
      </c>
      <c r="B131" s="12"/>
      <c r="C131" s="12"/>
      <c r="D131" s="31"/>
      <c r="E131" s="4"/>
      <c r="F131" s="13"/>
      <c r="G131" s="21"/>
      <c r="H131" s="35"/>
      <c r="I131" s="21"/>
      <c r="J131" s="25" t="str">
        <f>IF(NOT(I131=""),INDEX(Master!$B$1:$B$46,MATCH(I131,Master!$A$1:$A$46,0)),"")</f>
        <v/>
      </c>
      <c r="K131" s="18"/>
      <c r="L131" s="86"/>
      <c r="M131" s="13"/>
      <c r="N131" s="13"/>
      <c r="O131" s="18"/>
      <c r="P131" s="35"/>
      <c r="Q131" s="21"/>
      <c r="R131" s="21"/>
      <c r="S131" s="13"/>
      <c r="T131" s="12"/>
      <c r="U131" s="12"/>
      <c r="V131" s="12"/>
      <c r="W131" s="14"/>
      <c r="Y131" s="42" t="str">
        <f>IF(AND(C131=Master!$H$1,B131="2012-2013",E131&gt;1000,G131="PLN03"),H131,"")</f>
        <v/>
      </c>
      <c r="Z131" s="42" t="str">
        <f>IF(AND(C131=Master!$H$1,B131="2012-2013",E131="",G131="PLN03"),H131,"")</f>
        <v/>
      </c>
      <c r="AA131" s="42" t="str">
        <f>IF(AND(C131=Master!$H$2,B131="2012-2013",E131&gt;1000,G131="PLN03"),H131,"")</f>
        <v/>
      </c>
      <c r="AB131" s="42" t="str">
        <f>IF(AND(C131=Master!$H$2,B131="2012-2013",E131="",G131="PLN03"),H131,"")</f>
        <v/>
      </c>
      <c r="AC131" s="42" t="str">
        <f>IF(AND(C131=Master!$H$3,B131="2012-2013",E131&gt;1000,G131="PLN03"),H131,"")</f>
        <v/>
      </c>
      <c r="AD131" s="42" t="str">
        <f>IF(AND(C131=Master!$H$3,B131="2012-2013",E131="",G131="PLN03"),H131,"")</f>
        <v/>
      </c>
      <c r="AE131" s="42" t="str">
        <f>IF(AND(C131=Master!$H$4,B131="2012-2013",E131&gt;1000,G131="PLN03"),H131,"")</f>
        <v/>
      </c>
      <c r="AF131" s="42" t="str">
        <f>IF(AND(C131=Master!$H$4,B131="2012-2013",E131="",G131="PLN03"),H131,"")</f>
        <v/>
      </c>
      <c r="AG131" s="42" t="str">
        <f>IF(AND(C131=Master!$H$5,B131="2012-2013",E131&gt;1000,G131="PLN03"),H131,"")</f>
        <v/>
      </c>
      <c r="AH131" s="42" t="str">
        <f>IF(AND(C131=Master!$H$5,B131="2012-2013",E131="",G131="PLN03"),H131,"")</f>
        <v/>
      </c>
      <c r="AI131" s="42" t="str">
        <f>IF(AND(C131=Master!$H$6,B131="2012-2013",E131&gt;1000,G131="PLN03"),H131,"")</f>
        <v/>
      </c>
      <c r="AJ131" s="42" t="str">
        <f>IF(AND(C131=Master!$H$6,B131="2012-2013",E131="",G131="PLN03"),H131,"")</f>
        <v/>
      </c>
      <c r="AK131" s="42" t="str">
        <f>IF(AND(C131=Master!$H$7,B131="2012-2013",E131&gt;1000,G131="PLN03"),H131,"")</f>
        <v/>
      </c>
      <c r="AL131" s="42" t="str">
        <f>IF(AND(C131=Master!$H$7,B131="2012-2013",E131="",G131="PLN03"),H131,"")</f>
        <v/>
      </c>
      <c r="AM131" s="42" t="str">
        <f>IF(AND(C131=Master!$H$8,B131="2012-2013",E131&gt;1000,G131="PLN03"),H131,"")</f>
        <v/>
      </c>
      <c r="AN131" s="42" t="str">
        <f>IF(AND(C131=Master!$H$8,B131="2012-2013",E131="",G131="PLN03"),H131,"")</f>
        <v/>
      </c>
      <c r="AO131" s="42" t="str">
        <f>IF(AND(C131=Master!$H$9,B131="2012-2013",E131&gt;1000,G131="PLN03"),H131,"")</f>
        <v/>
      </c>
      <c r="AP131" s="42" t="str">
        <f>IF(AND(C131=Master!$H$9,B131="2012-2013",E131="",G131="PLN03"),H131,"")</f>
        <v/>
      </c>
      <c r="AQ131" s="44" t="str">
        <f>IF(AND(C131=Master!$H$1,B131="2012-2013",E131&gt;1000,G131="NPN05"),H131,"")</f>
        <v/>
      </c>
      <c r="AR131" s="44" t="str">
        <f>IF(AND(C131=Master!$H$1,B131="2012-2013",E131="",G131="NPN05"),H131,"")</f>
        <v/>
      </c>
      <c r="AS131" s="44" t="str">
        <f>IF(AND(C131=Master!$H$2,B131="2012-2013",E131&gt;1000,G131="NPN05"),H131,"")</f>
        <v/>
      </c>
      <c r="AT131" s="44" t="str">
        <f>IF(AND(C131=Master!$H$2,B131="2012-2013",E131="",G131="NPN05"),H131,"")</f>
        <v/>
      </c>
      <c r="AU131" s="44" t="str">
        <f>IF(AND(C131=Master!$H$3,B131="2012-2013",E131&gt;1000,G131="NPN05"),H131,"")</f>
        <v/>
      </c>
      <c r="AV131" s="44" t="str">
        <f>IF(AND(C131=Master!$H$3,B131="2012-2013",E131="",G131="NPN05"),H131,"")</f>
        <v/>
      </c>
      <c r="AW131" s="44" t="str">
        <f>IF(AND(C131=Master!$H$4,B131="2012-2013",E131&gt;1000,G131="NPN05"),H131,"")</f>
        <v/>
      </c>
      <c r="AX131" s="44" t="str">
        <f>IF(AND(C131=Master!$H$4,B131="2012-2013",E131="",G131="NPN05"),H131,"")</f>
        <v/>
      </c>
      <c r="AY131" s="44" t="str">
        <f>IF(AND(C131=Master!$H$5,B131="2012-2013",E131&gt;1000,G131="NPN05"),H131,"")</f>
        <v/>
      </c>
      <c r="AZ131" s="44" t="str">
        <f>IF(AND(C131=Master!$H$5,B131="2012-2013",E131="",G131="NPN05"),H131,"")</f>
        <v/>
      </c>
      <c r="BA131" s="44" t="str">
        <f>IF(AND(C131=Master!$H$6,B131="2012-2013",E131&gt;1000,G131="NPN05"),H131,"")</f>
        <v/>
      </c>
      <c r="BB131" s="44" t="str">
        <f>IF(AND(C131=Master!$H$6,B131="2012-2013",E131="",G131="NPN05"),H131,"")</f>
        <v/>
      </c>
      <c r="BC131" s="44" t="str">
        <f>IF(AND(C131=Master!$H$7,B131="2012-2013",E131&gt;1000,G131="NPN05"),H131,"")</f>
        <v/>
      </c>
      <c r="BD131" s="44" t="str">
        <f>IF(AND(C131=Master!$H$7,B131="2012-2013",E131="",G131="NPN05"),H131,"")</f>
        <v/>
      </c>
      <c r="BE131" s="44" t="str">
        <f>IF(AND(C131=Master!$H$8,B131="2012-2013",E131&gt;1000,G131="NPN05"),H131,"")</f>
        <v/>
      </c>
      <c r="BF131" s="44" t="str">
        <f>IF(AND(C131=Master!$H$8,B131="2012-2013",E131="",G131="NPN05"),H131,"")</f>
        <v/>
      </c>
      <c r="BG131" s="44" t="str">
        <f>IF(AND(C131=Master!$H$9,B131="2012-2013",E131&gt;1000,G131="NPN05"),H131,"")</f>
        <v/>
      </c>
      <c r="BH131" s="44" t="str">
        <f>IF(AND(C131=Master!$H$9,B131="2012-2013",E131="",G131="NPN05"),H131,"")</f>
        <v/>
      </c>
    </row>
    <row r="132" spans="1:60" x14ac:dyDescent="0.25">
      <c r="A132" s="3">
        <v>130</v>
      </c>
      <c r="B132" s="12"/>
      <c r="C132" s="12"/>
      <c r="D132" s="31"/>
      <c r="E132" s="4"/>
      <c r="F132" s="13"/>
      <c r="G132" s="21"/>
      <c r="H132" s="35"/>
      <c r="I132" s="21"/>
      <c r="J132" s="25" t="str">
        <f>IF(NOT(I132=""),INDEX(Master!$B$1:$B$46,MATCH(I132,Master!$A$1:$A$46,0)),"")</f>
        <v/>
      </c>
      <c r="K132" s="18"/>
      <c r="L132" s="86"/>
      <c r="M132" s="13"/>
      <c r="N132" s="13"/>
      <c r="O132" s="18"/>
      <c r="P132" s="35"/>
      <c r="Q132" s="21"/>
      <c r="R132" s="21"/>
      <c r="S132" s="13"/>
      <c r="T132" s="12"/>
      <c r="U132" s="12"/>
      <c r="V132" s="12"/>
      <c r="W132" s="14"/>
      <c r="Y132" s="42" t="str">
        <f>IF(AND(C132=Master!$H$1,B132="2012-2013",E132&gt;1000,G132="PLN03"),H132,"")</f>
        <v/>
      </c>
      <c r="Z132" s="42" t="str">
        <f>IF(AND(C132=Master!$H$1,B132="2012-2013",E132="",G132="PLN03"),H132,"")</f>
        <v/>
      </c>
      <c r="AA132" s="42" t="str">
        <f>IF(AND(C132=Master!$H$2,B132="2012-2013",E132&gt;1000,G132="PLN03"),H132,"")</f>
        <v/>
      </c>
      <c r="AB132" s="42" t="str">
        <f>IF(AND(C132=Master!$H$2,B132="2012-2013",E132="",G132="PLN03"),H132,"")</f>
        <v/>
      </c>
      <c r="AC132" s="42" t="str">
        <f>IF(AND(C132=Master!$H$3,B132="2012-2013",E132&gt;1000,G132="PLN03"),H132,"")</f>
        <v/>
      </c>
      <c r="AD132" s="42" t="str">
        <f>IF(AND(C132=Master!$H$3,B132="2012-2013",E132="",G132="PLN03"),H132,"")</f>
        <v/>
      </c>
      <c r="AE132" s="42" t="str">
        <f>IF(AND(C132=Master!$H$4,B132="2012-2013",E132&gt;1000,G132="PLN03"),H132,"")</f>
        <v/>
      </c>
      <c r="AF132" s="42" t="str">
        <f>IF(AND(C132=Master!$H$4,B132="2012-2013",E132="",G132="PLN03"),H132,"")</f>
        <v/>
      </c>
      <c r="AG132" s="42" t="str">
        <f>IF(AND(C132=Master!$H$5,B132="2012-2013",E132&gt;1000,G132="PLN03"),H132,"")</f>
        <v/>
      </c>
      <c r="AH132" s="42" t="str">
        <f>IF(AND(C132=Master!$H$5,B132="2012-2013",E132="",G132="PLN03"),H132,"")</f>
        <v/>
      </c>
      <c r="AI132" s="42" t="str">
        <f>IF(AND(C132=Master!$H$6,B132="2012-2013",E132&gt;1000,G132="PLN03"),H132,"")</f>
        <v/>
      </c>
      <c r="AJ132" s="42" t="str">
        <f>IF(AND(C132=Master!$H$6,B132="2012-2013",E132="",G132="PLN03"),H132,"")</f>
        <v/>
      </c>
      <c r="AK132" s="42" t="str">
        <f>IF(AND(C132=Master!$H$7,B132="2012-2013",E132&gt;1000,G132="PLN03"),H132,"")</f>
        <v/>
      </c>
      <c r="AL132" s="42" t="str">
        <f>IF(AND(C132=Master!$H$7,B132="2012-2013",E132="",G132="PLN03"),H132,"")</f>
        <v/>
      </c>
      <c r="AM132" s="42" t="str">
        <f>IF(AND(C132=Master!$H$8,B132="2012-2013",E132&gt;1000,G132="PLN03"),H132,"")</f>
        <v/>
      </c>
      <c r="AN132" s="42" t="str">
        <f>IF(AND(C132=Master!$H$8,B132="2012-2013",E132="",G132="PLN03"),H132,"")</f>
        <v/>
      </c>
      <c r="AO132" s="42" t="str">
        <f>IF(AND(C132=Master!$H$9,B132="2012-2013",E132&gt;1000,G132="PLN03"),H132,"")</f>
        <v/>
      </c>
      <c r="AP132" s="42" t="str">
        <f>IF(AND(C132=Master!$H$9,B132="2012-2013",E132="",G132="PLN03"),H132,"")</f>
        <v/>
      </c>
      <c r="AQ132" s="44" t="str">
        <f>IF(AND(C132=Master!$H$1,B132="2012-2013",E132&gt;1000,G132="NPN05"),H132,"")</f>
        <v/>
      </c>
      <c r="AR132" s="44" t="str">
        <f>IF(AND(C132=Master!$H$1,B132="2012-2013",E132="",G132="NPN05"),H132,"")</f>
        <v/>
      </c>
      <c r="AS132" s="44" t="str">
        <f>IF(AND(C132=Master!$H$2,B132="2012-2013",E132&gt;1000,G132="NPN05"),H132,"")</f>
        <v/>
      </c>
      <c r="AT132" s="44" t="str">
        <f>IF(AND(C132=Master!$H$2,B132="2012-2013",E132="",G132="NPN05"),H132,"")</f>
        <v/>
      </c>
      <c r="AU132" s="44" t="str">
        <f>IF(AND(C132=Master!$H$3,B132="2012-2013",E132&gt;1000,G132="NPN05"),H132,"")</f>
        <v/>
      </c>
      <c r="AV132" s="44" t="str">
        <f>IF(AND(C132=Master!$H$3,B132="2012-2013",E132="",G132="NPN05"),H132,"")</f>
        <v/>
      </c>
      <c r="AW132" s="44" t="str">
        <f>IF(AND(C132=Master!$H$4,B132="2012-2013",E132&gt;1000,G132="NPN05"),H132,"")</f>
        <v/>
      </c>
      <c r="AX132" s="44" t="str">
        <f>IF(AND(C132=Master!$H$4,B132="2012-2013",E132="",G132="NPN05"),H132,"")</f>
        <v/>
      </c>
      <c r="AY132" s="44" t="str">
        <f>IF(AND(C132=Master!$H$5,B132="2012-2013",E132&gt;1000,G132="NPN05"),H132,"")</f>
        <v/>
      </c>
      <c r="AZ132" s="44" t="str">
        <f>IF(AND(C132=Master!$H$5,B132="2012-2013",E132="",G132="NPN05"),H132,"")</f>
        <v/>
      </c>
      <c r="BA132" s="44" t="str">
        <f>IF(AND(C132=Master!$H$6,B132="2012-2013",E132&gt;1000,G132="NPN05"),H132,"")</f>
        <v/>
      </c>
      <c r="BB132" s="44" t="str">
        <f>IF(AND(C132=Master!$H$6,B132="2012-2013",E132="",G132="NPN05"),H132,"")</f>
        <v/>
      </c>
      <c r="BC132" s="44" t="str">
        <f>IF(AND(C132=Master!$H$7,B132="2012-2013",E132&gt;1000,G132="NPN05"),H132,"")</f>
        <v/>
      </c>
      <c r="BD132" s="44" t="str">
        <f>IF(AND(C132=Master!$H$7,B132="2012-2013",E132="",G132="NPN05"),H132,"")</f>
        <v/>
      </c>
      <c r="BE132" s="44" t="str">
        <f>IF(AND(C132=Master!$H$8,B132="2012-2013",E132&gt;1000,G132="NPN05"),H132,"")</f>
        <v/>
      </c>
      <c r="BF132" s="44" t="str">
        <f>IF(AND(C132=Master!$H$8,B132="2012-2013",E132="",G132="NPN05"),H132,"")</f>
        <v/>
      </c>
      <c r="BG132" s="44" t="str">
        <f>IF(AND(C132=Master!$H$9,B132="2012-2013",E132&gt;1000,G132="NPN05"),H132,"")</f>
        <v/>
      </c>
      <c r="BH132" s="44" t="str">
        <f>IF(AND(C132=Master!$H$9,B132="2012-2013",E132="",G132="NPN05"),H132,"")</f>
        <v/>
      </c>
    </row>
    <row r="133" spans="1:60" x14ac:dyDescent="0.25">
      <c r="A133" s="3">
        <v>131</v>
      </c>
      <c r="B133" s="12"/>
      <c r="C133" s="12"/>
      <c r="D133" s="31"/>
      <c r="E133" s="4"/>
      <c r="F133" s="13"/>
      <c r="G133" s="21"/>
      <c r="H133" s="35"/>
      <c r="I133" s="21"/>
      <c r="J133" s="25" t="str">
        <f>IF(NOT(I133=""),INDEX(Master!$B$1:$B$46,MATCH(I133,Master!$A$1:$A$46,0)),"")</f>
        <v/>
      </c>
      <c r="K133" s="18"/>
      <c r="L133" s="86"/>
      <c r="M133" s="13"/>
      <c r="N133" s="13"/>
      <c r="O133" s="18"/>
      <c r="P133" s="35"/>
      <c r="Q133" s="21"/>
      <c r="R133" s="21"/>
      <c r="S133" s="13"/>
      <c r="T133" s="12"/>
      <c r="U133" s="12"/>
      <c r="V133" s="12"/>
      <c r="W133" s="14"/>
      <c r="Y133" s="42" t="str">
        <f>IF(AND(C133=Master!$H$1,B133="2012-2013",E133&gt;1000,G133="PLN03"),H133,"")</f>
        <v/>
      </c>
      <c r="Z133" s="42" t="str">
        <f>IF(AND(C133=Master!$H$1,B133="2012-2013",E133="",G133="PLN03"),H133,"")</f>
        <v/>
      </c>
      <c r="AA133" s="42" t="str">
        <f>IF(AND(C133=Master!$H$2,B133="2012-2013",E133&gt;1000,G133="PLN03"),H133,"")</f>
        <v/>
      </c>
      <c r="AB133" s="42" t="str">
        <f>IF(AND(C133=Master!$H$2,B133="2012-2013",E133="",G133="PLN03"),H133,"")</f>
        <v/>
      </c>
      <c r="AC133" s="42" t="str">
        <f>IF(AND(C133=Master!$H$3,B133="2012-2013",E133&gt;1000,G133="PLN03"),H133,"")</f>
        <v/>
      </c>
      <c r="AD133" s="42" t="str">
        <f>IF(AND(C133=Master!$H$3,B133="2012-2013",E133="",G133="PLN03"),H133,"")</f>
        <v/>
      </c>
      <c r="AE133" s="42" t="str">
        <f>IF(AND(C133=Master!$H$4,B133="2012-2013",E133&gt;1000,G133="PLN03"),H133,"")</f>
        <v/>
      </c>
      <c r="AF133" s="42" t="str">
        <f>IF(AND(C133=Master!$H$4,B133="2012-2013",E133="",G133="PLN03"),H133,"")</f>
        <v/>
      </c>
      <c r="AG133" s="42" t="str">
        <f>IF(AND(C133=Master!$H$5,B133="2012-2013",E133&gt;1000,G133="PLN03"),H133,"")</f>
        <v/>
      </c>
      <c r="AH133" s="42" t="str">
        <f>IF(AND(C133=Master!$H$5,B133="2012-2013",E133="",G133="PLN03"),H133,"")</f>
        <v/>
      </c>
      <c r="AI133" s="42" t="str">
        <f>IF(AND(C133=Master!$H$6,B133="2012-2013",E133&gt;1000,G133="PLN03"),H133,"")</f>
        <v/>
      </c>
      <c r="AJ133" s="42" t="str">
        <f>IF(AND(C133=Master!$H$6,B133="2012-2013",E133="",G133="PLN03"),H133,"")</f>
        <v/>
      </c>
      <c r="AK133" s="42" t="str">
        <f>IF(AND(C133=Master!$H$7,B133="2012-2013",E133&gt;1000,G133="PLN03"),H133,"")</f>
        <v/>
      </c>
      <c r="AL133" s="42" t="str">
        <f>IF(AND(C133=Master!$H$7,B133="2012-2013",E133="",G133="PLN03"),H133,"")</f>
        <v/>
      </c>
      <c r="AM133" s="42" t="str">
        <f>IF(AND(C133=Master!$H$8,B133="2012-2013",E133&gt;1000,G133="PLN03"),H133,"")</f>
        <v/>
      </c>
      <c r="AN133" s="42" t="str">
        <f>IF(AND(C133=Master!$H$8,B133="2012-2013",E133="",G133="PLN03"),H133,"")</f>
        <v/>
      </c>
      <c r="AO133" s="42" t="str">
        <f>IF(AND(C133=Master!$H$9,B133="2012-2013",E133&gt;1000,G133="PLN03"),H133,"")</f>
        <v/>
      </c>
      <c r="AP133" s="42" t="str">
        <f>IF(AND(C133=Master!$H$9,B133="2012-2013",E133="",G133="PLN03"),H133,"")</f>
        <v/>
      </c>
      <c r="AQ133" s="44" t="str">
        <f>IF(AND(C133=Master!$H$1,B133="2012-2013",E133&gt;1000,G133="NPN05"),H133,"")</f>
        <v/>
      </c>
      <c r="AR133" s="44" t="str">
        <f>IF(AND(C133=Master!$H$1,B133="2012-2013",E133="",G133="NPN05"),H133,"")</f>
        <v/>
      </c>
      <c r="AS133" s="44" t="str">
        <f>IF(AND(C133=Master!$H$2,B133="2012-2013",E133&gt;1000,G133="NPN05"),H133,"")</f>
        <v/>
      </c>
      <c r="AT133" s="44" t="str">
        <f>IF(AND(C133=Master!$H$2,B133="2012-2013",E133="",G133="NPN05"),H133,"")</f>
        <v/>
      </c>
      <c r="AU133" s="44" t="str">
        <f>IF(AND(C133=Master!$H$3,B133="2012-2013",E133&gt;1000,G133="NPN05"),H133,"")</f>
        <v/>
      </c>
      <c r="AV133" s="44" t="str">
        <f>IF(AND(C133=Master!$H$3,B133="2012-2013",E133="",G133="NPN05"),H133,"")</f>
        <v/>
      </c>
      <c r="AW133" s="44" t="str">
        <f>IF(AND(C133=Master!$H$4,B133="2012-2013",E133&gt;1000,G133="NPN05"),H133,"")</f>
        <v/>
      </c>
      <c r="AX133" s="44" t="str">
        <f>IF(AND(C133=Master!$H$4,B133="2012-2013",E133="",G133="NPN05"),H133,"")</f>
        <v/>
      </c>
      <c r="AY133" s="44" t="str">
        <f>IF(AND(C133=Master!$H$5,B133="2012-2013",E133&gt;1000,G133="NPN05"),H133,"")</f>
        <v/>
      </c>
      <c r="AZ133" s="44" t="str">
        <f>IF(AND(C133=Master!$H$5,B133="2012-2013",E133="",G133="NPN05"),H133,"")</f>
        <v/>
      </c>
      <c r="BA133" s="44" t="str">
        <f>IF(AND(C133=Master!$H$6,B133="2012-2013",E133&gt;1000,G133="NPN05"),H133,"")</f>
        <v/>
      </c>
      <c r="BB133" s="44" t="str">
        <f>IF(AND(C133=Master!$H$6,B133="2012-2013",E133="",G133="NPN05"),H133,"")</f>
        <v/>
      </c>
      <c r="BC133" s="44" t="str">
        <f>IF(AND(C133=Master!$H$7,B133="2012-2013",E133&gt;1000,G133="NPN05"),H133,"")</f>
        <v/>
      </c>
      <c r="BD133" s="44" t="str">
        <f>IF(AND(C133=Master!$H$7,B133="2012-2013",E133="",G133="NPN05"),H133,"")</f>
        <v/>
      </c>
      <c r="BE133" s="44" t="str">
        <f>IF(AND(C133=Master!$H$8,B133="2012-2013",E133&gt;1000,G133="NPN05"),H133,"")</f>
        <v/>
      </c>
      <c r="BF133" s="44" t="str">
        <f>IF(AND(C133=Master!$H$8,B133="2012-2013",E133="",G133="NPN05"),H133,"")</f>
        <v/>
      </c>
      <c r="BG133" s="44" t="str">
        <f>IF(AND(C133=Master!$H$9,B133="2012-2013",E133&gt;1000,G133="NPN05"),H133,"")</f>
        <v/>
      </c>
      <c r="BH133" s="44" t="str">
        <f>IF(AND(C133=Master!$H$9,B133="2012-2013",E133="",G133="NPN05"),H133,"")</f>
        <v/>
      </c>
    </row>
    <row r="134" spans="1:60" x14ac:dyDescent="0.25">
      <c r="A134" s="3">
        <v>132</v>
      </c>
      <c r="B134" s="12"/>
      <c r="C134" s="12"/>
      <c r="D134" s="31"/>
      <c r="E134" s="4"/>
      <c r="F134" s="13"/>
      <c r="G134" s="21"/>
      <c r="H134" s="35"/>
      <c r="I134" s="21"/>
      <c r="J134" s="25" t="str">
        <f>IF(NOT(I134=""),INDEX(Master!$B$1:$B$46,MATCH(I134,Master!$A$1:$A$46,0)),"")</f>
        <v/>
      </c>
      <c r="K134" s="18"/>
      <c r="L134" s="86"/>
      <c r="M134" s="13"/>
      <c r="N134" s="13"/>
      <c r="O134" s="18"/>
      <c r="P134" s="35"/>
      <c r="Q134" s="21"/>
      <c r="R134" s="21"/>
      <c r="S134" s="13"/>
      <c r="T134" s="12"/>
      <c r="U134" s="12"/>
      <c r="V134" s="12"/>
      <c r="W134" s="14"/>
      <c r="Y134" s="42" t="str">
        <f>IF(AND(C134=Master!$H$1,B134="2012-2013",E134&gt;1000,G134="PLN03"),H134,"")</f>
        <v/>
      </c>
      <c r="Z134" s="42" t="str">
        <f>IF(AND(C134=Master!$H$1,B134="2012-2013",E134="",G134="PLN03"),H134,"")</f>
        <v/>
      </c>
      <c r="AA134" s="42" t="str">
        <f>IF(AND(C134=Master!$H$2,B134="2012-2013",E134&gt;1000,G134="PLN03"),H134,"")</f>
        <v/>
      </c>
      <c r="AB134" s="42" t="str">
        <f>IF(AND(C134=Master!$H$2,B134="2012-2013",E134="",G134="PLN03"),H134,"")</f>
        <v/>
      </c>
      <c r="AC134" s="42" t="str">
        <f>IF(AND(C134=Master!$H$3,B134="2012-2013",E134&gt;1000,G134="PLN03"),H134,"")</f>
        <v/>
      </c>
      <c r="AD134" s="42" t="str">
        <f>IF(AND(C134=Master!$H$3,B134="2012-2013",E134="",G134="PLN03"),H134,"")</f>
        <v/>
      </c>
      <c r="AE134" s="42" t="str">
        <f>IF(AND(C134=Master!$H$4,B134="2012-2013",E134&gt;1000,G134="PLN03"),H134,"")</f>
        <v/>
      </c>
      <c r="AF134" s="42" t="str">
        <f>IF(AND(C134=Master!$H$4,B134="2012-2013",E134="",G134="PLN03"),H134,"")</f>
        <v/>
      </c>
      <c r="AG134" s="42" t="str">
        <f>IF(AND(C134=Master!$H$5,B134="2012-2013",E134&gt;1000,G134="PLN03"),H134,"")</f>
        <v/>
      </c>
      <c r="AH134" s="42" t="str">
        <f>IF(AND(C134=Master!$H$5,B134="2012-2013",E134="",G134="PLN03"),H134,"")</f>
        <v/>
      </c>
      <c r="AI134" s="42" t="str">
        <f>IF(AND(C134=Master!$H$6,B134="2012-2013",E134&gt;1000,G134="PLN03"),H134,"")</f>
        <v/>
      </c>
      <c r="AJ134" s="42" t="str">
        <f>IF(AND(C134=Master!$H$6,B134="2012-2013",E134="",G134="PLN03"),H134,"")</f>
        <v/>
      </c>
      <c r="AK134" s="42" t="str">
        <f>IF(AND(C134=Master!$H$7,B134="2012-2013",E134&gt;1000,G134="PLN03"),H134,"")</f>
        <v/>
      </c>
      <c r="AL134" s="42" t="str">
        <f>IF(AND(C134=Master!$H$7,B134="2012-2013",E134="",G134="PLN03"),H134,"")</f>
        <v/>
      </c>
      <c r="AM134" s="42" t="str">
        <f>IF(AND(C134=Master!$H$8,B134="2012-2013",E134&gt;1000,G134="PLN03"),H134,"")</f>
        <v/>
      </c>
      <c r="AN134" s="42" t="str">
        <f>IF(AND(C134=Master!$H$8,B134="2012-2013",E134="",G134="PLN03"),H134,"")</f>
        <v/>
      </c>
      <c r="AO134" s="42" t="str">
        <f>IF(AND(C134=Master!$H$9,B134="2012-2013",E134&gt;1000,G134="PLN03"),H134,"")</f>
        <v/>
      </c>
      <c r="AP134" s="42" t="str">
        <f>IF(AND(C134=Master!$H$9,B134="2012-2013",E134="",G134="PLN03"),H134,"")</f>
        <v/>
      </c>
      <c r="AQ134" s="44" t="str">
        <f>IF(AND(C134=Master!$H$1,B134="2012-2013",E134&gt;1000,G134="NPN05"),H134,"")</f>
        <v/>
      </c>
      <c r="AR134" s="44" t="str">
        <f>IF(AND(C134=Master!$H$1,B134="2012-2013",E134="",G134="NPN05"),H134,"")</f>
        <v/>
      </c>
      <c r="AS134" s="44" t="str">
        <f>IF(AND(C134=Master!$H$2,B134="2012-2013",E134&gt;1000,G134="NPN05"),H134,"")</f>
        <v/>
      </c>
      <c r="AT134" s="44" t="str">
        <f>IF(AND(C134=Master!$H$2,B134="2012-2013",E134="",G134="NPN05"),H134,"")</f>
        <v/>
      </c>
      <c r="AU134" s="44" t="str">
        <f>IF(AND(C134=Master!$H$3,B134="2012-2013",E134&gt;1000,G134="NPN05"),H134,"")</f>
        <v/>
      </c>
      <c r="AV134" s="44" t="str">
        <f>IF(AND(C134=Master!$H$3,B134="2012-2013",E134="",G134="NPN05"),H134,"")</f>
        <v/>
      </c>
      <c r="AW134" s="44" t="str">
        <f>IF(AND(C134=Master!$H$4,B134="2012-2013",E134&gt;1000,G134="NPN05"),H134,"")</f>
        <v/>
      </c>
      <c r="AX134" s="44" t="str">
        <f>IF(AND(C134=Master!$H$4,B134="2012-2013",E134="",G134="NPN05"),H134,"")</f>
        <v/>
      </c>
      <c r="AY134" s="44" t="str">
        <f>IF(AND(C134=Master!$H$5,B134="2012-2013",E134&gt;1000,G134="NPN05"),H134,"")</f>
        <v/>
      </c>
      <c r="AZ134" s="44" t="str">
        <f>IF(AND(C134=Master!$H$5,B134="2012-2013",E134="",G134="NPN05"),H134,"")</f>
        <v/>
      </c>
      <c r="BA134" s="44" t="str">
        <f>IF(AND(C134=Master!$H$6,B134="2012-2013",E134&gt;1000,G134="NPN05"),H134,"")</f>
        <v/>
      </c>
      <c r="BB134" s="44" t="str">
        <f>IF(AND(C134=Master!$H$6,B134="2012-2013",E134="",G134="NPN05"),H134,"")</f>
        <v/>
      </c>
      <c r="BC134" s="44" t="str">
        <f>IF(AND(C134=Master!$H$7,B134="2012-2013",E134&gt;1000,G134="NPN05"),H134,"")</f>
        <v/>
      </c>
      <c r="BD134" s="44" t="str">
        <f>IF(AND(C134=Master!$H$7,B134="2012-2013",E134="",G134="NPN05"),H134,"")</f>
        <v/>
      </c>
      <c r="BE134" s="44" t="str">
        <f>IF(AND(C134=Master!$H$8,B134="2012-2013",E134&gt;1000,G134="NPN05"),H134,"")</f>
        <v/>
      </c>
      <c r="BF134" s="44" t="str">
        <f>IF(AND(C134=Master!$H$8,B134="2012-2013",E134="",G134="NPN05"),H134,"")</f>
        <v/>
      </c>
      <c r="BG134" s="44" t="str">
        <f>IF(AND(C134=Master!$H$9,B134="2012-2013",E134&gt;1000,G134="NPN05"),H134,"")</f>
        <v/>
      </c>
      <c r="BH134" s="44" t="str">
        <f>IF(AND(C134=Master!$H$9,B134="2012-2013",E134="",G134="NPN05"),H134,"")</f>
        <v/>
      </c>
    </row>
    <row r="135" spans="1:60" x14ac:dyDescent="0.25">
      <c r="A135" s="3">
        <v>133</v>
      </c>
      <c r="B135" s="12"/>
      <c r="C135" s="12"/>
      <c r="D135" s="31"/>
      <c r="E135" s="4"/>
      <c r="F135" s="13"/>
      <c r="G135" s="21"/>
      <c r="H135" s="35"/>
      <c r="I135" s="21"/>
      <c r="J135" s="25" t="str">
        <f>IF(NOT(I135=""),INDEX(Master!$B$1:$B$46,MATCH(I135,Master!$A$1:$A$46,0)),"")</f>
        <v/>
      </c>
      <c r="K135" s="18"/>
      <c r="L135" s="86"/>
      <c r="M135" s="13"/>
      <c r="N135" s="13"/>
      <c r="O135" s="18"/>
      <c r="P135" s="35"/>
      <c r="Q135" s="21"/>
      <c r="R135" s="21"/>
      <c r="S135" s="13"/>
      <c r="T135" s="12"/>
      <c r="U135" s="12"/>
      <c r="V135" s="12"/>
      <c r="W135" s="14"/>
      <c r="Y135" s="42" t="str">
        <f>IF(AND(C135=Master!$H$1,B135="2012-2013",E135&gt;1000,G135="PLN03"),H135,"")</f>
        <v/>
      </c>
      <c r="Z135" s="42" t="str">
        <f>IF(AND(C135=Master!$H$1,B135="2012-2013",E135="",G135="PLN03"),H135,"")</f>
        <v/>
      </c>
      <c r="AA135" s="42" t="str">
        <f>IF(AND(C135=Master!$H$2,B135="2012-2013",E135&gt;1000,G135="PLN03"),H135,"")</f>
        <v/>
      </c>
      <c r="AB135" s="42" t="str">
        <f>IF(AND(C135=Master!$H$2,B135="2012-2013",E135="",G135="PLN03"),H135,"")</f>
        <v/>
      </c>
      <c r="AC135" s="42" t="str">
        <f>IF(AND(C135=Master!$H$3,B135="2012-2013",E135&gt;1000,G135="PLN03"),H135,"")</f>
        <v/>
      </c>
      <c r="AD135" s="42" t="str">
        <f>IF(AND(C135=Master!$H$3,B135="2012-2013",E135="",G135="PLN03"),H135,"")</f>
        <v/>
      </c>
      <c r="AE135" s="42" t="str">
        <f>IF(AND(C135=Master!$H$4,B135="2012-2013",E135&gt;1000,G135="PLN03"),H135,"")</f>
        <v/>
      </c>
      <c r="AF135" s="42" t="str">
        <f>IF(AND(C135=Master!$H$4,B135="2012-2013",E135="",G135="PLN03"),H135,"")</f>
        <v/>
      </c>
      <c r="AG135" s="42" t="str">
        <f>IF(AND(C135=Master!$H$5,B135="2012-2013",E135&gt;1000,G135="PLN03"),H135,"")</f>
        <v/>
      </c>
      <c r="AH135" s="42" t="str">
        <f>IF(AND(C135=Master!$H$5,B135="2012-2013",E135="",G135="PLN03"),H135,"")</f>
        <v/>
      </c>
      <c r="AI135" s="42" t="str">
        <f>IF(AND(C135=Master!$H$6,B135="2012-2013",E135&gt;1000,G135="PLN03"),H135,"")</f>
        <v/>
      </c>
      <c r="AJ135" s="42" t="str">
        <f>IF(AND(C135=Master!$H$6,B135="2012-2013",E135="",G135="PLN03"),H135,"")</f>
        <v/>
      </c>
      <c r="AK135" s="42" t="str">
        <f>IF(AND(C135=Master!$H$7,B135="2012-2013",E135&gt;1000,G135="PLN03"),H135,"")</f>
        <v/>
      </c>
      <c r="AL135" s="42" t="str">
        <f>IF(AND(C135=Master!$H$7,B135="2012-2013",E135="",G135="PLN03"),H135,"")</f>
        <v/>
      </c>
      <c r="AM135" s="42" t="str">
        <f>IF(AND(C135=Master!$H$8,B135="2012-2013",E135&gt;1000,G135="PLN03"),H135,"")</f>
        <v/>
      </c>
      <c r="AN135" s="42" t="str">
        <f>IF(AND(C135=Master!$H$8,B135="2012-2013",E135="",G135="PLN03"),H135,"")</f>
        <v/>
      </c>
      <c r="AO135" s="42" t="str">
        <f>IF(AND(C135=Master!$H$9,B135="2012-2013",E135&gt;1000,G135="PLN03"),H135,"")</f>
        <v/>
      </c>
      <c r="AP135" s="42" t="str">
        <f>IF(AND(C135=Master!$H$9,B135="2012-2013",E135="",G135="PLN03"),H135,"")</f>
        <v/>
      </c>
      <c r="AQ135" s="44" t="str">
        <f>IF(AND(C135=Master!$H$1,B135="2012-2013",E135&gt;1000,G135="NPN05"),H135,"")</f>
        <v/>
      </c>
      <c r="AR135" s="44" t="str">
        <f>IF(AND(C135=Master!$H$1,B135="2012-2013",E135="",G135="NPN05"),H135,"")</f>
        <v/>
      </c>
      <c r="AS135" s="44" t="str">
        <f>IF(AND(C135=Master!$H$2,B135="2012-2013",E135&gt;1000,G135="NPN05"),H135,"")</f>
        <v/>
      </c>
      <c r="AT135" s="44" t="str">
        <f>IF(AND(C135=Master!$H$2,B135="2012-2013",E135="",G135="NPN05"),H135,"")</f>
        <v/>
      </c>
      <c r="AU135" s="44" t="str">
        <f>IF(AND(C135=Master!$H$3,B135="2012-2013",E135&gt;1000,G135="NPN05"),H135,"")</f>
        <v/>
      </c>
      <c r="AV135" s="44" t="str">
        <f>IF(AND(C135=Master!$H$3,B135="2012-2013",E135="",G135="NPN05"),H135,"")</f>
        <v/>
      </c>
      <c r="AW135" s="44" t="str">
        <f>IF(AND(C135=Master!$H$4,B135="2012-2013",E135&gt;1000,G135="NPN05"),H135,"")</f>
        <v/>
      </c>
      <c r="AX135" s="44" t="str">
        <f>IF(AND(C135=Master!$H$4,B135="2012-2013",E135="",G135="NPN05"),H135,"")</f>
        <v/>
      </c>
      <c r="AY135" s="44" t="str">
        <f>IF(AND(C135=Master!$H$5,B135="2012-2013",E135&gt;1000,G135="NPN05"),H135,"")</f>
        <v/>
      </c>
      <c r="AZ135" s="44" t="str">
        <f>IF(AND(C135=Master!$H$5,B135="2012-2013",E135="",G135="NPN05"),H135,"")</f>
        <v/>
      </c>
      <c r="BA135" s="44" t="str">
        <f>IF(AND(C135=Master!$H$6,B135="2012-2013",E135&gt;1000,G135="NPN05"),H135,"")</f>
        <v/>
      </c>
      <c r="BB135" s="44" t="str">
        <f>IF(AND(C135=Master!$H$6,B135="2012-2013",E135="",G135="NPN05"),H135,"")</f>
        <v/>
      </c>
      <c r="BC135" s="44" t="str">
        <f>IF(AND(C135=Master!$H$7,B135="2012-2013",E135&gt;1000,G135="NPN05"),H135,"")</f>
        <v/>
      </c>
      <c r="BD135" s="44" t="str">
        <f>IF(AND(C135=Master!$H$7,B135="2012-2013",E135="",G135="NPN05"),H135,"")</f>
        <v/>
      </c>
      <c r="BE135" s="44" t="str">
        <f>IF(AND(C135=Master!$H$8,B135="2012-2013",E135&gt;1000,G135="NPN05"),H135,"")</f>
        <v/>
      </c>
      <c r="BF135" s="44" t="str">
        <f>IF(AND(C135=Master!$H$8,B135="2012-2013",E135="",G135="NPN05"),H135,"")</f>
        <v/>
      </c>
      <c r="BG135" s="44" t="str">
        <f>IF(AND(C135=Master!$H$9,B135="2012-2013",E135&gt;1000,G135="NPN05"),H135,"")</f>
        <v/>
      </c>
      <c r="BH135" s="44" t="str">
        <f>IF(AND(C135=Master!$H$9,B135="2012-2013",E135="",G135="NPN05"),H135,"")</f>
        <v/>
      </c>
    </row>
    <row r="136" spans="1:60" x14ac:dyDescent="0.25">
      <c r="A136" s="3">
        <v>134</v>
      </c>
      <c r="B136" s="12"/>
      <c r="C136" s="12"/>
      <c r="D136" s="31"/>
      <c r="E136" s="4"/>
      <c r="F136" s="13"/>
      <c r="G136" s="21"/>
      <c r="H136" s="35"/>
      <c r="I136" s="21"/>
      <c r="J136" s="25" t="str">
        <f>IF(NOT(I136=""),INDEX(Master!$B$1:$B$46,MATCH(I136,Master!$A$1:$A$46,0)),"")</f>
        <v/>
      </c>
      <c r="K136" s="18"/>
      <c r="L136" s="86"/>
      <c r="M136" s="13"/>
      <c r="N136" s="13"/>
      <c r="O136" s="18"/>
      <c r="P136" s="35"/>
      <c r="Q136" s="21"/>
      <c r="R136" s="21"/>
      <c r="S136" s="13"/>
      <c r="T136" s="12"/>
      <c r="U136" s="12"/>
      <c r="V136" s="12"/>
      <c r="W136" s="14"/>
      <c r="Y136" s="42" t="str">
        <f>IF(AND(C136=Master!$H$1,B136="2012-2013",E136&gt;1000,G136="PLN03"),H136,"")</f>
        <v/>
      </c>
      <c r="Z136" s="42" t="str">
        <f>IF(AND(C136=Master!$H$1,B136="2012-2013",E136="",G136="PLN03"),H136,"")</f>
        <v/>
      </c>
      <c r="AA136" s="42" t="str">
        <f>IF(AND(C136=Master!$H$2,B136="2012-2013",E136&gt;1000,G136="PLN03"),H136,"")</f>
        <v/>
      </c>
      <c r="AB136" s="42" t="str">
        <f>IF(AND(C136=Master!$H$2,B136="2012-2013",E136="",G136="PLN03"),H136,"")</f>
        <v/>
      </c>
      <c r="AC136" s="42" t="str">
        <f>IF(AND(C136=Master!$H$3,B136="2012-2013",E136&gt;1000,G136="PLN03"),H136,"")</f>
        <v/>
      </c>
      <c r="AD136" s="42" t="str">
        <f>IF(AND(C136=Master!$H$3,B136="2012-2013",E136="",G136="PLN03"),H136,"")</f>
        <v/>
      </c>
      <c r="AE136" s="42" t="str">
        <f>IF(AND(C136=Master!$H$4,B136="2012-2013",E136&gt;1000,G136="PLN03"),H136,"")</f>
        <v/>
      </c>
      <c r="AF136" s="42" t="str">
        <f>IF(AND(C136=Master!$H$4,B136="2012-2013",E136="",G136="PLN03"),H136,"")</f>
        <v/>
      </c>
      <c r="AG136" s="42" t="str">
        <f>IF(AND(C136=Master!$H$5,B136="2012-2013",E136&gt;1000,G136="PLN03"),H136,"")</f>
        <v/>
      </c>
      <c r="AH136" s="42" t="str">
        <f>IF(AND(C136=Master!$H$5,B136="2012-2013",E136="",G136="PLN03"),H136,"")</f>
        <v/>
      </c>
      <c r="AI136" s="42" t="str">
        <f>IF(AND(C136=Master!$H$6,B136="2012-2013",E136&gt;1000,G136="PLN03"),H136,"")</f>
        <v/>
      </c>
      <c r="AJ136" s="42" t="str">
        <f>IF(AND(C136=Master!$H$6,B136="2012-2013",E136="",G136="PLN03"),H136,"")</f>
        <v/>
      </c>
      <c r="AK136" s="42" t="str">
        <f>IF(AND(C136=Master!$H$7,B136="2012-2013",E136&gt;1000,G136="PLN03"),H136,"")</f>
        <v/>
      </c>
      <c r="AL136" s="42" t="str">
        <f>IF(AND(C136=Master!$H$7,B136="2012-2013",E136="",G136="PLN03"),H136,"")</f>
        <v/>
      </c>
      <c r="AM136" s="42" t="str">
        <f>IF(AND(C136=Master!$H$8,B136="2012-2013",E136&gt;1000,G136="PLN03"),H136,"")</f>
        <v/>
      </c>
      <c r="AN136" s="42" t="str">
        <f>IF(AND(C136=Master!$H$8,B136="2012-2013",E136="",G136="PLN03"),H136,"")</f>
        <v/>
      </c>
      <c r="AO136" s="42" t="str">
        <f>IF(AND(C136=Master!$H$9,B136="2012-2013",E136&gt;1000,G136="PLN03"),H136,"")</f>
        <v/>
      </c>
      <c r="AP136" s="42" t="str">
        <f>IF(AND(C136=Master!$H$9,B136="2012-2013",E136="",G136="PLN03"),H136,"")</f>
        <v/>
      </c>
      <c r="AQ136" s="44" t="str">
        <f>IF(AND(C136=Master!$H$1,B136="2012-2013",E136&gt;1000,G136="NPN05"),H136,"")</f>
        <v/>
      </c>
      <c r="AR136" s="44" t="str">
        <f>IF(AND(C136=Master!$H$1,B136="2012-2013",E136="",G136="NPN05"),H136,"")</f>
        <v/>
      </c>
      <c r="AS136" s="44" t="str">
        <f>IF(AND(C136=Master!$H$2,B136="2012-2013",E136&gt;1000,G136="NPN05"),H136,"")</f>
        <v/>
      </c>
      <c r="AT136" s="44" t="str">
        <f>IF(AND(C136=Master!$H$2,B136="2012-2013",E136="",G136="NPN05"),H136,"")</f>
        <v/>
      </c>
      <c r="AU136" s="44" t="str">
        <f>IF(AND(C136=Master!$H$3,B136="2012-2013",E136&gt;1000,G136="NPN05"),H136,"")</f>
        <v/>
      </c>
      <c r="AV136" s="44" t="str">
        <f>IF(AND(C136=Master!$H$3,B136="2012-2013",E136="",G136="NPN05"),H136,"")</f>
        <v/>
      </c>
      <c r="AW136" s="44" t="str">
        <f>IF(AND(C136=Master!$H$4,B136="2012-2013",E136&gt;1000,G136="NPN05"),H136,"")</f>
        <v/>
      </c>
      <c r="AX136" s="44" t="str">
        <f>IF(AND(C136=Master!$H$4,B136="2012-2013",E136="",G136="NPN05"),H136,"")</f>
        <v/>
      </c>
      <c r="AY136" s="44" t="str">
        <f>IF(AND(C136=Master!$H$5,B136="2012-2013",E136&gt;1000,G136="NPN05"),H136,"")</f>
        <v/>
      </c>
      <c r="AZ136" s="44" t="str">
        <f>IF(AND(C136=Master!$H$5,B136="2012-2013",E136="",G136="NPN05"),H136,"")</f>
        <v/>
      </c>
      <c r="BA136" s="44" t="str">
        <f>IF(AND(C136=Master!$H$6,B136="2012-2013",E136&gt;1000,G136="NPN05"),H136,"")</f>
        <v/>
      </c>
      <c r="BB136" s="44" t="str">
        <f>IF(AND(C136=Master!$H$6,B136="2012-2013",E136="",G136="NPN05"),H136,"")</f>
        <v/>
      </c>
      <c r="BC136" s="44" t="str">
        <f>IF(AND(C136=Master!$H$7,B136="2012-2013",E136&gt;1000,G136="NPN05"),H136,"")</f>
        <v/>
      </c>
      <c r="BD136" s="44" t="str">
        <f>IF(AND(C136=Master!$H$7,B136="2012-2013",E136="",G136="NPN05"),H136,"")</f>
        <v/>
      </c>
      <c r="BE136" s="44" t="str">
        <f>IF(AND(C136=Master!$H$8,B136="2012-2013",E136&gt;1000,G136="NPN05"),H136,"")</f>
        <v/>
      </c>
      <c r="BF136" s="44" t="str">
        <f>IF(AND(C136=Master!$H$8,B136="2012-2013",E136="",G136="NPN05"),H136,"")</f>
        <v/>
      </c>
      <c r="BG136" s="44" t="str">
        <f>IF(AND(C136=Master!$H$9,B136="2012-2013",E136&gt;1000,G136="NPN05"),H136,"")</f>
        <v/>
      </c>
      <c r="BH136" s="44" t="str">
        <f>IF(AND(C136=Master!$H$9,B136="2012-2013",E136="",G136="NPN05"),H136,"")</f>
        <v/>
      </c>
    </row>
    <row r="137" spans="1:60" x14ac:dyDescent="0.25">
      <c r="A137" s="3">
        <v>135</v>
      </c>
      <c r="B137" s="12"/>
      <c r="C137" s="12"/>
      <c r="D137" s="31"/>
      <c r="E137" s="4"/>
      <c r="F137" s="13"/>
      <c r="G137" s="21"/>
      <c r="H137" s="35"/>
      <c r="I137" s="21"/>
      <c r="J137" s="25" t="str">
        <f>IF(NOT(I137=""),INDEX(Master!$B$1:$B$46,MATCH(I137,Master!$A$1:$A$46,0)),"")</f>
        <v/>
      </c>
      <c r="K137" s="18"/>
      <c r="L137" s="86"/>
      <c r="M137" s="13"/>
      <c r="N137" s="13"/>
      <c r="O137" s="18"/>
      <c r="P137" s="35"/>
      <c r="Q137" s="21"/>
      <c r="R137" s="21"/>
      <c r="S137" s="13"/>
      <c r="T137" s="12"/>
      <c r="U137" s="12"/>
      <c r="V137" s="12"/>
      <c r="W137" s="14"/>
      <c r="Y137" s="42" t="str">
        <f>IF(AND(C137=Master!$H$1,B137="2012-2013",E137&gt;1000,G137="PLN03"),H137,"")</f>
        <v/>
      </c>
      <c r="Z137" s="42" t="str">
        <f>IF(AND(C137=Master!$H$1,B137="2012-2013",E137="",G137="PLN03"),H137,"")</f>
        <v/>
      </c>
      <c r="AA137" s="42" t="str">
        <f>IF(AND(C137=Master!$H$2,B137="2012-2013",E137&gt;1000,G137="PLN03"),H137,"")</f>
        <v/>
      </c>
      <c r="AB137" s="42" t="str">
        <f>IF(AND(C137=Master!$H$2,B137="2012-2013",E137="",G137="PLN03"),H137,"")</f>
        <v/>
      </c>
      <c r="AC137" s="42" t="str">
        <f>IF(AND(C137=Master!$H$3,B137="2012-2013",E137&gt;1000,G137="PLN03"),H137,"")</f>
        <v/>
      </c>
      <c r="AD137" s="42" t="str">
        <f>IF(AND(C137=Master!$H$3,B137="2012-2013",E137="",G137="PLN03"),H137,"")</f>
        <v/>
      </c>
      <c r="AE137" s="42" t="str">
        <f>IF(AND(C137=Master!$H$4,B137="2012-2013",E137&gt;1000,G137="PLN03"),H137,"")</f>
        <v/>
      </c>
      <c r="AF137" s="42" t="str">
        <f>IF(AND(C137=Master!$H$4,B137="2012-2013",E137="",G137="PLN03"),H137,"")</f>
        <v/>
      </c>
      <c r="AG137" s="42" t="str">
        <f>IF(AND(C137=Master!$H$5,B137="2012-2013",E137&gt;1000,G137="PLN03"),H137,"")</f>
        <v/>
      </c>
      <c r="AH137" s="42" t="str">
        <f>IF(AND(C137=Master!$H$5,B137="2012-2013",E137="",G137="PLN03"),H137,"")</f>
        <v/>
      </c>
      <c r="AI137" s="42" t="str">
        <f>IF(AND(C137=Master!$H$6,B137="2012-2013",E137&gt;1000,G137="PLN03"),H137,"")</f>
        <v/>
      </c>
      <c r="AJ137" s="42" t="str">
        <f>IF(AND(C137=Master!$H$6,B137="2012-2013",E137="",G137="PLN03"),H137,"")</f>
        <v/>
      </c>
      <c r="AK137" s="42" t="str">
        <f>IF(AND(C137=Master!$H$7,B137="2012-2013",E137&gt;1000,G137="PLN03"),H137,"")</f>
        <v/>
      </c>
      <c r="AL137" s="42" t="str">
        <f>IF(AND(C137=Master!$H$7,B137="2012-2013",E137="",G137="PLN03"),H137,"")</f>
        <v/>
      </c>
      <c r="AM137" s="42" t="str">
        <f>IF(AND(C137=Master!$H$8,B137="2012-2013",E137&gt;1000,G137="PLN03"),H137,"")</f>
        <v/>
      </c>
      <c r="AN137" s="42" t="str">
        <f>IF(AND(C137=Master!$H$8,B137="2012-2013",E137="",G137="PLN03"),H137,"")</f>
        <v/>
      </c>
      <c r="AO137" s="42" t="str">
        <f>IF(AND(C137=Master!$H$9,B137="2012-2013",E137&gt;1000,G137="PLN03"),H137,"")</f>
        <v/>
      </c>
      <c r="AP137" s="42" t="str">
        <f>IF(AND(C137=Master!$H$9,B137="2012-2013",E137="",G137="PLN03"),H137,"")</f>
        <v/>
      </c>
      <c r="AQ137" s="44" t="str">
        <f>IF(AND(C137=Master!$H$1,B137="2012-2013",E137&gt;1000,G137="NPN05"),H137,"")</f>
        <v/>
      </c>
      <c r="AR137" s="44" t="str">
        <f>IF(AND(C137=Master!$H$1,B137="2012-2013",E137="",G137="NPN05"),H137,"")</f>
        <v/>
      </c>
      <c r="AS137" s="44" t="str">
        <f>IF(AND(C137=Master!$H$2,B137="2012-2013",E137&gt;1000,G137="NPN05"),H137,"")</f>
        <v/>
      </c>
      <c r="AT137" s="44" t="str">
        <f>IF(AND(C137=Master!$H$2,B137="2012-2013",E137="",G137="NPN05"),H137,"")</f>
        <v/>
      </c>
      <c r="AU137" s="44" t="str">
        <f>IF(AND(C137=Master!$H$3,B137="2012-2013",E137&gt;1000,G137="NPN05"),H137,"")</f>
        <v/>
      </c>
      <c r="AV137" s="44" t="str">
        <f>IF(AND(C137=Master!$H$3,B137="2012-2013",E137="",G137="NPN05"),H137,"")</f>
        <v/>
      </c>
      <c r="AW137" s="44" t="str">
        <f>IF(AND(C137=Master!$H$4,B137="2012-2013",E137&gt;1000,G137="NPN05"),H137,"")</f>
        <v/>
      </c>
      <c r="AX137" s="44" t="str">
        <f>IF(AND(C137=Master!$H$4,B137="2012-2013",E137="",G137="NPN05"),H137,"")</f>
        <v/>
      </c>
      <c r="AY137" s="44" t="str">
        <f>IF(AND(C137=Master!$H$5,B137="2012-2013",E137&gt;1000,G137="NPN05"),H137,"")</f>
        <v/>
      </c>
      <c r="AZ137" s="44" t="str">
        <f>IF(AND(C137=Master!$H$5,B137="2012-2013",E137="",G137="NPN05"),H137,"")</f>
        <v/>
      </c>
      <c r="BA137" s="44" t="str">
        <f>IF(AND(C137=Master!$H$6,B137="2012-2013",E137&gt;1000,G137="NPN05"),H137,"")</f>
        <v/>
      </c>
      <c r="BB137" s="44" t="str">
        <f>IF(AND(C137=Master!$H$6,B137="2012-2013",E137="",G137="NPN05"),H137,"")</f>
        <v/>
      </c>
      <c r="BC137" s="44" t="str">
        <f>IF(AND(C137=Master!$H$7,B137="2012-2013",E137&gt;1000,G137="NPN05"),H137,"")</f>
        <v/>
      </c>
      <c r="BD137" s="44" t="str">
        <f>IF(AND(C137=Master!$H$7,B137="2012-2013",E137="",G137="NPN05"),H137,"")</f>
        <v/>
      </c>
      <c r="BE137" s="44" t="str">
        <f>IF(AND(C137=Master!$H$8,B137="2012-2013",E137&gt;1000,G137="NPN05"),H137,"")</f>
        <v/>
      </c>
      <c r="BF137" s="44" t="str">
        <f>IF(AND(C137=Master!$H$8,B137="2012-2013",E137="",G137="NPN05"),H137,"")</f>
        <v/>
      </c>
      <c r="BG137" s="44" t="str">
        <f>IF(AND(C137=Master!$H$9,B137="2012-2013",E137&gt;1000,G137="NPN05"),H137,"")</f>
        <v/>
      </c>
      <c r="BH137" s="44" t="str">
        <f>IF(AND(C137=Master!$H$9,B137="2012-2013",E137="",G137="NPN05"),H137,"")</f>
        <v/>
      </c>
    </row>
    <row r="138" spans="1:60" x14ac:dyDescent="0.25">
      <c r="A138" s="3">
        <v>136</v>
      </c>
      <c r="B138" s="12"/>
      <c r="C138" s="12"/>
      <c r="D138" s="31"/>
      <c r="E138" s="4"/>
      <c r="F138" s="13"/>
      <c r="G138" s="21"/>
      <c r="H138" s="35"/>
      <c r="I138" s="21"/>
      <c r="J138" s="25" t="str">
        <f>IF(NOT(I138=""),INDEX(Master!$B$1:$B$46,MATCH(I138,Master!$A$1:$A$46,0)),"")</f>
        <v/>
      </c>
      <c r="K138" s="18"/>
      <c r="L138" s="86"/>
      <c r="M138" s="13"/>
      <c r="N138" s="13"/>
      <c r="O138" s="18"/>
      <c r="P138" s="35"/>
      <c r="Q138" s="21"/>
      <c r="R138" s="21"/>
      <c r="S138" s="13"/>
      <c r="T138" s="12"/>
      <c r="U138" s="12"/>
      <c r="V138" s="12"/>
      <c r="W138" s="14"/>
      <c r="Y138" s="42" t="str">
        <f>IF(AND(C138=Master!$H$1,B138="2012-2013",E138&gt;1000,G138="PLN03"),H138,"")</f>
        <v/>
      </c>
      <c r="Z138" s="42" t="str">
        <f>IF(AND(C138=Master!$H$1,B138="2012-2013",E138="",G138="PLN03"),H138,"")</f>
        <v/>
      </c>
      <c r="AA138" s="42" t="str">
        <f>IF(AND(C138=Master!$H$2,B138="2012-2013",E138&gt;1000,G138="PLN03"),H138,"")</f>
        <v/>
      </c>
      <c r="AB138" s="42" t="str">
        <f>IF(AND(C138=Master!$H$2,B138="2012-2013",E138="",G138="PLN03"),H138,"")</f>
        <v/>
      </c>
      <c r="AC138" s="42" t="str">
        <f>IF(AND(C138=Master!$H$3,B138="2012-2013",E138&gt;1000,G138="PLN03"),H138,"")</f>
        <v/>
      </c>
      <c r="AD138" s="42" t="str">
        <f>IF(AND(C138=Master!$H$3,B138="2012-2013",E138="",G138="PLN03"),H138,"")</f>
        <v/>
      </c>
      <c r="AE138" s="42" t="str">
        <f>IF(AND(C138=Master!$H$4,B138="2012-2013",E138&gt;1000,G138="PLN03"),H138,"")</f>
        <v/>
      </c>
      <c r="AF138" s="42" t="str">
        <f>IF(AND(C138=Master!$H$4,B138="2012-2013",E138="",G138="PLN03"),H138,"")</f>
        <v/>
      </c>
      <c r="AG138" s="42" t="str">
        <f>IF(AND(C138=Master!$H$5,B138="2012-2013",E138&gt;1000,G138="PLN03"),H138,"")</f>
        <v/>
      </c>
      <c r="AH138" s="42" t="str">
        <f>IF(AND(C138=Master!$H$5,B138="2012-2013",E138="",G138="PLN03"),H138,"")</f>
        <v/>
      </c>
      <c r="AI138" s="42" t="str">
        <f>IF(AND(C138=Master!$H$6,B138="2012-2013",E138&gt;1000,G138="PLN03"),H138,"")</f>
        <v/>
      </c>
      <c r="AJ138" s="42" t="str">
        <f>IF(AND(C138=Master!$H$6,B138="2012-2013",E138="",G138="PLN03"),H138,"")</f>
        <v/>
      </c>
      <c r="AK138" s="42" t="str">
        <f>IF(AND(C138=Master!$H$7,B138="2012-2013",E138&gt;1000,G138="PLN03"),H138,"")</f>
        <v/>
      </c>
      <c r="AL138" s="42" t="str">
        <f>IF(AND(C138=Master!$H$7,B138="2012-2013",E138="",G138="PLN03"),H138,"")</f>
        <v/>
      </c>
      <c r="AM138" s="42" t="str">
        <f>IF(AND(C138=Master!$H$8,B138="2012-2013",E138&gt;1000,G138="PLN03"),H138,"")</f>
        <v/>
      </c>
      <c r="AN138" s="42" t="str">
        <f>IF(AND(C138=Master!$H$8,B138="2012-2013",E138="",G138="PLN03"),H138,"")</f>
        <v/>
      </c>
      <c r="AO138" s="42" t="str">
        <f>IF(AND(C138=Master!$H$9,B138="2012-2013",E138&gt;1000,G138="PLN03"),H138,"")</f>
        <v/>
      </c>
      <c r="AP138" s="42" t="str">
        <f>IF(AND(C138=Master!$H$9,B138="2012-2013",E138="",G138="PLN03"),H138,"")</f>
        <v/>
      </c>
      <c r="AQ138" s="44" t="str">
        <f>IF(AND(C138=Master!$H$1,B138="2012-2013",E138&gt;1000,G138="NPN05"),H138,"")</f>
        <v/>
      </c>
      <c r="AR138" s="44" t="str">
        <f>IF(AND(C138=Master!$H$1,B138="2012-2013",E138="",G138="NPN05"),H138,"")</f>
        <v/>
      </c>
      <c r="AS138" s="44" t="str">
        <f>IF(AND(C138=Master!$H$2,B138="2012-2013",E138&gt;1000,G138="NPN05"),H138,"")</f>
        <v/>
      </c>
      <c r="AT138" s="44" t="str">
        <f>IF(AND(C138=Master!$H$2,B138="2012-2013",E138="",G138="NPN05"),H138,"")</f>
        <v/>
      </c>
      <c r="AU138" s="44" t="str">
        <f>IF(AND(C138=Master!$H$3,B138="2012-2013",E138&gt;1000,G138="NPN05"),H138,"")</f>
        <v/>
      </c>
      <c r="AV138" s="44" t="str">
        <f>IF(AND(C138=Master!$H$3,B138="2012-2013",E138="",G138="NPN05"),H138,"")</f>
        <v/>
      </c>
      <c r="AW138" s="44" t="str">
        <f>IF(AND(C138=Master!$H$4,B138="2012-2013",E138&gt;1000,G138="NPN05"),H138,"")</f>
        <v/>
      </c>
      <c r="AX138" s="44" t="str">
        <f>IF(AND(C138=Master!$H$4,B138="2012-2013",E138="",G138="NPN05"),H138,"")</f>
        <v/>
      </c>
      <c r="AY138" s="44" t="str">
        <f>IF(AND(C138=Master!$H$5,B138="2012-2013",E138&gt;1000,G138="NPN05"),H138,"")</f>
        <v/>
      </c>
      <c r="AZ138" s="44" t="str">
        <f>IF(AND(C138=Master!$H$5,B138="2012-2013",E138="",G138="NPN05"),H138,"")</f>
        <v/>
      </c>
      <c r="BA138" s="44" t="str">
        <f>IF(AND(C138=Master!$H$6,B138="2012-2013",E138&gt;1000,G138="NPN05"),H138,"")</f>
        <v/>
      </c>
      <c r="BB138" s="44" t="str">
        <f>IF(AND(C138=Master!$H$6,B138="2012-2013",E138="",G138="NPN05"),H138,"")</f>
        <v/>
      </c>
      <c r="BC138" s="44" t="str">
        <f>IF(AND(C138=Master!$H$7,B138="2012-2013",E138&gt;1000,G138="NPN05"),H138,"")</f>
        <v/>
      </c>
      <c r="BD138" s="44" t="str">
        <f>IF(AND(C138=Master!$H$7,B138="2012-2013",E138="",G138="NPN05"),H138,"")</f>
        <v/>
      </c>
      <c r="BE138" s="44" t="str">
        <f>IF(AND(C138=Master!$H$8,B138="2012-2013",E138&gt;1000,G138="NPN05"),H138,"")</f>
        <v/>
      </c>
      <c r="BF138" s="44" t="str">
        <f>IF(AND(C138=Master!$H$8,B138="2012-2013",E138="",G138="NPN05"),H138,"")</f>
        <v/>
      </c>
      <c r="BG138" s="44" t="str">
        <f>IF(AND(C138=Master!$H$9,B138="2012-2013",E138&gt;1000,G138="NPN05"),H138,"")</f>
        <v/>
      </c>
      <c r="BH138" s="44" t="str">
        <f>IF(AND(C138=Master!$H$9,B138="2012-2013",E138="",G138="NPN05"),H138,"")</f>
        <v/>
      </c>
    </row>
    <row r="139" spans="1:60" x14ac:dyDescent="0.25">
      <c r="A139" s="5">
        <v>137</v>
      </c>
      <c r="B139" s="12"/>
      <c r="C139" s="12"/>
      <c r="D139" s="31"/>
      <c r="E139" s="4"/>
      <c r="F139" s="13"/>
      <c r="G139" s="21"/>
      <c r="H139" s="35"/>
      <c r="I139" s="21"/>
      <c r="J139" s="25" t="str">
        <f>IF(NOT(I139=""),INDEX(Master!$B$1:$B$46,MATCH(I139,Master!$A$1:$A$46,0)),"")</f>
        <v/>
      </c>
      <c r="K139" s="18"/>
      <c r="L139" s="86"/>
      <c r="M139" s="13"/>
      <c r="N139" s="13"/>
      <c r="O139" s="18"/>
      <c r="P139" s="35"/>
      <c r="Q139" s="21"/>
      <c r="R139" s="21"/>
      <c r="S139" s="13"/>
      <c r="T139" s="12"/>
      <c r="U139" s="12"/>
      <c r="V139" s="12"/>
      <c r="W139" s="14"/>
      <c r="Y139" s="42" t="str">
        <f>IF(AND(C139=Master!$H$1,B139="2012-2013",E139&gt;1000,G139="PLN03"),H139,"")</f>
        <v/>
      </c>
      <c r="Z139" s="42" t="str">
        <f>IF(AND(C139=Master!$H$1,B139="2012-2013",E139="",G139="PLN03"),H139,"")</f>
        <v/>
      </c>
      <c r="AA139" s="42" t="str">
        <f>IF(AND(C139=Master!$H$2,B139="2012-2013",E139&gt;1000,G139="PLN03"),H139,"")</f>
        <v/>
      </c>
      <c r="AB139" s="42" t="str">
        <f>IF(AND(C139=Master!$H$2,B139="2012-2013",E139="",G139="PLN03"),H139,"")</f>
        <v/>
      </c>
      <c r="AC139" s="42" t="str">
        <f>IF(AND(C139=Master!$H$3,B139="2012-2013",E139&gt;1000,G139="PLN03"),H139,"")</f>
        <v/>
      </c>
      <c r="AD139" s="42" t="str">
        <f>IF(AND(C139=Master!$H$3,B139="2012-2013",E139="",G139="PLN03"),H139,"")</f>
        <v/>
      </c>
      <c r="AE139" s="42" t="str">
        <f>IF(AND(C139=Master!$H$4,B139="2012-2013",E139&gt;1000,G139="PLN03"),H139,"")</f>
        <v/>
      </c>
      <c r="AF139" s="42" t="str">
        <f>IF(AND(C139=Master!$H$4,B139="2012-2013",E139="",G139="PLN03"),H139,"")</f>
        <v/>
      </c>
      <c r="AG139" s="42" t="str">
        <f>IF(AND(C139=Master!$H$5,B139="2012-2013",E139&gt;1000,G139="PLN03"),H139,"")</f>
        <v/>
      </c>
      <c r="AH139" s="42" t="str">
        <f>IF(AND(C139=Master!$H$5,B139="2012-2013",E139="",G139="PLN03"),H139,"")</f>
        <v/>
      </c>
      <c r="AI139" s="42" t="str">
        <f>IF(AND(C139=Master!$H$6,B139="2012-2013",E139&gt;1000,G139="PLN03"),H139,"")</f>
        <v/>
      </c>
      <c r="AJ139" s="42" t="str">
        <f>IF(AND(C139=Master!$H$6,B139="2012-2013",E139="",G139="PLN03"),H139,"")</f>
        <v/>
      </c>
      <c r="AK139" s="42" t="str">
        <f>IF(AND(C139=Master!$H$7,B139="2012-2013",E139&gt;1000,G139="PLN03"),H139,"")</f>
        <v/>
      </c>
      <c r="AL139" s="42" t="str">
        <f>IF(AND(C139=Master!$H$7,B139="2012-2013",E139="",G139="PLN03"),H139,"")</f>
        <v/>
      </c>
      <c r="AM139" s="42" t="str">
        <f>IF(AND(C139=Master!$H$8,B139="2012-2013",E139&gt;1000,G139="PLN03"),H139,"")</f>
        <v/>
      </c>
      <c r="AN139" s="42" t="str">
        <f>IF(AND(C139=Master!$H$8,B139="2012-2013",E139="",G139="PLN03"),H139,"")</f>
        <v/>
      </c>
      <c r="AO139" s="42" t="str">
        <f>IF(AND(C139=Master!$H$9,B139="2012-2013",E139&gt;1000,G139="PLN03"),H139,"")</f>
        <v/>
      </c>
      <c r="AP139" s="42" t="str">
        <f>IF(AND(C139=Master!$H$9,B139="2012-2013",E139="",G139="PLN03"),H139,"")</f>
        <v/>
      </c>
      <c r="AQ139" s="44" t="str">
        <f>IF(AND(C139=Master!$H$1,B139="2012-2013",E139&gt;1000,G139="NPN05"),H139,"")</f>
        <v/>
      </c>
      <c r="AR139" s="44" t="str">
        <f>IF(AND(C139=Master!$H$1,B139="2012-2013",E139="",G139="NPN05"),H139,"")</f>
        <v/>
      </c>
      <c r="AS139" s="44" t="str">
        <f>IF(AND(C139=Master!$H$2,B139="2012-2013",E139&gt;1000,G139="NPN05"),H139,"")</f>
        <v/>
      </c>
      <c r="AT139" s="44" t="str">
        <f>IF(AND(C139=Master!$H$2,B139="2012-2013",E139="",G139="NPN05"),H139,"")</f>
        <v/>
      </c>
      <c r="AU139" s="44" t="str">
        <f>IF(AND(C139=Master!$H$3,B139="2012-2013",E139&gt;1000,G139="NPN05"),H139,"")</f>
        <v/>
      </c>
      <c r="AV139" s="44" t="str">
        <f>IF(AND(C139=Master!$H$3,B139="2012-2013",E139="",G139="NPN05"),H139,"")</f>
        <v/>
      </c>
      <c r="AW139" s="44" t="str">
        <f>IF(AND(C139=Master!$H$4,B139="2012-2013",E139&gt;1000,G139="NPN05"),H139,"")</f>
        <v/>
      </c>
      <c r="AX139" s="44" t="str">
        <f>IF(AND(C139=Master!$H$4,B139="2012-2013",E139="",G139="NPN05"),H139,"")</f>
        <v/>
      </c>
      <c r="AY139" s="44" t="str">
        <f>IF(AND(C139=Master!$H$5,B139="2012-2013",E139&gt;1000,G139="NPN05"),H139,"")</f>
        <v/>
      </c>
      <c r="AZ139" s="44" t="str">
        <f>IF(AND(C139=Master!$H$5,B139="2012-2013",E139="",G139="NPN05"),H139,"")</f>
        <v/>
      </c>
      <c r="BA139" s="44" t="str">
        <f>IF(AND(C139=Master!$H$6,B139="2012-2013",E139&gt;1000,G139="NPN05"),H139,"")</f>
        <v/>
      </c>
      <c r="BB139" s="44" t="str">
        <f>IF(AND(C139=Master!$H$6,B139="2012-2013",E139="",G139="NPN05"),H139,"")</f>
        <v/>
      </c>
      <c r="BC139" s="44" t="str">
        <f>IF(AND(C139=Master!$H$7,B139="2012-2013",E139&gt;1000,G139="NPN05"),H139,"")</f>
        <v/>
      </c>
      <c r="BD139" s="44" t="str">
        <f>IF(AND(C139=Master!$H$7,B139="2012-2013",E139="",G139="NPN05"),H139,"")</f>
        <v/>
      </c>
      <c r="BE139" s="44" t="str">
        <f>IF(AND(C139=Master!$H$8,B139="2012-2013",E139&gt;1000,G139="NPN05"),H139,"")</f>
        <v/>
      </c>
      <c r="BF139" s="44" t="str">
        <f>IF(AND(C139=Master!$H$8,B139="2012-2013",E139="",G139="NPN05"),H139,"")</f>
        <v/>
      </c>
      <c r="BG139" s="44" t="str">
        <f>IF(AND(C139=Master!$H$9,B139="2012-2013",E139&gt;1000,G139="NPN05"),H139,"")</f>
        <v/>
      </c>
      <c r="BH139" s="44" t="str">
        <f>IF(AND(C139=Master!$H$9,B139="2012-2013",E139="",G139="NPN05"),H139,"")</f>
        <v/>
      </c>
    </row>
    <row r="140" spans="1:60" x14ac:dyDescent="0.25">
      <c r="A140" s="3">
        <v>138</v>
      </c>
      <c r="B140" s="12"/>
      <c r="C140" s="12"/>
      <c r="D140" s="31"/>
      <c r="E140" s="4"/>
      <c r="F140" s="13"/>
      <c r="G140" s="21"/>
      <c r="H140" s="35"/>
      <c r="I140" s="21"/>
      <c r="J140" s="25" t="str">
        <f>IF(NOT(I140=""),INDEX(Master!$B$1:$B$46,MATCH(I140,Master!$A$1:$A$46,0)),"")</f>
        <v/>
      </c>
      <c r="K140" s="18"/>
      <c r="L140" s="86"/>
      <c r="M140" s="13"/>
      <c r="N140" s="13"/>
      <c r="O140" s="18"/>
      <c r="P140" s="35"/>
      <c r="Q140" s="21"/>
      <c r="R140" s="21"/>
      <c r="S140" s="13"/>
      <c r="T140" s="12"/>
      <c r="U140" s="12"/>
      <c r="V140" s="12"/>
      <c r="W140" s="14"/>
      <c r="Y140" s="42" t="str">
        <f>IF(AND(C140=Master!$H$1,B140="2012-2013",E140&gt;1000,G140="PLN03"),H140,"")</f>
        <v/>
      </c>
      <c r="Z140" s="42" t="str">
        <f>IF(AND(C140=Master!$H$1,B140="2012-2013",E140="",G140="PLN03"),H140,"")</f>
        <v/>
      </c>
      <c r="AA140" s="42" t="str">
        <f>IF(AND(C140=Master!$H$2,B140="2012-2013",E140&gt;1000,G140="PLN03"),H140,"")</f>
        <v/>
      </c>
      <c r="AB140" s="42" t="str">
        <f>IF(AND(C140=Master!$H$2,B140="2012-2013",E140="",G140="PLN03"),H140,"")</f>
        <v/>
      </c>
      <c r="AC140" s="42" t="str">
        <f>IF(AND(C140=Master!$H$3,B140="2012-2013",E140&gt;1000,G140="PLN03"),H140,"")</f>
        <v/>
      </c>
      <c r="AD140" s="42" t="str">
        <f>IF(AND(C140=Master!$H$3,B140="2012-2013",E140="",G140="PLN03"),H140,"")</f>
        <v/>
      </c>
      <c r="AE140" s="42" t="str">
        <f>IF(AND(C140=Master!$H$4,B140="2012-2013",E140&gt;1000,G140="PLN03"),H140,"")</f>
        <v/>
      </c>
      <c r="AF140" s="42" t="str">
        <f>IF(AND(C140=Master!$H$4,B140="2012-2013",E140="",G140="PLN03"),H140,"")</f>
        <v/>
      </c>
      <c r="AG140" s="42" t="str">
        <f>IF(AND(C140=Master!$H$5,B140="2012-2013",E140&gt;1000,G140="PLN03"),H140,"")</f>
        <v/>
      </c>
      <c r="AH140" s="42" t="str">
        <f>IF(AND(C140=Master!$H$5,B140="2012-2013",E140="",G140="PLN03"),H140,"")</f>
        <v/>
      </c>
      <c r="AI140" s="42" t="str">
        <f>IF(AND(C140=Master!$H$6,B140="2012-2013",E140&gt;1000,G140="PLN03"),H140,"")</f>
        <v/>
      </c>
      <c r="AJ140" s="42" t="str">
        <f>IF(AND(C140=Master!$H$6,B140="2012-2013",E140="",G140="PLN03"),H140,"")</f>
        <v/>
      </c>
      <c r="AK140" s="42" t="str">
        <f>IF(AND(C140=Master!$H$7,B140="2012-2013",E140&gt;1000,G140="PLN03"),H140,"")</f>
        <v/>
      </c>
      <c r="AL140" s="42" t="str">
        <f>IF(AND(C140=Master!$H$7,B140="2012-2013",E140="",G140="PLN03"),H140,"")</f>
        <v/>
      </c>
      <c r="AM140" s="42" t="str">
        <f>IF(AND(C140=Master!$H$8,B140="2012-2013",E140&gt;1000,G140="PLN03"),H140,"")</f>
        <v/>
      </c>
      <c r="AN140" s="42" t="str">
        <f>IF(AND(C140=Master!$H$8,B140="2012-2013",E140="",G140="PLN03"),H140,"")</f>
        <v/>
      </c>
      <c r="AO140" s="42" t="str">
        <f>IF(AND(C140=Master!$H$9,B140="2012-2013",E140&gt;1000,G140="PLN03"),H140,"")</f>
        <v/>
      </c>
      <c r="AP140" s="42" t="str">
        <f>IF(AND(C140=Master!$H$9,B140="2012-2013",E140="",G140="PLN03"),H140,"")</f>
        <v/>
      </c>
      <c r="AQ140" s="44" t="str">
        <f>IF(AND(C140=Master!$H$1,B140="2012-2013",E140&gt;1000,G140="NPN05"),H140,"")</f>
        <v/>
      </c>
      <c r="AR140" s="44" t="str">
        <f>IF(AND(C140=Master!$H$1,B140="2012-2013",E140="",G140="NPN05"),H140,"")</f>
        <v/>
      </c>
      <c r="AS140" s="44" t="str">
        <f>IF(AND(C140=Master!$H$2,B140="2012-2013",E140&gt;1000,G140="NPN05"),H140,"")</f>
        <v/>
      </c>
      <c r="AT140" s="44" t="str">
        <f>IF(AND(C140=Master!$H$2,B140="2012-2013",E140="",G140="NPN05"),H140,"")</f>
        <v/>
      </c>
      <c r="AU140" s="44" t="str">
        <f>IF(AND(C140=Master!$H$3,B140="2012-2013",E140&gt;1000,G140="NPN05"),H140,"")</f>
        <v/>
      </c>
      <c r="AV140" s="44" t="str">
        <f>IF(AND(C140=Master!$H$3,B140="2012-2013",E140="",G140="NPN05"),H140,"")</f>
        <v/>
      </c>
      <c r="AW140" s="44" t="str">
        <f>IF(AND(C140=Master!$H$4,B140="2012-2013",E140&gt;1000,G140="NPN05"),H140,"")</f>
        <v/>
      </c>
      <c r="AX140" s="44" t="str">
        <f>IF(AND(C140=Master!$H$4,B140="2012-2013",E140="",G140="NPN05"),H140,"")</f>
        <v/>
      </c>
      <c r="AY140" s="44" t="str">
        <f>IF(AND(C140=Master!$H$5,B140="2012-2013",E140&gt;1000,G140="NPN05"),H140,"")</f>
        <v/>
      </c>
      <c r="AZ140" s="44" t="str">
        <f>IF(AND(C140=Master!$H$5,B140="2012-2013",E140="",G140="NPN05"),H140,"")</f>
        <v/>
      </c>
      <c r="BA140" s="44" t="str">
        <f>IF(AND(C140=Master!$H$6,B140="2012-2013",E140&gt;1000,G140="NPN05"),H140,"")</f>
        <v/>
      </c>
      <c r="BB140" s="44" t="str">
        <f>IF(AND(C140=Master!$H$6,B140="2012-2013",E140="",G140="NPN05"),H140,"")</f>
        <v/>
      </c>
      <c r="BC140" s="44" t="str">
        <f>IF(AND(C140=Master!$H$7,B140="2012-2013",E140&gt;1000,G140="NPN05"),H140,"")</f>
        <v/>
      </c>
      <c r="BD140" s="44" t="str">
        <f>IF(AND(C140=Master!$H$7,B140="2012-2013",E140="",G140="NPN05"),H140,"")</f>
        <v/>
      </c>
      <c r="BE140" s="44" t="str">
        <f>IF(AND(C140=Master!$H$8,B140="2012-2013",E140&gt;1000,G140="NPN05"),H140,"")</f>
        <v/>
      </c>
      <c r="BF140" s="44" t="str">
        <f>IF(AND(C140=Master!$H$8,B140="2012-2013",E140="",G140="NPN05"),H140,"")</f>
        <v/>
      </c>
      <c r="BG140" s="44" t="str">
        <f>IF(AND(C140=Master!$H$9,B140="2012-2013",E140&gt;1000,G140="NPN05"),H140,"")</f>
        <v/>
      </c>
      <c r="BH140" s="44" t="str">
        <f>IF(AND(C140=Master!$H$9,B140="2012-2013",E140="",G140="NPN05"),H140,"")</f>
        <v/>
      </c>
    </row>
    <row r="141" spans="1:60" x14ac:dyDescent="0.25">
      <c r="A141" s="3">
        <v>139</v>
      </c>
      <c r="B141" s="12"/>
      <c r="C141" s="12"/>
      <c r="D141" s="31"/>
      <c r="E141" s="4"/>
      <c r="F141" s="13"/>
      <c r="G141" s="21"/>
      <c r="H141" s="35"/>
      <c r="I141" s="21"/>
      <c r="J141" s="25" t="str">
        <f>IF(NOT(I141=""),INDEX(Master!$B$1:$B$46,MATCH(I141,Master!$A$1:$A$46,0)),"")</f>
        <v/>
      </c>
      <c r="K141" s="18"/>
      <c r="L141" s="86"/>
      <c r="M141" s="13"/>
      <c r="N141" s="13"/>
      <c r="O141" s="18"/>
      <c r="P141" s="35"/>
      <c r="Q141" s="21"/>
      <c r="R141" s="21"/>
      <c r="S141" s="13"/>
      <c r="T141" s="12"/>
      <c r="U141" s="12"/>
      <c r="V141" s="12"/>
      <c r="W141" s="14"/>
      <c r="Y141" s="42" t="str">
        <f>IF(AND(C141=Master!$H$1,B141="2012-2013",E141&gt;1000,G141="PLN03"),H141,"")</f>
        <v/>
      </c>
      <c r="Z141" s="42" t="str">
        <f>IF(AND(C141=Master!$H$1,B141="2012-2013",E141="",G141="PLN03"),H141,"")</f>
        <v/>
      </c>
      <c r="AA141" s="42" t="str">
        <f>IF(AND(C141=Master!$H$2,B141="2012-2013",E141&gt;1000,G141="PLN03"),H141,"")</f>
        <v/>
      </c>
      <c r="AB141" s="42" t="str">
        <f>IF(AND(C141=Master!$H$2,B141="2012-2013",E141="",G141="PLN03"),H141,"")</f>
        <v/>
      </c>
      <c r="AC141" s="42" t="str">
        <f>IF(AND(C141=Master!$H$3,B141="2012-2013",E141&gt;1000,G141="PLN03"),H141,"")</f>
        <v/>
      </c>
      <c r="AD141" s="42" t="str">
        <f>IF(AND(C141=Master!$H$3,B141="2012-2013",E141="",G141="PLN03"),H141,"")</f>
        <v/>
      </c>
      <c r="AE141" s="42" t="str">
        <f>IF(AND(C141=Master!$H$4,B141="2012-2013",E141&gt;1000,G141="PLN03"),H141,"")</f>
        <v/>
      </c>
      <c r="AF141" s="42" t="str">
        <f>IF(AND(C141=Master!$H$4,B141="2012-2013",E141="",G141="PLN03"),H141,"")</f>
        <v/>
      </c>
      <c r="AG141" s="42" t="str">
        <f>IF(AND(C141=Master!$H$5,B141="2012-2013",E141&gt;1000,G141="PLN03"),H141,"")</f>
        <v/>
      </c>
      <c r="AH141" s="42" t="str">
        <f>IF(AND(C141=Master!$H$5,B141="2012-2013",E141="",G141="PLN03"),H141,"")</f>
        <v/>
      </c>
      <c r="AI141" s="42" t="str">
        <f>IF(AND(C141=Master!$H$6,B141="2012-2013",E141&gt;1000,G141="PLN03"),H141,"")</f>
        <v/>
      </c>
      <c r="AJ141" s="42" t="str">
        <f>IF(AND(C141=Master!$H$6,B141="2012-2013",E141="",G141="PLN03"),H141,"")</f>
        <v/>
      </c>
      <c r="AK141" s="42" t="str">
        <f>IF(AND(C141=Master!$H$7,B141="2012-2013",E141&gt;1000,G141="PLN03"),H141,"")</f>
        <v/>
      </c>
      <c r="AL141" s="42" t="str">
        <f>IF(AND(C141=Master!$H$7,B141="2012-2013",E141="",G141="PLN03"),H141,"")</f>
        <v/>
      </c>
      <c r="AM141" s="42" t="str">
        <f>IF(AND(C141=Master!$H$8,B141="2012-2013",E141&gt;1000,G141="PLN03"),H141,"")</f>
        <v/>
      </c>
      <c r="AN141" s="42" t="str">
        <f>IF(AND(C141=Master!$H$8,B141="2012-2013",E141="",G141="PLN03"),H141,"")</f>
        <v/>
      </c>
      <c r="AO141" s="42" t="str">
        <f>IF(AND(C141=Master!$H$9,B141="2012-2013",E141&gt;1000,G141="PLN03"),H141,"")</f>
        <v/>
      </c>
      <c r="AP141" s="42" t="str">
        <f>IF(AND(C141=Master!$H$9,B141="2012-2013",E141="",G141="PLN03"),H141,"")</f>
        <v/>
      </c>
      <c r="AQ141" s="44" t="str">
        <f>IF(AND(C141=Master!$H$1,B141="2012-2013",E141&gt;1000,G141="NPN05"),H141,"")</f>
        <v/>
      </c>
      <c r="AR141" s="44" t="str">
        <f>IF(AND(C141=Master!$H$1,B141="2012-2013",E141="",G141="NPN05"),H141,"")</f>
        <v/>
      </c>
      <c r="AS141" s="44" t="str">
        <f>IF(AND(C141=Master!$H$2,B141="2012-2013",E141&gt;1000,G141="NPN05"),H141,"")</f>
        <v/>
      </c>
      <c r="AT141" s="44" t="str">
        <f>IF(AND(C141=Master!$H$2,B141="2012-2013",E141="",G141="NPN05"),H141,"")</f>
        <v/>
      </c>
      <c r="AU141" s="44" t="str">
        <f>IF(AND(C141=Master!$H$3,B141="2012-2013",E141&gt;1000,G141="NPN05"),H141,"")</f>
        <v/>
      </c>
      <c r="AV141" s="44" t="str">
        <f>IF(AND(C141=Master!$H$3,B141="2012-2013",E141="",G141="NPN05"),H141,"")</f>
        <v/>
      </c>
      <c r="AW141" s="44" t="str">
        <f>IF(AND(C141=Master!$H$4,B141="2012-2013",E141&gt;1000,G141="NPN05"),H141,"")</f>
        <v/>
      </c>
      <c r="AX141" s="44" t="str">
        <f>IF(AND(C141=Master!$H$4,B141="2012-2013",E141="",G141="NPN05"),H141,"")</f>
        <v/>
      </c>
      <c r="AY141" s="44" t="str">
        <f>IF(AND(C141=Master!$H$5,B141="2012-2013",E141&gt;1000,G141="NPN05"),H141,"")</f>
        <v/>
      </c>
      <c r="AZ141" s="44" t="str">
        <f>IF(AND(C141=Master!$H$5,B141="2012-2013",E141="",G141="NPN05"),H141,"")</f>
        <v/>
      </c>
      <c r="BA141" s="44" t="str">
        <f>IF(AND(C141=Master!$H$6,B141="2012-2013",E141&gt;1000,G141="NPN05"),H141,"")</f>
        <v/>
      </c>
      <c r="BB141" s="44" t="str">
        <f>IF(AND(C141=Master!$H$6,B141="2012-2013",E141="",G141="NPN05"),H141,"")</f>
        <v/>
      </c>
      <c r="BC141" s="44" t="str">
        <f>IF(AND(C141=Master!$H$7,B141="2012-2013",E141&gt;1000,G141="NPN05"),H141,"")</f>
        <v/>
      </c>
      <c r="BD141" s="44" t="str">
        <f>IF(AND(C141=Master!$H$7,B141="2012-2013",E141="",G141="NPN05"),H141,"")</f>
        <v/>
      </c>
      <c r="BE141" s="44" t="str">
        <f>IF(AND(C141=Master!$H$8,B141="2012-2013",E141&gt;1000,G141="NPN05"),H141,"")</f>
        <v/>
      </c>
      <c r="BF141" s="44" t="str">
        <f>IF(AND(C141=Master!$H$8,B141="2012-2013",E141="",G141="NPN05"),H141,"")</f>
        <v/>
      </c>
      <c r="BG141" s="44" t="str">
        <f>IF(AND(C141=Master!$H$9,B141="2012-2013",E141&gt;1000,G141="NPN05"),H141,"")</f>
        <v/>
      </c>
      <c r="BH141" s="44" t="str">
        <f>IF(AND(C141=Master!$H$9,B141="2012-2013",E141="",G141="NPN05"),H141,"")</f>
        <v/>
      </c>
    </row>
    <row r="142" spans="1:60" x14ac:dyDescent="0.25">
      <c r="A142" s="3">
        <v>140</v>
      </c>
      <c r="B142" s="12"/>
      <c r="C142" s="12"/>
      <c r="D142" s="31"/>
      <c r="E142" s="4"/>
      <c r="F142" s="13"/>
      <c r="G142" s="21"/>
      <c r="H142" s="35"/>
      <c r="I142" s="21"/>
      <c r="J142" s="25" t="str">
        <f>IF(NOT(I142=""),INDEX(Master!$B$1:$B$46,MATCH(I142,Master!$A$1:$A$46,0)),"")</f>
        <v/>
      </c>
      <c r="K142" s="18"/>
      <c r="L142" s="86"/>
      <c r="M142" s="13"/>
      <c r="N142" s="13"/>
      <c r="O142" s="18"/>
      <c r="P142" s="35"/>
      <c r="Q142" s="21"/>
      <c r="R142" s="21"/>
      <c r="S142" s="13"/>
      <c r="T142" s="12"/>
      <c r="U142" s="12"/>
      <c r="V142" s="12"/>
      <c r="W142" s="14"/>
      <c r="Y142" s="42" t="str">
        <f>IF(AND(C142=Master!$H$1,B142="2012-2013",E142&gt;1000,G142="PLN03"),H142,"")</f>
        <v/>
      </c>
      <c r="Z142" s="42" t="str">
        <f>IF(AND(C142=Master!$H$1,B142="2012-2013",E142="",G142="PLN03"),H142,"")</f>
        <v/>
      </c>
      <c r="AA142" s="42" t="str">
        <f>IF(AND(C142=Master!$H$2,B142="2012-2013",E142&gt;1000,G142="PLN03"),H142,"")</f>
        <v/>
      </c>
      <c r="AB142" s="42" t="str">
        <f>IF(AND(C142=Master!$H$2,B142="2012-2013",E142="",G142="PLN03"),H142,"")</f>
        <v/>
      </c>
      <c r="AC142" s="42" t="str">
        <f>IF(AND(C142=Master!$H$3,B142="2012-2013",E142&gt;1000,G142="PLN03"),H142,"")</f>
        <v/>
      </c>
      <c r="AD142" s="42" t="str">
        <f>IF(AND(C142=Master!$H$3,B142="2012-2013",E142="",G142="PLN03"),H142,"")</f>
        <v/>
      </c>
      <c r="AE142" s="42" t="str">
        <f>IF(AND(C142=Master!$H$4,B142="2012-2013",E142&gt;1000,G142="PLN03"),H142,"")</f>
        <v/>
      </c>
      <c r="AF142" s="42" t="str">
        <f>IF(AND(C142=Master!$H$4,B142="2012-2013",E142="",G142="PLN03"),H142,"")</f>
        <v/>
      </c>
      <c r="AG142" s="42" t="str">
        <f>IF(AND(C142=Master!$H$5,B142="2012-2013",E142&gt;1000,G142="PLN03"),H142,"")</f>
        <v/>
      </c>
      <c r="AH142" s="42" t="str">
        <f>IF(AND(C142=Master!$H$5,B142="2012-2013",E142="",G142="PLN03"),H142,"")</f>
        <v/>
      </c>
      <c r="AI142" s="42" t="str">
        <f>IF(AND(C142=Master!$H$6,B142="2012-2013",E142&gt;1000,G142="PLN03"),H142,"")</f>
        <v/>
      </c>
      <c r="AJ142" s="42" t="str">
        <f>IF(AND(C142=Master!$H$6,B142="2012-2013",E142="",G142="PLN03"),H142,"")</f>
        <v/>
      </c>
      <c r="AK142" s="42" t="str">
        <f>IF(AND(C142=Master!$H$7,B142="2012-2013",E142&gt;1000,G142="PLN03"),H142,"")</f>
        <v/>
      </c>
      <c r="AL142" s="42" t="str">
        <f>IF(AND(C142=Master!$H$7,B142="2012-2013",E142="",G142="PLN03"),H142,"")</f>
        <v/>
      </c>
      <c r="AM142" s="42" t="str">
        <f>IF(AND(C142=Master!$H$8,B142="2012-2013",E142&gt;1000,G142="PLN03"),H142,"")</f>
        <v/>
      </c>
      <c r="AN142" s="42" t="str">
        <f>IF(AND(C142=Master!$H$8,B142="2012-2013",E142="",G142="PLN03"),H142,"")</f>
        <v/>
      </c>
      <c r="AO142" s="42" t="str">
        <f>IF(AND(C142=Master!$H$9,B142="2012-2013",E142&gt;1000,G142="PLN03"),H142,"")</f>
        <v/>
      </c>
      <c r="AP142" s="42" t="str">
        <f>IF(AND(C142=Master!$H$9,B142="2012-2013",E142="",G142="PLN03"),H142,"")</f>
        <v/>
      </c>
      <c r="AQ142" s="44" t="str">
        <f>IF(AND(C142=Master!$H$1,B142="2012-2013",E142&gt;1000,G142="NPN05"),H142,"")</f>
        <v/>
      </c>
      <c r="AR142" s="44" t="str">
        <f>IF(AND(C142=Master!$H$1,B142="2012-2013",E142="",G142="NPN05"),H142,"")</f>
        <v/>
      </c>
      <c r="AS142" s="44" t="str">
        <f>IF(AND(C142=Master!$H$2,B142="2012-2013",E142&gt;1000,G142="NPN05"),H142,"")</f>
        <v/>
      </c>
      <c r="AT142" s="44" t="str">
        <f>IF(AND(C142=Master!$H$2,B142="2012-2013",E142="",G142="NPN05"),H142,"")</f>
        <v/>
      </c>
      <c r="AU142" s="44" t="str">
        <f>IF(AND(C142=Master!$H$3,B142="2012-2013",E142&gt;1000,G142="NPN05"),H142,"")</f>
        <v/>
      </c>
      <c r="AV142" s="44" t="str">
        <f>IF(AND(C142=Master!$H$3,B142="2012-2013",E142="",G142="NPN05"),H142,"")</f>
        <v/>
      </c>
      <c r="AW142" s="44" t="str">
        <f>IF(AND(C142=Master!$H$4,B142="2012-2013",E142&gt;1000,G142="NPN05"),H142,"")</f>
        <v/>
      </c>
      <c r="AX142" s="44" t="str">
        <f>IF(AND(C142=Master!$H$4,B142="2012-2013",E142="",G142="NPN05"),H142,"")</f>
        <v/>
      </c>
      <c r="AY142" s="44" t="str">
        <f>IF(AND(C142=Master!$H$5,B142="2012-2013",E142&gt;1000,G142="NPN05"),H142,"")</f>
        <v/>
      </c>
      <c r="AZ142" s="44" t="str">
        <f>IF(AND(C142=Master!$H$5,B142="2012-2013",E142="",G142="NPN05"),H142,"")</f>
        <v/>
      </c>
      <c r="BA142" s="44" t="str">
        <f>IF(AND(C142=Master!$H$6,B142="2012-2013",E142&gt;1000,G142="NPN05"),H142,"")</f>
        <v/>
      </c>
      <c r="BB142" s="44" t="str">
        <f>IF(AND(C142=Master!$H$6,B142="2012-2013",E142="",G142="NPN05"),H142,"")</f>
        <v/>
      </c>
      <c r="BC142" s="44" t="str">
        <f>IF(AND(C142=Master!$H$7,B142="2012-2013",E142&gt;1000,G142="NPN05"),H142,"")</f>
        <v/>
      </c>
      <c r="BD142" s="44" t="str">
        <f>IF(AND(C142=Master!$H$7,B142="2012-2013",E142="",G142="NPN05"),H142,"")</f>
        <v/>
      </c>
      <c r="BE142" s="44" t="str">
        <f>IF(AND(C142=Master!$H$8,B142="2012-2013",E142&gt;1000,G142="NPN05"),H142,"")</f>
        <v/>
      </c>
      <c r="BF142" s="44" t="str">
        <f>IF(AND(C142=Master!$H$8,B142="2012-2013",E142="",G142="NPN05"),H142,"")</f>
        <v/>
      </c>
      <c r="BG142" s="44" t="str">
        <f>IF(AND(C142=Master!$H$9,B142="2012-2013",E142&gt;1000,G142="NPN05"),H142,"")</f>
        <v/>
      </c>
      <c r="BH142" s="44" t="str">
        <f>IF(AND(C142=Master!$H$9,B142="2012-2013",E142="",G142="NPN05"),H142,"")</f>
        <v/>
      </c>
    </row>
    <row r="143" spans="1:60" x14ac:dyDescent="0.25">
      <c r="A143" s="3">
        <v>141</v>
      </c>
      <c r="B143" s="12"/>
      <c r="C143" s="12"/>
      <c r="D143" s="31"/>
      <c r="E143" s="4"/>
      <c r="F143" s="13"/>
      <c r="G143" s="21"/>
      <c r="H143" s="35"/>
      <c r="I143" s="21"/>
      <c r="J143" s="25" t="str">
        <f>IF(NOT(I143=""),INDEX(Master!$B$1:$B$46,MATCH(I143,Master!$A$1:$A$46,0)),"")</f>
        <v/>
      </c>
      <c r="K143" s="18"/>
      <c r="L143" s="86"/>
      <c r="M143" s="13"/>
      <c r="N143" s="13"/>
      <c r="O143" s="18"/>
      <c r="P143" s="35"/>
      <c r="Q143" s="21"/>
      <c r="R143" s="21"/>
      <c r="S143" s="13"/>
      <c r="T143" s="12"/>
      <c r="U143" s="12"/>
      <c r="V143" s="12"/>
      <c r="W143" s="14"/>
      <c r="Y143" s="42" t="str">
        <f>IF(AND(C143=Master!$H$1,B143="2012-2013",E143&gt;1000,G143="PLN03"),H143,"")</f>
        <v/>
      </c>
      <c r="Z143" s="42" t="str">
        <f>IF(AND(C143=Master!$H$1,B143="2012-2013",E143="",G143="PLN03"),H143,"")</f>
        <v/>
      </c>
      <c r="AA143" s="42" t="str">
        <f>IF(AND(C143=Master!$H$2,B143="2012-2013",E143&gt;1000,G143="PLN03"),H143,"")</f>
        <v/>
      </c>
      <c r="AB143" s="42" t="str">
        <f>IF(AND(C143=Master!$H$2,B143="2012-2013",E143="",G143="PLN03"),H143,"")</f>
        <v/>
      </c>
      <c r="AC143" s="42" t="str">
        <f>IF(AND(C143=Master!$H$3,B143="2012-2013",E143&gt;1000,G143="PLN03"),H143,"")</f>
        <v/>
      </c>
      <c r="AD143" s="42" t="str">
        <f>IF(AND(C143=Master!$H$3,B143="2012-2013",E143="",G143="PLN03"),H143,"")</f>
        <v/>
      </c>
      <c r="AE143" s="42" t="str">
        <f>IF(AND(C143=Master!$H$4,B143="2012-2013",E143&gt;1000,G143="PLN03"),H143,"")</f>
        <v/>
      </c>
      <c r="AF143" s="42" t="str">
        <f>IF(AND(C143=Master!$H$4,B143="2012-2013",E143="",G143="PLN03"),H143,"")</f>
        <v/>
      </c>
      <c r="AG143" s="42" t="str">
        <f>IF(AND(C143=Master!$H$5,B143="2012-2013",E143&gt;1000,G143="PLN03"),H143,"")</f>
        <v/>
      </c>
      <c r="AH143" s="42" t="str">
        <f>IF(AND(C143=Master!$H$5,B143="2012-2013",E143="",G143="PLN03"),H143,"")</f>
        <v/>
      </c>
      <c r="AI143" s="42" t="str">
        <f>IF(AND(C143=Master!$H$6,B143="2012-2013",E143&gt;1000,G143="PLN03"),H143,"")</f>
        <v/>
      </c>
      <c r="AJ143" s="42" t="str">
        <f>IF(AND(C143=Master!$H$6,B143="2012-2013",E143="",G143="PLN03"),H143,"")</f>
        <v/>
      </c>
      <c r="AK143" s="42" t="str">
        <f>IF(AND(C143=Master!$H$7,B143="2012-2013",E143&gt;1000,G143="PLN03"),H143,"")</f>
        <v/>
      </c>
      <c r="AL143" s="42" t="str">
        <f>IF(AND(C143=Master!$H$7,B143="2012-2013",E143="",G143="PLN03"),H143,"")</f>
        <v/>
      </c>
      <c r="AM143" s="42" t="str">
        <f>IF(AND(C143=Master!$H$8,B143="2012-2013",E143&gt;1000,G143="PLN03"),H143,"")</f>
        <v/>
      </c>
      <c r="AN143" s="42" t="str">
        <f>IF(AND(C143=Master!$H$8,B143="2012-2013",E143="",G143="PLN03"),H143,"")</f>
        <v/>
      </c>
      <c r="AO143" s="42" t="str">
        <f>IF(AND(C143=Master!$H$9,B143="2012-2013",E143&gt;1000,G143="PLN03"),H143,"")</f>
        <v/>
      </c>
      <c r="AP143" s="42" t="str">
        <f>IF(AND(C143=Master!$H$9,B143="2012-2013",E143="",G143="PLN03"),H143,"")</f>
        <v/>
      </c>
      <c r="AQ143" s="44" t="str">
        <f>IF(AND(C143=Master!$H$1,B143="2012-2013",E143&gt;1000,G143="NPN05"),H143,"")</f>
        <v/>
      </c>
      <c r="AR143" s="44" t="str">
        <f>IF(AND(C143=Master!$H$1,B143="2012-2013",E143="",G143="NPN05"),H143,"")</f>
        <v/>
      </c>
      <c r="AS143" s="44" t="str">
        <f>IF(AND(C143=Master!$H$2,B143="2012-2013",E143&gt;1000,G143="NPN05"),H143,"")</f>
        <v/>
      </c>
      <c r="AT143" s="44" t="str">
        <f>IF(AND(C143=Master!$H$2,B143="2012-2013",E143="",G143="NPN05"),H143,"")</f>
        <v/>
      </c>
      <c r="AU143" s="44" t="str">
        <f>IF(AND(C143=Master!$H$3,B143="2012-2013",E143&gt;1000,G143="NPN05"),H143,"")</f>
        <v/>
      </c>
      <c r="AV143" s="44" t="str">
        <f>IF(AND(C143=Master!$H$3,B143="2012-2013",E143="",G143="NPN05"),H143,"")</f>
        <v/>
      </c>
      <c r="AW143" s="44" t="str">
        <f>IF(AND(C143=Master!$H$4,B143="2012-2013",E143&gt;1000,G143="NPN05"),H143,"")</f>
        <v/>
      </c>
      <c r="AX143" s="44" t="str">
        <f>IF(AND(C143=Master!$H$4,B143="2012-2013",E143="",G143="NPN05"),H143,"")</f>
        <v/>
      </c>
      <c r="AY143" s="44" t="str">
        <f>IF(AND(C143=Master!$H$5,B143="2012-2013",E143&gt;1000,G143="NPN05"),H143,"")</f>
        <v/>
      </c>
      <c r="AZ143" s="44" t="str">
        <f>IF(AND(C143=Master!$H$5,B143="2012-2013",E143="",G143="NPN05"),H143,"")</f>
        <v/>
      </c>
      <c r="BA143" s="44" t="str">
        <f>IF(AND(C143=Master!$H$6,B143="2012-2013",E143&gt;1000,G143="NPN05"),H143,"")</f>
        <v/>
      </c>
      <c r="BB143" s="44" t="str">
        <f>IF(AND(C143=Master!$H$6,B143="2012-2013",E143="",G143="NPN05"),H143,"")</f>
        <v/>
      </c>
      <c r="BC143" s="44" t="str">
        <f>IF(AND(C143=Master!$H$7,B143="2012-2013",E143&gt;1000,G143="NPN05"),H143,"")</f>
        <v/>
      </c>
      <c r="BD143" s="44" t="str">
        <f>IF(AND(C143=Master!$H$7,B143="2012-2013",E143="",G143="NPN05"),H143,"")</f>
        <v/>
      </c>
      <c r="BE143" s="44" t="str">
        <f>IF(AND(C143=Master!$H$8,B143="2012-2013",E143&gt;1000,G143="NPN05"),H143,"")</f>
        <v/>
      </c>
      <c r="BF143" s="44" t="str">
        <f>IF(AND(C143=Master!$H$8,B143="2012-2013",E143="",G143="NPN05"),H143,"")</f>
        <v/>
      </c>
      <c r="BG143" s="44" t="str">
        <f>IF(AND(C143=Master!$H$9,B143="2012-2013",E143&gt;1000,G143="NPN05"),H143,"")</f>
        <v/>
      </c>
      <c r="BH143" s="44" t="str">
        <f>IF(AND(C143=Master!$H$9,B143="2012-2013",E143="",G143="NPN05"),H143,"")</f>
        <v/>
      </c>
    </row>
    <row r="144" spans="1:60" x14ac:dyDescent="0.25">
      <c r="A144" s="3">
        <v>142</v>
      </c>
      <c r="B144" s="12"/>
      <c r="C144" s="12"/>
      <c r="D144" s="31"/>
      <c r="E144" s="4"/>
      <c r="F144" s="13"/>
      <c r="G144" s="21"/>
      <c r="H144" s="35"/>
      <c r="I144" s="21"/>
      <c r="J144" s="25" t="str">
        <f>IF(NOT(I144=""),INDEX(Master!$B$1:$B$46,MATCH(I144,Master!$A$1:$A$46,0)),"")</f>
        <v/>
      </c>
      <c r="K144" s="18"/>
      <c r="L144" s="86"/>
      <c r="M144" s="13"/>
      <c r="N144" s="13"/>
      <c r="O144" s="18"/>
      <c r="P144" s="35"/>
      <c r="Q144" s="21"/>
      <c r="R144" s="21"/>
      <c r="S144" s="13"/>
      <c r="T144" s="12"/>
      <c r="U144" s="12"/>
      <c r="V144" s="12"/>
      <c r="W144" s="14"/>
      <c r="Y144" s="42" t="str">
        <f>IF(AND(C144=Master!$H$1,B144="2012-2013",E144&gt;1000,G144="PLN03"),H144,"")</f>
        <v/>
      </c>
      <c r="Z144" s="42" t="str">
        <f>IF(AND(C144=Master!$H$1,B144="2012-2013",E144="",G144="PLN03"),H144,"")</f>
        <v/>
      </c>
      <c r="AA144" s="42" t="str">
        <f>IF(AND(C144=Master!$H$2,B144="2012-2013",E144&gt;1000,G144="PLN03"),H144,"")</f>
        <v/>
      </c>
      <c r="AB144" s="42" t="str">
        <f>IF(AND(C144=Master!$H$2,B144="2012-2013",E144="",G144="PLN03"),H144,"")</f>
        <v/>
      </c>
      <c r="AC144" s="42" t="str">
        <f>IF(AND(C144=Master!$H$3,B144="2012-2013",E144&gt;1000,G144="PLN03"),H144,"")</f>
        <v/>
      </c>
      <c r="AD144" s="42" t="str">
        <f>IF(AND(C144=Master!$H$3,B144="2012-2013",E144="",G144="PLN03"),H144,"")</f>
        <v/>
      </c>
      <c r="AE144" s="42" t="str">
        <f>IF(AND(C144=Master!$H$4,B144="2012-2013",E144&gt;1000,G144="PLN03"),H144,"")</f>
        <v/>
      </c>
      <c r="AF144" s="42" t="str">
        <f>IF(AND(C144=Master!$H$4,B144="2012-2013",E144="",G144="PLN03"),H144,"")</f>
        <v/>
      </c>
      <c r="AG144" s="42" t="str">
        <f>IF(AND(C144=Master!$H$5,B144="2012-2013",E144&gt;1000,G144="PLN03"),H144,"")</f>
        <v/>
      </c>
      <c r="AH144" s="42" t="str">
        <f>IF(AND(C144=Master!$H$5,B144="2012-2013",E144="",G144="PLN03"),H144,"")</f>
        <v/>
      </c>
      <c r="AI144" s="42" t="str">
        <f>IF(AND(C144=Master!$H$6,B144="2012-2013",E144&gt;1000,G144="PLN03"),H144,"")</f>
        <v/>
      </c>
      <c r="AJ144" s="42" t="str">
        <f>IF(AND(C144=Master!$H$6,B144="2012-2013",E144="",G144="PLN03"),H144,"")</f>
        <v/>
      </c>
      <c r="AK144" s="42" t="str">
        <f>IF(AND(C144=Master!$H$7,B144="2012-2013",E144&gt;1000,G144="PLN03"),H144,"")</f>
        <v/>
      </c>
      <c r="AL144" s="42" t="str">
        <f>IF(AND(C144=Master!$H$7,B144="2012-2013",E144="",G144="PLN03"),H144,"")</f>
        <v/>
      </c>
      <c r="AM144" s="42" t="str">
        <f>IF(AND(C144=Master!$H$8,B144="2012-2013",E144&gt;1000,G144="PLN03"),H144,"")</f>
        <v/>
      </c>
      <c r="AN144" s="42" t="str">
        <f>IF(AND(C144=Master!$H$8,B144="2012-2013",E144="",G144="PLN03"),H144,"")</f>
        <v/>
      </c>
      <c r="AO144" s="42" t="str">
        <f>IF(AND(C144=Master!$H$9,B144="2012-2013",E144&gt;1000,G144="PLN03"),H144,"")</f>
        <v/>
      </c>
      <c r="AP144" s="42" t="str">
        <f>IF(AND(C144=Master!$H$9,B144="2012-2013",E144="",G144="PLN03"),H144,"")</f>
        <v/>
      </c>
      <c r="AQ144" s="44" t="str">
        <f>IF(AND(C144=Master!$H$1,B144="2012-2013",E144&gt;1000,G144="NPN05"),H144,"")</f>
        <v/>
      </c>
      <c r="AR144" s="44" t="str">
        <f>IF(AND(C144=Master!$H$1,B144="2012-2013",E144="",G144="NPN05"),H144,"")</f>
        <v/>
      </c>
      <c r="AS144" s="44" t="str">
        <f>IF(AND(C144=Master!$H$2,B144="2012-2013",E144&gt;1000,G144="NPN05"),H144,"")</f>
        <v/>
      </c>
      <c r="AT144" s="44" t="str">
        <f>IF(AND(C144=Master!$H$2,B144="2012-2013",E144="",G144="NPN05"),H144,"")</f>
        <v/>
      </c>
      <c r="AU144" s="44" t="str">
        <f>IF(AND(C144=Master!$H$3,B144="2012-2013",E144&gt;1000,G144="NPN05"),H144,"")</f>
        <v/>
      </c>
      <c r="AV144" s="44" t="str">
        <f>IF(AND(C144=Master!$H$3,B144="2012-2013",E144="",G144="NPN05"),H144,"")</f>
        <v/>
      </c>
      <c r="AW144" s="44" t="str">
        <f>IF(AND(C144=Master!$H$4,B144="2012-2013",E144&gt;1000,G144="NPN05"),H144,"")</f>
        <v/>
      </c>
      <c r="AX144" s="44" t="str">
        <f>IF(AND(C144=Master!$H$4,B144="2012-2013",E144="",G144="NPN05"),H144,"")</f>
        <v/>
      </c>
      <c r="AY144" s="44" t="str">
        <f>IF(AND(C144=Master!$H$5,B144="2012-2013",E144&gt;1000,G144="NPN05"),H144,"")</f>
        <v/>
      </c>
      <c r="AZ144" s="44" t="str">
        <f>IF(AND(C144=Master!$H$5,B144="2012-2013",E144="",G144="NPN05"),H144,"")</f>
        <v/>
      </c>
      <c r="BA144" s="44" t="str">
        <f>IF(AND(C144=Master!$H$6,B144="2012-2013",E144&gt;1000,G144="NPN05"),H144,"")</f>
        <v/>
      </c>
      <c r="BB144" s="44" t="str">
        <f>IF(AND(C144=Master!$H$6,B144="2012-2013",E144="",G144="NPN05"),H144,"")</f>
        <v/>
      </c>
      <c r="BC144" s="44" t="str">
        <f>IF(AND(C144=Master!$H$7,B144="2012-2013",E144&gt;1000,G144="NPN05"),H144,"")</f>
        <v/>
      </c>
      <c r="BD144" s="44" t="str">
        <f>IF(AND(C144=Master!$H$7,B144="2012-2013",E144="",G144="NPN05"),H144,"")</f>
        <v/>
      </c>
      <c r="BE144" s="44" t="str">
        <f>IF(AND(C144=Master!$H$8,B144="2012-2013",E144&gt;1000,G144="NPN05"),H144,"")</f>
        <v/>
      </c>
      <c r="BF144" s="44" t="str">
        <f>IF(AND(C144=Master!$H$8,B144="2012-2013",E144="",G144="NPN05"),H144,"")</f>
        <v/>
      </c>
      <c r="BG144" s="44" t="str">
        <f>IF(AND(C144=Master!$H$9,B144="2012-2013",E144&gt;1000,G144="NPN05"),H144,"")</f>
        <v/>
      </c>
      <c r="BH144" s="44" t="str">
        <f>IF(AND(C144=Master!$H$9,B144="2012-2013",E144="",G144="NPN05"),H144,"")</f>
        <v/>
      </c>
    </row>
    <row r="145" spans="1:60" x14ac:dyDescent="0.25">
      <c r="A145" s="3">
        <v>143</v>
      </c>
      <c r="B145" s="12"/>
      <c r="C145" s="12"/>
      <c r="D145" s="31"/>
      <c r="E145" s="4"/>
      <c r="F145" s="13"/>
      <c r="G145" s="21"/>
      <c r="H145" s="35"/>
      <c r="I145" s="21"/>
      <c r="J145" s="25" t="str">
        <f>IF(NOT(I145=""),INDEX(Master!$B$1:$B$46,MATCH(I145,Master!$A$1:$A$46,0)),"")</f>
        <v/>
      </c>
      <c r="K145" s="18"/>
      <c r="L145" s="86"/>
      <c r="M145" s="13"/>
      <c r="N145" s="13"/>
      <c r="O145" s="18"/>
      <c r="P145" s="35"/>
      <c r="Q145" s="21"/>
      <c r="R145" s="21"/>
      <c r="S145" s="13"/>
      <c r="T145" s="12"/>
      <c r="U145" s="12"/>
      <c r="V145" s="12"/>
      <c r="W145" s="14"/>
      <c r="Y145" s="42" t="str">
        <f>IF(AND(C145=Master!$H$1,B145="2012-2013",E145&gt;1000,G145="PLN03"),H145,"")</f>
        <v/>
      </c>
      <c r="Z145" s="42" t="str">
        <f>IF(AND(C145=Master!$H$1,B145="2012-2013",E145="",G145="PLN03"),H145,"")</f>
        <v/>
      </c>
      <c r="AA145" s="42" t="str">
        <f>IF(AND(C145=Master!$H$2,B145="2012-2013",E145&gt;1000,G145="PLN03"),H145,"")</f>
        <v/>
      </c>
      <c r="AB145" s="42" t="str">
        <f>IF(AND(C145=Master!$H$2,B145="2012-2013",E145="",G145="PLN03"),H145,"")</f>
        <v/>
      </c>
      <c r="AC145" s="42" t="str">
        <f>IF(AND(C145=Master!$H$3,B145="2012-2013",E145&gt;1000,G145="PLN03"),H145,"")</f>
        <v/>
      </c>
      <c r="AD145" s="42" t="str">
        <f>IF(AND(C145=Master!$H$3,B145="2012-2013",E145="",G145="PLN03"),H145,"")</f>
        <v/>
      </c>
      <c r="AE145" s="42" t="str">
        <f>IF(AND(C145=Master!$H$4,B145="2012-2013",E145&gt;1000,G145="PLN03"),H145,"")</f>
        <v/>
      </c>
      <c r="AF145" s="42" t="str">
        <f>IF(AND(C145=Master!$H$4,B145="2012-2013",E145="",G145="PLN03"),H145,"")</f>
        <v/>
      </c>
      <c r="AG145" s="42" t="str">
        <f>IF(AND(C145=Master!$H$5,B145="2012-2013",E145&gt;1000,G145="PLN03"),H145,"")</f>
        <v/>
      </c>
      <c r="AH145" s="42" t="str">
        <f>IF(AND(C145=Master!$H$5,B145="2012-2013",E145="",G145="PLN03"),H145,"")</f>
        <v/>
      </c>
      <c r="AI145" s="42" t="str">
        <f>IF(AND(C145=Master!$H$6,B145="2012-2013",E145&gt;1000,G145="PLN03"),H145,"")</f>
        <v/>
      </c>
      <c r="AJ145" s="42" t="str">
        <f>IF(AND(C145=Master!$H$6,B145="2012-2013",E145="",G145="PLN03"),H145,"")</f>
        <v/>
      </c>
      <c r="AK145" s="42" t="str">
        <f>IF(AND(C145=Master!$H$7,B145="2012-2013",E145&gt;1000,G145="PLN03"),H145,"")</f>
        <v/>
      </c>
      <c r="AL145" s="42" t="str">
        <f>IF(AND(C145=Master!$H$7,B145="2012-2013",E145="",G145="PLN03"),H145,"")</f>
        <v/>
      </c>
      <c r="AM145" s="42" t="str">
        <f>IF(AND(C145=Master!$H$8,B145="2012-2013",E145&gt;1000,G145="PLN03"),H145,"")</f>
        <v/>
      </c>
      <c r="AN145" s="42" t="str">
        <f>IF(AND(C145=Master!$H$8,B145="2012-2013",E145="",G145="PLN03"),H145,"")</f>
        <v/>
      </c>
      <c r="AO145" s="42" t="str">
        <f>IF(AND(C145=Master!$H$9,B145="2012-2013",E145&gt;1000,G145="PLN03"),H145,"")</f>
        <v/>
      </c>
      <c r="AP145" s="42" t="str">
        <f>IF(AND(C145=Master!$H$9,B145="2012-2013",E145="",G145="PLN03"),H145,"")</f>
        <v/>
      </c>
      <c r="AQ145" s="44" t="str">
        <f>IF(AND(C145=Master!$H$1,B145="2012-2013",E145&gt;1000,G145="NPN05"),H145,"")</f>
        <v/>
      </c>
      <c r="AR145" s="44" t="str">
        <f>IF(AND(C145=Master!$H$1,B145="2012-2013",E145="",G145="NPN05"),H145,"")</f>
        <v/>
      </c>
      <c r="AS145" s="44" t="str">
        <f>IF(AND(C145=Master!$H$2,B145="2012-2013",E145&gt;1000,G145="NPN05"),H145,"")</f>
        <v/>
      </c>
      <c r="AT145" s="44" t="str">
        <f>IF(AND(C145=Master!$H$2,B145="2012-2013",E145="",G145="NPN05"),H145,"")</f>
        <v/>
      </c>
      <c r="AU145" s="44" t="str">
        <f>IF(AND(C145=Master!$H$3,B145="2012-2013",E145&gt;1000,G145="NPN05"),H145,"")</f>
        <v/>
      </c>
      <c r="AV145" s="44" t="str">
        <f>IF(AND(C145=Master!$H$3,B145="2012-2013",E145="",G145="NPN05"),H145,"")</f>
        <v/>
      </c>
      <c r="AW145" s="44" t="str">
        <f>IF(AND(C145=Master!$H$4,B145="2012-2013",E145&gt;1000,G145="NPN05"),H145,"")</f>
        <v/>
      </c>
      <c r="AX145" s="44" t="str">
        <f>IF(AND(C145=Master!$H$4,B145="2012-2013",E145="",G145="NPN05"),H145,"")</f>
        <v/>
      </c>
      <c r="AY145" s="44" t="str">
        <f>IF(AND(C145=Master!$H$5,B145="2012-2013",E145&gt;1000,G145="NPN05"),H145,"")</f>
        <v/>
      </c>
      <c r="AZ145" s="44" t="str">
        <f>IF(AND(C145=Master!$H$5,B145="2012-2013",E145="",G145="NPN05"),H145,"")</f>
        <v/>
      </c>
      <c r="BA145" s="44" t="str">
        <f>IF(AND(C145=Master!$H$6,B145="2012-2013",E145&gt;1000,G145="NPN05"),H145,"")</f>
        <v/>
      </c>
      <c r="BB145" s="44" t="str">
        <f>IF(AND(C145=Master!$H$6,B145="2012-2013",E145="",G145="NPN05"),H145,"")</f>
        <v/>
      </c>
      <c r="BC145" s="44" t="str">
        <f>IF(AND(C145=Master!$H$7,B145="2012-2013",E145&gt;1000,G145="NPN05"),H145,"")</f>
        <v/>
      </c>
      <c r="BD145" s="44" t="str">
        <f>IF(AND(C145=Master!$H$7,B145="2012-2013",E145="",G145="NPN05"),H145,"")</f>
        <v/>
      </c>
      <c r="BE145" s="44" t="str">
        <f>IF(AND(C145=Master!$H$8,B145="2012-2013",E145&gt;1000,G145="NPN05"),H145,"")</f>
        <v/>
      </c>
      <c r="BF145" s="44" t="str">
        <f>IF(AND(C145=Master!$H$8,B145="2012-2013",E145="",G145="NPN05"),H145,"")</f>
        <v/>
      </c>
      <c r="BG145" s="44" t="str">
        <f>IF(AND(C145=Master!$H$9,B145="2012-2013",E145&gt;1000,G145="NPN05"),H145,"")</f>
        <v/>
      </c>
      <c r="BH145" s="44" t="str">
        <f>IF(AND(C145=Master!$H$9,B145="2012-2013",E145="",G145="NPN05"),H145,"")</f>
        <v/>
      </c>
    </row>
    <row r="146" spans="1:60" x14ac:dyDescent="0.25">
      <c r="A146" s="3">
        <v>144</v>
      </c>
      <c r="B146" s="12"/>
      <c r="C146" s="12"/>
      <c r="D146" s="31"/>
      <c r="E146" s="4"/>
      <c r="F146" s="13"/>
      <c r="G146" s="21"/>
      <c r="H146" s="35"/>
      <c r="I146" s="21"/>
      <c r="J146" s="25" t="str">
        <f>IF(NOT(I146=""),INDEX(Master!$B$1:$B$46,MATCH(I146,Master!$A$1:$A$46,0)),"")</f>
        <v/>
      </c>
      <c r="K146" s="18"/>
      <c r="L146" s="86"/>
      <c r="M146" s="13"/>
      <c r="N146" s="13"/>
      <c r="O146" s="18"/>
      <c r="P146" s="35"/>
      <c r="Q146" s="21"/>
      <c r="R146" s="21"/>
      <c r="S146" s="13"/>
      <c r="T146" s="12"/>
      <c r="U146" s="12"/>
      <c r="V146" s="12"/>
      <c r="W146" s="14"/>
      <c r="Y146" s="42" t="str">
        <f>IF(AND(C146=Master!$H$1,B146="2012-2013",E146&gt;1000,G146="PLN03"),H146,"")</f>
        <v/>
      </c>
      <c r="Z146" s="42" t="str">
        <f>IF(AND(C146=Master!$H$1,B146="2012-2013",E146="",G146="PLN03"),H146,"")</f>
        <v/>
      </c>
      <c r="AA146" s="42" t="str">
        <f>IF(AND(C146=Master!$H$2,B146="2012-2013",E146&gt;1000,G146="PLN03"),H146,"")</f>
        <v/>
      </c>
      <c r="AB146" s="42" t="str">
        <f>IF(AND(C146=Master!$H$2,B146="2012-2013",E146="",G146="PLN03"),H146,"")</f>
        <v/>
      </c>
      <c r="AC146" s="42" t="str">
        <f>IF(AND(C146=Master!$H$3,B146="2012-2013",E146&gt;1000,G146="PLN03"),H146,"")</f>
        <v/>
      </c>
      <c r="AD146" s="42" t="str">
        <f>IF(AND(C146=Master!$H$3,B146="2012-2013",E146="",G146="PLN03"),H146,"")</f>
        <v/>
      </c>
      <c r="AE146" s="42" t="str">
        <f>IF(AND(C146=Master!$H$4,B146="2012-2013",E146&gt;1000,G146="PLN03"),H146,"")</f>
        <v/>
      </c>
      <c r="AF146" s="42" t="str">
        <f>IF(AND(C146=Master!$H$4,B146="2012-2013",E146="",G146="PLN03"),H146,"")</f>
        <v/>
      </c>
      <c r="AG146" s="42" t="str">
        <f>IF(AND(C146=Master!$H$5,B146="2012-2013",E146&gt;1000,G146="PLN03"),H146,"")</f>
        <v/>
      </c>
      <c r="AH146" s="42" t="str">
        <f>IF(AND(C146=Master!$H$5,B146="2012-2013",E146="",G146="PLN03"),H146,"")</f>
        <v/>
      </c>
      <c r="AI146" s="42" t="str">
        <f>IF(AND(C146=Master!$H$6,B146="2012-2013",E146&gt;1000,G146="PLN03"),H146,"")</f>
        <v/>
      </c>
      <c r="AJ146" s="42" t="str">
        <f>IF(AND(C146=Master!$H$6,B146="2012-2013",E146="",G146="PLN03"),H146,"")</f>
        <v/>
      </c>
      <c r="AK146" s="42" t="str">
        <f>IF(AND(C146=Master!$H$7,B146="2012-2013",E146&gt;1000,G146="PLN03"),H146,"")</f>
        <v/>
      </c>
      <c r="AL146" s="42" t="str">
        <f>IF(AND(C146=Master!$H$7,B146="2012-2013",E146="",G146="PLN03"),H146,"")</f>
        <v/>
      </c>
      <c r="AM146" s="42" t="str">
        <f>IF(AND(C146=Master!$H$8,B146="2012-2013",E146&gt;1000,G146="PLN03"),H146,"")</f>
        <v/>
      </c>
      <c r="AN146" s="42" t="str">
        <f>IF(AND(C146=Master!$H$8,B146="2012-2013",E146="",G146="PLN03"),H146,"")</f>
        <v/>
      </c>
      <c r="AO146" s="42" t="str">
        <f>IF(AND(C146=Master!$H$9,B146="2012-2013",E146&gt;1000,G146="PLN03"),H146,"")</f>
        <v/>
      </c>
      <c r="AP146" s="42" t="str">
        <f>IF(AND(C146=Master!$H$9,B146="2012-2013",E146="",G146="PLN03"),H146,"")</f>
        <v/>
      </c>
      <c r="AQ146" s="44" t="str">
        <f>IF(AND(C146=Master!$H$1,B146="2012-2013",E146&gt;1000,G146="NPN05"),H146,"")</f>
        <v/>
      </c>
      <c r="AR146" s="44" t="str">
        <f>IF(AND(C146=Master!$H$1,B146="2012-2013",E146="",G146="NPN05"),H146,"")</f>
        <v/>
      </c>
      <c r="AS146" s="44" t="str">
        <f>IF(AND(C146=Master!$H$2,B146="2012-2013",E146&gt;1000,G146="NPN05"),H146,"")</f>
        <v/>
      </c>
      <c r="AT146" s="44" t="str">
        <f>IF(AND(C146=Master!$H$2,B146="2012-2013",E146="",G146="NPN05"),H146,"")</f>
        <v/>
      </c>
      <c r="AU146" s="44" t="str">
        <f>IF(AND(C146=Master!$H$3,B146="2012-2013",E146&gt;1000,G146="NPN05"),H146,"")</f>
        <v/>
      </c>
      <c r="AV146" s="44" t="str">
        <f>IF(AND(C146=Master!$H$3,B146="2012-2013",E146="",G146="NPN05"),H146,"")</f>
        <v/>
      </c>
      <c r="AW146" s="44" t="str">
        <f>IF(AND(C146=Master!$H$4,B146="2012-2013",E146&gt;1000,G146="NPN05"),H146,"")</f>
        <v/>
      </c>
      <c r="AX146" s="44" t="str">
        <f>IF(AND(C146=Master!$H$4,B146="2012-2013",E146="",G146="NPN05"),H146,"")</f>
        <v/>
      </c>
      <c r="AY146" s="44" t="str">
        <f>IF(AND(C146=Master!$H$5,B146="2012-2013",E146&gt;1000,G146="NPN05"),H146,"")</f>
        <v/>
      </c>
      <c r="AZ146" s="44" t="str">
        <f>IF(AND(C146=Master!$H$5,B146="2012-2013",E146="",G146="NPN05"),H146,"")</f>
        <v/>
      </c>
      <c r="BA146" s="44" t="str">
        <f>IF(AND(C146=Master!$H$6,B146="2012-2013",E146&gt;1000,G146="NPN05"),H146,"")</f>
        <v/>
      </c>
      <c r="BB146" s="44" t="str">
        <f>IF(AND(C146=Master!$H$6,B146="2012-2013",E146="",G146="NPN05"),H146,"")</f>
        <v/>
      </c>
      <c r="BC146" s="44" t="str">
        <f>IF(AND(C146=Master!$H$7,B146="2012-2013",E146&gt;1000,G146="NPN05"),H146,"")</f>
        <v/>
      </c>
      <c r="BD146" s="44" t="str">
        <f>IF(AND(C146=Master!$H$7,B146="2012-2013",E146="",G146="NPN05"),H146,"")</f>
        <v/>
      </c>
      <c r="BE146" s="44" t="str">
        <f>IF(AND(C146=Master!$H$8,B146="2012-2013",E146&gt;1000,G146="NPN05"),H146,"")</f>
        <v/>
      </c>
      <c r="BF146" s="44" t="str">
        <f>IF(AND(C146=Master!$H$8,B146="2012-2013",E146="",G146="NPN05"),H146,"")</f>
        <v/>
      </c>
      <c r="BG146" s="44" t="str">
        <f>IF(AND(C146=Master!$H$9,B146="2012-2013",E146&gt;1000,G146="NPN05"),H146,"")</f>
        <v/>
      </c>
      <c r="BH146" s="44" t="str">
        <f>IF(AND(C146=Master!$H$9,B146="2012-2013",E146="",G146="NPN05"),H146,"")</f>
        <v/>
      </c>
    </row>
    <row r="147" spans="1:60" x14ac:dyDescent="0.25">
      <c r="A147" s="3">
        <v>145</v>
      </c>
      <c r="B147" s="12"/>
      <c r="C147" s="12"/>
      <c r="D147" s="31"/>
      <c r="E147" s="4"/>
      <c r="F147" s="13"/>
      <c r="G147" s="21"/>
      <c r="H147" s="35"/>
      <c r="I147" s="21"/>
      <c r="J147" s="25" t="str">
        <f>IF(NOT(I147=""),INDEX(Master!$B$1:$B$46,MATCH(I147,Master!$A$1:$A$46,0)),"")</f>
        <v/>
      </c>
      <c r="K147" s="18"/>
      <c r="L147" s="86"/>
      <c r="M147" s="13"/>
      <c r="N147" s="13"/>
      <c r="O147" s="18"/>
      <c r="P147" s="35"/>
      <c r="Q147" s="21"/>
      <c r="R147" s="21"/>
      <c r="S147" s="13"/>
      <c r="T147" s="12"/>
      <c r="U147" s="12"/>
      <c r="V147" s="12"/>
      <c r="W147" s="14"/>
      <c r="Y147" s="42" t="str">
        <f>IF(AND(C147=Master!$H$1,B147="2012-2013",E147&gt;1000,G147="PLN03"),H147,"")</f>
        <v/>
      </c>
      <c r="Z147" s="42" t="str">
        <f>IF(AND(C147=Master!$H$1,B147="2012-2013",E147="",G147="PLN03"),H147,"")</f>
        <v/>
      </c>
      <c r="AA147" s="42" t="str">
        <f>IF(AND(C147=Master!$H$2,B147="2012-2013",E147&gt;1000,G147="PLN03"),H147,"")</f>
        <v/>
      </c>
      <c r="AB147" s="42" t="str">
        <f>IF(AND(C147=Master!$H$2,B147="2012-2013",E147="",G147="PLN03"),H147,"")</f>
        <v/>
      </c>
      <c r="AC147" s="42" t="str">
        <f>IF(AND(C147=Master!$H$3,B147="2012-2013",E147&gt;1000,G147="PLN03"),H147,"")</f>
        <v/>
      </c>
      <c r="AD147" s="42" t="str">
        <f>IF(AND(C147=Master!$H$3,B147="2012-2013",E147="",G147="PLN03"),H147,"")</f>
        <v/>
      </c>
      <c r="AE147" s="42" t="str">
        <f>IF(AND(C147=Master!$H$4,B147="2012-2013",E147&gt;1000,G147="PLN03"),H147,"")</f>
        <v/>
      </c>
      <c r="AF147" s="42" t="str">
        <f>IF(AND(C147=Master!$H$4,B147="2012-2013",E147="",G147="PLN03"),H147,"")</f>
        <v/>
      </c>
      <c r="AG147" s="42" t="str">
        <f>IF(AND(C147=Master!$H$5,B147="2012-2013",E147&gt;1000,G147="PLN03"),H147,"")</f>
        <v/>
      </c>
      <c r="AH147" s="42" t="str">
        <f>IF(AND(C147=Master!$H$5,B147="2012-2013",E147="",G147="PLN03"),H147,"")</f>
        <v/>
      </c>
      <c r="AI147" s="42" t="str">
        <f>IF(AND(C147=Master!$H$6,B147="2012-2013",E147&gt;1000,G147="PLN03"),H147,"")</f>
        <v/>
      </c>
      <c r="AJ147" s="42" t="str">
        <f>IF(AND(C147=Master!$H$6,B147="2012-2013",E147="",G147="PLN03"),H147,"")</f>
        <v/>
      </c>
      <c r="AK147" s="42" t="str">
        <f>IF(AND(C147=Master!$H$7,B147="2012-2013",E147&gt;1000,G147="PLN03"),H147,"")</f>
        <v/>
      </c>
      <c r="AL147" s="42" t="str">
        <f>IF(AND(C147=Master!$H$7,B147="2012-2013",E147="",G147="PLN03"),H147,"")</f>
        <v/>
      </c>
      <c r="AM147" s="42" t="str">
        <f>IF(AND(C147=Master!$H$8,B147="2012-2013",E147&gt;1000,G147="PLN03"),H147,"")</f>
        <v/>
      </c>
      <c r="AN147" s="42" t="str">
        <f>IF(AND(C147=Master!$H$8,B147="2012-2013",E147="",G147="PLN03"),H147,"")</f>
        <v/>
      </c>
      <c r="AO147" s="42" t="str">
        <f>IF(AND(C147=Master!$H$9,B147="2012-2013",E147&gt;1000,G147="PLN03"),H147,"")</f>
        <v/>
      </c>
      <c r="AP147" s="42" t="str">
        <f>IF(AND(C147=Master!$H$9,B147="2012-2013",E147="",G147="PLN03"),H147,"")</f>
        <v/>
      </c>
      <c r="AQ147" s="44" t="str">
        <f>IF(AND(C147=Master!$H$1,B147="2012-2013",E147&gt;1000,G147="NPN05"),H147,"")</f>
        <v/>
      </c>
      <c r="AR147" s="44" t="str">
        <f>IF(AND(C147=Master!$H$1,B147="2012-2013",E147="",G147="NPN05"),H147,"")</f>
        <v/>
      </c>
      <c r="AS147" s="44" t="str">
        <f>IF(AND(C147=Master!$H$2,B147="2012-2013",E147&gt;1000,G147="NPN05"),H147,"")</f>
        <v/>
      </c>
      <c r="AT147" s="44" t="str">
        <f>IF(AND(C147=Master!$H$2,B147="2012-2013",E147="",G147="NPN05"),H147,"")</f>
        <v/>
      </c>
      <c r="AU147" s="44" t="str">
        <f>IF(AND(C147=Master!$H$3,B147="2012-2013",E147&gt;1000,G147="NPN05"),H147,"")</f>
        <v/>
      </c>
      <c r="AV147" s="44" t="str">
        <f>IF(AND(C147=Master!$H$3,B147="2012-2013",E147="",G147="NPN05"),H147,"")</f>
        <v/>
      </c>
      <c r="AW147" s="44" t="str">
        <f>IF(AND(C147=Master!$H$4,B147="2012-2013",E147&gt;1000,G147="NPN05"),H147,"")</f>
        <v/>
      </c>
      <c r="AX147" s="44" t="str">
        <f>IF(AND(C147=Master!$H$4,B147="2012-2013",E147="",G147="NPN05"),H147,"")</f>
        <v/>
      </c>
      <c r="AY147" s="44" t="str">
        <f>IF(AND(C147=Master!$H$5,B147="2012-2013",E147&gt;1000,G147="NPN05"),H147,"")</f>
        <v/>
      </c>
      <c r="AZ147" s="44" t="str">
        <f>IF(AND(C147=Master!$H$5,B147="2012-2013",E147="",G147="NPN05"),H147,"")</f>
        <v/>
      </c>
      <c r="BA147" s="44" t="str">
        <f>IF(AND(C147=Master!$H$6,B147="2012-2013",E147&gt;1000,G147="NPN05"),H147,"")</f>
        <v/>
      </c>
      <c r="BB147" s="44" t="str">
        <f>IF(AND(C147=Master!$H$6,B147="2012-2013",E147="",G147="NPN05"),H147,"")</f>
        <v/>
      </c>
      <c r="BC147" s="44" t="str">
        <f>IF(AND(C147=Master!$H$7,B147="2012-2013",E147&gt;1000,G147="NPN05"),H147,"")</f>
        <v/>
      </c>
      <c r="BD147" s="44" t="str">
        <f>IF(AND(C147=Master!$H$7,B147="2012-2013",E147="",G147="NPN05"),H147,"")</f>
        <v/>
      </c>
      <c r="BE147" s="44" t="str">
        <f>IF(AND(C147=Master!$H$8,B147="2012-2013",E147&gt;1000,G147="NPN05"),H147,"")</f>
        <v/>
      </c>
      <c r="BF147" s="44" t="str">
        <f>IF(AND(C147=Master!$H$8,B147="2012-2013",E147="",G147="NPN05"),H147,"")</f>
        <v/>
      </c>
      <c r="BG147" s="44" t="str">
        <f>IF(AND(C147=Master!$H$9,B147="2012-2013",E147&gt;1000,G147="NPN05"),H147,"")</f>
        <v/>
      </c>
      <c r="BH147" s="44" t="str">
        <f>IF(AND(C147=Master!$H$9,B147="2012-2013",E147="",G147="NPN05"),H147,"")</f>
        <v/>
      </c>
    </row>
    <row r="148" spans="1:60" x14ac:dyDescent="0.25">
      <c r="A148" s="5">
        <v>146</v>
      </c>
      <c r="B148" s="12"/>
      <c r="C148" s="12"/>
      <c r="D148" s="31"/>
      <c r="E148" s="4"/>
      <c r="F148" s="13"/>
      <c r="G148" s="21"/>
      <c r="H148" s="35"/>
      <c r="I148" s="21"/>
      <c r="J148" s="25" t="str">
        <f>IF(NOT(I148=""),INDEX(Master!$B$1:$B$46,MATCH(I148,Master!$A$1:$A$46,0)),"")</f>
        <v/>
      </c>
      <c r="K148" s="18"/>
      <c r="L148" s="86"/>
      <c r="M148" s="13"/>
      <c r="N148" s="13"/>
      <c r="O148" s="18"/>
      <c r="P148" s="35"/>
      <c r="Q148" s="21"/>
      <c r="R148" s="21"/>
      <c r="S148" s="13"/>
      <c r="T148" s="12"/>
      <c r="U148" s="12"/>
      <c r="V148" s="12"/>
      <c r="W148" s="14"/>
      <c r="Y148" s="42" t="str">
        <f>IF(AND(C148=Master!$H$1,B148="2012-2013",E148&gt;1000,G148="PLN03"),H148,"")</f>
        <v/>
      </c>
      <c r="Z148" s="42" t="str">
        <f>IF(AND(C148=Master!$H$1,B148="2012-2013",E148="",G148="PLN03"),H148,"")</f>
        <v/>
      </c>
      <c r="AA148" s="42" t="str">
        <f>IF(AND(C148=Master!$H$2,B148="2012-2013",E148&gt;1000,G148="PLN03"),H148,"")</f>
        <v/>
      </c>
      <c r="AB148" s="42" t="str">
        <f>IF(AND(C148=Master!$H$2,B148="2012-2013",E148="",G148="PLN03"),H148,"")</f>
        <v/>
      </c>
      <c r="AC148" s="42" t="str">
        <f>IF(AND(C148=Master!$H$3,B148="2012-2013",E148&gt;1000,G148="PLN03"),H148,"")</f>
        <v/>
      </c>
      <c r="AD148" s="42" t="str">
        <f>IF(AND(C148=Master!$H$3,B148="2012-2013",E148="",G148="PLN03"),H148,"")</f>
        <v/>
      </c>
      <c r="AE148" s="42" t="str">
        <f>IF(AND(C148=Master!$H$4,B148="2012-2013",E148&gt;1000,G148="PLN03"),H148,"")</f>
        <v/>
      </c>
      <c r="AF148" s="42" t="str">
        <f>IF(AND(C148=Master!$H$4,B148="2012-2013",E148="",G148="PLN03"),H148,"")</f>
        <v/>
      </c>
      <c r="AG148" s="42" t="str">
        <f>IF(AND(C148=Master!$H$5,B148="2012-2013",E148&gt;1000,G148="PLN03"),H148,"")</f>
        <v/>
      </c>
      <c r="AH148" s="42" t="str">
        <f>IF(AND(C148=Master!$H$5,B148="2012-2013",E148="",G148="PLN03"),H148,"")</f>
        <v/>
      </c>
      <c r="AI148" s="42" t="str">
        <f>IF(AND(C148=Master!$H$6,B148="2012-2013",E148&gt;1000,G148="PLN03"),H148,"")</f>
        <v/>
      </c>
      <c r="AJ148" s="42" t="str">
        <f>IF(AND(C148=Master!$H$6,B148="2012-2013",E148="",G148="PLN03"),H148,"")</f>
        <v/>
      </c>
      <c r="AK148" s="42" t="str">
        <f>IF(AND(C148=Master!$H$7,B148="2012-2013",E148&gt;1000,G148="PLN03"),H148,"")</f>
        <v/>
      </c>
      <c r="AL148" s="42" t="str">
        <f>IF(AND(C148=Master!$H$7,B148="2012-2013",E148="",G148="PLN03"),H148,"")</f>
        <v/>
      </c>
      <c r="AM148" s="42" t="str">
        <f>IF(AND(C148=Master!$H$8,B148="2012-2013",E148&gt;1000,G148="PLN03"),H148,"")</f>
        <v/>
      </c>
      <c r="AN148" s="42" t="str">
        <f>IF(AND(C148=Master!$H$8,B148="2012-2013",E148="",G148="PLN03"),H148,"")</f>
        <v/>
      </c>
      <c r="AO148" s="42" t="str">
        <f>IF(AND(C148=Master!$H$9,B148="2012-2013",E148&gt;1000,G148="PLN03"),H148,"")</f>
        <v/>
      </c>
      <c r="AP148" s="42" t="str">
        <f>IF(AND(C148=Master!$H$9,B148="2012-2013",E148="",G148="PLN03"),H148,"")</f>
        <v/>
      </c>
      <c r="AQ148" s="44" t="str">
        <f>IF(AND(C148=Master!$H$1,B148="2012-2013",E148&gt;1000,G148="NPN05"),H148,"")</f>
        <v/>
      </c>
      <c r="AR148" s="44" t="str">
        <f>IF(AND(C148=Master!$H$1,B148="2012-2013",E148="",G148="NPN05"),H148,"")</f>
        <v/>
      </c>
      <c r="AS148" s="44" t="str">
        <f>IF(AND(C148=Master!$H$2,B148="2012-2013",E148&gt;1000,G148="NPN05"),H148,"")</f>
        <v/>
      </c>
      <c r="AT148" s="44" t="str">
        <f>IF(AND(C148=Master!$H$2,B148="2012-2013",E148="",G148="NPN05"),H148,"")</f>
        <v/>
      </c>
      <c r="AU148" s="44" t="str">
        <f>IF(AND(C148=Master!$H$3,B148="2012-2013",E148&gt;1000,G148="NPN05"),H148,"")</f>
        <v/>
      </c>
      <c r="AV148" s="44" t="str">
        <f>IF(AND(C148=Master!$H$3,B148="2012-2013",E148="",G148="NPN05"),H148,"")</f>
        <v/>
      </c>
      <c r="AW148" s="44" t="str">
        <f>IF(AND(C148=Master!$H$4,B148="2012-2013",E148&gt;1000,G148="NPN05"),H148,"")</f>
        <v/>
      </c>
      <c r="AX148" s="44" t="str">
        <f>IF(AND(C148=Master!$H$4,B148="2012-2013",E148="",G148="NPN05"),H148,"")</f>
        <v/>
      </c>
      <c r="AY148" s="44" t="str">
        <f>IF(AND(C148=Master!$H$5,B148="2012-2013",E148&gt;1000,G148="NPN05"),H148,"")</f>
        <v/>
      </c>
      <c r="AZ148" s="44" t="str">
        <f>IF(AND(C148=Master!$H$5,B148="2012-2013",E148="",G148="NPN05"),H148,"")</f>
        <v/>
      </c>
      <c r="BA148" s="44" t="str">
        <f>IF(AND(C148=Master!$H$6,B148="2012-2013",E148&gt;1000,G148="NPN05"),H148,"")</f>
        <v/>
      </c>
      <c r="BB148" s="44" t="str">
        <f>IF(AND(C148=Master!$H$6,B148="2012-2013",E148="",G148="NPN05"),H148,"")</f>
        <v/>
      </c>
      <c r="BC148" s="44" t="str">
        <f>IF(AND(C148=Master!$H$7,B148="2012-2013",E148&gt;1000,G148="NPN05"),H148,"")</f>
        <v/>
      </c>
      <c r="BD148" s="44" t="str">
        <f>IF(AND(C148=Master!$H$7,B148="2012-2013",E148="",G148="NPN05"),H148,"")</f>
        <v/>
      </c>
      <c r="BE148" s="44" t="str">
        <f>IF(AND(C148=Master!$H$8,B148="2012-2013",E148&gt;1000,G148="NPN05"),H148,"")</f>
        <v/>
      </c>
      <c r="BF148" s="44" t="str">
        <f>IF(AND(C148=Master!$H$8,B148="2012-2013",E148="",G148="NPN05"),H148,"")</f>
        <v/>
      </c>
      <c r="BG148" s="44" t="str">
        <f>IF(AND(C148=Master!$H$9,B148="2012-2013",E148&gt;1000,G148="NPN05"),H148,"")</f>
        <v/>
      </c>
      <c r="BH148" s="44" t="str">
        <f>IF(AND(C148=Master!$H$9,B148="2012-2013",E148="",G148="NPN05"),H148,"")</f>
        <v/>
      </c>
    </row>
    <row r="149" spans="1:60" x14ac:dyDescent="0.25">
      <c r="A149" s="3">
        <v>147</v>
      </c>
      <c r="B149" s="12"/>
      <c r="C149" s="12"/>
      <c r="D149" s="31"/>
      <c r="E149" s="4"/>
      <c r="F149" s="13"/>
      <c r="G149" s="21"/>
      <c r="H149" s="35"/>
      <c r="I149" s="21"/>
      <c r="J149" s="25" t="str">
        <f>IF(NOT(I149=""),INDEX(Master!$B$1:$B$46,MATCH(I149,Master!$A$1:$A$46,0)),"")</f>
        <v/>
      </c>
      <c r="K149" s="18"/>
      <c r="L149" s="86"/>
      <c r="M149" s="13"/>
      <c r="N149" s="13"/>
      <c r="O149" s="18"/>
      <c r="P149" s="35"/>
      <c r="Q149" s="21"/>
      <c r="R149" s="21"/>
      <c r="S149" s="13"/>
      <c r="T149" s="12"/>
      <c r="U149" s="12"/>
      <c r="V149" s="12"/>
      <c r="W149" s="14"/>
      <c r="Y149" s="42" t="str">
        <f>IF(AND(C149=Master!$H$1,B149="2012-2013",E149&gt;1000,G149="PLN03"),H149,"")</f>
        <v/>
      </c>
      <c r="Z149" s="42" t="str">
        <f>IF(AND(C149=Master!$H$1,B149="2012-2013",E149="",G149="PLN03"),H149,"")</f>
        <v/>
      </c>
      <c r="AA149" s="42" t="str">
        <f>IF(AND(C149=Master!$H$2,B149="2012-2013",E149&gt;1000,G149="PLN03"),H149,"")</f>
        <v/>
      </c>
      <c r="AB149" s="42" t="str">
        <f>IF(AND(C149=Master!$H$2,B149="2012-2013",E149="",G149="PLN03"),H149,"")</f>
        <v/>
      </c>
      <c r="AC149" s="42" t="str">
        <f>IF(AND(C149=Master!$H$3,B149="2012-2013",E149&gt;1000,G149="PLN03"),H149,"")</f>
        <v/>
      </c>
      <c r="AD149" s="42" t="str">
        <f>IF(AND(C149=Master!$H$3,B149="2012-2013",E149="",G149="PLN03"),H149,"")</f>
        <v/>
      </c>
      <c r="AE149" s="42" t="str">
        <f>IF(AND(C149=Master!$H$4,B149="2012-2013",E149&gt;1000,G149="PLN03"),H149,"")</f>
        <v/>
      </c>
      <c r="AF149" s="42" t="str">
        <f>IF(AND(C149=Master!$H$4,B149="2012-2013",E149="",G149="PLN03"),H149,"")</f>
        <v/>
      </c>
      <c r="AG149" s="42" t="str">
        <f>IF(AND(C149=Master!$H$5,B149="2012-2013",E149&gt;1000,G149="PLN03"),H149,"")</f>
        <v/>
      </c>
      <c r="AH149" s="42" t="str">
        <f>IF(AND(C149=Master!$H$5,B149="2012-2013",E149="",G149="PLN03"),H149,"")</f>
        <v/>
      </c>
      <c r="AI149" s="42" t="str">
        <f>IF(AND(C149=Master!$H$6,B149="2012-2013",E149&gt;1000,G149="PLN03"),H149,"")</f>
        <v/>
      </c>
      <c r="AJ149" s="42" t="str">
        <f>IF(AND(C149=Master!$H$6,B149="2012-2013",E149="",G149="PLN03"),H149,"")</f>
        <v/>
      </c>
      <c r="AK149" s="42" t="str">
        <f>IF(AND(C149=Master!$H$7,B149="2012-2013",E149&gt;1000,G149="PLN03"),H149,"")</f>
        <v/>
      </c>
      <c r="AL149" s="42" t="str">
        <f>IF(AND(C149=Master!$H$7,B149="2012-2013",E149="",G149="PLN03"),H149,"")</f>
        <v/>
      </c>
      <c r="AM149" s="42" t="str">
        <f>IF(AND(C149=Master!$H$8,B149="2012-2013",E149&gt;1000,G149="PLN03"),H149,"")</f>
        <v/>
      </c>
      <c r="AN149" s="42" t="str">
        <f>IF(AND(C149=Master!$H$8,B149="2012-2013",E149="",G149="PLN03"),H149,"")</f>
        <v/>
      </c>
      <c r="AO149" s="42" t="str">
        <f>IF(AND(C149=Master!$H$9,B149="2012-2013",E149&gt;1000,G149="PLN03"),H149,"")</f>
        <v/>
      </c>
      <c r="AP149" s="42" t="str">
        <f>IF(AND(C149=Master!$H$9,B149="2012-2013",E149="",G149="PLN03"),H149,"")</f>
        <v/>
      </c>
      <c r="AQ149" s="44" t="str">
        <f>IF(AND(C149=Master!$H$1,B149="2012-2013",E149&gt;1000,G149="NPN05"),H149,"")</f>
        <v/>
      </c>
      <c r="AR149" s="44" t="str">
        <f>IF(AND(C149=Master!$H$1,B149="2012-2013",E149="",G149="NPN05"),H149,"")</f>
        <v/>
      </c>
      <c r="AS149" s="44" t="str">
        <f>IF(AND(C149=Master!$H$2,B149="2012-2013",E149&gt;1000,G149="NPN05"),H149,"")</f>
        <v/>
      </c>
      <c r="AT149" s="44" t="str">
        <f>IF(AND(C149=Master!$H$2,B149="2012-2013",E149="",G149="NPN05"),H149,"")</f>
        <v/>
      </c>
      <c r="AU149" s="44" t="str">
        <f>IF(AND(C149=Master!$H$3,B149="2012-2013",E149&gt;1000,G149="NPN05"),H149,"")</f>
        <v/>
      </c>
      <c r="AV149" s="44" t="str">
        <f>IF(AND(C149=Master!$H$3,B149="2012-2013",E149="",G149="NPN05"),H149,"")</f>
        <v/>
      </c>
      <c r="AW149" s="44" t="str">
        <f>IF(AND(C149=Master!$H$4,B149="2012-2013",E149&gt;1000,G149="NPN05"),H149,"")</f>
        <v/>
      </c>
      <c r="AX149" s="44" t="str">
        <f>IF(AND(C149=Master!$H$4,B149="2012-2013",E149="",G149="NPN05"),H149,"")</f>
        <v/>
      </c>
      <c r="AY149" s="44" t="str">
        <f>IF(AND(C149=Master!$H$5,B149="2012-2013",E149&gt;1000,G149="NPN05"),H149,"")</f>
        <v/>
      </c>
      <c r="AZ149" s="44" t="str">
        <f>IF(AND(C149=Master!$H$5,B149="2012-2013",E149="",G149="NPN05"),H149,"")</f>
        <v/>
      </c>
      <c r="BA149" s="44" t="str">
        <f>IF(AND(C149=Master!$H$6,B149="2012-2013",E149&gt;1000,G149="NPN05"),H149,"")</f>
        <v/>
      </c>
      <c r="BB149" s="44" t="str">
        <f>IF(AND(C149=Master!$H$6,B149="2012-2013",E149="",G149="NPN05"),H149,"")</f>
        <v/>
      </c>
      <c r="BC149" s="44" t="str">
        <f>IF(AND(C149=Master!$H$7,B149="2012-2013",E149&gt;1000,G149="NPN05"),H149,"")</f>
        <v/>
      </c>
      <c r="BD149" s="44" t="str">
        <f>IF(AND(C149=Master!$H$7,B149="2012-2013",E149="",G149="NPN05"),H149,"")</f>
        <v/>
      </c>
      <c r="BE149" s="44" t="str">
        <f>IF(AND(C149=Master!$H$8,B149="2012-2013",E149&gt;1000,G149="NPN05"),H149,"")</f>
        <v/>
      </c>
      <c r="BF149" s="44" t="str">
        <f>IF(AND(C149=Master!$H$8,B149="2012-2013",E149="",G149="NPN05"),H149,"")</f>
        <v/>
      </c>
      <c r="BG149" s="44" t="str">
        <f>IF(AND(C149=Master!$H$9,B149="2012-2013",E149&gt;1000,G149="NPN05"),H149,"")</f>
        <v/>
      </c>
      <c r="BH149" s="44" t="str">
        <f>IF(AND(C149=Master!$H$9,B149="2012-2013",E149="",G149="NPN05"),H149,"")</f>
        <v/>
      </c>
    </row>
    <row r="150" spans="1:60" x14ac:dyDescent="0.25">
      <c r="A150" s="3">
        <v>148</v>
      </c>
      <c r="B150" s="12"/>
      <c r="C150" s="12"/>
      <c r="D150" s="31"/>
      <c r="E150" s="4"/>
      <c r="F150" s="13"/>
      <c r="G150" s="21"/>
      <c r="H150" s="35"/>
      <c r="I150" s="21"/>
      <c r="J150" s="25" t="str">
        <f>IF(NOT(I150=""),INDEX(Master!$B$1:$B$46,MATCH(I150,Master!$A$1:$A$46,0)),"")</f>
        <v/>
      </c>
      <c r="K150" s="18"/>
      <c r="L150" s="86"/>
      <c r="M150" s="13"/>
      <c r="N150" s="13"/>
      <c r="O150" s="18"/>
      <c r="P150" s="35"/>
      <c r="Q150" s="21"/>
      <c r="R150" s="21"/>
      <c r="S150" s="13"/>
      <c r="T150" s="12"/>
      <c r="U150" s="12"/>
      <c r="V150" s="12"/>
      <c r="W150" s="14"/>
      <c r="Y150" s="42" t="str">
        <f>IF(AND(C150=Master!$H$1,B150="2012-2013",E150&gt;1000,G150="PLN03"),H150,"")</f>
        <v/>
      </c>
      <c r="Z150" s="42" t="str">
        <f>IF(AND(C150=Master!$H$1,B150="2012-2013",E150="",G150="PLN03"),H150,"")</f>
        <v/>
      </c>
      <c r="AA150" s="42" t="str">
        <f>IF(AND(C150=Master!$H$2,B150="2012-2013",E150&gt;1000,G150="PLN03"),H150,"")</f>
        <v/>
      </c>
      <c r="AB150" s="42" t="str">
        <f>IF(AND(C150=Master!$H$2,B150="2012-2013",E150="",G150="PLN03"),H150,"")</f>
        <v/>
      </c>
      <c r="AC150" s="42" t="str">
        <f>IF(AND(C150=Master!$H$3,B150="2012-2013",E150&gt;1000,G150="PLN03"),H150,"")</f>
        <v/>
      </c>
      <c r="AD150" s="42" t="str">
        <f>IF(AND(C150=Master!$H$3,B150="2012-2013",E150="",G150="PLN03"),H150,"")</f>
        <v/>
      </c>
      <c r="AE150" s="42" t="str">
        <f>IF(AND(C150=Master!$H$4,B150="2012-2013",E150&gt;1000,G150="PLN03"),H150,"")</f>
        <v/>
      </c>
      <c r="AF150" s="42" t="str">
        <f>IF(AND(C150=Master!$H$4,B150="2012-2013",E150="",G150="PLN03"),H150,"")</f>
        <v/>
      </c>
      <c r="AG150" s="42" t="str">
        <f>IF(AND(C150=Master!$H$5,B150="2012-2013",E150&gt;1000,G150="PLN03"),H150,"")</f>
        <v/>
      </c>
      <c r="AH150" s="42" t="str">
        <f>IF(AND(C150=Master!$H$5,B150="2012-2013",E150="",G150="PLN03"),H150,"")</f>
        <v/>
      </c>
      <c r="AI150" s="42" t="str">
        <f>IF(AND(C150=Master!$H$6,B150="2012-2013",E150&gt;1000,G150="PLN03"),H150,"")</f>
        <v/>
      </c>
      <c r="AJ150" s="42" t="str">
        <f>IF(AND(C150=Master!$H$6,B150="2012-2013",E150="",G150="PLN03"),H150,"")</f>
        <v/>
      </c>
      <c r="AK150" s="42" t="str">
        <f>IF(AND(C150=Master!$H$7,B150="2012-2013",E150&gt;1000,G150="PLN03"),H150,"")</f>
        <v/>
      </c>
      <c r="AL150" s="42" t="str">
        <f>IF(AND(C150=Master!$H$7,B150="2012-2013",E150="",G150="PLN03"),H150,"")</f>
        <v/>
      </c>
      <c r="AM150" s="42" t="str">
        <f>IF(AND(C150=Master!$H$8,B150="2012-2013",E150&gt;1000,G150="PLN03"),H150,"")</f>
        <v/>
      </c>
      <c r="AN150" s="42" t="str">
        <f>IF(AND(C150=Master!$H$8,B150="2012-2013",E150="",G150="PLN03"),H150,"")</f>
        <v/>
      </c>
      <c r="AO150" s="42" t="str">
        <f>IF(AND(C150=Master!$H$9,B150="2012-2013",E150&gt;1000,G150="PLN03"),H150,"")</f>
        <v/>
      </c>
      <c r="AP150" s="42" t="str">
        <f>IF(AND(C150=Master!$H$9,B150="2012-2013",E150="",G150="PLN03"),H150,"")</f>
        <v/>
      </c>
      <c r="AQ150" s="44" t="str">
        <f>IF(AND(C150=Master!$H$1,B150="2012-2013",E150&gt;1000,G150="NPN05"),H150,"")</f>
        <v/>
      </c>
      <c r="AR150" s="44" t="str">
        <f>IF(AND(C150=Master!$H$1,B150="2012-2013",E150="",G150="NPN05"),H150,"")</f>
        <v/>
      </c>
      <c r="AS150" s="44" t="str">
        <f>IF(AND(C150=Master!$H$2,B150="2012-2013",E150&gt;1000,G150="NPN05"),H150,"")</f>
        <v/>
      </c>
      <c r="AT150" s="44" t="str">
        <f>IF(AND(C150=Master!$H$2,B150="2012-2013",E150="",G150="NPN05"),H150,"")</f>
        <v/>
      </c>
      <c r="AU150" s="44" t="str">
        <f>IF(AND(C150=Master!$H$3,B150="2012-2013",E150&gt;1000,G150="NPN05"),H150,"")</f>
        <v/>
      </c>
      <c r="AV150" s="44" t="str">
        <f>IF(AND(C150=Master!$H$3,B150="2012-2013",E150="",G150="NPN05"),H150,"")</f>
        <v/>
      </c>
      <c r="AW150" s="44" t="str">
        <f>IF(AND(C150=Master!$H$4,B150="2012-2013",E150&gt;1000,G150="NPN05"),H150,"")</f>
        <v/>
      </c>
      <c r="AX150" s="44" t="str">
        <f>IF(AND(C150=Master!$H$4,B150="2012-2013",E150="",G150="NPN05"),H150,"")</f>
        <v/>
      </c>
      <c r="AY150" s="44" t="str">
        <f>IF(AND(C150=Master!$H$5,B150="2012-2013",E150&gt;1000,G150="NPN05"),H150,"")</f>
        <v/>
      </c>
      <c r="AZ150" s="44" t="str">
        <f>IF(AND(C150=Master!$H$5,B150="2012-2013",E150="",G150="NPN05"),H150,"")</f>
        <v/>
      </c>
      <c r="BA150" s="44" t="str">
        <f>IF(AND(C150=Master!$H$6,B150="2012-2013",E150&gt;1000,G150="NPN05"),H150,"")</f>
        <v/>
      </c>
      <c r="BB150" s="44" t="str">
        <f>IF(AND(C150=Master!$H$6,B150="2012-2013",E150="",G150="NPN05"),H150,"")</f>
        <v/>
      </c>
      <c r="BC150" s="44" t="str">
        <f>IF(AND(C150=Master!$H$7,B150="2012-2013",E150&gt;1000,G150="NPN05"),H150,"")</f>
        <v/>
      </c>
      <c r="BD150" s="44" t="str">
        <f>IF(AND(C150=Master!$H$7,B150="2012-2013",E150="",G150="NPN05"),H150,"")</f>
        <v/>
      </c>
      <c r="BE150" s="44" t="str">
        <f>IF(AND(C150=Master!$H$8,B150="2012-2013",E150&gt;1000,G150="NPN05"),H150,"")</f>
        <v/>
      </c>
      <c r="BF150" s="44" t="str">
        <f>IF(AND(C150=Master!$H$8,B150="2012-2013",E150="",G150="NPN05"),H150,"")</f>
        <v/>
      </c>
      <c r="BG150" s="44" t="str">
        <f>IF(AND(C150=Master!$H$9,B150="2012-2013",E150&gt;1000,G150="NPN05"),H150,"")</f>
        <v/>
      </c>
      <c r="BH150" s="44" t="str">
        <f>IF(AND(C150=Master!$H$9,B150="2012-2013",E150="",G150="NPN05"),H150,"")</f>
        <v/>
      </c>
    </row>
    <row r="151" spans="1:60" x14ac:dyDescent="0.25">
      <c r="A151" s="3">
        <v>149</v>
      </c>
      <c r="B151" s="12"/>
      <c r="C151" s="12"/>
      <c r="D151" s="31"/>
      <c r="E151" s="4"/>
      <c r="F151" s="13"/>
      <c r="G151" s="21"/>
      <c r="H151" s="35"/>
      <c r="I151" s="21"/>
      <c r="J151" s="25" t="str">
        <f>IF(NOT(I151=""),INDEX(Master!$B$1:$B$46,MATCH(I151,Master!$A$1:$A$46,0)),"")</f>
        <v/>
      </c>
      <c r="K151" s="18"/>
      <c r="L151" s="86"/>
      <c r="M151" s="13"/>
      <c r="N151" s="13"/>
      <c r="O151" s="18"/>
      <c r="P151" s="35"/>
      <c r="Q151" s="21"/>
      <c r="R151" s="21"/>
      <c r="S151" s="13"/>
      <c r="T151" s="12"/>
      <c r="U151" s="12"/>
      <c r="V151" s="12"/>
      <c r="W151" s="14"/>
      <c r="Y151" s="42" t="str">
        <f>IF(AND(C151=Master!$H$1,B151="2012-2013",E151&gt;1000,G151="PLN03"),H151,"")</f>
        <v/>
      </c>
      <c r="Z151" s="42" t="str">
        <f>IF(AND(C151=Master!$H$1,B151="2012-2013",E151="",G151="PLN03"),H151,"")</f>
        <v/>
      </c>
      <c r="AA151" s="42" t="str">
        <f>IF(AND(C151=Master!$H$2,B151="2012-2013",E151&gt;1000,G151="PLN03"),H151,"")</f>
        <v/>
      </c>
      <c r="AB151" s="42" t="str">
        <f>IF(AND(C151=Master!$H$2,B151="2012-2013",E151="",G151="PLN03"),H151,"")</f>
        <v/>
      </c>
      <c r="AC151" s="42" t="str">
        <f>IF(AND(C151=Master!$H$3,B151="2012-2013",E151&gt;1000,G151="PLN03"),H151,"")</f>
        <v/>
      </c>
      <c r="AD151" s="42" t="str">
        <f>IF(AND(C151=Master!$H$3,B151="2012-2013",E151="",G151="PLN03"),H151,"")</f>
        <v/>
      </c>
      <c r="AE151" s="42" t="str">
        <f>IF(AND(C151=Master!$H$4,B151="2012-2013",E151&gt;1000,G151="PLN03"),H151,"")</f>
        <v/>
      </c>
      <c r="AF151" s="42" t="str">
        <f>IF(AND(C151=Master!$H$4,B151="2012-2013",E151="",G151="PLN03"),H151,"")</f>
        <v/>
      </c>
      <c r="AG151" s="42" t="str">
        <f>IF(AND(C151=Master!$H$5,B151="2012-2013",E151&gt;1000,G151="PLN03"),H151,"")</f>
        <v/>
      </c>
      <c r="AH151" s="42" t="str">
        <f>IF(AND(C151=Master!$H$5,B151="2012-2013",E151="",G151="PLN03"),H151,"")</f>
        <v/>
      </c>
      <c r="AI151" s="42" t="str">
        <f>IF(AND(C151=Master!$H$6,B151="2012-2013",E151&gt;1000,G151="PLN03"),H151,"")</f>
        <v/>
      </c>
      <c r="AJ151" s="42" t="str">
        <f>IF(AND(C151=Master!$H$6,B151="2012-2013",E151="",G151="PLN03"),H151,"")</f>
        <v/>
      </c>
      <c r="AK151" s="42" t="str">
        <f>IF(AND(C151=Master!$H$7,B151="2012-2013",E151&gt;1000,G151="PLN03"),H151,"")</f>
        <v/>
      </c>
      <c r="AL151" s="42" t="str">
        <f>IF(AND(C151=Master!$H$7,B151="2012-2013",E151="",G151="PLN03"),H151,"")</f>
        <v/>
      </c>
      <c r="AM151" s="42" t="str">
        <f>IF(AND(C151=Master!$H$8,B151="2012-2013",E151&gt;1000,G151="PLN03"),H151,"")</f>
        <v/>
      </c>
      <c r="AN151" s="42" t="str">
        <f>IF(AND(C151=Master!$H$8,B151="2012-2013",E151="",G151="PLN03"),H151,"")</f>
        <v/>
      </c>
      <c r="AO151" s="42" t="str">
        <f>IF(AND(C151=Master!$H$9,B151="2012-2013",E151&gt;1000,G151="PLN03"),H151,"")</f>
        <v/>
      </c>
      <c r="AP151" s="42" t="str">
        <f>IF(AND(C151=Master!$H$9,B151="2012-2013",E151="",G151="PLN03"),H151,"")</f>
        <v/>
      </c>
      <c r="AQ151" s="44" t="str">
        <f>IF(AND(C151=Master!$H$1,B151="2012-2013",E151&gt;1000,G151="NPN05"),H151,"")</f>
        <v/>
      </c>
      <c r="AR151" s="44" t="str">
        <f>IF(AND(C151=Master!$H$1,B151="2012-2013",E151="",G151="NPN05"),H151,"")</f>
        <v/>
      </c>
      <c r="AS151" s="44" t="str">
        <f>IF(AND(C151=Master!$H$2,B151="2012-2013",E151&gt;1000,G151="NPN05"),H151,"")</f>
        <v/>
      </c>
      <c r="AT151" s="44" t="str">
        <f>IF(AND(C151=Master!$H$2,B151="2012-2013",E151="",G151="NPN05"),H151,"")</f>
        <v/>
      </c>
      <c r="AU151" s="44" t="str">
        <f>IF(AND(C151=Master!$H$3,B151="2012-2013",E151&gt;1000,G151="NPN05"),H151,"")</f>
        <v/>
      </c>
      <c r="AV151" s="44" t="str">
        <f>IF(AND(C151=Master!$H$3,B151="2012-2013",E151="",G151="NPN05"),H151,"")</f>
        <v/>
      </c>
      <c r="AW151" s="44" t="str">
        <f>IF(AND(C151=Master!$H$4,B151="2012-2013",E151&gt;1000,G151="NPN05"),H151,"")</f>
        <v/>
      </c>
      <c r="AX151" s="44" t="str">
        <f>IF(AND(C151=Master!$H$4,B151="2012-2013",E151="",G151="NPN05"),H151,"")</f>
        <v/>
      </c>
      <c r="AY151" s="44" t="str">
        <f>IF(AND(C151=Master!$H$5,B151="2012-2013",E151&gt;1000,G151="NPN05"),H151,"")</f>
        <v/>
      </c>
      <c r="AZ151" s="44" t="str">
        <f>IF(AND(C151=Master!$H$5,B151="2012-2013",E151="",G151="NPN05"),H151,"")</f>
        <v/>
      </c>
      <c r="BA151" s="44" t="str">
        <f>IF(AND(C151=Master!$H$6,B151="2012-2013",E151&gt;1000,G151="NPN05"),H151,"")</f>
        <v/>
      </c>
      <c r="BB151" s="44" t="str">
        <f>IF(AND(C151=Master!$H$6,B151="2012-2013",E151="",G151="NPN05"),H151,"")</f>
        <v/>
      </c>
      <c r="BC151" s="44" t="str">
        <f>IF(AND(C151=Master!$H$7,B151="2012-2013",E151&gt;1000,G151="NPN05"),H151,"")</f>
        <v/>
      </c>
      <c r="BD151" s="44" t="str">
        <f>IF(AND(C151=Master!$H$7,B151="2012-2013",E151="",G151="NPN05"),H151,"")</f>
        <v/>
      </c>
      <c r="BE151" s="44" t="str">
        <f>IF(AND(C151=Master!$H$8,B151="2012-2013",E151&gt;1000,G151="NPN05"),H151,"")</f>
        <v/>
      </c>
      <c r="BF151" s="44" t="str">
        <f>IF(AND(C151=Master!$H$8,B151="2012-2013",E151="",G151="NPN05"),H151,"")</f>
        <v/>
      </c>
      <c r="BG151" s="44" t="str">
        <f>IF(AND(C151=Master!$H$9,B151="2012-2013",E151&gt;1000,G151="NPN05"),H151,"")</f>
        <v/>
      </c>
      <c r="BH151" s="44" t="str">
        <f>IF(AND(C151=Master!$H$9,B151="2012-2013",E151="",G151="NPN05"),H151,"")</f>
        <v/>
      </c>
    </row>
    <row r="152" spans="1:60" x14ac:dyDescent="0.25">
      <c r="A152" s="3">
        <v>150</v>
      </c>
      <c r="B152" s="12"/>
      <c r="C152" s="12"/>
      <c r="D152" s="31"/>
      <c r="E152" s="4"/>
      <c r="F152" s="13"/>
      <c r="G152" s="21"/>
      <c r="H152" s="35"/>
      <c r="I152" s="21"/>
      <c r="J152" s="25" t="str">
        <f>IF(NOT(I152=""),INDEX(Master!$B$1:$B$46,MATCH(I152,Master!$A$1:$A$46,0)),"")</f>
        <v/>
      </c>
      <c r="K152" s="18"/>
      <c r="L152" s="86"/>
      <c r="M152" s="13"/>
      <c r="N152" s="13"/>
      <c r="O152" s="18"/>
      <c r="P152" s="35"/>
      <c r="Q152" s="21"/>
      <c r="R152" s="21"/>
      <c r="S152" s="13"/>
      <c r="T152" s="12"/>
      <c r="U152" s="12"/>
      <c r="V152" s="12"/>
      <c r="W152" s="14"/>
      <c r="Y152" s="42" t="str">
        <f>IF(AND(C152=Master!$H$1,B152="2012-2013",E152&gt;1000,G152="PLN03"),H152,"")</f>
        <v/>
      </c>
      <c r="Z152" s="42" t="str">
        <f>IF(AND(C152=Master!$H$1,B152="2012-2013",E152="",G152="PLN03"),H152,"")</f>
        <v/>
      </c>
      <c r="AA152" s="42" t="str">
        <f>IF(AND(C152=Master!$H$2,B152="2012-2013",E152&gt;1000,G152="PLN03"),H152,"")</f>
        <v/>
      </c>
      <c r="AB152" s="42" t="str">
        <f>IF(AND(C152=Master!$H$2,B152="2012-2013",E152="",G152="PLN03"),H152,"")</f>
        <v/>
      </c>
      <c r="AC152" s="42" t="str">
        <f>IF(AND(C152=Master!$H$3,B152="2012-2013",E152&gt;1000,G152="PLN03"),H152,"")</f>
        <v/>
      </c>
      <c r="AD152" s="42" t="str">
        <f>IF(AND(C152=Master!$H$3,B152="2012-2013",E152="",G152="PLN03"),H152,"")</f>
        <v/>
      </c>
      <c r="AE152" s="42" t="str">
        <f>IF(AND(C152=Master!$H$4,B152="2012-2013",E152&gt;1000,G152="PLN03"),H152,"")</f>
        <v/>
      </c>
      <c r="AF152" s="42" t="str">
        <f>IF(AND(C152=Master!$H$4,B152="2012-2013",E152="",G152="PLN03"),H152,"")</f>
        <v/>
      </c>
      <c r="AG152" s="42" t="str">
        <f>IF(AND(C152=Master!$H$5,B152="2012-2013",E152&gt;1000,G152="PLN03"),H152,"")</f>
        <v/>
      </c>
      <c r="AH152" s="42" t="str">
        <f>IF(AND(C152=Master!$H$5,B152="2012-2013",E152="",G152="PLN03"),H152,"")</f>
        <v/>
      </c>
      <c r="AI152" s="42" t="str">
        <f>IF(AND(C152=Master!$H$6,B152="2012-2013",E152&gt;1000,G152="PLN03"),H152,"")</f>
        <v/>
      </c>
      <c r="AJ152" s="42" t="str">
        <f>IF(AND(C152=Master!$H$6,B152="2012-2013",E152="",G152="PLN03"),H152,"")</f>
        <v/>
      </c>
      <c r="AK152" s="42" t="str">
        <f>IF(AND(C152=Master!$H$7,B152="2012-2013",E152&gt;1000,G152="PLN03"),H152,"")</f>
        <v/>
      </c>
      <c r="AL152" s="42" t="str">
        <f>IF(AND(C152=Master!$H$7,B152="2012-2013",E152="",G152="PLN03"),H152,"")</f>
        <v/>
      </c>
      <c r="AM152" s="42" t="str">
        <f>IF(AND(C152=Master!$H$8,B152="2012-2013",E152&gt;1000,G152="PLN03"),H152,"")</f>
        <v/>
      </c>
      <c r="AN152" s="42" t="str">
        <f>IF(AND(C152=Master!$H$8,B152="2012-2013",E152="",G152="PLN03"),H152,"")</f>
        <v/>
      </c>
      <c r="AO152" s="42" t="str">
        <f>IF(AND(C152=Master!$H$9,B152="2012-2013",E152&gt;1000,G152="PLN03"),H152,"")</f>
        <v/>
      </c>
      <c r="AP152" s="42" t="str">
        <f>IF(AND(C152=Master!$H$9,B152="2012-2013",E152="",G152="PLN03"),H152,"")</f>
        <v/>
      </c>
      <c r="AQ152" s="44" t="str">
        <f>IF(AND(C152=Master!$H$1,B152="2012-2013",E152&gt;1000,G152="NPN05"),H152,"")</f>
        <v/>
      </c>
      <c r="AR152" s="44" t="str">
        <f>IF(AND(C152=Master!$H$1,B152="2012-2013",E152="",G152="NPN05"),H152,"")</f>
        <v/>
      </c>
      <c r="AS152" s="44" t="str">
        <f>IF(AND(C152=Master!$H$2,B152="2012-2013",E152&gt;1000,G152="NPN05"),H152,"")</f>
        <v/>
      </c>
      <c r="AT152" s="44" t="str">
        <f>IF(AND(C152=Master!$H$2,B152="2012-2013",E152="",G152="NPN05"),H152,"")</f>
        <v/>
      </c>
      <c r="AU152" s="44" t="str">
        <f>IF(AND(C152=Master!$H$3,B152="2012-2013",E152&gt;1000,G152="NPN05"),H152,"")</f>
        <v/>
      </c>
      <c r="AV152" s="44" t="str">
        <f>IF(AND(C152=Master!$H$3,B152="2012-2013",E152="",G152="NPN05"),H152,"")</f>
        <v/>
      </c>
      <c r="AW152" s="44" t="str">
        <f>IF(AND(C152=Master!$H$4,B152="2012-2013",E152&gt;1000,G152="NPN05"),H152,"")</f>
        <v/>
      </c>
      <c r="AX152" s="44" t="str">
        <f>IF(AND(C152=Master!$H$4,B152="2012-2013",E152="",G152="NPN05"),H152,"")</f>
        <v/>
      </c>
      <c r="AY152" s="44" t="str">
        <f>IF(AND(C152=Master!$H$5,B152="2012-2013",E152&gt;1000,G152="NPN05"),H152,"")</f>
        <v/>
      </c>
      <c r="AZ152" s="44" t="str">
        <f>IF(AND(C152=Master!$H$5,B152="2012-2013",E152="",G152="NPN05"),H152,"")</f>
        <v/>
      </c>
      <c r="BA152" s="44" t="str">
        <f>IF(AND(C152=Master!$H$6,B152="2012-2013",E152&gt;1000,G152="NPN05"),H152,"")</f>
        <v/>
      </c>
      <c r="BB152" s="44" t="str">
        <f>IF(AND(C152=Master!$H$6,B152="2012-2013",E152="",G152="NPN05"),H152,"")</f>
        <v/>
      </c>
      <c r="BC152" s="44" t="str">
        <f>IF(AND(C152=Master!$H$7,B152="2012-2013",E152&gt;1000,G152="NPN05"),H152,"")</f>
        <v/>
      </c>
      <c r="BD152" s="44" t="str">
        <f>IF(AND(C152=Master!$H$7,B152="2012-2013",E152="",G152="NPN05"),H152,"")</f>
        <v/>
      </c>
      <c r="BE152" s="44" t="str">
        <f>IF(AND(C152=Master!$H$8,B152="2012-2013",E152&gt;1000,G152="NPN05"),H152,"")</f>
        <v/>
      </c>
      <c r="BF152" s="44" t="str">
        <f>IF(AND(C152=Master!$H$8,B152="2012-2013",E152="",G152="NPN05"),H152,"")</f>
        <v/>
      </c>
      <c r="BG152" s="44" t="str">
        <f>IF(AND(C152=Master!$H$9,B152="2012-2013",E152&gt;1000,G152="NPN05"),H152,"")</f>
        <v/>
      </c>
      <c r="BH152" s="44" t="str">
        <f>IF(AND(C152=Master!$H$9,B152="2012-2013",E152="",G152="NPN05"),H152,"")</f>
        <v/>
      </c>
    </row>
    <row r="153" spans="1:60" x14ac:dyDescent="0.25">
      <c r="A153" s="3">
        <v>151</v>
      </c>
      <c r="B153" s="12"/>
      <c r="C153" s="12"/>
      <c r="D153" s="31"/>
      <c r="E153" s="4"/>
      <c r="F153" s="13"/>
      <c r="G153" s="21"/>
      <c r="H153" s="35"/>
      <c r="I153" s="21"/>
      <c r="J153" s="25" t="str">
        <f>IF(NOT(I153=""),INDEX(Master!$B$1:$B$46,MATCH(I153,Master!$A$1:$A$46,0)),"")</f>
        <v/>
      </c>
      <c r="K153" s="18"/>
      <c r="L153" s="86"/>
      <c r="M153" s="13"/>
      <c r="N153" s="13"/>
      <c r="O153" s="18"/>
      <c r="P153" s="35"/>
      <c r="Q153" s="21"/>
      <c r="R153" s="21"/>
      <c r="S153" s="13"/>
      <c r="T153" s="12"/>
      <c r="U153" s="12"/>
      <c r="V153" s="12"/>
      <c r="W153" s="14"/>
      <c r="Y153" s="42" t="str">
        <f>IF(AND(C153=Master!$H$1,B153="2012-2013",E153&gt;1000,G153="PLN03"),H153,"")</f>
        <v/>
      </c>
      <c r="Z153" s="42" t="str">
        <f>IF(AND(C153=Master!$H$1,B153="2012-2013",E153="",G153="PLN03"),H153,"")</f>
        <v/>
      </c>
      <c r="AA153" s="42" t="str">
        <f>IF(AND(C153=Master!$H$2,B153="2012-2013",E153&gt;1000,G153="PLN03"),H153,"")</f>
        <v/>
      </c>
      <c r="AB153" s="42" t="str">
        <f>IF(AND(C153=Master!$H$2,B153="2012-2013",E153="",G153="PLN03"),H153,"")</f>
        <v/>
      </c>
      <c r="AC153" s="42" t="str">
        <f>IF(AND(C153=Master!$H$3,B153="2012-2013",E153&gt;1000,G153="PLN03"),H153,"")</f>
        <v/>
      </c>
      <c r="AD153" s="42" t="str">
        <f>IF(AND(C153=Master!$H$3,B153="2012-2013",E153="",G153="PLN03"),H153,"")</f>
        <v/>
      </c>
      <c r="AE153" s="42" t="str">
        <f>IF(AND(C153=Master!$H$4,B153="2012-2013",E153&gt;1000,G153="PLN03"),H153,"")</f>
        <v/>
      </c>
      <c r="AF153" s="42" t="str">
        <f>IF(AND(C153=Master!$H$4,B153="2012-2013",E153="",G153="PLN03"),H153,"")</f>
        <v/>
      </c>
      <c r="AG153" s="42" t="str">
        <f>IF(AND(C153=Master!$H$5,B153="2012-2013",E153&gt;1000,G153="PLN03"),H153,"")</f>
        <v/>
      </c>
      <c r="AH153" s="42" t="str">
        <f>IF(AND(C153=Master!$H$5,B153="2012-2013",E153="",G153="PLN03"),H153,"")</f>
        <v/>
      </c>
      <c r="AI153" s="42" t="str">
        <f>IF(AND(C153=Master!$H$6,B153="2012-2013",E153&gt;1000,G153="PLN03"),H153,"")</f>
        <v/>
      </c>
      <c r="AJ153" s="42" t="str">
        <f>IF(AND(C153=Master!$H$6,B153="2012-2013",E153="",G153="PLN03"),H153,"")</f>
        <v/>
      </c>
      <c r="AK153" s="42" t="str">
        <f>IF(AND(C153=Master!$H$7,B153="2012-2013",E153&gt;1000,G153="PLN03"),H153,"")</f>
        <v/>
      </c>
      <c r="AL153" s="42" t="str">
        <f>IF(AND(C153=Master!$H$7,B153="2012-2013",E153="",G153="PLN03"),H153,"")</f>
        <v/>
      </c>
      <c r="AM153" s="42" t="str">
        <f>IF(AND(C153=Master!$H$8,B153="2012-2013",E153&gt;1000,G153="PLN03"),H153,"")</f>
        <v/>
      </c>
      <c r="AN153" s="42" t="str">
        <f>IF(AND(C153=Master!$H$8,B153="2012-2013",E153="",G153="PLN03"),H153,"")</f>
        <v/>
      </c>
      <c r="AO153" s="42" t="str">
        <f>IF(AND(C153=Master!$H$9,B153="2012-2013",E153&gt;1000,G153="PLN03"),H153,"")</f>
        <v/>
      </c>
      <c r="AP153" s="42" t="str">
        <f>IF(AND(C153=Master!$H$9,B153="2012-2013",E153="",G153="PLN03"),H153,"")</f>
        <v/>
      </c>
      <c r="AQ153" s="44" t="str">
        <f>IF(AND(C153=Master!$H$1,B153="2012-2013",E153&gt;1000,G153="NPN05"),H153,"")</f>
        <v/>
      </c>
      <c r="AR153" s="44" t="str">
        <f>IF(AND(C153=Master!$H$1,B153="2012-2013",E153="",G153="NPN05"),H153,"")</f>
        <v/>
      </c>
      <c r="AS153" s="44" t="str">
        <f>IF(AND(C153=Master!$H$2,B153="2012-2013",E153&gt;1000,G153="NPN05"),H153,"")</f>
        <v/>
      </c>
      <c r="AT153" s="44" t="str">
        <f>IF(AND(C153=Master!$H$2,B153="2012-2013",E153="",G153="NPN05"),H153,"")</f>
        <v/>
      </c>
      <c r="AU153" s="44" t="str">
        <f>IF(AND(C153=Master!$H$3,B153="2012-2013",E153&gt;1000,G153="NPN05"),H153,"")</f>
        <v/>
      </c>
      <c r="AV153" s="44" t="str">
        <f>IF(AND(C153=Master!$H$3,B153="2012-2013",E153="",G153="NPN05"),H153,"")</f>
        <v/>
      </c>
      <c r="AW153" s="44" t="str">
        <f>IF(AND(C153=Master!$H$4,B153="2012-2013",E153&gt;1000,G153="NPN05"),H153,"")</f>
        <v/>
      </c>
      <c r="AX153" s="44" t="str">
        <f>IF(AND(C153=Master!$H$4,B153="2012-2013",E153="",G153="NPN05"),H153,"")</f>
        <v/>
      </c>
      <c r="AY153" s="44" t="str">
        <f>IF(AND(C153=Master!$H$5,B153="2012-2013",E153&gt;1000,G153="NPN05"),H153,"")</f>
        <v/>
      </c>
      <c r="AZ153" s="44" t="str">
        <f>IF(AND(C153=Master!$H$5,B153="2012-2013",E153="",G153="NPN05"),H153,"")</f>
        <v/>
      </c>
      <c r="BA153" s="44" t="str">
        <f>IF(AND(C153=Master!$H$6,B153="2012-2013",E153&gt;1000,G153="NPN05"),H153,"")</f>
        <v/>
      </c>
      <c r="BB153" s="44" t="str">
        <f>IF(AND(C153=Master!$H$6,B153="2012-2013",E153="",G153="NPN05"),H153,"")</f>
        <v/>
      </c>
      <c r="BC153" s="44" t="str">
        <f>IF(AND(C153=Master!$H$7,B153="2012-2013",E153&gt;1000,G153="NPN05"),H153,"")</f>
        <v/>
      </c>
      <c r="BD153" s="44" t="str">
        <f>IF(AND(C153=Master!$H$7,B153="2012-2013",E153="",G153="NPN05"),H153,"")</f>
        <v/>
      </c>
      <c r="BE153" s="44" t="str">
        <f>IF(AND(C153=Master!$H$8,B153="2012-2013",E153&gt;1000,G153="NPN05"),H153,"")</f>
        <v/>
      </c>
      <c r="BF153" s="44" t="str">
        <f>IF(AND(C153=Master!$H$8,B153="2012-2013",E153="",G153="NPN05"),H153,"")</f>
        <v/>
      </c>
      <c r="BG153" s="44" t="str">
        <f>IF(AND(C153=Master!$H$9,B153="2012-2013",E153&gt;1000,G153="NPN05"),H153,"")</f>
        <v/>
      </c>
      <c r="BH153" s="44" t="str">
        <f>IF(AND(C153=Master!$H$9,B153="2012-2013",E153="",G153="NPN05"),H153,"")</f>
        <v/>
      </c>
    </row>
    <row r="154" spans="1:60" x14ac:dyDescent="0.25">
      <c r="A154" s="3">
        <v>152</v>
      </c>
      <c r="B154" s="12"/>
      <c r="C154" s="12"/>
      <c r="D154" s="31"/>
      <c r="E154" s="4"/>
      <c r="F154" s="13"/>
      <c r="G154" s="21"/>
      <c r="H154" s="35"/>
      <c r="I154" s="21"/>
      <c r="J154" s="25" t="str">
        <f>IF(NOT(I154=""),INDEX(Master!$B$1:$B$46,MATCH(I154,Master!$A$1:$A$46,0)),"")</f>
        <v/>
      </c>
      <c r="K154" s="18"/>
      <c r="L154" s="86"/>
      <c r="M154" s="13"/>
      <c r="N154" s="13"/>
      <c r="O154" s="18"/>
      <c r="P154" s="35"/>
      <c r="Q154" s="21"/>
      <c r="R154" s="21"/>
      <c r="S154" s="13"/>
      <c r="T154" s="12"/>
      <c r="U154" s="12"/>
      <c r="V154" s="12"/>
      <c r="W154" s="14"/>
      <c r="Y154" s="42" t="str">
        <f>IF(AND(C154=Master!$H$1,B154="2012-2013",E154&gt;1000,G154="PLN03"),H154,"")</f>
        <v/>
      </c>
      <c r="Z154" s="42" t="str">
        <f>IF(AND(C154=Master!$H$1,B154="2012-2013",E154="",G154="PLN03"),H154,"")</f>
        <v/>
      </c>
      <c r="AA154" s="42" t="str">
        <f>IF(AND(C154=Master!$H$2,B154="2012-2013",E154&gt;1000,G154="PLN03"),H154,"")</f>
        <v/>
      </c>
      <c r="AB154" s="42" t="str">
        <f>IF(AND(C154=Master!$H$2,B154="2012-2013",E154="",G154="PLN03"),H154,"")</f>
        <v/>
      </c>
      <c r="AC154" s="42" t="str">
        <f>IF(AND(C154=Master!$H$3,B154="2012-2013",E154&gt;1000,G154="PLN03"),H154,"")</f>
        <v/>
      </c>
      <c r="AD154" s="42" t="str">
        <f>IF(AND(C154=Master!$H$3,B154="2012-2013",E154="",G154="PLN03"),H154,"")</f>
        <v/>
      </c>
      <c r="AE154" s="42" t="str">
        <f>IF(AND(C154=Master!$H$4,B154="2012-2013",E154&gt;1000,G154="PLN03"),H154,"")</f>
        <v/>
      </c>
      <c r="AF154" s="42" t="str">
        <f>IF(AND(C154=Master!$H$4,B154="2012-2013",E154="",G154="PLN03"),H154,"")</f>
        <v/>
      </c>
      <c r="AG154" s="42" t="str">
        <f>IF(AND(C154=Master!$H$5,B154="2012-2013",E154&gt;1000,G154="PLN03"),H154,"")</f>
        <v/>
      </c>
      <c r="AH154" s="42" t="str">
        <f>IF(AND(C154=Master!$H$5,B154="2012-2013",E154="",G154="PLN03"),H154,"")</f>
        <v/>
      </c>
      <c r="AI154" s="42" t="str">
        <f>IF(AND(C154=Master!$H$6,B154="2012-2013",E154&gt;1000,G154="PLN03"),H154,"")</f>
        <v/>
      </c>
      <c r="AJ154" s="42" t="str">
        <f>IF(AND(C154=Master!$H$6,B154="2012-2013",E154="",G154="PLN03"),H154,"")</f>
        <v/>
      </c>
      <c r="AK154" s="42" t="str">
        <f>IF(AND(C154=Master!$H$7,B154="2012-2013",E154&gt;1000,G154="PLN03"),H154,"")</f>
        <v/>
      </c>
      <c r="AL154" s="42" t="str">
        <f>IF(AND(C154=Master!$H$7,B154="2012-2013",E154="",G154="PLN03"),H154,"")</f>
        <v/>
      </c>
      <c r="AM154" s="42" t="str">
        <f>IF(AND(C154=Master!$H$8,B154="2012-2013",E154&gt;1000,G154="PLN03"),H154,"")</f>
        <v/>
      </c>
      <c r="AN154" s="42" t="str">
        <f>IF(AND(C154=Master!$H$8,B154="2012-2013",E154="",G154="PLN03"),H154,"")</f>
        <v/>
      </c>
      <c r="AO154" s="42" t="str">
        <f>IF(AND(C154=Master!$H$9,B154="2012-2013",E154&gt;1000,G154="PLN03"),H154,"")</f>
        <v/>
      </c>
      <c r="AP154" s="42" t="str">
        <f>IF(AND(C154=Master!$H$9,B154="2012-2013",E154="",G154="PLN03"),H154,"")</f>
        <v/>
      </c>
      <c r="AQ154" s="44" t="str">
        <f>IF(AND(C154=Master!$H$1,B154="2012-2013",E154&gt;1000,G154="NPN05"),H154,"")</f>
        <v/>
      </c>
      <c r="AR154" s="44" t="str">
        <f>IF(AND(C154=Master!$H$1,B154="2012-2013",E154="",G154="NPN05"),H154,"")</f>
        <v/>
      </c>
      <c r="AS154" s="44" t="str">
        <f>IF(AND(C154=Master!$H$2,B154="2012-2013",E154&gt;1000,G154="NPN05"),H154,"")</f>
        <v/>
      </c>
      <c r="AT154" s="44" t="str">
        <f>IF(AND(C154=Master!$H$2,B154="2012-2013",E154="",G154="NPN05"),H154,"")</f>
        <v/>
      </c>
      <c r="AU154" s="44" t="str">
        <f>IF(AND(C154=Master!$H$3,B154="2012-2013",E154&gt;1000,G154="NPN05"),H154,"")</f>
        <v/>
      </c>
      <c r="AV154" s="44" t="str">
        <f>IF(AND(C154=Master!$H$3,B154="2012-2013",E154="",G154="NPN05"),H154,"")</f>
        <v/>
      </c>
      <c r="AW154" s="44" t="str">
        <f>IF(AND(C154=Master!$H$4,B154="2012-2013",E154&gt;1000,G154="NPN05"),H154,"")</f>
        <v/>
      </c>
      <c r="AX154" s="44" t="str">
        <f>IF(AND(C154=Master!$H$4,B154="2012-2013",E154="",G154="NPN05"),H154,"")</f>
        <v/>
      </c>
      <c r="AY154" s="44" t="str">
        <f>IF(AND(C154=Master!$H$5,B154="2012-2013",E154&gt;1000,G154="NPN05"),H154,"")</f>
        <v/>
      </c>
      <c r="AZ154" s="44" t="str">
        <f>IF(AND(C154=Master!$H$5,B154="2012-2013",E154="",G154="NPN05"),H154,"")</f>
        <v/>
      </c>
      <c r="BA154" s="44" t="str">
        <f>IF(AND(C154=Master!$H$6,B154="2012-2013",E154&gt;1000,G154="NPN05"),H154,"")</f>
        <v/>
      </c>
      <c r="BB154" s="44" t="str">
        <f>IF(AND(C154=Master!$H$6,B154="2012-2013",E154="",G154="NPN05"),H154,"")</f>
        <v/>
      </c>
      <c r="BC154" s="44" t="str">
        <f>IF(AND(C154=Master!$H$7,B154="2012-2013",E154&gt;1000,G154="NPN05"),H154,"")</f>
        <v/>
      </c>
      <c r="BD154" s="44" t="str">
        <f>IF(AND(C154=Master!$H$7,B154="2012-2013",E154="",G154="NPN05"),H154,"")</f>
        <v/>
      </c>
      <c r="BE154" s="44" t="str">
        <f>IF(AND(C154=Master!$H$8,B154="2012-2013",E154&gt;1000,G154="NPN05"),H154,"")</f>
        <v/>
      </c>
      <c r="BF154" s="44" t="str">
        <f>IF(AND(C154=Master!$H$8,B154="2012-2013",E154="",G154="NPN05"),H154,"")</f>
        <v/>
      </c>
      <c r="BG154" s="44" t="str">
        <f>IF(AND(C154=Master!$H$9,B154="2012-2013",E154&gt;1000,G154="NPN05"),H154,"")</f>
        <v/>
      </c>
      <c r="BH154" s="44" t="str">
        <f>IF(AND(C154=Master!$H$9,B154="2012-2013",E154="",G154="NPN05"),H154,"")</f>
        <v/>
      </c>
    </row>
    <row r="155" spans="1:60" x14ac:dyDescent="0.25">
      <c r="A155" s="3">
        <v>153</v>
      </c>
      <c r="B155" s="12"/>
      <c r="C155" s="12"/>
      <c r="D155" s="31"/>
      <c r="E155" s="4"/>
      <c r="F155" s="13"/>
      <c r="G155" s="21"/>
      <c r="H155" s="35"/>
      <c r="I155" s="21"/>
      <c r="J155" s="25" t="str">
        <f>IF(NOT(I155=""),INDEX(Master!$B$1:$B$46,MATCH(I155,Master!$A$1:$A$46,0)),"")</f>
        <v/>
      </c>
      <c r="K155" s="18"/>
      <c r="L155" s="86"/>
      <c r="M155" s="13"/>
      <c r="N155" s="13"/>
      <c r="O155" s="18"/>
      <c r="P155" s="35"/>
      <c r="Q155" s="21"/>
      <c r="R155" s="21"/>
      <c r="S155" s="13"/>
      <c r="T155" s="12"/>
      <c r="U155" s="12"/>
      <c r="V155" s="12"/>
      <c r="W155" s="14"/>
      <c r="Y155" s="42" t="str">
        <f>IF(AND(C155=Master!$H$1,B155="2012-2013",E155&gt;1000,G155="PLN03"),H155,"")</f>
        <v/>
      </c>
      <c r="Z155" s="42" t="str">
        <f>IF(AND(C155=Master!$H$1,B155="2012-2013",E155="",G155="PLN03"),H155,"")</f>
        <v/>
      </c>
      <c r="AA155" s="42" t="str">
        <f>IF(AND(C155=Master!$H$2,B155="2012-2013",E155&gt;1000,G155="PLN03"),H155,"")</f>
        <v/>
      </c>
      <c r="AB155" s="42" t="str">
        <f>IF(AND(C155=Master!$H$2,B155="2012-2013",E155="",G155="PLN03"),H155,"")</f>
        <v/>
      </c>
      <c r="AC155" s="42" t="str">
        <f>IF(AND(C155=Master!$H$3,B155="2012-2013",E155&gt;1000,G155="PLN03"),H155,"")</f>
        <v/>
      </c>
      <c r="AD155" s="42" t="str">
        <f>IF(AND(C155=Master!$H$3,B155="2012-2013",E155="",G155="PLN03"),H155,"")</f>
        <v/>
      </c>
      <c r="AE155" s="42" t="str">
        <f>IF(AND(C155=Master!$H$4,B155="2012-2013",E155&gt;1000,G155="PLN03"),H155,"")</f>
        <v/>
      </c>
      <c r="AF155" s="42" t="str">
        <f>IF(AND(C155=Master!$H$4,B155="2012-2013",E155="",G155="PLN03"),H155,"")</f>
        <v/>
      </c>
      <c r="AG155" s="42" t="str">
        <f>IF(AND(C155=Master!$H$5,B155="2012-2013",E155&gt;1000,G155="PLN03"),H155,"")</f>
        <v/>
      </c>
      <c r="AH155" s="42" t="str">
        <f>IF(AND(C155=Master!$H$5,B155="2012-2013",E155="",G155="PLN03"),H155,"")</f>
        <v/>
      </c>
      <c r="AI155" s="42" t="str">
        <f>IF(AND(C155=Master!$H$6,B155="2012-2013",E155&gt;1000,G155="PLN03"),H155,"")</f>
        <v/>
      </c>
      <c r="AJ155" s="42" t="str">
        <f>IF(AND(C155=Master!$H$6,B155="2012-2013",E155="",G155="PLN03"),H155,"")</f>
        <v/>
      </c>
      <c r="AK155" s="42" t="str">
        <f>IF(AND(C155=Master!$H$7,B155="2012-2013",E155&gt;1000,G155="PLN03"),H155,"")</f>
        <v/>
      </c>
      <c r="AL155" s="42" t="str">
        <f>IF(AND(C155=Master!$H$7,B155="2012-2013",E155="",G155="PLN03"),H155,"")</f>
        <v/>
      </c>
      <c r="AM155" s="42" t="str">
        <f>IF(AND(C155=Master!$H$8,B155="2012-2013",E155&gt;1000,G155="PLN03"),H155,"")</f>
        <v/>
      </c>
      <c r="AN155" s="42" t="str">
        <f>IF(AND(C155=Master!$H$8,B155="2012-2013",E155="",G155="PLN03"),H155,"")</f>
        <v/>
      </c>
      <c r="AO155" s="42" t="str">
        <f>IF(AND(C155=Master!$H$9,B155="2012-2013",E155&gt;1000,G155="PLN03"),H155,"")</f>
        <v/>
      </c>
      <c r="AP155" s="42" t="str">
        <f>IF(AND(C155=Master!$H$9,B155="2012-2013",E155="",G155="PLN03"),H155,"")</f>
        <v/>
      </c>
      <c r="AQ155" s="44" t="str">
        <f>IF(AND(C155=Master!$H$1,B155="2012-2013",E155&gt;1000,G155="NPN05"),H155,"")</f>
        <v/>
      </c>
      <c r="AR155" s="44" t="str">
        <f>IF(AND(C155=Master!$H$1,B155="2012-2013",E155="",G155="NPN05"),H155,"")</f>
        <v/>
      </c>
      <c r="AS155" s="44" t="str">
        <f>IF(AND(C155=Master!$H$2,B155="2012-2013",E155&gt;1000,G155="NPN05"),H155,"")</f>
        <v/>
      </c>
      <c r="AT155" s="44" t="str">
        <f>IF(AND(C155=Master!$H$2,B155="2012-2013",E155="",G155="NPN05"),H155,"")</f>
        <v/>
      </c>
      <c r="AU155" s="44" t="str">
        <f>IF(AND(C155=Master!$H$3,B155="2012-2013",E155&gt;1000,G155="NPN05"),H155,"")</f>
        <v/>
      </c>
      <c r="AV155" s="44" t="str">
        <f>IF(AND(C155=Master!$H$3,B155="2012-2013",E155="",G155="NPN05"),H155,"")</f>
        <v/>
      </c>
      <c r="AW155" s="44" t="str">
        <f>IF(AND(C155=Master!$H$4,B155="2012-2013",E155&gt;1000,G155="NPN05"),H155,"")</f>
        <v/>
      </c>
      <c r="AX155" s="44" t="str">
        <f>IF(AND(C155=Master!$H$4,B155="2012-2013",E155="",G155="NPN05"),H155,"")</f>
        <v/>
      </c>
      <c r="AY155" s="44" t="str">
        <f>IF(AND(C155=Master!$H$5,B155="2012-2013",E155&gt;1000,G155="NPN05"),H155,"")</f>
        <v/>
      </c>
      <c r="AZ155" s="44" t="str">
        <f>IF(AND(C155=Master!$H$5,B155="2012-2013",E155="",G155="NPN05"),H155,"")</f>
        <v/>
      </c>
      <c r="BA155" s="44" t="str">
        <f>IF(AND(C155=Master!$H$6,B155="2012-2013",E155&gt;1000,G155="NPN05"),H155,"")</f>
        <v/>
      </c>
      <c r="BB155" s="44" t="str">
        <f>IF(AND(C155=Master!$H$6,B155="2012-2013",E155="",G155="NPN05"),H155,"")</f>
        <v/>
      </c>
      <c r="BC155" s="44" t="str">
        <f>IF(AND(C155=Master!$H$7,B155="2012-2013",E155&gt;1000,G155="NPN05"),H155,"")</f>
        <v/>
      </c>
      <c r="BD155" s="44" t="str">
        <f>IF(AND(C155=Master!$H$7,B155="2012-2013",E155="",G155="NPN05"),H155,"")</f>
        <v/>
      </c>
      <c r="BE155" s="44" t="str">
        <f>IF(AND(C155=Master!$H$8,B155="2012-2013",E155&gt;1000,G155="NPN05"),H155,"")</f>
        <v/>
      </c>
      <c r="BF155" s="44" t="str">
        <f>IF(AND(C155=Master!$H$8,B155="2012-2013",E155="",G155="NPN05"),H155,"")</f>
        <v/>
      </c>
      <c r="BG155" s="44" t="str">
        <f>IF(AND(C155=Master!$H$9,B155="2012-2013",E155&gt;1000,G155="NPN05"),H155,"")</f>
        <v/>
      </c>
      <c r="BH155" s="44" t="str">
        <f>IF(AND(C155=Master!$H$9,B155="2012-2013",E155="",G155="NPN05"),H155,"")</f>
        <v/>
      </c>
    </row>
    <row r="156" spans="1:60" x14ac:dyDescent="0.25">
      <c r="A156" s="3">
        <v>154</v>
      </c>
      <c r="B156" s="12"/>
      <c r="C156" s="12"/>
      <c r="D156" s="31"/>
      <c r="E156" s="4"/>
      <c r="F156" s="13"/>
      <c r="G156" s="21"/>
      <c r="H156" s="35"/>
      <c r="I156" s="21"/>
      <c r="J156" s="25" t="str">
        <f>IF(NOT(I156=""),INDEX(Master!$B$1:$B$46,MATCH(I156,Master!$A$1:$A$46,0)),"")</f>
        <v/>
      </c>
      <c r="K156" s="18"/>
      <c r="L156" s="86"/>
      <c r="M156" s="13"/>
      <c r="N156" s="13"/>
      <c r="O156" s="18"/>
      <c r="P156" s="35"/>
      <c r="Q156" s="21"/>
      <c r="R156" s="21"/>
      <c r="S156" s="13"/>
      <c r="T156" s="12"/>
      <c r="U156" s="12"/>
      <c r="V156" s="12"/>
      <c r="W156" s="14"/>
      <c r="Y156" s="42" t="str">
        <f>IF(AND(C156=Master!$H$1,B156="2012-2013",E156&gt;1000,G156="PLN03"),H156,"")</f>
        <v/>
      </c>
      <c r="Z156" s="42" t="str">
        <f>IF(AND(C156=Master!$H$1,B156="2012-2013",E156="",G156="PLN03"),H156,"")</f>
        <v/>
      </c>
      <c r="AA156" s="42" t="str">
        <f>IF(AND(C156=Master!$H$2,B156="2012-2013",E156&gt;1000,G156="PLN03"),H156,"")</f>
        <v/>
      </c>
      <c r="AB156" s="42" t="str">
        <f>IF(AND(C156=Master!$H$2,B156="2012-2013",E156="",G156="PLN03"),H156,"")</f>
        <v/>
      </c>
      <c r="AC156" s="42" t="str">
        <f>IF(AND(C156=Master!$H$3,B156="2012-2013",E156&gt;1000,G156="PLN03"),H156,"")</f>
        <v/>
      </c>
      <c r="AD156" s="42" t="str">
        <f>IF(AND(C156=Master!$H$3,B156="2012-2013",E156="",G156="PLN03"),H156,"")</f>
        <v/>
      </c>
      <c r="AE156" s="42" t="str">
        <f>IF(AND(C156=Master!$H$4,B156="2012-2013",E156&gt;1000,G156="PLN03"),H156,"")</f>
        <v/>
      </c>
      <c r="AF156" s="42" t="str">
        <f>IF(AND(C156=Master!$H$4,B156="2012-2013",E156="",G156="PLN03"),H156,"")</f>
        <v/>
      </c>
      <c r="AG156" s="42" t="str">
        <f>IF(AND(C156=Master!$H$5,B156="2012-2013",E156&gt;1000,G156="PLN03"),H156,"")</f>
        <v/>
      </c>
      <c r="AH156" s="42" t="str">
        <f>IF(AND(C156=Master!$H$5,B156="2012-2013",E156="",G156="PLN03"),H156,"")</f>
        <v/>
      </c>
      <c r="AI156" s="42" t="str">
        <f>IF(AND(C156=Master!$H$6,B156="2012-2013",E156&gt;1000,G156="PLN03"),H156,"")</f>
        <v/>
      </c>
      <c r="AJ156" s="42" t="str">
        <f>IF(AND(C156=Master!$H$6,B156="2012-2013",E156="",G156="PLN03"),H156,"")</f>
        <v/>
      </c>
      <c r="AK156" s="42" t="str">
        <f>IF(AND(C156=Master!$H$7,B156="2012-2013",E156&gt;1000,G156="PLN03"),H156,"")</f>
        <v/>
      </c>
      <c r="AL156" s="42" t="str">
        <f>IF(AND(C156=Master!$H$7,B156="2012-2013",E156="",G156="PLN03"),H156,"")</f>
        <v/>
      </c>
      <c r="AM156" s="42" t="str">
        <f>IF(AND(C156=Master!$H$8,B156="2012-2013",E156&gt;1000,G156="PLN03"),H156,"")</f>
        <v/>
      </c>
      <c r="AN156" s="42" t="str">
        <f>IF(AND(C156=Master!$H$8,B156="2012-2013",E156="",G156="PLN03"),H156,"")</f>
        <v/>
      </c>
      <c r="AO156" s="42" t="str">
        <f>IF(AND(C156=Master!$H$9,B156="2012-2013",E156&gt;1000,G156="PLN03"),H156,"")</f>
        <v/>
      </c>
      <c r="AP156" s="42" t="str">
        <f>IF(AND(C156=Master!$H$9,B156="2012-2013",E156="",G156="PLN03"),H156,"")</f>
        <v/>
      </c>
      <c r="AQ156" s="44" t="str">
        <f>IF(AND(C156=Master!$H$1,B156="2012-2013",E156&gt;1000,G156="NPN05"),H156,"")</f>
        <v/>
      </c>
      <c r="AR156" s="44" t="str">
        <f>IF(AND(C156=Master!$H$1,B156="2012-2013",E156="",G156="NPN05"),H156,"")</f>
        <v/>
      </c>
      <c r="AS156" s="44" t="str">
        <f>IF(AND(C156=Master!$H$2,B156="2012-2013",E156&gt;1000,G156="NPN05"),H156,"")</f>
        <v/>
      </c>
      <c r="AT156" s="44" t="str">
        <f>IF(AND(C156=Master!$H$2,B156="2012-2013",E156="",G156="NPN05"),H156,"")</f>
        <v/>
      </c>
      <c r="AU156" s="44" t="str">
        <f>IF(AND(C156=Master!$H$3,B156="2012-2013",E156&gt;1000,G156="NPN05"),H156,"")</f>
        <v/>
      </c>
      <c r="AV156" s="44" t="str">
        <f>IF(AND(C156=Master!$H$3,B156="2012-2013",E156="",G156="NPN05"),H156,"")</f>
        <v/>
      </c>
      <c r="AW156" s="44" t="str">
        <f>IF(AND(C156=Master!$H$4,B156="2012-2013",E156&gt;1000,G156="NPN05"),H156,"")</f>
        <v/>
      </c>
      <c r="AX156" s="44" t="str">
        <f>IF(AND(C156=Master!$H$4,B156="2012-2013",E156="",G156="NPN05"),H156,"")</f>
        <v/>
      </c>
      <c r="AY156" s="44" t="str">
        <f>IF(AND(C156=Master!$H$5,B156="2012-2013",E156&gt;1000,G156="NPN05"),H156,"")</f>
        <v/>
      </c>
      <c r="AZ156" s="44" t="str">
        <f>IF(AND(C156=Master!$H$5,B156="2012-2013",E156="",G156="NPN05"),H156,"")</f>
        <v/>
      </c>
      <c r="BA156" s="44" t="str">
        <f>IF(AND(C156=Master!$H$6,B156="2012-2013",E156&gt;1000,G156="NPN05"),H156,"")</f>
        <v/>
      </c>
      <c r="BB156" s="44" t="str">
        <f>IF(AND(C156=Master!$H$6,B156="2012-2013",E156="",G156="NPN05"),H156,"")</f>
        <v/>
      </c>
      <c r="BC156" s="44" t="str">
        <f>IF(AND(C156=Master!$H$7,B156="2012-2013",E156&gt;1000,G156="NPN05"),H156,"")</f>
        <v/>
      </c>
      <c r="BD156" s="44" t="str">
        <f>IF(AND(C156=Master!$H$7,B156="2012-2013",E156="",G156="NPN05"),H156,"")</f>
        <v/>
      </c>
      <c r="BE156" s="44" t="str">
        <f>IF(AND(C156=Master!$H$8,B156="2012-2013",E156&gt;1000,G156="NPN05"),H156,"")</f>
        <v/>
      </c>
      <c r="BF156" s="44" t="str">
        <f>IF(AND(C156=Master!$H$8,B156="2012-2013",E156="",G156="NPN05"),H156,"")</f>
        <v/>
      </c>
      <c r="BG156" s="44" t="str">
        <f>IF(AND(C156=Master!$H$9,B156="2012-2013",E156&gt;1000,G156="NPN05"),H156,"")</f>
        <v/>
      </c>
      <c r="BH156" s="44" t="str">
        <f>IF(AND(C156=Master!$H$9,B156="2012-2013",E156="",G156="NPN05"),H156,"")</f>
        <v/>
      </c>
    </row>
    <row r="157" spans="1:60" x14ac:dyDescent="0.25">
      <c r="A157" s="5">
        <v>155</v>
      </c>
      <c r="B157" s="12"/>
      <c r="C157" s="12"/>
      <c r="D157" s="31"/>
      <c r="E157" s="4"/>
      <c r="F157" s="13"/>
      <c r="G157" s="21"/>
      <c r="H157" s="35"/>
      <c r="I157" s="21"/>
      <c r="J157" s="25" t="str">
        <f>IF(NOT(I157=""),INDEX(Master!$B$1:$B$46,MATCH(I157,Master!$A$1:$A$46,0)),"")</f>
        <v/>
      </c>
      <c r="K157" s="18"/>
      <c r="L157" s="86"/>
      <c r="M157" s="13"/>
      <c r="N157" s="13"/>
      <c r="O157" s="18"/>
      <c r="P157" s="35"/>
      <c r="Q157" s="21"/>
      <c r="R157" s="21"/>
      <c r="S157" s="13"/>
      <c r="T157" s="12"/>
      <c r="U157" s="12"/>
      <c r="V157" s="12"/>
      <c r="W157" s="14"/>
      <c r="Y157" s="42" t="str">
        <f>IF(AND(C157=Master!$H$1,B157="2012-2013",E157&gt;1000,G157="PLN03"),H157,"")</f>
        <v/>
      </c>
      <c r="Z157" s="42" t="str">
        <f>IF(AND(C157=Master!$H$1,B157="2012-2013",E157="",G157="PLN03"),H157,"")</f>
        <v/>
      </c>
      <c r="AA157" s="42" t="str">
        <f>IF(AND(C157=Master!$H$2,B157="2012-2013",E157&gt;1000,G157="PLN03"),H157,"")</f>
        <v/>
      </c>
      <c r="AB157" s="42" t="str">
        <f>IF(AND(C157=Master!$H$2,B157="2012-2013",E157="",G157="PLN03"),H157,"")</f>
        <v/>
      </c>
      <c r="AC157" s="42" t="str">
        <f>IF(AND(C157=Master!$H$3,B157="2012-2013",E157&gt;1000,G157="PLN03"),H157,"")</f>
        <v/>
      </c>
      <c r="AD157" s="42" t="str">
        <f>IF(AND(C157=Master!$H$3,B157="2012-2013",E157="",G157="PLN03"),H157,"")</f>
        <v/>
      </c>
      <c r="AE157" s="42" t="str">
        <f>IF(AND(C157=Master!$H$4,B157="2012-2013",E157&gt;1000,G157="PLN03"),H157,"")</f>
        <v/>
      </c>
      <c r="AF157" s="42" t="str">
        <f>IF(AND(C157=Master!$H$4,B157="2012-2013",E157="",G157="PLN03"),H157,"")</f>
        <v/>
      </c>
      <c r="AG157" s="42" t="str">
        <f>IF(AND(C157=Master!$H$5,B157="2012-2013",E157&gt;1000,G157="PLN03"),H157,"")</f>
        <v/>
      </c>
      <c r="AH157" s="42" t="str">
        <f>IF(AND(C157=Master!$H$5,B157="2012-2013",E157="",G157="PLN03"),H157,"")</f>
        <v/>
      </c>
      <c r="AI157" s="42" t="str">
        <f>IF(AND(C157=Master!$H$6,B157="2012-2013",E157&gt;1000,G157="PLN03"),H157,"")</f>
        <v/>
      </c>
      <c r="AJ157" s="42" t="str">
        <f>IF(AND(C157=Master!$H$6,B157="2012-2013",E157="",G157="PLN03"),H157,"")</f>
        <v/>
      </c>
      <c r="AK157" s="42" t="str">
        <f>IF(AND(C157=Master!$H$7,B157="2012-2013",E157&gt;1000,G157="PLN03"),H157,"")</f>
        <v/>
      </c>
      <c r="AL157" s="42" t="str">
        <f>IF(AND(C157=Master!$H$7,B157="2012-2013",E157="",G157="PLN03"),H157,"")</f>
        <v/>
      </c>
      <c r="AM157" s="42" t="str">
        <f>IF(AND(C157=Master!$H$8,B157="2012-2013",E157&gt;1000,G157="PLN03"),H157,"")</f>
        <v/>
      </c>
      <c r="AN157" s="42" t="str">
        <f>IF(AND(C157=Master!$H$8,B157="2012-2013",E157="",G157="PLN03"),H157,"")</f>
        <v/>
      </c>
      <c r="AO157" s="42" t="str">
        <f>IF(AND(C157=Master!$H$9,B157="2012-2013",E157&gt;1000,G157="PLN03"),H157,"")</f>
        <v/>
      </c>
      <c r="AP157" s="42" t="str">
        <f>IF(AND(C157=Master!$H$9,B157="2012-2013",E157="",G157="PLN03"),H157,"")</f>
        <v/>
      </c>
      <c r="AQ157" s="44" t="str">
        <f>IF(AND(C157=Master!$H$1,B157="2012-2013",E157&gt;1000,G157="NPN05"),H157,"")</f>
        <v/>
      </c>
      <c r="AR157" s="44" t="str">
        <f>IF(AND(C157=Master!$H$1,B157="2012-2013",E157="",G157="NPN05"),H157,"")</f>
        <v/>
      </c>
      <c r="AS157" s="44" t="str">
        <f>IF(AND(C157=Master!$H$2,B157="2012-2013",E157&gt;1000,G157="NPN05"),H157,"")</f>
        <v/>
      </c>
      <c r="AT157" s="44" t="str">
        <f>IF(AND(C157=Master!$H$2,B157="2012-2013",E157="",G157="NPN05"),H157,"")</f>
        <v/>
      </c>
      <c r="AU157" s="44" t="str">
        <f>IF(AND(C157=Master!$H$3,B157="2012-2013",E157&gt;1000,G157="NPN05"),H157,"")</f>
        <v/>
      </c>
      <c r="AV157" s="44" t="str">
        <f>IF(AND(C157=Master!$H$3,B157="2012-2013",E157="",G157="NPN05"),H157,"")</f>
        <v/>
      </c>
      <c r="AW157" s="44" t="str">
        <f>IF(AND(C157=Master!$H$4,B157="2012-2013",E157&gt;1000,G157="NPN05"),H157,"")</f>
        <v/>
      </c>
      <c r="AX157" s="44" t="str">
        <f>IF(AND(C157=Master!$H$4,B157="2012-2013",E157="",G157="NPN05"),H157,"")</f>
        <v/>
      </c>
      <c r="AY157" s="44" t="str">
        <f>IF(AND(C157=Master!$H$5,B157="2012-2013",E157&gt;1000,G157="NPN05"),H157,"")</f>
        <v/>
      </c>
      <c r="AZ157" s="44" t="str">
        <f>IF(AND(C157=Master!$H$5,B157="2012-2013",E157="",G157="NPN05"),H157,"")</f>
        <v/>
      </c>
      <c r="BA157" s="44" t="str">
        <f>IF(AND(C157=Master!$H$6,B157="2012-2013",E157&gt;1000,G157="NPN05"),H157,"")</f>
        <v/>
      </c>
      <c r="BB157" s="44" t="str">
        <f>IF(AND(C157=Master!$H$6,B157="2012-2013",E157="",G157="NPN05"),H157,"")</f>
        <v/>
      </c>
      <c r="BC157" s="44" t="str">
        <f>IF(AND(C157=Master!$H$7,B157="2012-2013",E157&gt;1000,G157="NPN05"),H157,"")</f>
        <v/>
      </c>
      <c r="BD157" s="44" t="str">
        <f>IF(AND(C157=Master!$H$7,B157="2012-2013",E157="",G157="NPN05"),H157,"")</f>
        <v/>
      </c>
      <c r="BE157" s="44" t="str">
        <f>IF(AND(C157=Master!$H$8,B157="2012-2013",E157&gt;1000,G157="NPN05"),H157,"")</f>
        <v/>
      </c>
      <c r="BF157" s="44" t="str">
        <f>IF(AND(C157=Master!$H$8,B157="2012-2013",E157="",G157="NPN05"),H157,"")</f>
        <v/>
      </c>
      <c r="BG157" s="44" t="str">
        <f>IF(AND(C157=Master!$H$9,B157="2012-2013",E157&gt;1000,G157="NPN05"),H157,"")</f>
        <v/>
      </c>
      <c r="BH157" s="44" t="str">
        <f>IF(AND(C157=Master!$H$9,B157="2012-2013",E157="",G157="NPN05"),H157,"")</f>
        <v/>
      </c>
    </row>
    <row r="158" spans="1:60" x14ac:dyDescent="0.25">
      <c r="A158" s="3">
        <v>156</v>
      </c>
      <c r="B158" s="12"/>
      <c r="C158" s="12"/>
      <c r="D158" s="31"/>
      <c r="E158" s="4"/>
      <c r="F158" s="13"/>
      <c r="G158" s="21"/>
      <c r="H158" s="35"/>
      <c r="I158" s="21"/>
      <c r="J158" s="25" t="str">
        <f>IF(NOT(I158=""),INDEX(Master!$B$1:$B$46,MATCH(I158,Master!$A$1:$A$46,0)),"")</f>
        <v/>
      </c>
      <c r="K158" s="18"/>
      <c r="L158" s="86"/>
      <c r="M158" s="13"/>
      <c r="N158" s="13"/>
      <c r="O158" s="18"/>
      <c r="P158" s="35"/>
      <c r="Q158" s="21"/>
      <c r="R158" s="21"/>
      <c r="S158" s="13"/>
      <c r="T158" s="12"/>
      <c r="U158" s="12"/>
      <c r="V158" s="12"/>
      <c r="W158" s="14"/>
      <c r="Y158" s="42" t="str">
        <f>IF(AND(C158=Master!$H$1,B158="2012-2013",E158&gt;1000,G158="PLN03"),H158,"")</f>
        <v/>
      </c>
      <c r="Z158" s="42" t="str">
        <f>IF(AND(C158=Master!$H$1,B158="2012-2013",E158="",G158="PLN03"),H158,"")</f>
        <v/>
      </c>
      <c r="AA158" s="42" t="str">
        <f>IF(AND(C158=Master!$H$2,B158="2012-2013",E158&gt;1000,G158="PLN03"),H158,"")</f>
        <v/>
      </c>
      <c r="AB158" s="42" t="str">
        <f>IF(AND(C158=Master!$H$2,B158="2012-2013",E158="",G158="PLN03"),H158,"")</f>
        <v/>
      </c>
      <c r="AC158" s="42" t="str">
        <f>IF(AND(C158=Master!$H$3,B158="2012-2013",E158&gt;1000,G158="PLN03"),H158,"")</f>
        <v/>
      </c>
      <c r="AD158" s="42" t="str">
        <f>IF(AND(C158=Master!$H$3,B158="2012-2013",E158="",G158="PLN03"),H158,"")</f>
        <v/>
      </c>
      <c r="AE158" s="42" t="str">
        <f>IF(AND(C158=Master!$H$4,B158="2012-2013",E158&gt;1000,G158="PLN03"),H158,"")</f>
        <v/>
      </c>
      <c r="AF158" s="42" t="str">
        <f>IF(AND(C158=Master!$H$4,B158="2012-2013",E158="",G158="PLN03"),H158,"")</f>
        <v/>
      </c>
      <c r="AG158" s="42" t="str">
        <f>IF(AND(C158=Master!$H$5,B158="2012-2013",E158&gt;1000,G158="PLN03"),H158,"")</f>
        <v/>
      </c>
      <c r="AH158" s="42" t="str">
        <f>IF(AND(C158=Master!$H$5,B158="2012-2013",E158="",G158="PLN03"),H158,"")</f>
        <v/>
      </c>
      <c r="AI158" s="42" t="str">
        <f>IF(AND(C158=Master!$H$6,B158="2012-2013",E158&gt;1000,G158="PLN03"),H158,"")</f>
        <v/>
      </c>
      <c r="AJ158" s="42" t="str">
        <f>IF(AND(C158=Master!$H$6,B158="2012-2013",E158="",G158="PLN03"),H158,"")</f>
        <v/>
      </c>
      <c r="AK158" s="42" t="str">
        <f>IF(AND(C158=Master!$H$7,B158="2012-2013",E158&gt;1000,G158="PLN03"),H158,"")</f>
        <v/>
      </c>
      <c r="AL158" s="42" t="str">
        <f>IF(AND(C158=Master!$H$7,B158="2012-2013",E158="",G158="PLN03"),H158,"")</f>
        <v/>
      </c>
      <c r="AM158" s="42" t="str">
        <f>IF(AND(C158=Master!$H$8,B158="2012-2013",E158&gt;1000,G158="PLN03"),H158,"")</f>
        <v/>
      </c>
      <c r="AN158" s="42" t="str">
        <f>IF(AND(C158=Master!$H$8,B158="2012-2013",E158="",G158="PLN03"),H158,"")</f>
        <v/>
      </c>
      <c r="AO158" s="42" t="str">
        <f>IF(AND(C158=Master!$H$9,B158="2012-2013",E158&gt;1000,G158="PLN03"),H158,"")</f>
        <v/>
      </c>
      <c r="AP158" s="42" t="str">
        <f>IF(AND(C158=Master!$H$9,B158="2012-2013",E158="",G158="PLN03"),H158,"")</f>
        <v/>
      </c>
      <c r="AQ158" s="44" t="str">
        <f>IF(AND(C158=Master!$H$1,B158="2012-2013",E158&gt;1000,G158="NPN05"),H158,"")</f>
        <v/>
      </c>
      <c r="AR158" s="44" t="str">
        <f>IF(AND(C158=Master!$H$1,B158="2012-2013",E158="",G158="NPN05"),H158,"")</f>
        <v/>
      </c>
      <c r="AS158" s="44" t="str">
        <f>IF(AND(C158=Master!$H$2,B158="2012-2013",E158&gt;1000,G158="NPN05"),H158,"")</f>
        <v/>
      </c>
      <c r="AT158" s="44" t="str">
        <f>IF(AND(C158=Master!$H$2,B158="2012-2013",E158="",G158="NPN05"),H158,"")</f>
        <v/>
      </c>
      <c r="AU158" s="44" t="str">
        <f>IF(AND(C158=Master!$H$3,B158="2012-2013",E158&gt;1000,G158="NPN05"),H158,"")</f>
        <v/>
      </c>
      <c r="AV158" s="44" t="str">
        <f>IF(AND(C158=Master!$H$3,B158="2012-2013",E158="",G158="NPN05"),H158,"")</f>
        <v/>
      </c>
      <c r="AW158" s="44" t="str">
        <f>IF(AND(C158=Master!$H$4,B158="2012-2013",E158&gt;1000,G158="NPN05"),H158,"")</f>
        <v/>
      </c>
      <c r="AX158" s="44" t="str">
        <f>IF(AND(C158=Master!$H$4,B158="2012-2013",E158="",G158="NPN05"),H158,"")</f>
        <v/>
      </c>
      <c r="AY158" s="44" t="str">
        <f>IF(AND(C158=Master!$H$5,B158="2012-2013",E158&gt;1000,G158="NPN05"),H158,"")</f>
        <v/>
      </c>
      <c r="AZ158" s="44" t="str">
        <f>IF(AND(C158=Master!$H$5,B158="2012-2013",E158="",G158="NPN05"),H158,"")</f>
        <v/>
      </c>
      <c r="BA158" s="44" t="str">
        <f>IF(AND(C158=Master!$H$6,B158="2012-2013",E158&gt;1000,G158="NPN05"),H158,"")</f>
        <v/>
      </c>
      <c r="BB158" s="44" t="str">
        <f>IF(AND(C158=Master!$H$6,B158="2012-2013",E158="",G158="NPN05"),H158,"")</f>
        <v/>
      </c>
      <c r="BC158" s="44" t="str">
        <f>IF(AND(C158=Master!$H$7,B158="2012-2013",E158&gt;1000,G158="NPN05"),H158,"")</f>
        <v/>
      </c>
      <c r="BD158" s="44" t="str">
        <f>IF(AND(C158=Master!$H$7,B158="2012-2013",E158="",G158="NPN05"),H158,"")</f>
        <v/>
      </c>
      <c r="BE158" s="44" t="str">
        <f>IF(AND(C158=Master!$H$8,B158="2012-2013",E158&gt;1000,G158="NPN05"),H158,"")</f>
        <v/>
      </c>
      <c r="BF158" s="44" t="str">
        <f>IF(AND(C158=Master!$H$8,B158="2012-2013",E158="",G158="NPN05"),H158,"")</f>
        <v/>
      </c>
      <c r="BG158" s="44" t="str">
        <f>IF(AND(C158=Master!$H$9,B158="2012-2013",E158&gt;1000,G158="NPN05"),H158,"")</f>
        <v/>
      </c>
      <c r="BH158" s="44" t="str">
        <f>IF(AND(C158=Master!$H$9,B158="2012-2013",E158="",G158="NPN05"),H158,"")</f>
        <v/>
      </c>
    </row>
    <row r="159" spans="1:60" x14ac:dyDescent="0.25">
      <c r="A159" s="3">
        <v>157</v>
      </c>
      <c r="B159" s="12"/>
      <c r="C159" s="12"/>
      <c r="D159" s="31"/>
      <c r="E159" s="4"/>
      <c r="F159" s="13"/>
      <c r="G159" s="21"/>
      <c r="H159" s="35"/>
      <c r="I159" s="21"/>
      <c r="J159" s="25" t="str">
        <f>IF(NOT(I159=""),INDEX(Master!$B$1:$B$46,MATCH(I159,Master!$A$1:$A$46,0)),"")</f>
        <v/>
      </c>
      <c r="K159" s="18"/>
      <c r="L159" s="86"/>
      <c r="M159" s="13"/>
      <c r="N159" s="13"/>
      <c r="O159" s="18"/>
      <c r="P159" s="35"/>
      <c r="Q159" s="21"/>
      <c r="R159" s="21"/>
      <c r="S159" s="13"/>
      <c r="T159" s="12"/>
      <c r="U159" s="12"/>
      <c r="V159" s="12"/>
      <c r="W159" s="14"/>
      <c r="Y159" s="42" t="str">
        <f>IF(AND(C159=Master!$H$1,B159="2012-2013",E159&gt;1000,G159="PLN03"),H159,"")</f>
        <v/>
      </c>
      <c r="Z159" s="42" t="str">
        <f>IF(AND(C159=Master!$H$1,B159="2012-2013",E159="",G159="PLN03"),H159,"")</f>
        <v/>
      </c>
      <c r="AA159" s="42" t="str">
        <f>IF(AND(C159=Master!$H$2,B159="2012-2013",E159&gt;1000,G159="PLN03"),H159,"")</f>
        <v/>
      </c>
      <c r="AB159" s="42" t="str">
        <f>IF(AND(C159=Master!$H$2,B159="2012-2013",E159="",G159="PLN03"),H159,"")</f>
        <v/>
      </c>
      <c r="AC159" s="42" t="str">
        <f>IF(AND(C159=Master!$H$3,B159="2012-2013",E159&gt;1000,G159="PLN03"),H159,"")</f>
        <v/>
      </c>
      <c r="AD159" s="42" t="str">
        <f>IF(AND(C159=Master!$H$3,B159="2012-2013",E159="",G159="PLN03"),H159,"")</f>
        <v/>
      </c>
      <c r="AE159" s="42" t="str">
        <f>IF(AND(C159=Master!$H$4,B159="2012-2013",E159&gt;1000,G159="PLN03"),H159,"")</f>
        <v/>
      </c>
      <c r="AF159" s="42" t="str">
        <f>IF(AND(C159=Master!$H$4,B159="2012-2013",E159="",G159="PLN03"),H159,"")</f>
        <v/>
      </c>
      <c r="AG159" s="42" t="str">
        <f>IF(AND(C159=Master!$H$5,B159="2012-2013",E159&gt;1000,G159="PLN03"),H159,"")</f>
        <v/>
      </c>
      <c r="AH159" s="42" t="str">
        <f>IF(AND(C159=Master!$H$5,B159="2012-2013",E159="",G159="PLN03"),H159,"")</f>
        <v/>
      </c>
      <c r="AI159" s="42" t="str">
        <f>IF(AND(C159=Master!$H$6,B159="2012-2013",E159&gt;1000,G159="PLN03"),H159,"")</f>
        <v/>
      </c>
      <c r="AJ159" s="42" t="str">
        <f>IF(AND(C159=Master!$H$6,B159="2012-2013",E159="",G159="PLN03"),H159,"")</f>
        <v/>
      </c>
      <c r="AK159" s="42" t="str">
        <f>IF(AND(C159=Master!$H$7,B159="2012-2013",E159&gt;1000,G159="PLN03"),H159,"")</f>
        <v/>
      </c>
      <c r="AL159" s="42" t="str">
        <f>IF(AND(C159=Master!$H$7,B159="2012-2013",E159="",G159="PLN03"),H159,"")</f>
        <v/>
      </c>
      <c r="AM159" s="42" t="str">
        <f>IF(AND(C159=Master!$H$8,B159="2012-2013",E159&gt;1000,G159="PLN03"),H159,"")</f>
        <v/>
      </c>
      <c r="AN159" s="42" t="str">
        <f>IF(AND(C159=Master!$H$8,B159="2012-2013",E159="",G159="PLN03"),H159,"")</f>
        <v/>
      </c>
      <c r="AO159" s="42" t="str">
        <f>IF(AND(C159=Master!$H$9,B159="2012-2013",E159&gt;1000,G159="PLN03"),H159,"")</f>
        <v/>
      </c>
      <c r="AP159" s="42" t="str">
        <f>IF(AND(C159=Master!$H$9,B159="2012-2013",E159="",G159="PLN03"),H159,"")</f>
        <v/>
      </c>
      <c r="AQ159" s="44" t="str">
        <f>IF(AND(C159=Master!$H$1,B159="2012-2013",E159&gt;1000,G159="NPN05"),H159,"")</f>
        <v/>
      </c>
      <c r="AR159" s="44" t="str">
        <f>IF(AND(C159=Master!$H$1,B159="2012-2013",E159="",G159="NPN05"),H159,"")</f>
        <v/>
      </c>
      <c r="AS159" s="44" t="str">
        <f>IF(AND(C159=Master!$H$2,B159="2012-2013",E159&gt;1000,G159="NPN05"),H159,"")</f>
        <v/>
      </c>
      <c r="AT159" s="44" t="str">
        <f>IF(AND(C159=Master!$H$2,B159="2012-2013",E159="",G159="NPN05"),H159,"")</f>
        <v/>
      </c>
      <c r="AU159" s="44" t="str">
        <f>IF(AND(C159=Master!$H$3,B159="2012-2013",E159&gt;1000,G159="NPN05"),H159,"")</f>
        <v/>
      </c>
      <c r="AV159" s="44" t="str">
        <f>IF(AND(C159=Master!$H$3,B159="2012-2013",E159="",G159="NPN05"),H159,"")</f>
        <v/>
      </c>
      <c r="AW159" s="44" t="str">
        <f>IF(AND(C159=Master!$H$4,B159="2012-2013",E159&gt;1000,G159="NPN05"),H159,"")</f>
        <v/>
      </c>
      <c r="AX159" s="44" t="str">
        <f>IF(AND(C159=Master!$H$4,B159="2012-2013",E159="",G159="NPN05"),H159,"")</f>
        <v/>
      </c>
      <c r="AY159" s="44" t="str">
        <f>IF(AND(C159=Master!$H$5,B159="2012-2013",E159&gt;1000,G159="NPN05"),H159,"")</f>
        <v/>
      </c>
      <c r="AZ159" s="44" t="str">
        <f>IF(AND(C159=Master!$H$5,B159="2012-2013",E159="",G159="NPN05"),H159,"")</f>
        <v/>
      </c>
      <c r="BA159" s="44" t="str">
        <f>IF(AND(C159=Master!$H$6,B159="2012-2013",E159&gt;1000,G159="NPN05"),H159,"")</f>
        <v/>
      </c>
      <c r="BB159" s="44" t="str">
        <f>IF(AND(C159=Master!$H$6,B159="2012-2013",E159="",G159="NPN05"),H159,"")</f>
        <v/>
      </c>
      <c r="BC159" s="44" t="str">
        <f>IF(AND(C159=Master!$H$7,B159="2012-2013",E159&gt;1000,G159="NPN05"),H159,"")</f>
        <v/>
      </c>
      <c r="BD159" s="44" t="str">
        <f>IF(AND(C159=Master!$H$7,B159="2012-2013",E159="",G159="NPN05"),H159,"")</f>
        <v/>
      </c>
      <c r="BE159" s="44" t="str">
        <f>IF(AND(C159=Master!$H$8,B159="2012-2013",E159&gt;1000,G159="NPN05"),H159,"")</f>
        <v/>
      </c>
      <c r="BF159" s="44" t="str">
        <f>IF(AND(C159=Master!$H$8,B159="2012-2013",E159="",G159="NPN05"),H159,"")</f>
        <v/>
      </c>
      <c r="BG159" s="44" t="str">
        <f>IF(AND(C159=Master!$H$9,B159="2012-2013",E159&gt;1000,G159="NPN05"),H159,"")</f>
        <v/>
      </c>
      <c r="BH159" s="44" t="str">
        <f>IF(AND(C159=Master!$H$9,B159="2012-2013",E159="",G159="NPN05"),H159,"")</f>
        <v/>
      </c>
    </row>
    <row r="160" spans="1:60" x14ac:dyDescent="0.25">
      <c r="A160" s="3">
        <v>158</v>
      </c>
      <c r="B160" s="12"/>
      <c r="C160" s="12"/>
      <c r="D160" s="31"/>
      <c r="E160" s="4"/>
      <c r="F160" s="13"/>
      <c r="G160" s="21"/>
      <c r="H160" s="35"/>
      <c r="I160" s="21"/>
      <c r="J160" s="25" t="str">
        <f>IF(NOT(I160=""),INDEX(Master!$B$1:$B$46,MATCH(I160,Master!$A$1:$A$46,0)),"")</f>
        <v/>
      </c>
      <c r="K160" s="18"/>
      <c r="L160" s="86"/>
      <c r="M160" s="13"/>
      <c r="N160" s="13"/>
      <c r="O160" s="18"/>
      <c r="P160" s="35"/>
      <c r="Q160" s="21"/>
      <c r="R160" s="21"/>
      <c r="S160" s="13"/>
      <c r="T160" s="12"/>
      <c r="U160" s="12"/>
      <c r="V160" s="12"/>
      <c r="W160" s="14"/>
      <c r="Y160" s="42" t="str">
        <f>IF(AND(C160=Master!$H$1,B160="2012-2013",E160&gt;1000,G160="PLN03"),H160,"")</f>
        <v/>
      </c>
      <c r="Z160" s="42" t="str">
        <f>IF(AND(C160=Master!$H$1,B160="2012-2013",E160="",G160="PLN03"),H160,"")</f>
        <v/>
      </c>
      <c r="AA160" s="42" t="str">
        <f>IF(AND(C160=Master!$H$2,B160="2012-2013",E160&gt;1000,G160="PLN03"),H160,"")</f>
        <v/>
      </c>
      <c r="AB160" s="42" t="str">
        <f>IF(AND(C160=Master!$H$2,B160="2012-2013",E160="",G160="PLN03"),H160,"")</f>
        <v/>
      </c>
      <c r="AC160" s="42" t="str">
        <f>IF(AND(C160=Master!$H$3,B160="2012-2013",E160&gt;1000,G160="PLN03"),H160,"")</f>
        <v/>
      </c>
      <c r="AD160" s="42" t="str">
        <f>IF(AND(C160=Master!$H$3,B160="2012-2013",E160="",G160="PLN03"),H160,"")</f>
        <v/>
      </c>
      <c r="AE160" s="42" t="str">
        <f>IF(AND(C160=Master!$H$4,B160="2012-2013",E160&gt;1000,G160="PLN03"),H160,"")</f>
        <v/>
      </c>
      <c r="AF160" s="42" t="str">
        <f>IF(AND(C160=Master!$H$4,B160="2012-2013",E160="",G160="PLN03"),H160,"")</f>
        <v/>
      </c>
      <c r="AG160" s="42" t="str">
        <f>IF(AND(C160=Master!$H$5,B160="2012-2013",E160&gt;1000,G160="PLN03"),H160,"")</f>
        <v/>
      </c>
      <c r="AH160" s="42" t="str">
        <f>IF(AND(C160=Master!$H$5,B160="2012-2013",E160="",G160="PLN03"),H160,"")</f>
        <v/>
      </c>
      <c r="AI160" s="42" t="str">
        <f>IF(AND(C160=Master!$H$6,B160="2012-2013",E160&gt;1000,G160="PLN03"),H160,"")</f>
        <v/>
      </c>
      <c r="AJ160" s="42" t="str">
        <f>IF(AND(C160=Master!$H$6,B160="2012-2013",E160="",G160="PLN03"),H160,"")</f>
        <v/>
      </c>
      <c r="AK160" s="42" t="str">
        <f>IF(AND(C160=Master!$H$7,B160="2012-2013",E160&gt;1000,G160="PLN03"),H160,"")</f>
        <v/>
      </c>
      <c r="AL160" s="42" t="str">
        <f>IF(AND(C160=Master!$H$7,B160="2012-2013",E160="",G160="PLN03"),H160,"")</f>
        <v/>
      </c>
      <c r="AM160" s="42" t="str">
        <f>IF(AND(C160=Master!$H$8,B160="2012-2013",E160&gt;1000,G160="PLN03"),H160,"")</f>
        <v/>
      </c>
      <c r="AN160" s="42" t="str">
        <f>IF(AND(C160=Master!$H$8,B160="2012-2013",E160="",G160="PLN03"),H160,"")</f>
        <v/>
      </c>
      <c r="AO160" s="42" t="str">
        <f>IF(AND(C160=Master!$H$9,B160="2012-2013",E160&gt;1000,G160="PLN03"),H160,"")</f>
        <v/>
      </c>
      <c r="AP160" s="42" t="str">
        <f>IF(AND(C160=Master!$H$9,B160="2012-2013",E160="",G160="PLN03"),H160,"")</f>
        <v/>
      </c>
      <c r="AQ160" s="44" t="str">
        <f>IF(AND(C160=Master!$H$1,B160="2012-2013",E160&gt;1000,G160="NPN05"),H160,"")</f>
        <v/>
      </c>
      <c r="AR160" s="44" t="str">
        <f>IF(AND(C160=Master!$H$1,B160="2012-2013",E160="",G160="NPN05"),H160,"")</f>
        <v/>
      </c>
      <c r="AS160" s="44" t="str">
        <f>IF(AND(C160=Master!$H$2,B160="2012-2013",E160&gt;1000,G160="NPN05"),H160,"")</f>
        <v/>
      </c>
      <c r="AT160" s="44" t="str">
        <f>IF(AND(C160=Master!$H$2,B160="2012-2013",E160="",G160="NPN05"),H160,"")</f>
        <v/>
      </c>
      <c r="AU160" s="44" t="str">
        <f>IF(AND(C160=Master!$H$3,B160="2012-2013",E160&gt;1000,G160="NPN05"),H160,"")</f>
        <v/>
      </c>
      <c r="AV160" s="44" t="str">
        <f>IF(AND(C160=Master!$H$3,B160="2012-2013",E160="",G160="NPN05"),H160,"")</f>
        <v/>
      </c>
      <c r="AW160" s="44" t="str">
        <f>IF(AND(C160=Master!$H$4,B160="2012-2013",E160&gt;1000,G160="NPN05"),H160,"")</f>
        <v/>
      </c>
      <c r="AX160" s="44" t="str">
        <f>IF(AND(C160=Master!$H$4,B160="2012-2013",E160="",G160="NPN05"),H160,"")</f>
        <v/>
      </c>
      <c r="AY160" s="44" t="str">
        <f>IF(AND(C160=Master!$H$5,B160="2012-2013",E160&gt;1000,G160="NPN05"),H160,"")</f>
        <v/>
      </c>
      <c r="AZ160" s="44" t="str">
        <f>IF(AND(C160=Master!$H$5,B160="2012-2013",E160="",G160="NPN05"),H160,"")</f>
        <v/>
      </c>
      <c r="BA160" s="44" t="str">
        <f>IF(AND(C160=Master!$H$6,B160="2012-2013",E160&gt;1000,G160="NPN05"),H160,"")</f>
        <v/>
      </c>
      <c r="BB160" s="44" t="str">
        <f>IF(AND(C160=Master!$H$6,B160="2012-2013",E160="",G160="NPN05"),H160,"")</f>
        <v/>
      </c>
      <c r="BC160" s="44" t="str">
        <f>IF(AND(C160=Master!$H$7,B160="2012-2013",E160&gt;1000,G160="NPN05"),H160,"")</f>
        <v/>
      </c>
      <c r="BD160" s="44" t="str">
        <f>IF(AND(C160=Master!$H$7,B160="2012-2013",E160="",G160="NPN05"),H160,"")</f>
        <v/>
      </c>
      <c r="BE160" s="44" t="str">
        <f>IF(AND(C160=Master!$H$8,B160="2012-2013",E160&gt;1000,G160="NPN05"),H160,"")</f>
        <v/>
      </c>
      <c r="BF160" s="44" t="str">
        <f>IF(AND(C160=Master!$H$8,B160="2012-2013",E160="",G160="NPN05"),H160,"")</f>
        <v/>
      </c>
      <c r="BG160" s="44" t="str">
        <f>IF(AND(C160=Master!$H$9,B160="2012-2013",E160&gt;1000,G160="NPN05"),H160,"")</f>
        <v/>
      </c>
      <c r="BH160" s="44" t="str">
        <f>IF(AND(C160=Master!$H$9,B160="2012-2013",E160="",G160="NPN05"),H160,"")</f>
        <v/>
      </c>
    </row>
    <row r="161" spans="1:60" x14ac:dyDescent="0.25">
      <c r="A161" s="3">
        <v>159</v>
      </c>
      <c r="B161" s="12"/>
      <c r="C161" s="12"/>
      <c r="D161" s="31"/>
      <c r="E161" s="4"/>
      <c r="F161" s="13"/>
      <c r="G161" s="21"/>
      <c r="H161" s="35"/>
      <c r="I161" s="21"/>
      <c r="J161" s="25" t="str">
        <f>IF(NOT(I161=""),INDEX(Master!$B$1:$B$46,MATCH(I161,Master!$A$1:$A$46,0)),"")</f>
        <v/>
      </c>
      <c r="K161" s="18"/>
      <c r="L161" s="86"/>
      <c r="M161" s="13"/>
      <c r="N161" s="13"/>
      <c r="O161" s="18"/>
      <c r="P161" s="35"/>
      <c r="Q161" s="21"/>
      <c r="R161" s="21"/>
      <c r="S161" s="13"/>
      <c r="T161" s="12"/>
      <c r="U161" s="12"/>
      <c r="V161" s="12"/>
      <c r="W161" s="14"/>
      <c r="Y161" s="42" t="str">
        <f>IF(AND(C161=Master!$H$1,B161="2012-2013",E161&gt;1000,G161="PLN03"),H161,"")</f>
        <v/>
      </c>
      <c r="Z161" s="42" t="str">
        <f>IF(AND(C161=Master!$H$1,B161="2012-2013",E161="",G161="PLN03"),H161,"")</f>
        <v/>
      </c>
      <c r="AA161" s="42" t="str">
        <f>IF(AND(C161=Master!$H$2,B161="2012-2013",E161&gt;1000,G161="PLN03"),H161,"")</f>
        <v/>
      </c>
      <c r="AB161" s="42" t="str">
        <f>IF(AND(C161=Master!$H$2,B161="2012-2013",E161="",G161="PLN03"),H161,"")</f>
        <v/>
      </c>
      <c r="AC161" s="42" t="str">
        <f>IF(AND(C161=Master!$H$3,B161="2012-2013",E161&gt;1000,G161="PLN03"),H161,"")</f>
        <v/>
      </c>
      <c r="AD161" s="42" t="str">
        <f>IF(AND(C161=Master!$H$3,B161="2012-2013",E161="",G161="PLN03"),H161,"")</f>
        <v/>
      </c>
      <c r="AE161" s="42" t="str">
        <f>IF(AND(C161=Master!$H$4,B161="2012-2013",E161&gt;1000,G161="PLN03"),H161,"")</f>
        <v/>
      </c>
      <c r="AF161" s="42" t="str">
        <f>IF(AND(C161=Master!$H$4,B161="2012-2013",E161="",G161="PLN03"),H161,"")</f>
        <v/>
      </c>
      <c r="AG161" s="42" t="str">
        <f>IF(AND(C161=Master!$H$5,B161="2012-2013",E161&gt;1000,G161="PLN03"),H161,"")</f>
        <v/>
      </c>
      <c r="AH161" s="42" t="str">
        <f>IF(AND(C161=Master!$H$5,B161="2012-2013",E161="",G161="PLN03"),H161,"")</f>
        <v/>
      </c>
      <c r="AI161" s="42" t="str">
        <f>IF(AND(C161=Master!$H$6,B161="2012-2013",E161&gt;1000,G161="PLN03"),H161,"")</f>
        <v/>
      </c>
      <c r="AJ161" s="42" t="str">
        <f>IF(AND(C161=Master!$H$6,B161="2012-2013",E161="",G161="PLN03"),H161,"")</f>
        <v/>
      </c>
      <c r="AK161" s="42" t="str">
        <f>IF(AND(C161=Master!$H$7,B161="2012-2013",E161&gt;1000,G161="PLN03"),H161,"")</f>
        <v/>
      </c>
      <c r="AL161" s="42" t="str">
        <f>IF(AND(C161=Master!$H$7,B161="2012-2013",E161="",G161="PLN03"),H161,"")</f>
        <v/>
      </c>
      <c r="AM161" s="42" t="str">
        <f>IF(AND(C161=Master!$H$8,B161="2012-2013",E161&gt;1000,G161="PLN03"),H161,"")</f>
        <v/>
      </c>
      <c r="AN161" s="42" t="str">
        <f>IF(AND(C161=Master!$H$8,B161="2012-2013",E161="",G161="PLN03"),H161,"")</f>
        <v/>
      </c>
      <c r="AO161" s="42" t="str">
        <f>IF(AND(C161=Master!$H$9,B161="2012-2013",E161&gt;1000,G161="PLN03"),H161,"")</f>
        <v/>
      </c>
      <c r="AP161" s="42" t="str">
        <f>IF(AND(C161=Master!$H$9,B161="2012-2013",E161="",G161="PLN03"),H161,"")</f>
        <v/>
      </c>
      <c r="AQ161" s="44" t="str">
        <f>IF(AND(C161=Master!$H$1,B161="2012-2013",E161&gt;1000,G161="NPN05"),H161,"")</f>
        <v/>
      </c>
      <c r="AR161" s="44" t="str">
        <f>IF(AND(C161=Master!$H$1,B161="2012-2013",E161="",G161="NPN05"),H161,"")</f>
        <v/>
      </c>
      <c r="AS161" s="44" t="str">
        <f>IF(AND(C161=Master!$H$2,B161="2012-2013",E161&gt;1000,G161="NPN05"),H161,"")</f>
        <v/>
      </c>
      <c r="AT161" s="44" t="str">
        <f>IF(AND(C161=Master!$H$2,B161="2012-2013",E161="",G161="NPN05"),H161,"")</f>
        <v/>
      </c>
      <c r="AU161" s="44" t="str">
        <f>IF(AND(C161=Master!$H$3,B161="2012-2013",E161&gt;1000,G161="NPN05"),H161,"")</f>
        <v/>
      </c>
      <c r="AV161" s="44" t="str">
        <f>IF(AND(C161=Master!$H$3,B161="2012-2013",E161="",G161="NPN05"),H161,"")</f>
        <v/>
      </c>
      <c r="AW161" s="44" t="str">
        <f>IF(AND(C161=Master!$H$4,B161="2012-2013",E161&gt;1000,G161="NPN05"),H161,"")</f>
        <v/>
      </c>
      <c r="AX161" s="44" t="str">
        <f>IF(AND(C161=Master!$H$4,B161="2012-2013",E161="",G161="NPN05"),H161,"")</f>
        <v/>
      </c>
      <c r="AY161" s="44" t="str">
        <f>IF(AND(C161=Master!$H$5,B161="2012-2013",E161&gt;1000,G161="NPN05"),H161,"")</f>
        <v/>
      </c>
      <c r="AZ161" s="44" t="str">
        <f>IF(AND(C161=Master!$H$5,B161="2012-2013",E161="",G161="NPN05"),H161,"")</f>
        <v/>
      </c>
      <c r="BA161" s="44" t="str">
        <f>IF(AND(C161=Master!$H$6,B161="2012-2013",E161&gt;1000,G161="NPN05"),H161,"")</f>
        <v/>
      </c>
      <c r="BB161" s="44" t="str">
        <f>IF(AND(C161=Master!$H$6,B161="2012-2013",E161="",G161="NPN05"),H161,"")</f>
        <v/>
      </c>
      <c r="BC161" s="44" t="str">
        <f>IF(AND(C161=Master!$H$7,B161="2012-2013",E161&gt;1000,G161="NPN05"),H161,"")</f>
        <v/>
      </c>
      <c r="BD161" s="44" t="str">
        <f>IF(AND(C161=Master!$H$7,B161="2012-2013",E161="",G161="NPN05"),H161,"")</f>
        <v/>
      </c>
      <c r="BE161" s="44" t="str">
        <f>IF(AND(C161=Master!$H$8,B161="2012-2013",E161&gt;1000,G161="NPN05"),H161,"")</f>
        <v/>
      </c>
      <c r="BF161" s="44" t="str">
        <f>IF(AND(C161=Master!$H$8,B161="2012-2013",E161="",G161="NPN05"),H161,"")</f>
        <v/>
      </c>
      <c r="BG161" s="44" t="str">
        <f>IF(AND(C161=Master!$H$9,B161="2012-2013",E161&gt;1000,G161="NPN05"),H161,"")</f>
        <v/>
      </c>
      <c r="BH161" s="44" t="str">
        <f>IF(AND(C161=Master!$H$9,B161="2012-2013",E161="",G161="NPN05"),H161,"")</f>
        <v/>
      </c>
    </row>
    <row r="162" spans="1:60" x14ac:dyDescent="0.25">
      <c r="A162" s="3">
        <v>160</v>
      </c>
      <c r="B162" s="12"/>
      <c r="C162" s="12"/>
      <c r="D162" s="31"/>
      <c r="E162" s="4"/>
      <c r="F162" s="13"/>
      <c r="G162" s="21"/>
      <c r="H162" s="35"/>
      <c r="I162" s="21"/>
      <c r="J162" s="25" t="str">
        <f>IF(NOT(I162=""),INDEX(Master!$B$1:$B$46,MATCH(I162,Master!$A$1:$A$46,0)),"")</f>
        <v/>
      </c>
      <c r="K162" s="18"/>
      <c r="L162" s="86"/>
      <c r="M162" s="13"/>
      <c r="N162" s="13"/>
      <c r="O162" s="18"/>
      <c r="P162" s="35"/>
      <c r="Q162" s="21"/>
      <c r="R162" s="21"/>
      <c r="S162" s="13"/>
      <c r="T162" s="12"/>
      <c r="U162" s="12"/>
      <c r="V162" s="12"/>
      <c r="W162" s="14"/>
      <c r="Y162" s="42" t="str">
        <f>IF(AND(C162=Master!$H$1,B162="2012-2013",E162&gt;1000,G162="PLN03"),H162,"")</f>
        <v/>
      </c>
      <c r="Z162" s="42" t="str">
        <f>IF(AND(C162=Master!$H$1,B162="2012-2013",E162="",G162="PLN03"),H162,"")</f>
        <v/>
      </c>
      <c r="AA162" s="42" t="str">
        <f>IF(AND(C162=Master!$H$2,B162="2012-2013",E162&gt;1000,G162="PLN03"),H162,"")</f>
        <v/>
      </c>
      <c r="AB162" s="42" t="str">
        <f>IF(AND(C162=Master!$H$2,B162="2012-2013",E162="",G162="PLN03"),H162,"")</f>
        <v/>
      </c>
      <c r="AC162" s="42" t="str">
        <f>IF(AND(C162=Master!$H$3,B162="2012-2013",E162&gt;1000,G162="PLN03"),H162,"")</f>
        <v/>
      </c>
      <c r="AD162" s="42" t="str">
        <f>IF(AND(C162=Master!$H$3,B162="2012-2013",E162="",G162="PLN03"),H162,"")</f>
        <v/>
      </c>
      <c r="AE162" s="42" t="str">
        <f>IF(AND(C162=Master!$H$4,B162="2012-2013",E162&gt;1000,G162="PLN03"),H162,"")</f>
        <v/>
      </c>
      <c r="AF162" s="42" t="str">
        <f>IF(AND(C162=Master!$H$4,B162="2012-2013",E162="",G162="PLN03"),H162,"")</f>
        <v/>
      </c>
      <c r="AG162" s="42" t="str">
        <f>IF(AND(C162=Master!$H$5,B162="2012-2013",E162&gt;1000,G162="PLN03"),H162,"")</f>
        <v/>
      </c>
      <c r="AH162" s="42" t="str">
        <f>IF(AND(C162=Master!$H$5,B162="2012-2013",E162="",G162="PLN03"),H162,"")</f>
        <v/>
      </c>
      <c r="AI162" s="42" t="str">
        <f>IF(AND(C162=Master!$H$6,B162="2012-2013",E162&gt;1000,G162="PLN03"),H162,"")</f>
        <v/>
      </c>
      <c r="AJ162" s="42" t="str">
        <f>IF(AND(C162=Master!$H$6,B162="2012-2013",E162="",G162="PLN03"),H162,"")</f>
        <v/>
      </c>
      <c r="AK162" s="42" t="str">
        <f>IF(AND(C162=Master!$H$7,B162="2012-2013",E162&gt;1000,G162="PLN03"),H162,"")</f>
        <v/>
      </c>
      <c r="AL162" s="42" t="str">
        <f>IF(AND(C162=Master!$H$7,B162="2012-2013",E162="",G162="PLN03"),H162,"")</f>
        <v/>
      </c>
      <c r="AM162" s="42" t="str">
        <f>IF(AND(C162=Master!$H$8,B162="2012-2013",E162&gt;1000,G162="PLN03"),H162,"")</f>
        <v/>
      </c>
      <c r="AN162" s="42" t="str">
        <f>IF(AND(C162=Master!$H$8,B162="2012-2013",E162="",G162="PLN03"),H162,"")</f>
        <v/>
      </c>
      <c r="AO162" s="42" t="str">
        <f>IF(AND(C162=Master!$H$9,B162="2012-2013",E162&gt;1000,G162="PLN03"),H162,"")</f>
        <v/>
      </c>
      <c r="AP162" s="42" t="str">
        <f>IF(AND(C162=Master!$H$9,B162="2012-2013",E162="",G162="PLN03"),H162,"")</f>
        <v/>
      </c>
      <c r="AQ162" s="44" t="str">
        <f>IF(AND(C162=Master!$H$1,B162="2012-2013",E162&gt;1000,G162="NPN05"),H162,"")</f>
        <v/>
      </c>
      <c r="AR162" s="44" t="str">
        <f>IF(AND(C162=Master!$H$1,B162="2012-2013",E162="",G162="NPN05"),H162,"")</f>
        <v/>
      </c>
      <c r="AS162" s="44" t="str">
        <f>IF(AND(C162=Master!$H$2,B162="2012-2013",E162&gt;1000,G162="NPN05"),H162,"")</f>
        <v/>
      </c>
      <c r="AT162" s="44" t="str">
        <f>IF(AND(C162=Master!$H$2,B162="2012-2013",E162="",G162="NPN05"),H162,"")</f>
        <v/>
      </c>
      <c r="AU162" s="44" t="str">
        <f>IF(AND(C162=Master!$H$3,B162="2012-2013",E162&gt;1000,G162="NPN05"),H162,"")</f>
        <v/>
      </c>
      <c r="AV162" s="44" t="str">
        <f>IF(AND(C162=Master!$H$3,B162="2012-2013",E162="",G162="NPN05"),H162,"")</f>
        <v/>
      </c>
      <c r="AW162" s="44" t="str">
        <f>IF(AND(C162=Master!$H$4,B162="2012-2013",E162&gt;1000,G162="NPN05"),H162,"")</f>
        <v/>
      </c>
      <c r="AX162" s="44" t="str">
        <f>IF(AND(C162=Master!$H$4,B162="2012-2013",E162="",G162="NPN05"),H162,"")</f>
        <v/>
      </c>
      <c r="AY162" s="44" t="str">
        <f>IF(AND(C162=Master!$H$5,B162="2012-2013",E162&gt;1000,G162="NPN05"),H162,"")</f>
        <v/>
      </c>
      <c r="AZ162" s="44" t="str">
        <f>IF(AND(C162=Master!$H$5,B162="2012-2013",E162="",G162="NPN05"),H162,"")</f>
        <v/>
      </c>
      <c r="BA162" s="44" t="str">
        <f>IF(AND(C162=Master!$H$6,B162="2012-2013",E162&gt;1000,G162="NPN05"),H162,"")</f>
        <v/>
      </c>
      <c r="BB162" s="44" t="str">
        <f>IF(AND(C162=Master!$H$6,B162="2012-2013",E162="",G162="NPN05"),H162,"")</f>
        <v/>
      </c>
      <c r="BC162" s="44" t="str">
        <f>IF(AND(C162=Master!$H$7,B162="2012-2013",E162&gt;1000,G162="NPN05"),H162,"")</f>
        <v/>
      </c>
      <c r="BD162" s="44" t="str">
        <f>IF(AND(C162=Master!$H$7,B162="2012-2013",E162="",G162="NPN05"),H162,"")</f>
        <v/>
      </c>
      <c r="BE162" s="44" t="str">
        <f>IF(AND(C162=Master!$H$8,B162="2012-2013",E162&gt;1000,G162="NPN05"),H162,"")</f>
        <v/>
      </c>
      <c r="BF162" s="44" t="str">
        <f>IF(AND(C162=Master!$H$8,B162="2012-2013",E162="",G162="NPN05"),H162,"")</f>
        <v/>
      </c>
      <c r="BG162" s="44" t="str">
        <f>IF(AND(C162=Master!$H$9,B162="2012-2013",E162&gt;1000,G162="NPN05"),H162,"")</f>
        <v/>
      </c>
      <c r="BH162" s="44" t="str">
        <f>IF(AND(C162=Master!$H$9,B162="2012-2013",E162="",G162="NPN05"),H162,"")</f>
        <v/>
      </c>
    </row>
    <row r="163" spans="1:60" x14ac:dyDescent="0.25">
      <c r="A163" s="3">
        <v>161</v>
      </c>
      <c r="B163" s="12"/>
      <c r="C163" s="12"/>
      <c r="D163" s="31"/>
      <c r="E163" s="4"/>
      <c r="F163" s="13"/>
      <c r="G163" s="21"/>
      <c r="H163" s="35"/>
      <c r="I163" s="21"/>
      <c r="J163" s="25" t="str">
        <f>IF(NOT(I163=""),INDEX(Master!$B$1:$B$46,MATCH(I163,Master!$A$1:$A$46,0)),"")</f>
        <v/>
      </c>
      <c r="K163" s="18"/>
      <c r="L163" s="86"/>
      <c r="M163" s="13"/>
      <c r="N163" s="13"/>
      <c r="O163" s="18"/>
      <c r="P163" s="35"/>
      <c r="Q163" s="21"/>
      <c r="R163" s="21"/>
      <c r="S163" s="13"/>
      <c r="T163" s="12"/>
      <c r="U163" s="12"/>
      <c r="V163" s="12"/>
      <c r="W163" s="14"/>
      <c r="Y163" s="42" t="str">
        <f>IF(AND(C163=Master!$H$1,B163="2012-2013",E163&gt;1000,G163="PLN03"),H163,"")</f>
        <v/>
      </c>
      <c r="Z163" s="42" t="str">
        <f>IF(AND(C163=Master!$H$1,B163="2012-2013",E163="",G163="PLN03"),H163,"")</f>
        <v/>
      </c>
      <c r="AA163" s="42" t="str">
        <f>IF(AND(C163=Master!$H$2,B163="2012-2013",E163&gt;1000,G163="PLN03"),H163,"")</f>
        <v/>
      </c>
      <c r="AB163" s="42" t="str">
        <f>IF(AND(C163=Master!$H$2,B163="2012-2013",E163="",G163="PLN03"),H163,"")</f>
        <v/>
      </c>
      <c r="AC163" s="42" t="str">
        <f>IF(AND(C163=Master!$H$3,B163="2012-2013",E163&gt;1000,G163="PLN03"),H163,"")</f>
        <v/>
      </c>
      <c r="AD163" s="42" t="str">
        <f>IF(AND(C163=Master!$H$3,B163="2012-2013",E163="",G163="PLN03"),H163,"")</f>
        <v/>
      </c>
      <c r="AE163" s="42" t="str">
        <f>IF(AND(C163=Master!$H$4,B163="2012-2013",E163&gt;1000,G163="PLN03"),H163,"")</f>
        <v/>
      </c>
      <c r="AF163" s="42" t="str">
        <f>IF(AND(C163=Master!$H$4,B163="2012-2013",E163="",G163="PLN03"),H163,"")</f>
        <v/>
      </c>
      <c r="AG163" s="42" t="str">
        <f>IF(AND(C163=Master!$H$5,B163="2012-2013",E163&gt;1000,G163="PLN03"),H163,"")</f>
        <v/>
      </c>
      <c r="AH163" s="42" t="str">
        <f>IF(AND(C163=Master!$H$5,B163="2012-2013",E163="",G163="PLN03"),H163,"")</f>
        <v/>
      </c>
      <c r="AI163" s="42" t="str">
        <f>IF(AND(C163=Master!$H$6,B163="2012-2013",E163&gt;1000,G163="PLN03"),H163,"")</f>
        <v/>
      </c>
      <c r="AJ163" s="42" t="str">
        <f>IF(AND(C163=Master!$H$6,B163="2012-2013",E163="",G163="PLN03"),H163,"")</f>
        <v/>
      </c>
      <c r="AK163" s="42" t="str">
        <f>IF(AND(C163=Master!$H$7,B163="2012-2013",E163&gt;1000,G163="PLN03"),H163,"")</f>
        <v/>
      </c>
      <c r="AL163" s="42" t="str">
        <f>IF(AND(C163=Master!$H$7,B163="2012-2013",E163="",G163="PLN03"),H163,"")</f>
        <v/>
      </c>
      <c r="AM163" s="42" t="str">
        <f>IF(AND(C163=Master!$H$8,B163="2012-2013",E163&gt;1000,G163="PLN03"),H163,"")</f>
        <v/>
      </c>
      <c r="AN163" s="42" t="str">
        <f>IF(AND(C163=Master!$H$8,B163="2012-2013",E163="",G163="PLN03"),H163,"")</f>
        <v/>
      </c>
      <c r="AO163" s="42" t="str">
        <f>IF(AND(C163=Master!$H$9,B163="2012-2013",E163&gt;1000,G163="PLN03"),H163,"")</f>
        <v/>
      </c>
      <c r="AP163" s="42" t="str">
        <f>IF(AND(C163=Master!$H$9,B163="2012-2013",E163="",G163="PLN03"),H163,"")</f>
        <v/>
      </c>
      <c r="AQ163" s="44" t="str">
        <f>IF(AND(C163=Master!$H$1,B163="2012-2013",E163&gt;1000,G163="NPN05"),H163,"")</f>
        <v/>
      </c>
      <c r="AR163" s="44" t="str">
        <f>IF(AND(C163=Master!$H$1,B163="2012-2013",E163="",G163="NPN05"),H163,"")</f>
        <v/>
      </c>
      <c r="AS163" s="44" t="str">
        <f>IF(AND(C163=Master!$H$2,B163="2012-2013",E163&gt;1000,G163="NPN05"),H163,"")</f>
        <v/>
      </c>
      <c r="AT163" s="44" t="str">
        <f>IF(AND(C163=Master!$H$2,B163="2012-2013",E163="",G163="NPN05"),H163,"")</f>
        <v/>
      </c>
      <c r="AU163" s="44" t="str">
        <f>IF(AND(C163=Master!$H$3,B163="2012-2013",E163&gt;1000,G163="NPN05"),H163,"")</f>
        <v/>
      </c>
      <c r="AV163" s="44" t="str">
        <f>IF(AND(C163=Master!$H$3,B163="2012-2013",E163="",G163="NPN05"),H163,"")</f>
        <v/>
      </c>
      <c r="AW163" s="44" t="str">
        <f>IF(AND(C163=Master!$H$4,B163="2012-2013",E163&gt;1000,G163="NPN05"),H163,"")</f>
        <v/>
      </c>
      <c r="AX163" s="44" t="str">
        <f>IF(AND(C163=Master!$H$4,B163="2012-2013",E163="",G163="NPN05"),H163,"")</f>
        <v/>
      </c>
      <c r="AY163" s="44" t="str">
        <f>IF(AND(C163=Master!$H$5,B163="2012-2013",E163&gt;1000,G163="NPN05"),H163,"")</f>
        <v/>
      </c>
      <c r="AZ163" s="44" t="str">
        <f>IF(AND(C163=Master!$H$5,B163="2012-2013",E163="",G163="NPN05"),H163,"")</f>
        <v/>
      </c>
      <c r="BA163" s="44" t="str">
        <f>IF(AND(C163=Master!$H$6,B163="2012-2013",E163&gt;1000,G163="NPN05"),H163,"")</f>
        <v/>
      </c>
      <c r="BB163" s="44" t="str">
        <f>IF(AND(C163=Master!$H$6,B163="2012-2013",E163="",G163="NPN05"),H163,"")</f>
        <v/>
      </c>
      <c r="BC163" s="44" t="str">
        <f>IF(AND(C163=Master!$H$7,B163="2012-2013",E163&gt;1000,G163="NPN05"),H163,"")</f>
        <v/>
      </c>
      <c r="BD163" s="44" t="str">
        <f>IF(AND(C163=Master!$H$7,B163="2012-2013",E163="",G163="NPN05"),H163,"")</f>
        <v/>
      </c>
      <c r="BE163" s="44" t="str">
        <f>IF(AND(C163=Master!$H$8,B163="2012-2013",E163&gt;1000,G163="NPN05"),H163,"")</f>
        <v/>
      </c>
      <c r="BF163" s="44" t="str">
        <f>IF(AND(C163=Master!$H$8,B163="2012-2013",E163="",G163="NPN05"),H163,"")</f>
        <v/>
      </c>
      <c r="BG163" s="44" t="str">
        <f>IF(AND(C163=Master!$H$9,B163="2012-2013",E163&gt;1000,G163="NPN05"),H163,"")</f>
        <v/>
      </c>
      <c r="BH163" s="44" t="str">
        <f>IF(AND(C163=Master!$H$9,B163="2012-2013",E163="",G163="NPN05"),H163,"")</f>
        <v/>
      </c>
    </row>
    <row r="164" spans="1:60" x14ac:dyDescent="0.25">
      <c r="A164" s="3">
        <v>162</v>
      </c>
      <c r="B164" s="12"/>
      <c r="C164" s="12"/>
      <c r="D164" s="31"/>
      <c r="E164" s="4"/>
      <c r="F164" s="13"/>
      <c r="G164" s="21"/>
      <c r="H164" s="35"/>
      <c r="I164" s="21"/>
      <c r="J164" s="25" t="str">
        <f>IF(NOT(I164=""),INDEX(Master!$B$1:$B$46,MATCH(I164,Master!$A$1:$A$46,0)),"")</f>
        <v/>
      </c>
      <c r="K164" s="18"/>
      <c r="L164" s="86"/>
      <c r="M164" s="13"/>
      <c r="N164" s="13"/>
      <c r="O164" s="18"/>
      <c r="P164" s="35"/>
      <c r="Q164" s="21"/>
      <c r="R164" s="21"/>
      <c r="S164" s="13"/>
      <c r="T164" s="12"/>
      <c r="U164" s="12"/>
      <c r="V164" s="12"/>
      <c r="W164" s="14"/>
      <c r="Y164" s="42" t="str">
        <f>IF(AND(C164=Master!$H$1,B164="2012-2013",E164&gt;1000,G164="PLN03"),H164,"")</f>
        <v/>
      </c>
      <c r="Z164" s="42" t="str">
        <f>IF(AND(C164=Master!$H$1,B164="2012-2013",E164="",G164="PLN03"),H164,"")</f>
        <v/>
      </c>
      <c r="AA164" s="42" t="str">
        <f>IF(AND(C164=Master!$H$2,B164="2012-2013",E164&gt;1000,G164="PLN03"),H164,"")</f>
        <v/>
      </c>
      <c r="AB164" s="42" t="str">
        <f>IF(AND(C164=Master!$H$2,B164="2012-2013",E164="",G164="PLN03"),H164,"")</f>
        <v/>
      </c>
      <c r="AC164" s="42" t="str">
        <f>IF(AND(C164=Master!$H$3,B164="2012-2013",E164&gt;1000,G164="PLN03"),H164,"")</f>
        <v/>
      </c>
      <c r="AD164" s="42" t="str">
        <f>IF(AND(C164=Master!$H$3,B164="2012-2013",E164="",G164="PLN03"),H164,"")</f>
        <v/>
      </c>
      <c r="AE164" s="42" t="str">
        <f>IF(AND(C164=Master!$H$4,B164="2012-2013",E164&gt;1000,G164="PLN03"),H164,"")</f>
        <v/>
      </c>
      <c r="AF164" s="42" t="str">
        <f>IF(AND(C164=Master!$H$4,B164="2012-2013",E164="",G164="PLN03"),H164,"")</f>
        <v/>
      </c>
      <c r="AG164" s="42" t="str">
        <f>IF(AND(C164=Master!$H$5,B164="2012-2013",E164&gt;1000,G164="PLN03"),H164,"")</f>
        <v/>
      </c>
      <c r="AH164" s="42" t="str">
        <f>IF(AND(C164=Master!$H$5,B164="2012-2013",E164="",G164="PLN03"),H164,"")</f>
        <v/>
      </c>
      <c r="AI164" s="42" t="str">
        <f>IF(AND(C164=Master!$H$6,B164="2012-2013",E164&gt;1000,G164="PLN03"),H164,"")</f>
        <v/>
      </c>
      <c r="AJ164" s="42" t="str">
        <f>IF(AND(C164=Master!$H$6,B164="2012-2013",E164="",G164="PLN03"),H164,"")</f>
        <v/>
      </c>
      <c r="AK164" s="42" t="str">
        <f>IF(AND(C164=Master!$H$7,B164="2012-2013",E164&gt;1000,G164="PLN03"),H164,"")</f>
        <v/>
      </c>
      <c r="AL164" s="42" t="str">
        <f>IF(AND(C164=Master!$H$7,B164="2012-2013",E164="",G164="PLN03"),H164,"")</f>
        <v/>
      </c>
      <c r="AM164" s="42" t="str">
        <f>IF(AND(C164=Master!$H$8,B164="2012-2013",E164&gt;1000,G164="PLN03"),H164,"")</f>
        <v/>
      </c>
      <c r="AN164" s="42" t="str">
        <f>IF(AND(C164=Master!$H$8,B164="2012-2013",E164="",G164="PLN03"),H164,"")</f>
        <v/>
      </c>
      <c r="AO164" s="42" t="str">
        <f>IF(AND(C164=Master!$H$9,B164="2012-2013",E164&gt;1000,G164="PLN03"),H164,"")</f>
        <v/>
      </c>
      <c r="AP164" s="42" t="str">
        <f>IF(AND(C164=Master!$H$9,B164="2012-2013",E164="",G164="PLN03"),H164,"")</f>
        <v/>
      </c>
      <c r="AQ164" s="44" t="str">
        <f>IF(AND(C164=Master!$H$1,B164="2012-2013",E164&gt;1000,G164="NPN05"),H164,"")</f>
        <v/>
      </c>
      <c r="AR164" s="44" t="str">
        <f>IF(AND(C164=Master!$H$1,B164="2012-2013",E164="",G164="NPN05"),H164,"")</f>
        <v/>
      </c>
      <c r="AS164" s="44" t="str">
        <f>IF(AND(C164=Master!$H$2,B164="2012-2013",E164&gt;1000,G164="NPN05"),H164,"")</f>
        <v/>
      </c>
      <c r="AT164" s="44" t="str">
        <f>IF(AND(C164=Master!$H$2,B164="2012-2013",E164="",G164="NPN05"),H164,"")</f>
        <v/>
      </c>
      <c r="AU164" s="44" t="str">
        <f>IF(AND(C164=Master!$H$3,B164="2012-2013",E164&gt;1000,G164="NPN05"),H164,"")</f>
        <v/>
      </c>
      <c r="AV164" s="44" t="str">
        <f>IF(AND(C164=Master!$H$3,B164="2012-2013",E164="",G164="NPN05"),H164,"")</f>
        <v/>
      </c>
      <c r="AW164" s="44" t="str">
        <f>IF(AND(C164=Master!$H$4,B164="2012-2013",E164&gt;1000,G164="NPN05"),H164,"")</f>
        <v/>
      </c>
      <c r="AX164" s="44" t="str">
        <f>IF(AND(C164=Master!$H$4,B164="2012-2013",E164="",G164="NPN05"),H164,"")</f>
        <v/>
      </c>
      <c r="AY164" s="44" t="str">
        <f>IF(AND(C164=Master!$H$5,B164="2012-2013",E164&gt;1000,G164="NPN05"),H164,"")</f>
        <v/>
      </c>
      <c r="AZ164" s="44" t="str">
        <f>IF(AND(C164=Master!$H$5,B164="2012-2013",E164="",G164="NPN05"),H164,"")</f>
        <v/>
      </c>
      <c r="BA164" s="44" t="str">
        <f>IF(AND(C164=Master!$H$6,B164="2012-2013",E164&gt;1000,G164="NPN05"),H164,"")</f>
        <v/>
      </c>
      <c r="BB164" s="44" t="str">
        <f>IF(AND(C164=Master!$H$6,B164="2012-2013",E164="",G164="NPN05"),H164,"")</f>
        <v/>
      </c>
      <c r="BC164" s="44" t="str">
        <f>IF(AND(C164=Master!$H$7,B164="2012-2013",E164&gt;1000,G164="NPN05"),H164,"")</f>
        <v/>
      </c>
      <c r="BD164" s="44" t="str">
        <f>IF(AND(C164=Master!$H$7,B164="2012-2013",E164="",G164="NPN05"),H164,"")</f>
        <v/>
      </c>
      <c r="BE164" s="44" t="str">
        <f>IF(AND(C164=Master!$H$8,B164="2012-2013",E164&gt;1000,G164="NPN05"),H164,"")</f>
        <v/>
      </c>
      <c r="BF164" s="44" t="str">
        <f>IF(AND(C164=Master!$H$8,B164="2012-2013",E164="",G164="NPN05"),H164,"")</f>
        <v/>
      </c>
      <c r="BG164" s="44" t="str">
        <f>IF(AND(C164=Master!$H$9,B164="2012-2013",E164&gt;1000,G164="NPN05"),H164,"")</f>
        <v/>
      </c>
      <c r="BH164" s="44" t="str">
        <f>IF(AND(C164=Master!$H$9,B164="2012-2013",E164="",G164="NPN05"),H164,"")</f>
        <v/>
      </c>
    </row>
    <row r="165" spans="1:60" x14ac:dyDescent="0.25">
      <c r="A165" s="3">
        <v>163</v>
      </c>
      <c r="B165" s="12"/>
      <c r="C165" s="12"/>
      <c r="D165" s="31"/>
      <c r="E165" s="4"/>
      <c r="F165" s="13"/>
      <c r="G165" s="21"/>
      <c r="H165" s="35"/>
      <c r="I165" s="21"/>
      <c r="J165" s="25" t="str">
        <f>IF(NOT(I165=""),INDEX(Master!$B$1:$B$46,MATCH(I165,Master!$A$1:$A$46,0)),"")</f>
        <v/>
      </c>
      <c r="K165" s="18"/>
      <c r="L165" s="86"/>
      <c r="M165" s="13"/>
      <c r="N165" s="13"/>
      <c r="O165" s="18"/>
      <c r="P165" s="35"/>
      <c r="Q165" s="21"/>
      <c r="R165" s="21"/>
      <c r="S165" s="13"/>
      <c r="T165" s="12"/>
      <c r="U165" s="12"/>
      <c r="V165" s="12"/>
      <c r="W165" s="14"/>
      <c r="Y165" s="42" t="str">
        <f>IF(AND(C165=Master!$H$1,B165="2012-2013",E165&gt;1000,G165="PLN03"),H165,"")</f>
        <v/>
      </c>
      <c r="Z165" s="42" t="str">
        <f>IF(AND(C165=Master!$H$1,B165="2012-2013",E165="",G165="PLN03"),H165,"")</f>
        <v/>
      </c>
      <c r="AA165" s="42" t="str">
        <f>IF(AND(C165=Master!$H$2,B165="2012-2013",E165&gt;1000,G165="PLN03"),H165,"")</f>
        <v/>
      </c>
      <c r="AB165" s="42" t="str">
        <f>IF(AND(C165=Master!$H$2,B165="2012-2013",E165="",G165="PLN03"),H165,"")</f>
        <v/>
      </c>
      <c r="AC165" s="42" t="str">
        <f>IF(AND(C165=Master!$H$3,B165="2012-2013",E165&gt;1000,G165="PLN03"),H165,"")</f>
        <v/>
      </c>
      <c r="AD165" s="42" t="str">
        <f>IF(AND(C165=Master!$H$3,B165="2012-2013",E165="",G165="PLN03"),H165,"")</f>
        <v/>
      </c>
      <c r="AE165" s="42" t="str">
        <f>IF(AND(C165=Master!$H$4,B165="2012-2013",E165&gt;1000,G165="PLN03"),H165,"")</f>
        <v/>
      </c>
      <c r="AF165" s="42" t="str">
        <f>IF(AND(C165=Master!$H$4,B165="2012-2013",E165="",G165="PLN03"),H165,"")</f>
        <v/>
      </c>
      <c r="AG165" s="42" t="str">
        <f>IF(AND(C165=Master!$H$5,B165="2012-2013",E165&gt;1000,G165="PLN03"),H165,"")</f>
        <v/>
      </c>
      <c r="AH165" s="42" t="str">
        <f>IF(AND(C165=Master!$H$5,B165="2012-2013",E165="",G165="PLN03"),H165,"")</f>
        <v/>
      </c>
      <c r="AI165" s="42" t="str">
        <f>IF(AND(C165=Master!$H$6,B165="2012-2013",E165&gt;1000,G165="PLN03"),H165,"")</f>
        <v/>
      </c>
      <c r="AJ165" s="42" t="str">
        <f>IF(AND(C165=Master!$H$6,B165="2012-2013",E165="",G165="PLN03"),H165,"")</f>
        <v/>
      </c>
      <c r="AK165" s="42" t="str">
        <f>IF(AND(C165=Master!$H$7,B165="2012-2013",E165&gt;1000,G165="PLN03"),H165,"")</f>
        <v/>
      </c>
      <c r="AL165" s="42" t="str">
        <f>IF(AND(C165=Master!$H$7,B165="2012-2013",E165="",G165="PLN03"),H165,"")</f>
        <v/>
      </c>
      <c r="AM165" s="42" t="str">
        <f>IF(AND(C165=Master!$H$8,B165="2012-2013",E165&gt;1000,G165="PLN03"),H165,"")</f>
        <v/>
      </c>
      <c r="AN165" s="42" t="str">
        <f>IF(AND(C165=Master!$H$8,B165="2012-2013",E165="",G165="PLN03"),H165,"")</f>
        <v/>
      </c>
      <c r="AO165" s="42" t="str">
        <f>IF(AND(C165=Master!$H$9,B165="2012-2013",E165&gt;1000,G165="PLN03"),H165,"")</f>
        <v/>
      </c>
      <c r="AP165" s="42" t="str">
        <f>IF(AND(C165=Master!$H$9,B165="2012-2013",E165="",G165="PLN03"),H165,"")</f>
        <v/>
      </c>
      <c r="AQ165" s="44" t="str">
        <f>IF(AND(C165=Master!$H$1,B165="2012-2013",E165&gt;1000,G165="NPN05"),H165,"")</f>
        <v/>
      </c>
      <c r="AR165" s="44" t="str">
        <f>IF(AND(C165=Master!$H$1,B165="2012-2013",E165="",G165="NPN05"),H165,"")</f>
        <v/>
      </c>
      <c r="AS165" s="44" t="str">
        <f>IF(AND(C165=Master!$H$2,B165="2012-2013",E165&gt;1000,G165="NPN05"),H165,"")</f>
        <v/>
      </c>
      <c r="AT165" s="44" t="str">
        <f>IF(AND(C165=Master!$H$2,B165="2012-2013",E165="",G165="NPN05"),H165,"")</f>
        <v/>
      </c>
      <c r="AU165" s="44" t="str">
        <f>IF(AND(C165=Master!$H$3,B165="2012-2013",E165&gt;1000,G165="NPN05"),H165,"")</f>
        <v/>
      </c>
      <c r="AV165" s="44" t="str">
        <f>IF(AND(C165=Master!$H$3,B165="2012-2013",E165="",G165="NPN05"),H165,"")</f>
        <v/>
      </c>
      <c r="AW165" s="44" t="str">
        <f>IF(AND(C165=Master!$H$4,B165="2012-2013",E165&gt;1000,G165="NPN05"),H165,"")</f>
        <v/>
      </c>
      <c r="AX165" s="44" t="str">
        <f>IF(AND(C165=Master!$H$4,B165="2012-2013",E165="",G165="NPN05"),H165,"")</f>
        <v/>
      </c>
      <c r="AY165" s="44" t="str">
        <f>IF(AND(C165=Master!$H$5,B165="2012-2013",E165&gt;1000,G165="NPN05"),H165,"")</f>
        <v/>
      </c>
      <c r="AZ165" s="44" t="str">
        <f>IF(AND(C165=Master!$H$5,B165="2012-2013",E165="",G165="NPN05"),H165,"")</f>
        <v/>
      </c>
      <c r="BA165" s="44" t="str">
        <f>IF(AND(C165=Master!$H$6,B165="2012-2013",E165&gt;1000,G165="NPN05"),H165,"")</f>
        <v/>
      </c>
      <c r="BB165" s="44" t="str">
        <f>IF(AND(C165=Master!$H$6,B165="2012-2013",E165="",G165="NPN05"),H165,"")</f>
        <v/>
      </c>
      <c r="BC165" s="44" t="str">
        <f>IF(AND(C165=Master!$H$7,B165="2012-2013",E165&gt;1000,G165="NPN05"),H165,"")</f>
        <v/>
      </c>
      <c r="BD165" s="44" t="str">
        <f>IF(AND(C165=Master!$H$7,B165="2012-2013",E165="",G165="NPN05"),H165,"")</f>
        <v/>
      </c>
      <c r="BE165" s="44" t="str">
        <f>IF(AND(C165=Master!$H$8,B165="2012-2013",E165&gt;1000,G165="NPN05"),H165,"")</f>
        <v/>
      </c>
      <c r="BF165" s="44" t="str">
        <f>IF(AND(C165=Master!$H$8,B165="2012-2013",E165="",G165="NPN05"),H165,"")</f>
        <v/>
      </c>
      <c r="BG165" s="44" t="str">
        <f>IF(AND(C165=Master!$H$9,B165="2012-2013",E165&gt;1000,G165="NPN05"),H165,"")</f>
        <v/>
      </c>
      <c r="BH165" s="44" t="str">
        <f>IF(AND(C165=Master!$H$9,B165="2012-2013",E165="",G165="NPN05"),H165,"")</f>
        <v/>
      </c>
    </row>
    <row r="166" spans="1:60" x14ac:dyDescent="0.25">
      <c r="A166" s="5">
        <v>164</v>
      </c>
      <c r="B166" s="12"/>
      <c r="C166" s="12"/>
      <c r="D166" s="31"/>
      <c r="E166" s="4"/>
      <c r="F166" s="13"/>
      <c r="G166" s="21"/>
      <c r="H166" s="35"/>
      <c r="I166" s="21"/>
      <c r="J166" s="25" t="str">
        <f>IF(NOT(I166=""),INDEX(Master!$B$1:$B$46,MATCH(I166,Master!$A$1:$A$46,0)),"")</f>
        <v/>
      </c>
      <c r="K166" s="18"/>
      <c r="L166" s="86"/>
      <c r="M166" s="13"/>
      <c r="N166" s="13"/>
      <c r="O166" s="18"/>
      <c r="P166" s="35"/>
      <c r="Q166" s="21"/>
      <c r="R166" s="21"/>
      <c r="S166" s="13"/>
      <c r="T166" s="12"/>
      <c r="U166" s="12"/>
      <c r="V166" s="12"/>
      <c r="W166" s="14"/>
      <c r="Y166" s="42" t="str">
        <f>IF(AND(C166=Master!$H$1,B166="2012-2013",E166&gt;1000,G166="PLN03"),H166,"")</f>
        <v/>
      </c>
      <c r="Z166" s="42" t="str">
        <f>IF(AND(C166=Master!$H$1,B166="2012-2013",E166="",G166="PLN03"),H166,"")</f>
        <v/>
      </c>
      <c r="AA166" s="42" t="str">
        <f>IF(AND(C166=Master!$H$2,B166="2012-2013",E166&gt;1000,G166="PLN03"),H166,"")</f>
        <v/>
      </c>
      <c r="AB166" s="42" t="str">
        <f>IF(AND(C166=Master!$H$2,B166="2012-2013",E166="",G166="PLN03"),H166,"")</f>
        <v/>
      </c>
      <c r="AC166" s="42" t="str">
        <f>IF(AND(C166=Master!$H$3,B166="2012-2013",E166&gt;1000,G166="PLN03"),H166,"")</f>
        <v/>
      </c>
      <c r="AD166" s="42" t="str">
        <f>IF(AND(C166=Master!$H$3,B166="2012-2013",E166="",G166="PLN03"),H166,"")</f>
        <v/>
      </c>
      <c r="AE166" s="42" t="str">
        <f>IF(AND(C166=Master!$H$4,B166="2012-2013",E166&gt;1000,G166="PLN03"),H166,"")</f>
        <v/>
      </c>
      <c r="AF166" s="42" t="str">
        <f>IF(AND(C166=Master!$H$4,B166="2012-2013",E166="",G166="PLN03"),H166,"")</f>
        <v/>
      </c>
      <c r="AG166" s="42" t="str">
        <f>IF(AND(C166=Master!$H$5,B166="2012-2013",E166&gt;1000,G166="PLN03"),H166,"")</f>
        <v/>
      </c>
      <c r="AH166" s="42" t="str">
        <f>IF(AND(C166=Master!$H$5,B166="2012-2013",E166="",G166="PLN03"),H166,"")</f>
        <v/>
      </c>
      <c r="AI166" s="42" t="str">
        <f>IF(AND(C166=Master!$H$6,B166="2012-2013",E166&gt;1000,G166="PLN03"),H166,"")</f>
        <v/>
      </c>
      <c r="AJ166" s="42" t="str">
        <f>IF(AND(C166=Master!$H$6,B166="2012-2013",E166="",G166="PLN03"),H166,"")</f>
        <v/>
      </c>
      <c r="AK166" s="42" t="str">
        <f>IF(AND(C166=Master!$H$7,B166="2012-2013",E166&gt;1000,G166="PLN03"),H166,"")</f>
        <v/>
      </c>
      <c r="AL166" s="42" t="str">
        <f>IF(AND(C166=Master!$H$7,B166="2012-2013",E166="",G166="PLN03"),H166,"")</f>
        <v/>
      </c>
      <c r="AM166" s="42" t="str">
        <f>IF(AND(C166=Master!$H$8,B166="2012-2013",E166&gt;1000,G166="PLN03"),H166,"")</f>
        <v/>
      </c>
      <c r="AN166" s="42" t="str">
        <f>IF(AND(C166=Master!$H$8,B166="2012-2013",E166="",G166="PLN03"),H166,"")</f>
        <v/>
      </c>
      <c r="AO166" s="42" t="str">
        <f>IF(AND(C166=Master!$H$9,B166="2012-2013",E166&gt;1000,G166="PLN03"),H166,"")</f>
        <v/>
      </c>
      <c r="AP166" s="42" t="str">
        <f>IF(AND(C166=Master!$H$9,B166="2012-2013",E166="",G166="PLN03"),H166,"")</f>
        <v/>
      </c>
      <c r="AQ166" s="44" t="str">
        <f>IF(AND(C166=Master!$H$1,B166="2012-2013",E166&gt;1000,G166="NPN05"),H166,"")</f>
        <v/>
      </c>
      <c r="AR166" s="44" t="str">
        <f>IF(AND(C166=Master!$H$1,B166="2012-2013",E166="",G166="NPN05"),H166,"")</f>
        <v/>
      </c>
      <c r="AS166" s="44" t="str">
        <f>IF(AND(C166=Master!$H$2,B166="2012-2013",E166&gt;1000,G166="NPN05"),H166,"")</f>
        <v/>
      </c>
      <c r="AT166" s="44" t="str">
        <f>IF(AND(C166=Master!$H$2,B166="2012-2013",E166="",G166="NPN05"),H166,"")</f>
        <v/>
      </c>
      <c r="AU166" s="44" t="str">
        <f>IF(AND(C166=Master!$H$3,B166="2012-2013",E166&gt;1000,G166="NPN05"),H166,"")</f>
        <v/>
      </c>
      <c r="AV166" s="44" t="str">
        <f>IF(AND(C166=Master!$H$3,B166="2012-2013",E166="",G166="NPN05"),H166,"")</f>
        <v/>
      </c>
      <c r="AW166" s="44" t="str">
        <f>IF(AND(C166=Master!$H$4,B166="2012-2013",E166&gt;1000,G166="NPN05"),H166,"")</f>
        <v/>
      </c>
      <c r="AX166" s="44" t="str">
        <f>IF(AND(C166=Master!$H$4,B166="2012-2013",E166="",G166="NPN05"),H166,"")</f>
        <v/>
      </c>
      <c r="AY166" s="44" t="str">
        <f>IF(AND(C166=Master!$H$5,B166="2012-2013",E166&gt;1000,G166="NPN05"),H166,"")</f>
        <v/>
      </c>
      <c r="AZ166" s="44" t="str">
        <f>IF(AND(C166=Master!$H$5,B166="2012-2013",E166="",G166="NPN05"),H166,"")</f>
        <v/>
      </c>
      <c r="BA166" s="44" t="str">
        <f>IF(AND(C166=Master!$H$6,B166="2012-2013",E166&gt;1000,G166="NPN05"),H166,"")</f>
        <v/>
      </c>
      <c r="BB166" s="44" t="str">
        <f>IF(AND(C166=Master!$H$6,B166="2012-2013",E166="",G166="NPN05"),H166,"")</f>
        <v/>
      </c>
      <c r="BC166" s="44" t="str">
        <f>IF(AND(C166=Master!$H$7,B166="2012-2013",E166&gt;1000,G166="NPN05"),H166,"")</f>
        <v/>
      </c>
      <c r="BD166" s="44" t="str">
        <f>IF(AND(C166=Master!$H$7,B166="2012-2013",E166="",G166="NPN05"),H166,"")</f>
        <v/>
      </c>
      <c r="BE166" s="44" t="str">
        <f>IF(AND(C166=Master!$H$8,B166="2012-2013",E166&gt;1000,G166="NPN05"),H166,"")</f>
        <v/>
      </c>
      <c r="BF166" s="44" t="str">
        <f>IF(AND(C166=Master!$H$8,B166="2012-2013",E166="",G166="NPN05"),H166,"")</f>
        <v/>
      </c>
      <c r="BG166" s="44" t="str">
        <f>IF(AND(C166=Master!$H$9,B166="2012-2013",E166&gt;1000,G166="NPN05"),H166,"")</f>
        <v/>
      </c>
      <c r="BH166" s="44" t="str">
        <f>IF(AND(C166=Master!$H$9,B166="2012-2013",E166="",G166="NPN05"),H166,"")</f>
        <v/>
      </c>
    </row>
    <row r="167" spans="1:60" x14ac:dyDescent="0.25">
      <c r="A167" s="3">
        <v>165</v>
      </c>
      <c r="B167" s="12"/>
      <c r="C167" s="12"/>
      <c r="D167" s="31"/>
      <c r="E167" s="4"/>
      <c r="F167" s="13"/>
      <c r="G167" s="21"/>
      <c r="H167" s="35"/>
      <c r="I167" s="21"/>
      <c r="J167" s="25" t="str">
        <f>IF(NOT(I167=""),INDEX(Master!$B$1:$B$46,MATCH(I167,Master!$A$1:$A$46,0)),"")</f>
        <v/>
      </c>
      <c r="K167" s="18"/>
      <c r="L167" s="86"/>
      <c r="M167" s="13"/>
      <c r="N167" s="13"/>
      <c r="O167" s="18"/>
      <c r="P167" s="35"/>
      <c r="Q167" s="21"/>
      <c r="R167" s="21"/>
      <c r="S167" s="13"/>
      <c r="T167" s="12"/>
      <c r="U167" s="12"/>
      <c r="V167" s="12"/>
      <c r="W167" s="14"/>
      <c r="Y167" s="42" t="str">
        <f>IF(AND(C167=Master!$H$1,B167="2012-2013",E167&gt;1000,G167="PLN03"),H167,"")</f>
        <v/>
      </c>
      <c r="Z167" s="42" t="str">
        <f>IF(AND(C167=Master!$H$1,B167="2012-2013",E167="",G167="PLN03"),H167,"")</f>
        <v/>
      </c>
      <c r="AA167" s="42" t="str">
        <f>IF(AND(C167=Master!$H$2,B167="2012-2013",E167&gt;1000,G167="PLN03"),H167,"")</f>
        <v/>
      </c>
      <c r="AB167" s="42" t="str">
        <f>IF(AND(C167=Master!$H$2,B167="2012-2013",E167="",G167="PLN03"),H167,"")</f>
        <v/>
      </c>
      <c r="AC167" s="42" t="str">
        <f>IF(AND(C167=Master!$H$3,B167="2012-2013",E167&gt;1000,G167="PLN03"),H167,"")</f>
        <v/>
      </c>
      <c r="AD167" s="42" t="str">
        <f>IF(AND(C167=Master!$H$3,B167="2012-2013",E167="",G167="PLN03"),H167,"")</f>
        <v/>
      </c>
      <c r="AE167" s="42" t="str">
        <f>IF(AND(C167=Master!$H$4,B167="2012-2013",E167&gt;1000,G167="PLN03"),H167,"")</f>
        <v/>
      </c>
      <c r="AF167" s="42" t="str">
        <f>IF(AND(C167=Master!$H$4,B167="2012-2013",E167="",G167="PLN03"),H167,"")</f>
        <v/>
      </c>
      <c r="AG167" s="42" t="str">
        <f>IF(AND(C167=Master!$H$5,B167="2012-2013",E167&gt;1000,G167="PLN03"),H167,"")</f>
        <v/>
      </c>
      <c r="AH167" s="42" t="str">
        <f>IF(AND(C167=Master!$H$5,B167="2012-2013",E167="",G167="PLN03"),H167,"")</f>
        <v/>
      </c>
      <c r="AI167" s="42" t="str">
        <f>IF(AND(C167=Master!$H$6,B167="2012-2013",E167&gt;1000,G167="PLN03"),H167,"")</f>
        <v/>
      </c>
      <c r="AJ167" s="42" t="str">
        <f>IF(AND(C167=Master!$H$6,B167="2012-2013",E167="",G167="PLN03"),H167,"")</f>
        <v/>
      </c>
      <c r="AK167" s="42" t="str">
        <f>IF(AND(C167=Master!$H$7,B167="2012-2013",E167&gt;1000,G167="PLN03"),H167,"")</f>
        <v/>
      </c>
      <c r="AL167" s="42" t="str">
        <f>IF(AND(C167=Master!$H$7,B167="2012-2013",E167="",G167="PLN03"),H167,"")</f>
        <v/>
      </c>
      <c r="AM167" s="42" t="str">
        <f>IF(AND(C167=Master!$H$8,B167="2012-2013",E167&gt;1000,G167="PLN03"),H167,"")</f>
        <v/>
      </c>
      <c r="AN167" s="42" t="str">
        <f>IF(AND(C167=Master!$H$8,B167="2012-2013",E167="",G167="PLN03"),H167,"")</f>
        <v/>
      </c>
      <c r="AO167" s="42" t="str">
        <f>IF(AND(C167=Master!$H$9,B167="2012-2013",E167&gt;1000,G167="PLN03"),H167,"")</f>
        <v/>
      </c>
      <c r="AP167" s="42" t="str">
        <f>IF(AND(C167=Master!$H$9,B167="2012-2013",E167="",G167="PLN03"),H167,"")</f>
        <v/>
      </c>
      <c r="AQ167" s="44" t="str">
        <f>IF(AND(C167=Master!$H$1,B167="2012-2013",E167&gt;1000,G167="NPN05"),H167,"")</f>
        <v/>
      </c>
      <c r="AR167" s="44" t="str">
        <f>IF(AND(C167=Master!$H$1,B167="2012-2013",E167="",G167="NPN05"),H167,"")</f>
        <v/>
      </c>
      <c r="AS167" s="44" t="str">
        <f>IF(AND(C167=Master!$H$2,B167="2012-2013",E167&gt;1000,G167="NPN05"),H167,"")</f>
        <v/>
      </c>
      <c r="AT167" s="44" t="str">
        <f>IF(AND(C167=Master!$H$2,B167="2012-2013",E167="",G167="NPN05"),H167,"")</f>
        <v/>
      </c>
      <c r="AU167" s="44" t="str">
        <f>IF(AND(C167=Master!$H$3,B167="2012-2013",E167&gt;1000,G167="NPN05"),H167,"")</f>
        <v/>
      </c>
      <c r="AV167" s="44" t="str">
        <f>IF(AND(C167=Master!$H$3,B167="2012-2013",E167="",G167="NPN05"),H167,"")</f>
        <v/>
      </c>
      <c r="AW167" s="44" t="str">
        <f>IF(AND(C167=Master!$H$4,B167="2012-2013",E167&gt;1000,G167="NPN05"),H167,"")</f>
        <v/>
      </c>
      <c r="AX167" s="44" t="str">
        <f>IF(AND(C167=Master!$H$4,B167="2012-2013",E167="",G167="NPN05"),H167,"")</f>
        <v/>
      </c>
      <c r="AY167" s="44" t="str">
        <f>IF(AND(C167=Master!$H$5,B167="2012-2013",E167&gt;1000,G167="NPN05"),H167,"")</f>
        <v/>
      </c>
      <c r="AZ167" s="44" t="str">
        <f>IF(AND(C167=Master!$H$5,B167="2012-2013",E167="",G167="NPN05"),H167,"")</f>
        <v/>
      </c>
      <c r="BA167" s="44" t="str">
        <f>IF(AND(C167=Master!$H$6,B167="2012-2013",E167&gt;1000,G167="NPN05"),H167,"")</f>
        <v/>
      </c>
      <c r="BB167" s="44" t="str">
        <f>IF(AND(C167=Master!$H$6,B167="2012-2013",E167="",G167="NPN05"),H167,"")</f>
        <v/>
      </c>
      <c r="BC167" s="44" t="str">
        <f>IF(AND(C167=Master!$H$7,B167="2012-2013",E167&gt;1000,G167="NPN05"),H167,"")</f>
        <v/>
      </c>
      <c r="BD167" s="44" t="str">
        <f>IF(AND(C167=Master!$H$7,B167="2012-2013",E167="",G167="NPN05"),H167,"")</f>
        <v/>
      </c>
      <c r="BE167" s="44" t="str">
        <f>IF(AND(C167=Master!$H$8,B167="2012-2013",E167&gt;1000,G167="NPN05"),H167,"")</f>
        <v/>
      </c>
      <c r="BF167" s="44" t="str">
        <f>IF(AND(C167=Master!$H$8,B167="2012-2013",E167="",G167="NPN05"),H167,"")</f>
        <v/>
      </c>
      <c r="BG167" s="44" t="str">
        <f>IF(AND(C167=Master!$H$9,B167="2012-2013",E167&gt;1000,G167="NPN05"),H167,"")</f>
        <v/>
      </c>
      <c r="BH167" s="44" t="str">
        <f>IF(AND(C167=Master!$H$9,B167="2012-2013",E167="",G167="NPN05"),H167,"")</f>
        <v/>
      </c>
    </row>
    <row r="168" spans="1:60" x14ac:dyDescent="0.25">
      <c r="A168" s="3">
        <v>166</v>
      </c>
      <c r="B168" s="12"/>
      <c r="C168" s="12"/>
      <c r="D168" s="31"/>
      <c r="E168" s="4"/>
      <c r="F168" s="13"/>
      <c r="G168" s="21"/>
      <c r="H168" s="35"/>
      <c r="I168" s="21"/>
      <c r="J168" s="25" t="str">
        <f>IF(NOT(I168=""),INDEX(Master!$B$1:$B$46,MATCH(I168,Master!$A$1:$A$46,0)),"")</f>
        <v/>
      </c>
      <c r="K168" s="18"/>
      <c r="L168" s="86"/>
      <c r="M168" s="13"/>
      <c r="N168" s="13"/>
      <c r="O168" s="18"/>
      <c r="P168" s="35"/>
      <c r="Q168" s="21"/>
      <c r="R168" s="21"/>
      <c r="S168" s="13"/>
      <c r="T168" s="12"/>
      <c r="U168" s="12"/>
      <c r="V168" s="12"/>
      <c r="W168" s="14"/>
      <c r="Y168" s="42" t="str">
        <f>IF(AND(C168=Master!$H$1,B168="2012-2013",E168&gt;1000,G168="PLN03"),H168,"")</f>
        <v/>
      </c>
      <c r="Z168" s="42" t="str">
        <f>IF(AND(C168=Master!$H$1,B168="2012-2013",E168="",G168="PLN03"),H168,"")</f>
        <v/>
      </c>
      <c r="AA168" s="42" t="str">
        <f>IF(AND(C168=Master!$H$2,B168="2012-2013",E168&gt;1000,G168="PLN03"),H168,"")</f>
        <v/>
      </c>
      <c r="AB168" s="42" t="str">
        <f>IF(AND(C168=Master!$H$2,B168="2012-2013",E168="",G168="PLN03"),H168,"")</f>
        <v/>
      </c>
      <c r="AC168" s="42" t="str">
        <f>IF(AND(C168=Master!$H$3,B168="2012-2013",E168&gt;1000,G168="PLN03"),H168,"")</f>
        <v/>
      </c>
      <c r="AD168" s="42" t="str">
        <f>IF(AND(C168=Master!$H$3,B168="2012-2013",E168="",G168="PLN03"),H168,"")</f>
        <v/>
      </c>
      <c r="AE168" s="42" t="str">
        <f>IF(AND(C168=Master!$H$4,B168="2012-2013",E168&gt;1000,G168="PLN03"),H168,"")</f>
        <v/>
      </c>
      <c r="AF168" s="42" t="str">
        <f>IF(AND(C168=Master!$H$4,B168="2012-2013",E168="",G168="PLN03"),H168,"")</f>
        <v/>
      </c>
      <c r="AG168" s="42" t="str">
        <f>IF(AND(C168=Master!$H$5,B168="2012-2013",E168&gt;1000,G168="PLN03"),H168,"")</f>
        <v/>
      </c>
      <c r="AH168" s="42" t="str">
        <f>IF(AND(C168=Master!$H$5,B168="2012-2013",E168="",G168="PLN03"),H168,"")</f>
        <v/>
      </c>
      <c r="AI168" s="42" t="str">
        <f>IF(AND(C168=Master!$H$6,B168="2012-2013",E168&gt;1000,G168="PLN03"),H168,"")</f>
        <v/>
      </c>
      <c r="AJ168" s="42" t="str">
        <f>IF(AND(C168=Master!$H$6,B168="2012-2013",E168="",G168="PLN03"),H168,"")</f>
        <v/>
      </c>
      <c r="AK168" s="42" t="str">
        <f>IF(AND(C168=Master!$H$7,B168="2012-2013",E168&gt;1000,G168="PLN03"),H168,"")</f>
        <v/>
      </c>
      <c r="AL168" s="42" t="str">
        <f>IF(AND(C168=Master!$H$7,B168="2012-2013",E168="",G168="PLN03"),H168,"")</f>
        <v/>
      </c>
      <c r="AM168" s="42" t="str">
        <f>IF(AND(C168=Master!$H$8,B168="2012-2013",E168&gt;1000,G168="PLN03"),H168,"")</f>
        <v/>
      </c>
      <c r="AN168" s="42" t="str">
        <f>IF(AND(C168=Master!$H$8,B168="2012-2013",E168="",G168="PLN03"),H168,"")</f>
        <v/>
      </c>
      <c r="AO168" s="42" t="str">
        <f>IF(AND(C168=Master!$H$9,B168="2012-2013",E168&gt;1000,G168="PLN03"),H168,"")</f>
        <v/>
      </c>
      <c r="AP168" s="42" t="str">
        <f>IF(AND(C168=Master!$H$9,B168="2012-2013",E168="",G168="PLN03"),H168,"")</f>
        <v/>
      </c>
      <c r="AQ168" s="44" t="str">
        <f>IF(AND(C168=Master!$H$1,B168="2012-2013",E168&gt;1000,G168="NPN05"),H168,"")</f>
        <v/>
      </c>
      <c r="AR168" s="44" t="str">
        <f>IF(AND(C168=Master!$H$1,B168="2012-2013",E168="",G168="NPN05"),H168,"")</f>
        <v/>
      </c>
      <c r="AS168" s="44" t="str">
        <f>IF(AND(C168=Master!$H$2,B168="2012-2013",E168&gt;1000,G168="NPN05"),H168,"")</f>
        <v/>
      </c>
      <c r="AT168" s="44" t="str">
        <f>IF(AND(C168=Master!$H$2,B168="2012-2013",E168="",G168="NPN05"),H168,"")</f>
        <v/>
      </c>
      <c r="AU168" s="44" t="str">
        <f>IF(AND(C168=Master!$H$3,B168="2012-2013",E168&gt;1000,G168="NPN05"),H168,"")</f>
        <v/>
      </c>
      <c r="AV168" s="44" t="str">
        <f>IF(AND(C168=Master!$H$3,B168="2012-2013",E168="",G168="NPN05"),H168,"")</f>
        <v/>
      </c>
      <c r="AW168" s="44" t="str">
        <f>IF(AND(C168=Master!$H$4,B168="2012-2013",E168&gt;1000,G168="NPN05"),H168,"")</f>
        <v/>
      </c>
      <c r="AX168" s="44" t="str">
        <f>IF(AND(C168=Master!$H$4,B168="2012-2013",E168="",G168="NPN05"),H168,"")</f>
        <v/>
      </c>
      <c r="AY168" s="44" t="str">
        <f>IF(AND(C168=Master!$H$5,B168="2012-2013",E168&gt;1000,G168="NPN05"),H168,"")</f>
        <v/>
      </c>
      <c r="AZ168" s="44" t="str">
        <f>IF(AND(C168=Master!$H$5,B168="2012-2013",E168="",G168="NPN05"),H168,"")</f>
        <v/>
      </c>
      <c r="BA168" s="44" t="str">
        <f>IF(AND(C168=Master!$H$6,B168="2012-2013",E168&gt;1000,G168="NPN05"),H168,"")</f>
        <v/>
      </c>
      <c r="BB168" s="44" t="str">
        <f>IF(AND(C168=Master!$H$6,B168="2012-2013",E168="",G168="NPN05"),H168,"")</f>
        <v/>
      </c>
      <c r="BC168" s="44" t="str">
        <f>IF(AND(C168=Master!$H$7,B168="2012-2013",E168&gt;1000,G168="NPN05"),H168,"")</f>
        <v/>
      </c>
      <c r="BD168" s="44" t="str">
        <f>IF(AND(C168=Master!$H$7,B168="2012-2013",E168="",G168="NPN05"),H168,"")</f>
        <v/>
      </c>
      <c r="BE168" s="44" t="str">
        <f>IF(AND(C168=Master!$H$8,B168="2012-2013",E168&gt;1000,G168="NPN05"),H168,"")</f>
        <v/>
      </c>
      <c r="BF168" s="44" t="str">
        <f>IF(AND(C168=Master!$H$8,B168="2012-2013",E168="",G168="NPN05"),H168,"")</f>
        <v/>
      </c>
      <c r="BG168" s="44" t="str">
        <f>IF(AND(C168=Master!$H$9,B168="2012-2013",E168&gt;1000,G168="NPN05"),H168,"")</f>
        <v/>
      </c>
      <c r="BH168" s="44" t="str">
        <f>IF(AND(C168=Master!$H$9,B168="2012-2013",E168="",G168="NPN05"),H168,"")</f>
        <v/>
      </c>
    </row>
    <row r="169" spans="1:60" x14ac:dyDescent="0.25">
      <c r="A169" s="3">
        <v>167</v>
      </c>
      <c r="B169" s="12"/>
      <c r="C169" s="12"/>
      <c r="D169" s="31"/>
      <c r="E169" s="4"/>
      <c r="F169" s="13"/>
      <c r="G169" s="21"/>
      <c r="H169" s="35"/>
      <c r="I169" s="21"/>
      <c r="J169" s="25" t="str">
        <f>IF(NOT(I169=""),INDEX(Master!$B$1:$B$46,MATCH(I169,Master!$A$1:$A$46,0)),"")</f>
        <v/>
      </c>
      <c r="K169" s="18"/>
      <c r="L169" s="86"/>
      <c r="M169" s="13"/>
      <c r="N169" s="13"/>
      <c r="O169" s="18"/>
      <c r="P169" s="35"/>
      <c r="Q169" s="21"/>
      <c r="R169" s="21"/>
      <c r="S169" s="13"/>
      <c r="T169" s="12"/>
      <c r="U169" s="12"/>
      <c r="V169" s="12"/>
      <c r="W169" s="14"/>
      <c r="Y169" s="42" t="str">
        <f>IF(AND(C169=Master!$H$1,B169="2012-2013",E169&gt;1000,G169="PLN03"),H169,"")</f>
        <v/>
      </c>
      <c r="Z169" s="42" t="str">
        <f>IF(AND(C169=Master!$H$1,B169="2012-2013",E169="",G169="PLN03"),H169,"")</f>
        <v/>
      </c>
      <c r="AA169" s="42" t="str">
        <f>IF(AND(C169=Master!$H$2,B169="2012-2013",E169&gt;1000,G169="PLN03"),H169,"")</f>
        <v/>
      </c>
      <c r="AB169" s="42" t="str">
        <f>IF(AND(C169=Master!$H$2,B169="2012-2013",E169="",G169="PLN03"),H169,"")</f>
        <v/>
      </c>
      <c r="AC169" s="42" t="str">
        <f>IF(AND(C169=Master!$H$3,B169="2012-2013",E169&gt;1000,G169="PLN03"),H169,"")</f>
        <v/>
      </c>
      <c r="AD169" s="42" t="str">
        <f>IF(AND(C169=Master!$H$3,B169="2012-2013",E169="",G169="PLN03"),H169,"")</f>
        <v/>
      </c>
      <c r="AE169" s="42" t="str">
        <f>IF(AND(C169=Master!$H$4,B169="2012-2013",E169&gt;1000,G169="PLN03"),H169,"")</f>
        <v/>
      </c>
      <c r="AF169" s="42" t="str">
        <f>IF(AND(C169=Master!$H$4,B169="2012-2013",E169="",G169="PLN03"),H169,"")</f>
        <v/>
      </c>
      <c r="AG169" s="42" t="str">
        <f>IF(AND(C169=Master!$H$5,B169="2012-2013",E169&gt;1000,G169="PLN03"),H169,"")</f>
        <v/>
      </c>
      <c r="AH169" s="42" t="str">
        <f>IF(AND(C169=Master!$H$5,B169="2012-2013",E169="",G169="PLN03"),H169,"")</f>
        <v/>
      </c>
      <c r="AI169" s="42" t="str">
        <f>IF(AND(C169=Master!$H$6,B169="2012-2013",E169&gt;1000,G169="PLN03"),H169,"")</f>
        <v/>
      </c>
      <c r="AJ169" s="42" t="str">
        <f>IF(AND(C169=Master!$H$6,B169="2012-2013",E169="",G169="PLN03"),H169,"")</f>
        <v/>
      </c>
      <c r="AK169" s="42" t="str">
        <f>IF(AND(C169=Master!$H$7,B169="2012-2013",E169&gt;1000,G169="PLN03"),H169,"")</f>
        <v/>
      </c>
      <c r="AL169" s="42" t="str">
        <f>IF(AND(C169=Master!$H$7,B169="2012-2013",E169="",G169="PLN03"),H169,"")</f>
        <v/>
      </c>
      <c r="AM169" s="42" t="str">
        <f>IF(AND(C169=Master!$H$8,B169="2012-2013",E169&gt;1000,G169="PLN03"),H169,"")</f>
        <v/>
      </c>
      <c r="AN169" s="42" t="str">
        <f>IF(AND(C169=Master!$H$8,B169="2012-2013",E169="",G169="PLN03"),H169,"")</f>
        <v/>
      </c>
      <c r="AO169" s="42" t="str">
        <f>IF(AND(C169=Master!$H$9,B169="2012-2013",E169&gt;1000,G169="PLN03"),H169,"")</f>
        <v/>
      </c>
      <c r="AP169" s="42" t="str">
        <f>IF(AND(C169=Master!$H$9,B169="2012-2013",E169="",G169="PLN03"),H169,"")</f>
        <v/>
      </c>
      <c r="AQ169" s="44" t="str">
        <f>IF(AND(C169=Master!$H$1,B169="2012-2013",E169&gt;1000,G169="NPN05"),H169,"")</f>
        <v/>
      </c>
      <c r="AR169" s="44" t="str">
        <f>IF(AND(C169=Master!$H$1,B169="2012-2013",E169="",G169="NPN05"),H169,"")</f>
        <v/>
      </c>
      <c r="AS169" s="44" t="str">
        <f>IF(AND(C169=Master!$H$2,B169="2012-2013",E169&gt;1000,G169="NPN05"),H169,"")</f>
        <v/>
      </c>
      <c r="AT169" s="44" t="str">
        <f>IF(AND(C169=Master!$H$2,B169="2012-2013",E169="",G169="NPN05"),H169,"")</f>
        <v/>
      </c>
      <c r="AU169" s="44" t="str">
        <f>IF(AND(C169=Master!$H$3,B169="2012-2013",E169&gt;1000,G169="NPN05"),H169,"")</f>
        <v/>
      </c>
      <c r="AV169" s="44" t="str">
        <f>IF(AND(C169=Master!$H$3,B169="2012-2013",E169="",G169="NPN05"),H169,"")</f>
        <v/>
      </c>
      <c r="AW169" s="44" t="str">
        <f>IF(AND(C169=Master!$H$4,B169="2012-2013",E169&gt;1000,G169="NPN05"),H169,"")</f>
        <v/>
      </c>
      <c r="AX169" s="44" t="str">
        <f>IF(AND(C169=Master!$H$4,B169="2012-2013",E169="",G169="NPN05"),H169,"")</f>
        <v/>
      </c>
      <c r="AY169" s="44" t="str">
        <f>IF(AND(C169=Master!$H$5,B169="2012-2013",E169&gt;1000,G169="NPN05"),H169,"")</f>
        <v/>
      </c>
      <c r="AZ169" s="44" t="str">
        <f>IF(AND(C169=Master!$H$5,B169="2012-2013",E169="",G169="NPN05"),H169,"")</f>
        <v/>
      </c>
      <c r="BA169" s="44" t="str">
        <f>IF(AND(C169=Master!$H$6,B169="2012-2013",E169&gt;1000,G169="NPN05"),H169,"")</f>
        <v/>
      </c>
      <c r="BB169" s="44" t="str">
        <f>IF(AND(C169=Master!$H$6,B169="2012-2013",E169="",G169="NPN05"),H169,"")</f>
        <v/>
      </c>
      <c r="BC169" s="44" t="str">
        <f>IF(AND(C169=Master!$H$7,B169="2012-2013",E169&gt;1000,G169="NPN05"),H169,"")</f>
        <v/>
      </c>
      <c r="BD169" s="44" t="str">
        <f>IF(AND(C169=Master!$H$7,B169="2012-2013",E169="",G169="NPN05"),H169,"")</f>
        <v/>
      </c>
      <c r="BE169" s="44" t="str">
        <f>IF(AND(C169=Master!$H$8,B169="2012-2013",E169&gt;1000,G169="NPN05"),H169,"")</f>
        <v/>
      </c>
      <c r="BF169" s="44" t="str">
        <f>IF(AND(C169=Master!$H$8,B169="2012-2013",E169="",G169="NPN05"),H169,"")</f>
        <v/>
      </c>
      <c r="BG169" s="44" t="str">
        <f>IF(AND(C169=Master!$H$9,B169="2012-2013",E169&gt;1000,G169="NPN05"),H169,"")</f>
        <v/>
      </c>
      <c r="BH169" s="44" t="str">
        <f>IF(AND(C169=Master!$H$9,B169="2012-2013",E169="",G169="NPN05"),H169,"")</f>
        <v/>
      </c>
    </row>
    <row r="170" spans="1:60" x14ac:dyDescent="0.25">
      <c r="A170" s="3">
        <v>168</v>
      </c>
      <c r="B170" s="12"/>
      <c r="C170" s="12"/>
      <c r="D170" s="31"/>
      <c r="E170" s="4"/>
      <c r="F170" s="13"/>
      <c r="G170" s="21"/>
      <c r="H170" s="35"/>
      <c r="I170" s="21"/>
      <c r="J170" s="25" t="str">
        <f>IF(NOT(I170=""),INDEX(Master!$B$1:$B$46,MATCH(I170,Master!$A$1:$A$46,0)),"")</f>
        <v/>
      </c>
      <c r="K170" s="18"/>
      <c r="L170" s="86"/>
      <c r="M170" s="13"/>
      <c r="N170" s="13"/>
      <c r="O170" s="18"/>
      <c r="P170" s="35"/>
      <c r="Q170" s="21"/>
      <c r="R170" s="21"/>
      <c r="S170" s="13"/>
      <c r="T170" s="12"/>
      <c r="U170" s="12"/>
      <c r="V170" s="12"/>
      <c r="W170" s="14"/>
      <c r="Y170" s="42" t="str">
        <f>IF(AND(C170=Master!$H$1,B170="2012-2013",E170&gt;1000,G170="PLN03"),H170,"")</f>
        <v/>
      </c>
      <c r="Z170" s="42" t="str">
        <f>IF(AND(C170=Master!$H$1,B170="2012-2013",E170="",G170="PLN03"),H170,"")</f>
        <v/>
      </c>
      <c r="AA170" s="42" t="str">
        <f>IF(AND(C170=Master!$H$2,B170="2012-2013",E170&gt;1000,G170="PLN03"),H170,"")</f>
        <v/>
      </c>
      <c r="AB170" s="42" t="str">
        <f>IF(AND(C170=Master!$H$2,B170="2012-2013",E170="",G170="PLN03"),H170,"")</f>
        <v/>
      </c>
      <c r="AC170" s="42" t="str">
        <f>IF(AND(C170=Master!$H$3,B170="2012-2013",E170&gt;1000,G170="PLN03"),H170,"")</f>
        <v/>
      </c>
      <c r="AD170" s="42" t="str">
        <f>IF(AND(C170=Master!$H$3,B170="2012-2013",E170="",G170="PLN03"),H170,"")</f>
        <v/>
      </c>
      <c r="AE170" s="42" t="str">
        <f>IF(AND(C170=Master!$H$4,B170="2012-2013",E170&gt;1000,G170="PLN03"),H170,"")</f>
        <v/>
      </c>
      <c r="AF170" s="42" t="str">
        <f>IF(AND(C170=Master!$H$4,B170="2012-2013",E170="",G170="PLN03"),H170,"")</f>
        <v/>
      </c>
      <c r="AG170" s="42" t="str">
        <f>IF(AND(C170=Master!$H$5,B170="2012-2013",E170&gt;1000,G170="PLN03"),H170,"")</f>
        <v/>
      </c>
      <c r="AH170" s="42" t="str">
        <f>IF(AND(C170=Master!$H$5,B170="2012-2013",E170="",G170="PLN03"),H170,"")</f>
        <v/>
      </c>
      <c r="AI170" s="42" t="str">
        <f>IF(AND(C170=Master!$H$6,B170="2012-2013",E170&gt;1000,G170="PLN03"),H170,"")</f>
        <v/>
      </c>
      <c r="AJ170" s="42" t="str">
        <f>IF(AND(C170=Master!$H$6,B170="2012-2013",E170="",G170="PLN03"),H170,"")</f>
        <v/>
      </c>
      <c r="AK170" s="42" t="str">
        <f>IF(AND(C170=Master!$H$7,B170="2012-2013",E170&gt;1000,G170="PLN03"),H170,"")</f>
        <v/>
      </c>
      <c r="AL170" s="42" t="str">
        <f>IF(AND(C170=Master!$H$7,B170="2012-2013",E170="",G170="PLN03"),H170,"")</f>
        <v/>
      </c>
      <c r="AM170" s="42" t="str">
        <f>IF(AND(C170=Master!$H$8,B170="2012-2013",E170&gt;1000,G170="PLN03"),H170,"")</f>
        <v/>
      </c>
      <c r="AN170" s="42" t="str">
        <f>IF(AND(C170=Master!$H$8,B170="2012-2013",E170="",G170="PLN03"),H170,"")</f>
        <v/>
      </c>
      <c r="AO170" s="42" t="str">
        <f>IF(AND(C170=Master!$H$9,B170="2012-2013",E170&gt;1000,G170="PLN03"),H170,"")</f>
        <v/>
      </c>
      <c r="AP170" s="42" t="str">
        <f>IF(AND(C170=Master!$H$9,B170="2012-2013",E170="",G170="PLN03"),H170,"")</f>
        <v/>
      </c>
      <c r="AQ170" s="44" t="str">
        <f>IF(AND(C170=Master!$H$1,B170="2012-2013",E170&gt;1000,G170="NPN05"),H170,"")</f>
        <v/>
      </c>
      <c r="AR170" s="44" t="str">
        <f>IF(AND(C170=Master!$H$1,B170="2012-2013",E170="",G170="NPN05"),H170,"")</f>
        <v/>
      </c>
      <c r="AS170" s="44" t="str">
        <f>IF(AND(C170=Master!$H$2,B170="2012-2013",E170&gt;1000,G170="NPN05"),H170,"")</f>
        <v/>
      </c>
      <c r="AT170" s="44" t="str">
        <f>IF(AND(C170=Master!$H$2,B170="2012-2013",E170="",G170="NPN05"),H170,"")</f>
        <v/>
      </c>
      <c r="AU170" s="44" t="str">
        <f>IF(AND(C170=Master!$H$3,B170="2012-2013",E170&gt;1000,G170="NPN05"),H170,"")</f>
        <v/>
      </c>
      <c r="AV170" s="44" t="str">
        <f>IF(AND(C170=Master!$H$3,B170="2012-2013",E170="",G170="NPN05"),H170,"")</f>
        <v/>
      </c>
      <c r="AW170" s="44" t="str">
        <f>IF(AND(C170=Master!$H$4,B170="2012-2013",E170&gt;1000,G170="NPN05"),H170,"")</f>
        <v/>
      </c>
      <c r="AX170" s="44" t="str">
        <f>IF(AND(C170=Master!$H$4,B170="2012-2013",E170="",G170="NPN05"),H170,"")</f>
        <v/>
      </c>
      <c r="AY170" s="44" t="str">
        <f>IF(AND(C170=Master!$H$5,B170="2012-2013",E170&gt;1000,G170="NPN05"),H170,"")</f>
        <v/>
      </c>
      <c r="AZ170" s="44" t="str">
        <f>IF(AND(C170=Master!$H$5,B170="2012-2013",E170="",G170="NPN05"),H170,"")</f>
        <v/>
      </c>
      <c r="BA170" s="44" t="str">
        <f>IF(AND(C170=Master!$H$6,B170="2012-2013",E170&gt;1000,G170="NPN05"),H170,"")</f>
        <v/>
      </c>
      <c r="BB170" s="44" t="str">
        <f>IF(AND(C170=Master!$H$6,B170="2012-2013",E170="",G170="NPN05"),H170,"")</f>
        <v/>
      </c>
      <c r="BC170" s="44" t="str">
        <f>IF(AND(C170=Master!$H$7,B170="2012-2013",E170&gt;1000,G170="NPN05"),H170,"")</f>
        <v/>
      </c>
      <c r="BD170" s="44" t="str">
        <f>IF(AND(C170=Master!$H$7,B170="2012-2013",E170="",G170="NPN05"),H170,"")</f>
        <v/>
      </c>
      <c r="BE170" s="44" t="str">
        <f>IF(AND(C170=Master!$H$8,B170="2012-2013",E170&gt;1000,G170="NPN05"),H170,"")</f>
        <v/>
      </c>
      <c r="BF170" s="44" t="str">
        <f>IF(AND(C170=Master!$H$8,B170="2012-2013",E170="",G170="NPN05"),H170,"")</f>
        <v/>
      </c>
      <c r="BG170" s="44" t="str">
        <f>IF(AND(C170=Master!$H$9,B170="2012-2013",E170&gt;1000,G170="NPN05"),H170,"")</f>
        <v/>
      </c>
      <c r="BH170" s="44" t="str">
        <f>IF(AND(C170=Master!$H$9,B170="2012-2013",E170="",G170="NPN05"),H170,"")</f>
        <v/>
      </c>
    </row>
    <row r="171" spans="1:60" x14ac:dyDescent="0.25">
      <c r="A171" s="3">
        <v>169</v>
      </c>
      <c r="B171" s="12"/>
      <c r="C171" s="12"/>
      <c r="D171" s="31"/>
      <c r="E171" s="4"/>
      <c r="F171" s="13"/>
      <c r="G171" s="21"/>
      <c r="H171" s="35"/>
      <c r="I171" s="21"/>
      <c r="J171" s="25" t="str">
        <f>IF(NOT(I171=""),INDEX(Master!$B$1:$B$46,MATCH(I171,Master!$A$1:$A$46,0)),"")</f>
        <v/>
      </c>
      <c r="K171" s="18"/>
      <c r="L171" s="86"/>
      <c r="M171" s="13"/>
      <c r="N171" s="13"/>
      <c r="O171" s="18"/>
      <c r="P171" s="35"/>
      <c r="Q171" s="21"/>
      <c r="R171" s="21"/>
      <c r="S171" s="13"/>
      <c r="T171" s="12"/>
      <c r="U171" s="12"/>
      <c r="V171" s="12"/>
      <c r="W171" s="14"/>
      <c r="Y171" s="42" t="str">
        <f>IF(AND(C171=Master!$H$1,B171="2012-2013",E171&gt;1000,G171="PLN03"),H171,"")</f>
        <v/>
      </c>
      <c r="Z171" s="42" t="str">
        <f>IF(AND(C171=Master!$H$1,B171="2012-2013",E171="",G171="PLN03"),H171,"")</f>
        <v/>
      </c>
      <c r="AA171" s="42" t="str">
        <f>IF(AND(C171=Master!$H$2,B171="2012-2013",E171&gt;1000,G171="PLN03"),H171,"")</f>
        <v/>
      </c>
      <c r="AB171" s="42" t="str">
        <f>IF(AND(C171=Master!$H$2,B171="2012-2013",E171="",G171="PLN03"),H171,"")</f>
        <v/>
      </c>
      <c r="AC171" s="42" t="str">
        <f>IF(AND(C171=Master!$H$3,B171="2012-2013",E171&gt;1000,G171="PLN03"),H171,"")</f>
        <v/>
      </c>
      <c r="AD171" s="42" t="str">
        <f>IF(AND(C171=Master!$H$3,B171="2012-2013",E171="",G171="PLN03"),H171,"")</f>
        <v/>
      </c>
      <c r="AE171" s="42" t="str">
        <f>IF(AND(C171=Master!$H$4,B171="2012-2013",E171&gt;1000,G171="PLN03"),H171,"")</f>
        <v/>
      </c>
      <c r="AF171" s="42" t="str">
        <f>IF(AND(C171=Master!$H$4,B171="2012-2013",E171="",G171="PLN03"),H171,"")</f>
        <v/>
      </c>
      <c r="AG171" s="42" t="str">
        <f>IF(AND(C171=Master!$H$5,B171="2012-2013",E171&gt;1000,G171="PLN03"),H171,"")</f>
        <v/>
      </c>
      <c r="AH171" s="42" t="str">
        <f>IF(AND(C171=Master!$H$5,B171="2012-2013",E171="",G171="PLN03"),H171,"")</f>
        <v/>
      </c>
      <c r="AI171" s="42" t="str">
        <f>IF(AND(C171=Master!$H$6,B171="2012-2013",E171&gt;1000,G171="PLN03"),H171,"")</f>
        <v/>
      </c>
      <c r="AJ171" s="42" t="str">
        <f>IF(AND(C171=Master!$H$6,B171="2012-2013",E171="",G171="PLN03"),H171,"")</f>
        <v/>
      </c>
      <c r="AK171" s="42" t="str">
        <f>IF(AND(C171=Master!$H$7,B171="2012-2013",E171&gt;1000,G171="PLN03"),H171,"")</f>
        <v/>
      </c>
      <c r="AL171" s="42" t="str">
        <f>IF(AND(C171=Master!$H$7,B171="2012-2013",E171="",G171="PLN03"),H171,"")</f>
        <v/>
      </c>
      <c r="AM171" s="42" t="str">
        <f>IF(AND(C171=Master!$H$8,B171="2012-2013",E171&gt;1000,G171="PLN03"),H171,"")</f>
        <v/>
      </c>
      <c r="AN171" s="42" t="str">
        <f>IF(AND(C171=Master!$H$8,B171="2012-2013",E171="",G171="PLN03"),H171,"")</f>
        <v/>
      </c>
      <c r="AO171" s="42" t="str">
        <f>IF(AND(C171=Master!$H$9,B171="2012-2013",E171&gt;1000,G171="PLN03"),H171,"")</f>
        <v/>
      </c>
      <c r="AP171" s="42" t="str">
        <f>IF(AND(C171=Master!$H$9,B171="2012-2013",E171="",G171="PLN03"),H171,"")</f>
        <v/>
      </c>
      <c r="AQ171" s="44" t="str">
        <f>IF(AND(C171=Master!$H$1,B171="2012-2013",E171&gt;1000,G171="NPN05"),H171,"")</f>
        <v/>
      </c>
      <c r="AR171" s="44" t="str">
        <f>IF(AND(C171=Master!$H$1,B171="2012-2013",E171="",G171="NPN05"),H171,"")</f>
        <v/>
      </c>
      <c r="AS171" s="44" t="str">
        <f>IF(AND(C171=Master!$H$2,B171="2012-2013",E171&gt;1000,G171="NPN05"),H171,"")</f>
        <v/>
      </c>
      <c r="AT171" s="44" t="str">
        <f>IF(AND(C171=Master!$H$2,B171="2012-2013",E171="",G171="NPN05"),H171,"")</f>
        <v/>
      </c>
      <c r="AU171" s="44" t="str">
        <f>IF(AND(C171=Master!$H$3,B171="2012-2013",E171&gt;1000,G171="NPN05"),H171,"")</f>
        <v/>
      </c>
      <c r="AV171" s="44" t="str">
        <f>IF(AND(C171=Master!$H$3,B171="2012-2013",E171="",G171="NPN05"),H171,"")</f>
        <v/>
      </c>
      <c r="AW171" s="44" t="str">
        <f>IF(AND(C171=Master!$H$4,B171="2012-2013",E171&gt;1000,G171="NPN05"),H171,"")</f>
        <v/>
      </c>
      <c r="AX171" s="44" t="str">
        <f>IF(AND(C171=Master!$H$4,B171="2012-2013",E171="",G171="NPN05"),H171,"")</f>
        <v/>
      </c>
      <c r="AY171" s="44" t="str">
        <f>IF(AND(C171=Master!$H$5,B171="2012-2013",E171&gt;1000,G171="NPN05"),H171,"")</f>
        <v/>
      </c>
      <c r="AZ171" s="44" t="str">
        <f>IF(AND(C171=Master!$H$5,B171="2012-2013",E171="",G171="NPN05"),H171,"")</f>
        <v/>
      </c>
      <c r="BA171" s="44" t="str">
        <f>IF(AND(C171=Master!$H$6,B171="2012-2013",E171&gt;1000,G171="NPN05"),H171,"")</f>
        <v/>
      </c>
      <c r="BB171" s="44" t="str">
        <f>IF(AND(C171=Master!$H$6,B171="2012-2013",E171="",G171="NPN05"),H171,"")</f>
        <v/>
      </c>
      <c r="BC171" s="44" t="str">
        <f>IF(AND(C171=Master!$H$7,B171="2012-2013",E171&gt;1000,G171="NPN05"),H171,"")</f>
        <v/>
      </c>
      <c r="BD171" s="44" t="str">
        <f>IF(AND(C171=Master!$H$7,B171="2012-2013",E171="",G171="NPN05"),H171,"")</f>
        <v/>
      </c>
      <c r="BE171" s="44" t="str">
        <f>IF(AND(C171=Master!$H$8,B171="2012-2013",E171&gt;1000,G171="NPN05"),H171,"")</f>
        <v/>
      </c>
      <c r="BF171" s="44" t="str">
        <f>IF(AND(C171=Master!$H$8,B171="2012-2013",E171="",G171="NPN05"),H171,"")</f>
        <v/>
      </c>
      <c r="BG171" s="44" t="str">
        <f>IF(AND(C171=Master!$H$9,B171="2012-2013",E171&gt;1000,G171="NPN05"),H171,"")</f>
        <v/>
      </c>
      <c r="BH171" s="44" t="str">
        <f>IF(AND(C171=Master!$H$9,B171="2012-2013",E171="",G171="NPN05"),H171,"")</f>
        <v/>
      </c>
    </row>
    <row r="172" spans="1:60" x14ac:dyDescent="0.25">
      <c r="A172" s="3">
        <v>170</v>
      </c>
      <c r="B172" s="12"/>
      <c r="C172" s="12"/>
      <c r="D172" s="31"/>
      <c r="E172" s="4"/>
      <c r="F172" s="13"/>
      <c r="G172" s="21"/>
      <c r="H172" s="35"/>
      <c r="I172" s="21"/>
      <c r="J172" s="25" t="str">
        <f>IF(NOT(I172=""),INDEX(Master!$B$1:$B$46,MATCH(I172,Master!$A$1:$A$46,0)),"")</f>
        <v/>
      </c>
      <c r="K172" s="18"/>
      <c r="L172" s="86"/>
      <c r="M172" s="13"/>
      <c r="N172" s="13"/>
      <c r="O172" s="18"/>
      <c r="P172" s="35"/>
      <c r="Q172" s="21"/>
      <c r="R172" s="21"/>
      <c r="S172" s="13"/>
      <c r="T172" s="12"/>
      <c r="U172" s="12"/>
      <c r="V172" s="12"/>
      <c r="W172" s="14"/>
      <c r="Y172" s="42" t="str">
        <f>IF(AND(C172=Master!$H$1,B172="2012-2013",E172&gt;1000,G172="PLN03"),H172,"")</f>
        <v/>
      </c>
      <c r="Z172" s="42" t="str">
        <f>IF(AND(C172=Master!$H$1,B172="2012-2013",E172="",G172="PLN03"),H172,"")</f>
        <v/>
      </c>
      <c r="AA172" s="42" t="str">
        <f>IF(AND(C172=Master!$H$2,B172="2012-2013",E172&gt;1000,G172="PLN03"),H172,"")</f>
        <v/>
      </c>
      <c r="AB172" s="42" t="str">
        <f>IF(AND(C172=Master!$H$2,B172="2012-2013",E172="",G172="PLN03"),H172,"")</f>
        <v/>
      </c>
      <c r="AC172" s="42" t="str">
        <f>IF(AND(C172=Master!$H$3,B172="2012-2013",E172&gt;1000,G172="PLN03"),H172,"")</f>
        <v/>
      </c>
      <c r="AD172" s="42" t="str">
        <f>IF(AND(C172=Master!$H$3,B172="2012-2013",E172="",G172="PLN03"),H172,"")</f>
        <v/>
      </c>
      <c r="AE172" s="42" t="str">
        <f>IF(AND(C172=Master!$H$4,B172="2012-2013",E172&gt;1000,G172="PLN03"),H172,"")</f>
        <v/>
      </c>
      <c r="AF172" s="42" t="str">
        <f>IF(AND(C172=Master!$H$4,B172="2012-2013",E172="",G172="PLN03"),H172,"")</f>
        <v/>
      </c>
      <c r="AG172" s="42" t="str">
        <f>IF(AND(C172=Master!$H$5,B172="2012-2013",E172&gt;1000,G172="PLN03"),H172,"")</f>
        <v/>
      </c>
      <c r="AH172" s="42" t="str">
        <f>IF(AND(C172=Master!$H$5,B172="2012-2013",E172="",G172="PLN03"),H172,"")</f>
        <v/>
      </c>
      <c r="AI172" s="42" t="str">
        <f>IF(AND(C172=Master!$H$6,B172="2012-2013",E172&gt;1000,G172="PLN03"),H172,"")</f>
        <v/>
      </c>
      <c r="AJ172" s="42" t="str">
        <f>IF(AND(C172=Master!$H$6,B172="2012-2013",E172="",G172="PLN03"),H172,"")</f>
        <v/>
      </c>
      <c r="AK172" s="42" t="str">
        <f>IF(AND(C172=Master!$H$7,B172="2012-2013",E172&gt;1000,G172="PLN03"),H172,"")</f>
        <v/>
      </c>
      <c r="AL172" s="42" t="str">
        <f>IF(AND(C172=Master!$H$7,B172="2012-2013",E172="",G172="PLN03"),H172,"")</f>
        <v/>
      </c>
      <c r="AM172" s="42" t="str">
        <f>IF(AND(C172=Master!$H$8,B172="2012-2013",E172&gt;1000,G172="PLN03"),H172,"")</f>
        <v/>
      </c>
      <c r="AN172" s="42" t="str">
        <f>IF(AND(C172=Master!$H$8,B172="2012-2013",E172="",G172="PLN03"),H172,"")</f>
        <v/>
      </c>
      <c r="AO172" s="42" t="str">
        <f>IF(AND(C172=Master!$H$9,B172="2012-2013",E172&gt;1000,G172="PLN03"),H172,"")</f>
        <v/>
      </c>
      <c r="AP172" s="42" t="str">
        <f>IF(AND(C172=Master!$H$9,B172="2012-2013",E172="",G172="PLN03"),H172,"")</f>
        <v/>
      </c>
      <c r="AQ172" s="44" t="str">
        <f>IF(AND(C172=Master!$H$1,B172="2012-2013",E172&gt;1000,G172="NPN05"),H172,"")</f>
        <v/>
      </c>
      <c r="AR172" s="44" t="str">
        <f>IF(AND(C172=Master!$H$1,B172="2012-2013",E172="",G172="NPN05"),H172,"")</f>
        <v/>
      </c>
      <c r="AS172" s="44" t="str">
        <f>IF(AND(C172=Master!$H$2,B172="2012-2013",E172&gt;1000,G172="NPN05"),H172,"")</f>
        <v/>
      </c>
      <c r="AT172" s="44" t="str">
        <f>IF(AND(C172=Master!$H$2,B172="2012-2013",E172="",G172="NPN05"),H172,"")</f>
        <v/>
      </c>
      <c r="AU172" s="44" t="str">
        <f>IF(AND(C172=Master!$H$3,B172="2012-2013",E172&gt;1000,G172="NPN05"),H172,"")</f>
        <v/>
      </c>
      <c r="AV172" s="44" t="str">
        <f>IF(AND(C172=Master!$H$3,B172="2012-2013",E172="",G172="NPN05"),H172,"")</f>
        <v/>
      </c>
      <c r="AW172" s="44" t="str">
        <f>IF(AND(C172=Master!$H$4,B172="2012-2013",E172&gt;1000,G172="NPN05"),H172,"")</f>
        <v/>
      </c>
      <c r="AX172" s="44" t="str">
        <f>IF(AND(C172=Master!$H$4,B172="2012-2013",E172="",G172="NPN05"),H172,"")</f>
        <v/>
      </c>
      <c r="AY172" s="44" t="str">
        <f>IF(AND(C172=Master!$H$5,B172="2012-2013",E172&gt;1000,G172="NPN05"),H172,"")</f>
        <v/>
      </c>
      <c r="AZ172" s="44" t="str">
        <f>IF(AND(C172=Master!$H$5,B172="2012-2013",E172="",G172="NPN05"),H172,"")</f>
        <v/>
      </c>
      <c r="BA172" s="44" t="str">
        <f>IF(AND(C172=Master!$H$6,B172="2012-2013",E172&gt;1000,G172="NPN05"),H172,"")</f>
        <v/>
      </c>
      <c r="BB172" s="44" t="str">
        <f>IF(AND(C172=Master!$H$6,B172="2012-2013",E172="",G172="NPN05"),H172,"")</f>
        <v/>
      </c>
      <c r="BC172" s="44" t="str">
        <f>IF(AND(C172=Master!$H$7,B172="2012-2013",E172&gt;1000,G172="NPN05"),H172,"")</f>
        <v/>
      </c>
      <c r="BD172" s="44" t="str">
        <f>IF(AND(C172=Master!$H$7,B172="2012-2013",E172="",G172="NPN05"),H172,"")</f>
        <v/>
      </c>
      <c r="BE172" s="44" t="str">
        <f>IF(AND(C172=Master!$H$8,B172="2012-2013",E172&gt;1000,G172="NPN05"),H172,"")</f>
        <v/>
      </c>
      <c r="BF172" s="44" t="str">
        <f>IF(AND(C172=Master!$H$8,B172="2012-2013",E172="",G172="NPN05"),H172,"")</f>
        <v/>
      </c>
      <c r="BG172" s="44" t="str">
        <f>IF(AND(C172=Master!$H$9,B172="2012-2013",E172&gt;1000,G172="NPN05"),H172,"")</f>
        <v/>
      </c>
      <c r="BH172" s="44" t="str">
        <f>IF(AND(C172=Master!$H$9,B172="2012-2013",E172="",G172="NPN05"),H172,"")</f>
        <v/>
      </c>
    </row>
    <row r="173" spans="1:60" x14ac:dyDescent="0.25">
      <c r="A173" s="3">
        <v>171</v>
      </c>
      <c r="B173" s="12"/>
      <c r="C173" s="12"/>
      <c r="D173" s="31"/>
      <c r="E173" s="4"/>
      <c r="F173" s="13"/>
      <c r="G173" s="21"/>
      <c r="H173" s="35"/>
      <c r="I173" s="21"/>
      <c r="J173" s="25" t="str">
        <f>IF(NOT(I173=""),INDEX(Master!$B$1:$B$46,MATCH(I173,Master!$A$1:$A$46,0)),"")</f>
        <v/>
      </c>
      <c r="K173" s="18"/>
      <c r="L173" s="86"/>
      <c r="M173" s="13"/>
      <c r="N173" s="13"/>
      <c r="O173" s="18"/>
      <c r="P173" s="35"/>
      <c r="Q173" s="21"/>
      <c r="R173" s="21"/>
      <c r="S173" s="13"/>
      <c r="T173" s="12"/>
      <c r="U173" s="12"/>
      <c r="V173" s="12"/>
      <c r="W173" s="14"/>
      <c r="Y173" s="42" t="str">
        <f>IF(AND(C173=Master!$H$1,B173="2012-2013",E173&gt;1000,G173="PLN03"),H173,"")</f>
        <v/>
      </c>
      <c r="Z173" s="42" t="str">
        <f>IF(AND(C173=Master!$H$1,B173="2012-2013",E173="",G173="PLN03"),H173,"")</f>
        <v/>
      </c>
      <c r="AA173" s="42" t="str">
        <f>IF(AND(C173=Master!$H$2,B173="2012-2013",E173&gt;1000,G173="PLN03"),H173,"")</f>
        <v/>
      </c>
      <c r="AB173" s="42" t="str">
        <f>IF(AND(C173=Master!$H$2,B173="2012-2013",E173="",G173="PLN03"),H173,"")</f>
        <v/>
      </c>
      <c r="AC173" s="42" t="str">
        <f>IF(AND(C173=Master!$H$3,B173="2012-2013",E173&gt;1000,G173="PLN03"),H173,"")</f>
        <v/>
      </c>
      <c r="AD173" s="42" t="str">
        <f>IF(AND(C173=Master!$H$3,B173="2012-2013",E173="",G173="PLN03"),H173,"")</f>
        <v/>
      </c>
      <c r="AE173" s="42" t="str">
        <f>IF(AND(C173=Master!$H$4,B173="2012-2013",E173&gt;1000,G173="PLN03"),H173,"")</f>
        <v/>
      </c>
      <c r="AF173" s="42" t="str">
        <f>IF(AND(C173=Master!$H$4,B173="2012-2013",E173="",G173="PLN03"),H173,"")</f>
        <v/>
      </c>
      <c r="AG173" s="42" t="str">
        <f>IF(AND(C173=Master!$H$5,B173="2012-2013",E173&gt;1000,G173="PLN03"),H173,"")</f>
        <v/>
      </c>
      <c r="AH173" s="42" t="str">
        <f>IF(AND(C173=Master!$H$5,B173="2012-2013",E173="",G173="PLN03"),H173,"")</f>
        <v/>
      </c>
      <c r="AI173" s="42" t="str">
        <f>IF(AND(C173=Master!$H$6,B173="2012-2013",E173&gt;1000,G173="PLN03"),H173,"")</f>
        <v/>
      </c>
      <c r="AJ173" s="42" t="str">
        <f>IF(AND(C173=Master!$H$6,B173="2012-2013",E173="",G173="PLN03"),H173,"")</f>
        <v/>
      </c>
      <c r="AK173" s="42" t="str">
        <f>IF(AND(C173=Master!$H$7,B173="2012-2013",E173&gt;1000,G173="PLN03"),H173,"")</f>
        <v/>
      </c>
      <c r="AL173" s="42" t="str">
        <f>IF(AND(C173=Master!$H$7,B173="2012-2013",E173="",G173="PLN03"),H173,"")</f>
        <v/>
      </c>
      <c r="AM173" s="42" t="str">
        <f>IF(AND(C173=Master!$H$8,B173="2012-2013",E173&gt;1000,G173="PLN03"),H173,"")</f>
        <v/>
      </c>
      <c r="AN173" s="42" t="str">
        <f>IF(AND(C173=Master!$H$8,B173="2012-2013",E173="",G173="PLN03"),H173,"")</f>
        <v/>
      </c>
      <c r="AO173" s="42" t="str">
        <f>IF(AND(C173=Master!$H$9,B173="2012-2013",E173&gt;1000,G173="PLN03"),H173,"")</f>
        <v/>
      </c>
      <c r="AP173" s="42" t="str">
        <f>IF(AND(C173=Master!$H$9,B173="2012-2013",E173="",G173="PLN03"),H173,"")</f>
        <v/>
      </c>
      <c r="AQ173" s="44" t="str">
        <f>IF(AND(C173=Master!$H$1,B173="2012-2013",E173&gt;1000,G173="NPN05"),H173,"")</f>
        <v/>
      </c>
      <c r="AR173" s="44" t="str">
        <f>IF(AND(C173=Master!$H$1,B173="2012-2013",E173="",G173="NPN05"),H173,"")</f>
        <v/>
      </c>
      <c r="AS173" s="44" t="str">
        <f>IF(AND(C173=Master!$H$2,B173="2012-2013",E173&gt;1000,G173="NPN05"),H173,"")</f>
        <v/>
      </c>
      <c r="AT173" s="44" t="str">
        <f>IF(AND(C173=Master!$H$2,B173="2012-2013",E173="",G173="NPN05"),H173,"")</f>
        <v/>
      </c>
      <c r="AU173" s="44" t="str">
        <f>IF(AND(C173=Master!$H$3,B173="2012-2013",E173&gt;1000,G173="NPN05"),H173,"")</f>
        <v/>
      </c>
      <c r="AV173" s="44" t="str">
        <f>IF(AND(C173=Master!$H$3,B173="2012-2013",E173="",G173="NPN05"),H173,"")</f>
        <v/>
      </c>
      <c r="AW173" s="44" t="str">
        <f>IF(AND(C173=Master!$H$4,B173="2012-2013",E173&gt;1000,G173="NPN05"),H173,"")</f>
        <v/>
      </c>
      <c r="AX173" s="44" t="str">
        <f>IF(AND(C173=Master!$H$4,B173="2012-2013",E173="",G173="NPN05"),H173,"")</f>
        <v/>
      </c>
      <c r="AY173" s="44" t="str">
        <f>IF(AND(C173=Master!$H$5,B173="2012-2013",E173&gt;1000,G173="NPN05"),H173,"")</f>
        <v/>
      </c>
      <c r="AZ173" s="44" t="str">
        <f>IF(AND(C173=Master!$H$5,B173="2012-2013",E173="",G173="NPN05"),H173,"")</f>
        <v/>
      </c>
      <c r="BA173" s="44" t="str">
        <f>IF(AND(C173=Master!$H$6,B173="2012-2013",E173&gt;1000,G173="NPN05"),H173,"")</f>
        <v/>
      </c>
      <c r="BB173" s="44" t="str">
        <f>IF(AND(C173=Master!$H$6,B173="2012-2013",E173="",G173="NPN05"),H173,"")</f>
        <v/>
      </c>
      <c r="BC173" s="44" t="str">
        <f>IF(AND(C173=Master!$H$7,B173="2012-2013",E173&gt;1000,G173="NPN05"),H173,"")</f>
        <v/>
      </c>
      <c r="BD173" s="44" t="str">
        <f>IF(AND(C173=Master!$H$7,B173="2012-2013",E173="",G173="NPN05"),H173,"")</f>
        <v/>
      </c>
      <c r="BE173" s="44" t="str">
        <f>IF(AND(C173=Master!$H$8,B173="2012-2013",E173&gt;1000,G173="NPN05"),H173,"")</f>
        <v/>
      </c>
      <c r="BF173" s="44" t="str">
        <f>IF(AND(C173=Master!$H$8,B173="2012-2013",E173="",G173="NPN05"),H173,"")</f>
        <v/>
      </c>
      <c r="BG173" s="44" t="str">
        <f>IF(AND(C173=Master!$H$9,B173="2012-2013",E173&gt;1000,G173="NPN05"),H173,"")</f>
        <v/>
      </c>
      <c r="BH173" s="44" t="str">
        <f>IF(AND(C173=Master!$H$9,B173="2012-2013",E173="",G173="NPN05"),H173,"")</f>
        <v/>
      </c>
    </row>
    <row r="174" spans="1:60" x14ac:dyDescent="0.25">
      <c r="A174" s="3">
        <v>172</v>
      </c>
      <c r="B174" s="12"/>
      <c r="C174" s="12"/>
      <c r="D174" s="31"/>
      <c r="E174" s="4"/>
      <c r="F174" s="13"/>
      <c r="G174" s="21"/>
      <c r="H174" s="35"/>
      <c r="I174" s="21"/>
      <c r="J174" s="25" t="str">
        <f>IF(NOT(I174=""),INDEX(Master!$B$1:$B$46,MATCH(I174,Master!$A$1:$A$46,0)),"")</f>
        <v/>
      </c>
      <c r="K174" s="18"/>
      <c r="L174" s="86"/>
      <c r="M174" s="13"/>
      <c r="N174" s="13"/>
      <c r="O174" s="18"/>
      <c r="P174" s="35"/>
      <c r="Q174" s="21"/>
      <c r="R174" s="21"/>
      <c r="S174" s="13"/>
      <c r="T174" s="12"/>
      <c r="U174" s="12"/>
      <c r="V174" s="12"/>
      <c r="W174" s="14"/>
      <c r="Y174" s="42" t="str">
        <f>IF(AND(C174=Master!$H$1,B174="2012-2013",E174&gt;1000,G174="PLN03"),H174,"")</f>
        <v/>
      </c>
      <c r="Z174" s="42" t="str">
        <f>IF(AND(C174=Master!$H$1,B174="2012-2013",E174="",G174="PLN03"),H174,"")</f>
        <v/>
      </c>
      <c r="AA174" s="42" t="str">
        <f>IF(AND(C174=Master!$H$2,B174="2012-2013",E174&gt;1000,G174="PLN03"),H174,"")</f>
        <v/>
      </c>
      <c r="AB174" s="42" t="str">
        <f>IF(AND(C174=Master!$H$2,B174="2012-2013",E174="",G174="PLN03"),H174,"")</f>
        <v/>
      </c>
      <c r="AC174" s="42" t="str">
        <f>IF(AND(C174=Master!$H$3,B174="2012-2013",E174&gt;1000,G174="PLN03"),H174,"")</f>
        <v/>
      </c>
      <c r="AD174" s="42" t="str">
        <f>IF(AND(C174=Master!$H$3,B174="2012-2013",E174="",G174="PLN03"),H174,"")</f>
        <v/>
      </c>
      <c r="AE174" s="42" t="str">
        <f>IF(AND(C174=Master!$H$4,B174="2012-2013",E174&gt;1000,G174="PLN03"),H174,"")</f>
        <v/>
      </c>
      <c r="AF174" s="42" t="str">
        <f>IF(AND(C174=Master!$H$4,B174="2012-2013",E174="",G174="PLN03"),H174,"")</f>
        <v/>
      </c>
      <c r="AG174" s="42" t="str">
        <f>IF(AND(C174=Master!$H$5,B174="2012-2013",E174&gt;1000,G174="PLN03"),H174,"")</f>
        <v/>
      </c>
      <c r="AH174" s="42" t="str">
        <f>IF(AND(C174=Master!$H$5,B174="2012-2013",E174="",G174="PLN03"),H174,"")</f>
        <v/>
      </c>
      <c r="AI174" s="42" t="str">
        <f>IF(AND(C174=Master!$H$6,B174="2012-2013",E174&gt;1000,G174="PLN03"),H174,"")</f>
        <v/>
      </c>
      <c r="AJ174" s="42" t="str">
        <f>IF(AND(C174=Master!$H$6,B174="2012-2013",E174="",G174="PLN03"),H174,"")</f>
        <v/>
      </c>
      <c r="AK174" s="42" t="str">
        <f>IF(AND(C174=Master!$H$7,B174="2012-2013",E174&gt;1000,G174="PLN03"),H174,"")</f>
        <v/>
      </c>
      <c r="AL174" s="42" t="str">
        <f>IF(AND(C174=Master!$H$7,B174="2012-2013",E174="",G174="PLN03"),H174,"")</f>
        <v/>
      </c>
      <c r="AM174" s="42" t="str">
        <f>IF(AND(C174=Master!$H$8,B174="2012-2013",E174&gt;1000,G174="PLN03"),H174,"")</f>
        <v/>
      </c>
      <c r="AN174" s="42" t="str">
        <f>IF(AND(C174=Master!$H$8,B174="2012-2013",E174="",G174="PLN03"),H174,"")</f>
        <v/>
      </c>
      <c r="AO174" s="42" t="str">
        <f>IF(AND(C174=Master!$H$9,B174="2012-2013",E174&gt;1000,G174="PLN03"),H174,"")</f>
        <v/>
      </c>
      <c r="AP174" s="42" t="str">
        <f>IF(AND(C174=Master!$H$9,B174="2012-2013",E174="",G174="PLN03"),H174,"")</f>
        <v/>
      </c>
      <c r="AQ174" s="44" t="str">
        <f>IF(AND(C174=Master!$H$1,B174="2012-2013",E174&gt;1000,G174="NPN05"),H174,"")</f>
        <v/>
      </c>
      <c r="AR174" s="44" t="str">
        <f>IF(AND(C174=Master!$H$1,B174="2012-2013",E174="",G174="NPN05"),H174,"")</f>
        <v/>
      </c>
      <c r="AS174" s="44" t="str">
        <f>IF(AND(C174=Master!$H$2,B174="2012-2013",E174&gt;1000,G174="NPN05"),H174,"")</f>
        <v/>
      </c>
      <c r="AT174" s="44" t="str">
        <f>IF(AND(C174=Master!$H$2,B174="2012-2013",E174="",G174="NPN05"),H174,"")</f>
        <v/>
      </c>
      <c r="AU174" s="44" t="str">
        <f>IF(AND(C174=Master!$H$3,B174="2012-2013",E174&gt;1000,G174="NPN05"),H174,"")</f>
        <v/>
      </c>
      <c r="AV174" s="44" t="str">
        <f>IF(AND(C174=Master!$H$3,B174="2012-2013",E174="",G174="NPN05"),H174,"")</f>
        <v/>
      </c>
      <c r="AW174" s="44" t="str">
        <f>IF(AND(C174=Master!$H$4,B174="2012-2013",E174&gt;1000,G174="NPN05"),H174,"")</f>
        <v/>
      </c>
      <c r="AX174" s="44" t="str">
        <f>IF(AND(C174=Master!$H$4,B174="2012-2013",E174="",G174="NPN05"),H174,"")</f>
        <v/>
      </c>
      <c r="AY174" s="44" t="str">
        <f>IF(AND(C174=Master!$H$5,B174="2012-2013",E174&gt;1000,G174="NPN05"),H174,"")</f>
        <v/>
      </c>
      <c r="AZ174" s="44" t="str">
        <f>IF(AND(C174=Master!$H$5,B174="2012-2013",E174="",G174="NPN05"),H174,"")</f>
        <v/>
      </c>
      <c r="BA174" s="44" t="str">
        <f>IF(AND(C174=Master!$H$6,B174="2012-2013",E174&gt;1000,G174="NPN05"),H174,"")</f>
        <v/>
      </c>
      <c r="BB174" s="44" t="str">
        <f>IF(AND(C174=Master!$H$6,B174="2012-2013",E174="",G174="NPN05"),H174,"")</f>
        <v/>
      </c>
      <c r="BC174" s="44" t="str">
        <f>IF(AND(C174=Master!$H$7,B174="2012-2013",E174&gt;1000,G174="NPN05"),H174,"")</f>
        <v/>
      </c>
      <c r="BD174" s="44" t="str">
        <f>IF(AND(C174=Master!$H$7,B174="2012-2013",E174="",G174="NPN05"),H174,"")</f>
        <v/>
      </c>
      <c r="BE174" s="44" t="str">
        <f>IF(AND(C174=Master!$H$8,B174="2012-2013",E174&gt;1000,G174="NPN05"),H174,"")</f>
        <v/>
      </c>
      <c r="BF174" s="44" t="str">
        <f>IF(AND(C174=Master!$H$8,B174="2012-2013",E174="",G174="NPN05"),H174,"")</f>
        <v/>
      </c>
      <c r="BG174" s="44" t="str">
        <f>IF(AND(C174=Master!$H$9,B174="2012-2013",E174&gt;1000,G174="NPN05"),H174,"")</f>
        <v/>
      </c>
      <c r="BH174" s="44" t="str">
        <f>IF(AND(C174=Master!$H$9,B174="2012-2013",E174="",G174="NPN05"),H174,"")</f>
        <v/>
      </c>
    </row>
    <row r="175" spans="1:60" x14ac:dyDescent="0.25">
      <c r="A175" s="5">
        <v>173</v>
      </c>
      <c r="B175" s="12"/>
      <c r="C175" s="12"/>
      <c r="D175" s="31"/>
      <c r="E175" s="4"/>
      <c r="F175" s="13"/>
      <c r="G175" s="21"/>
      <c r="H175" s="35"/>
      <c r="I175" s="21"/>
      <c r="J175" s="25" t="str">
        <f>IF(NOT(I175=""),INDEX(Master!$B$1:$B$46,MATCH(I175,Master!$A$1:$A$46,0)),"")</f>
        <v/>
      </c>
      <c r="K175" s="18"/>
      <c r="L175" s="86"/>
      <c r="M175" s="13"/>
      <c r="N175" s="13"/>
      <c r="O175" s="18"/>
      <c r="P175" s="35"/>
      <c r="Q175" s="21"/>
      <c r="R175" s="21"/>
      <c r="S175" s="13"/>
      <c r="T175" s="12"/>
      <c r="U175" s="12"/>
      <c r="V175" s="12"/>
      <c r="W175" s="14"/>
      <c r="Y175" s="42" t="str">
        <f>IF(AND(C175=Master!$H$1,B175="2012-2013",E175&gt;1000,G175="PLN03"),H175,"")</f>
        <v/>
      </c>
      <c r="Z175" s="42" t="str">
        <f>IF(AND(C175=Master!$H$1,B175="2012-2013",E175="",G175="PLN03"),H175,"")</f>
        <v/>
      </c>
      <c r="AA175" s="42" t="str">
        <f>IF(AND(C175=Master!$H$2,B175="2012-2013",E175&gt;1000,G175="PLN03"),H175,"")</f>
        <v/>
      </c>
      <c r="AB175" s="42" t="str">
        <f>IF(AND(C175=Master!$H$2,B175="2012-2013",E175="",G175="PLN03"),H175,"")</f>
        <v/>
      </c>
      <c r="AC175" s="42" t="str">
        <f>IF(AND(C175=Master!$H$3,B175="2012-2013",E175&gt;1000,G175="PLN03"),H175,"")</f>
        <v/>
      </c>
      <c r="AD175" s="42" t="str">
        <f>IF(AND(C175=Master!$H$3,B175="2012-2013",E175="",G175="PLN03"),H175,"")</f>
        <v/>
      </c>
      <c r="AE175" s="42" t="str">
        <f>IF(AND(C175=Master!$H$4,B175="2012-2013",E175&gt;1000,G175="PLN03"),H175,"")</f>
        <v/>
      </c>
      <c r="AF175" s="42" t="str">
        <f>IF(AND(C175=Master!$H$4,B175="2012-2013",E175="",G175="PLN03"),H175,"")</f>
        <v/>
      </c>
      <c r="AG175" s="42" t="str">
        <f>IF(AND(C175=Master!$H$5,B175="2012-2013",E175&gt;1000,G175="PLN03"),H175,"")</f>
        <v/>
      </c>
      <c r="AH175" s="42" t="str">
        <f>IF(AND(C175=Master!$H$5,B175="2012-2013",E175="",G175="PLN03"),H175,"")</f>
        <v/>
      </c>
      <c r="AI175" s="42" t="str">
        <f>IF(AND(C175=Master!$H$6,B175="2012-2013",E175&gt;1000,G175="PLN03"),H175,"")</f>
        <v/>
      </c>
      <c r="AJ175" s="42" t="str">
        <f>IF(AND(C175=Master!$H$6,B175="2012-2013",E175="",G175="PLN03"),H175,"")</f>
        <v/>
      </c>
      <c r="AK175" s="42" t="str">
        <f>IF(AND(C175=Master!$H$7,B175="2012-2013",E175&gt;1000,G175="PLN03"),H175,"")</f>
        <v/>
      </c>
      <c r="AL175" s="42" t="str">
        <f>IF(AND(C175=Master!$H$7,B175="2012-2013",E175="",G175="PLN03"),H175,"")</f>
        <v/>
      </c>
      <c r="AM175" s="42" t="str">
        <f>IF(AND(C175=Master!$H$8,B175="2012-2013",E175&gt;1000,G175="PLN03"),H175,"")</f>
        <v/>
      </c>
      <c r="AN175" s="42" t="str">
        <f>IF(AND(C175=Master!$H$8,B175="2012-2013",E175="",G175="PLN03"),H175,"")</f>
        <v/>
      </c>
      <c r="AO175" s="42" t="str">
        <f>IF(AND(C175=Master!$H$9,B175="2012-2013",E175&gt;1000,G175="PLN03"),H175,"")</f>
        <v/>
      </c>
      <c r="AP175" s="42" t="str">
        <f>IF(AND(C175=Master!$H$9,B175="2012-2013",E175="",G175="PLN03"),H175,"")</f>
        <v/>
      </c>
      <c r="AQ175" s="44" t="str">
        <f>IF(AND(C175=Master!$H$1,B175="2012-2013",E175&gt;1000,G175="NPN05"),H175,"")</f>
        <v/>
      </c>
      <c r="AR175" s="44" t="str">
        <f>IF(AND(C175=Master!$H$1,B175="2012-2013",E175="",G175="NPN05"),H175,"")</f>
        <v/>
      </c>
      <c r="AS175" s="44" t="str">
        <f>IF(AND(C175=Master!$H$2,B175="2012-2013",E175&gt;1000,G175="NPN05"),H175,"")</f>
        <v/>
      </c>
      <c r="AT175" s="44" t="str">
        <f>IF(AND(C175=Master!$H$2,B175="2012-2013",E175="",G175="NPN05"),H175,"")</f>
        <v/>
      </c>
      <c r="AU175" s="44" t="str">
        <f>IF(AND(C175=Master!$H$3,B175="2012-2013",E175&gt;1000,G175="NPN05"),H175,"")</f>
        <v/>
      </c>
      <c r="AV175" s="44" t="str">
        <f>IF(AND(C175=Master!$H$3,B175="2012-2013",E175="",G175="NPN05"),H175,"")</f>
        <v/>
      </c>
      <c r="AW175" s="44" t="str">
        <f>IF(AND(C175=Master!$H$4,B175="2012-2013",E175&gt;1000,G175="NPN05"),H175,"")</f>
        <v/>
      </c>
      <c r="AX175" s="44" t="str">
        <f>IF(AND(C175=Master!$H$4,B175="2012-2013",E175="",G175="NPN05"),H175,"")</f>
        <v/>
      </c>
      <c r="AY175" s="44" t="str">
        <f>IF(AND(C175=Master!$H$5,B175="2012-2013",E175&gt;1000,G175="NPN05"),H175,"")</f>
        <v/>
      </c>
      <c r="AZ175" s="44" t="str">
        <f>IF(AND(C175=Master!$H$5,B175="2012-2013",E175="",G175="NPN05"),H175,"")</f>
        <v/>
      </c>
      <c r="BA175" s="44" t="str">
        <f>IF(AND(C175=Master!$H$6,B175="2012-2013",E175&gt;1000,G175="NPN05"),H175,"")</f>
        <v/>
      </c>
      <c r="BB175" s="44" t="str">
        <f>IF(AND(C175=Master!$H$6,B175="2012-2013",E175="",G175="NPN05"),H175,"")</f>
        <v/>
      </c>
      <c r="BC175" s="44" t="str">
        <f>IF(AND(C175=Master!$H$7,B175="2012-2013",E175&gt;1000,G175="NPN05"),H175,"")</f>
        <v/>
      </c>
      <c r="BD175" s="44" t="str">
        <f>IF(AND(C175=Master!$H$7,B175="2012-2013",E175="",G175="NPN05"),H175,"")</f>
        <v/>
      </c>
      <c r="BE175" s="44" t="str">
        <f>IF(AND(C175=Master!$H$8,B175="2012-2013",E175&gt;1000,G175="NPN05"),H175,"")</f>
        <v/>
      </c>
      <c r="BF175" s="44" t="str">
        <f>IF(AND(C175=Master!$H$8,B175="2012-2013",E175="",G175="NPN05"),H175,"")</f>
        <v/>
      </c>
      <c r="BG175" s="44" t="str">
        <f>IF(AND(C175=Master!$H$9,B175="2012-2013",E175&gt;1000,G175="NPN05"),H175,"")</f>
        <v/>
      </c>
      <c r="BH175" s="44" t="str">
        <f>IF(AND(C175=Master!$H$9,B175="2012-2013",E175="",G175="NPN05"),H175,"")</f>
        <v/>
      </c>
    </row>
    <row r="176" spans="1:60" x14ac:dyDescent="0.25">
      <c r="A176" s="3">
        <v>174</v>
      </c>
      <c r="B176" s="12"/>
      <c r="C176" s="12"/>
      <c r="D176" s="31"/>
      <c r="E176" s="4"/>
      <c r="F176" s="13"/>
      <c r="G176" s="21"/>
      <c r="H176" s="35"/>
      <c r="I176" s="21"/>
      <c r="J176" s="25" t="str">
        <f>IF(NOT(I176=""),INDEX(Master!$B$1:$B$46,MATCH(I176,Master!$A$1:$A$46,0)),"")</f>
        <v/>
      </c>
      <c r="K176" s="18"/>
      <c r="L176" s="86"/>
      <c r="M176" s="13"/>
      <c r="N176" s="13"/>
      <c r="O176" s="18"/>
      <c r="P176" s="35"/>
      <c r="Q176" s="21"/>
      <c r="R176" s="21"/>
      <c r="S176" s="13"/>
      <c r="T176" s="12"/>
      <c r="U176" s="12"/>
      <c r="V176" s="12"/>
      <c r="W176" s="14"/>
      <c r="Y176" s="42" t="str">
        <f>IF(AND(C176=Master!$H$1,B176="2012-2013",E176&gt;1000,G176="PLN03"),H176,"")</f>
        <v/>
      </c>
      <c r="Z176" s="42" t="str">
        <f>IF(AND(C176=Master!$H$1,B176="2012-2013",E176="",G176="PLN03"),H176,"")</f>
        <v/>
      </c>
      <c r="AA176" s="42" t="str">
        <f>IF(AND(C176=Master!$H$2,B176="2012-2013",E176&gt;1000,G176="PLN03"),H176,"")</f>
        <v/>
      </c>
      <c r="AB176" s="42" t="str">
        <f>IF(AND(C176=Master!$H$2,B176="2012-2013",E176="",G176="PLN03"),H176,"")</f>
        <v/>
      </c>
      <c r="AC176" s="42" t="str">
        <f>IF(AND(C176=Master!$H$3,B176="2012-2013",E176&gt;1000,G176="PLN03"),H176,"")</f>
        <v/>
      </c>
      <c r="AD176" s="42" t="str">
        <f>IF(AND(C176=Master!$H$3,B176="2012-2013",E176="",G176="PLN03"),H176,"")</f>
        <v/>
      </c>
      <c r="AE176" s="42" t="str">
        <f>IF(AND(C176=Master!$H$4,B176="2012-2013",E176&gt;1000,G176="PLN03"),H176,"")</f>
        <v/>
      </c>
      <c r="AF176" s="42" t="str">
        <f>IF(AND(C176=Master!$H$4,B176="2012-2013",E176="",G176="PLN03"),H176,"")</f>
        <v/>
      </c>
      <c r="AG176" s="42" t="str">
        <f>IF(AND(C176=Master!$H$5,B176="2012-2013",E176&gt;1000,G176="PLN03"),H176,"")</f>
        <v/>
      </c>
      <c r="AH176" s="42" t="str">
        <f>IF(AND(C176=Master!$H$5,B176="2012-2013",E176="",G176="PLN03"),H176,"")</f>
        <v/>
      </c>
      <c r="AI176" s="42" t="str">
        <f>IF(AND(C176=Master!$H$6,B176="2012-2013",E176&gt;1000,G176="PLN03"),H176,"")</f>
        <v/>
      </c>
      <c r="AJ176" s="42" t="str">
        <f>IF(AND(C176=Master!$H$6,B176="2012-2013",E176="",G176="PLN03"),H176,"")</f>
        <v/>
      </c>
      <c r="AK176" s="42" t="str">
        <f>IF(AND(C176=Master!$H$7,B176="2012-2013",E176&gt;1000,G176="PLN03"),H176,"")</f>
        <v/>
      </c>
      <c r="AL176" s="42" t="str">
        <f>IF(AND(C176=Master!$H$7,B176="2012-2013",E176="",G176="PLN03"),H176,"")</f>
        <v/>
      </c>
      <c r="AM176" s="42" t="str">
        <f>IF(AND(C176=Master!$H$8,B176="2012-2013",E176&gt;1000,G176="PLN03"),H176,"")</f>
        <v/>
      </c>
      <c r="AN176" s="42" t="str">
        <f>IF(AND(C176=Master!$H$8,B176="2012-2013",E176="",G176="PLN03"),H176,"")</f>
        <v/>
      </c>
      <c r="AO176" s="42" t="str">
        <f>IF(AND(C176=Master!$H$9,B176="2012-2013",E176&gt;1000,G176="PLN03"),H176,"")</f>
        <v/>
      </c>
      <c r="AP176" s="42" t="str">
        <f>IF(AND(C176=Master!$H$9,B176="2012-2013",E176="",G176="PLN03"),H176,"")</f>
        <v/>
      </c>
      <c r="AQ176" s="44" t="str">
        <f>IF(AND(C176=Master!$H$1,B176="2012-2013",E176&gt;1000,G176="NPN05"),H176,"")</f>
        <v/>
      </c>
      <c r="AR176" s="44" t="str">
        <f>IF(AND(C176=Master!$H$1,B176="2012-2013",E176="",G176="NPN05"),H176,"")</f>
        <v/>
      </c>
      <c r="AS176" s="44" t="str">
        <f>IF(AND(C176=Master!$H$2,B176="2012-2013",E176&gt;1000,G176="NPN05"),H176,"")</f>
        <v/>
      </c>
      <c r="AT176" s="44" t="str">
        <f>IF(AND(C176=Master!$H$2,B176="2012-2013",E176="",G176="NPN05"),H176,"")</f>
        <v/>
      </c>
      <c r="AU176" s="44" t="str">
        <f>IF(AND(C176=Master!$H$3,B176="2012-2013",E176&gt;1000,G176="NPN05"),H176,"")</f>
        <v/>
      </c>
      <c r="AV176" s="44" t="str">
        <f>IF(AND(C176=Master!$H$3,B176="2012-2013",E176="",G176="NPN05"),H176,"")</f>
        <v/>
      </c>
      <c r="AW176" s="44" t="str">
        <f>IF(AND(C176=Master!$H$4,B176="2012-2013",E176&gt;1000,G176="NPN05"),H176,"")</f>
        <v/>
      </c>
      <c r="AX176" s="44" t="str">
        <f>IF(AND(C176=Master!$H$4,B176="2012-2013",E176="",G176="NPN05"),H176,"")</f>
        <v/>
      </c>
      <c r="AY176" s="44" t="str">
        <f>IF(AND(C176=Master!$H$5,B176="2012-2013",E176&gt;1000,G176="NPN05"),H176,"")</f>
        <v/>
      </c>
      <c r="AZ176" s="44" t="str">
        <f>IF(AND(C176=Master!$H$5,B176="2012-2013",E176="",G176="NPN05"),H176,"")</f>
        <v/>
      </c>
      <c r="BA176" s="44" t="str">
        <f>IF(AND(C176=Master!$H$6,B176="2012-2013",E176&gt;1000,G176="NPN05"),H176,"")</f>
        <v/>
      </c>
      <c r="BB176" s="44" t="str">
        <f>IF(AND(C176=Master!$H$6,B176="2012-2013",E176="",G176="NPN05"),H176,"")</f>
        <v/>
      </c>
      <c r="BC176" s="44" t="str">
        <f>IF(AND(C176=Master!$H$7,B176="2012-2013",E176&gt;1000,G176="NPN05"),H176,"")</f>
        <v/>
      </c>
      <c r="BD176" s="44" t="str">
        <f>IF(AND(C176=Master!$H$7,B176="2012-2013",E176="",G176="NPN05"),H176,"")</f>
        <v/>
      </c>
      <c r="BE176" s="44" t="str">
        <f>IF(AND(C176=Master!$H$8,B176="2012-2013",E176&gt;1000,G176="NPN05"),H176,"")</f>
        <v/>
      </c>
      <c r="BF176" s="44" t="str">
        <f>IF(AND(C176=Master!$H$8,B176="2012-2013",E176="",G176="NPN05"),H176,"")</f>
        <v/>
      </c>
      <c r="BG176" s="44" t="str">
        <f>IF(AND(C176=Master!$H$9,B176="2012-2013",E176&gt;1000,G176="NPN05"),H176,"")</f>
        <v/>
      </c>
      <c r="BH176" s="44" t="str">
        <f>IF(AND(C176=Master!$H$9,B176="2012-2013",E176="",G176="NPN05"),H176,"")</f>
        <v/>
      </c>
    </row>
    <row r="177" spans="1:60" x14ac:dyDescent="0.25">
      <c r="A177" s="3">
        <v>175</v>
      </c>
      <c r="B177" s="12"/>
      <c r="C177" s="12"/>
      <c r="D177" s="31"/>
      <c r="E177" s="4"/>
      <c r="F177" s="13"/>
      <c r="G177" s="21"/>
      <c r="H177" s="35"/>
      <c r="I177" s="21"/>
      <c r="J177" s="25" t="str">
        <f>IF(NOT(I177=""),INDEX(Master!$B$1:$B$46,MATCH(I177,Master!$A$1:$A$46,0)),"")</f>
        <v/>
      </c>
      <c r="K177" s="18"/>
      <c r="L177" s="86"/>
      <c r="M177" s="13"/>
      <c r="N177" s="13"/>
      <c r="O177" s="18"/>
      <c r="P177" s="35"/>
      <c r="Q177" s="21"/>
      <c r="R177" s="21"/>
      <c r="S177" s="13"/>
      <c r="T177" s="12"/>
      <c r="U177" s="12"/>
      <c r="V177" s="12"/>
      <c r="W177" s="14"/>
      <c r="Y177" s="42" t="str">
        <f>IF(AND(C177=Master!$H$1,B177="2012-2013",E177&gt;1000,G177="PLN03"),H177,"")</f>
        <v/>
      </c>
      <c r="Z177" s="42" t="str">
        <f>IF(AND(C177=Master!$H$1,B177="2012-2013",E177="",G177="PLN03"),H177,"")</f>
        <v/>
      </c>
      <c r="AA177" s="42" t="str">
        <f>IF(AND(C177=Master!$H$2,B177="2012-2013",E177&gt;1000,G177="PLN03"),H177,"")</f>
        <v/>
      </c>
      <c r="AB177" s="42" t="str">
        <f>IF(AND(C177=Master!$H$2,B177="2012-2013",E177="",G177="PLN03"),H177,"")</f>
        <v/>
      </c>
      <c r="AC177" s="42" t="str">
        <f>IF(AND(C177=Master!$H$3,B177="2012-2013",E177&gt;1000,G177="PLN03"),H177,"")</f>
        <v/>
      </c>
      <c r="AD177" s="42" t="str">
        <f>IF(AND(C177=Master!$H$3,B177="2012-2013",E177="",G177="PLN03"),H177,"")</f>
        <v/>
      </c>
      <c r="AE177" s="42" t="str">
        <f>IF(AND(C177=Master!$H$4,B177="2012-2013",E177&gt;1000,G177="PLN03"),H177,"")</f>
        <v/>
      </c>
      <c r="AF177" s="42" t="str">
        <f>IF(AND(C177=Master!$H$4,B177="2012-2013",E177="",G177="PLN03"),H177,"")</f>
        <v/>
      </c>
      <c r="AG177" s="42" t="str">
        <f>IF(AND(C177=Master!$H$5,B177="2012-2013",E177&gt;1000,G177="PLN03"),H177,"")</f>
        <v/>
      </c>
      <c r="AH177" s="42" t="str">
        <f>IF(AND(C177=Master!$H$5,B177="2012-2013",E177="",G177="PLN03"),H177,"")</f>
        <v/>
      </c>
      <c r="AI177" s="42" t="str">
        <f>IF(AND(C177=Master!$H$6,B177="2012-2013",E177&gt;1000,G177="PLN03"),H177,"")</f>
        <v/>
      </c>
      <c r="AJ177" s="42" t="str">
        <f>IF(AND(C177=Master!$H$6,B177="2012-2013",E177="",G177="PLN03"),H177,"")</f>
        <v/>
      </c>
      <c r="AK177" s="42" t="str">
        <f>IF(AND(C177=Master!$H$7,B177="2012-2013",E177&gt;1000,G177="PLN03"),H177,"")</f>
        <v/>
      </c>
      <c r="AL177" s="42" t="str">
        <f>IF(AND(C177=Master!$H$7,B177="2012-2013",E177="",G177="PLN03"),H177,"")</f>
        <v/>
      </c>
      <c r="AM177" s="42" t="str">
        <f>IF(AND(C177=Master!$H$8,B177="2012-2013",E177&gt;1000,G177="PLN03"),H177,"")</f>
        <v/>
      </c>
      <c r="AN177" s="42" t="str">
        <f>IF(AND(C177=Master!$H$8,B177="2012-2013",E177="",G177="PLN03"),H177,"")</f>
        <v/>
      </c>
      <c r="AO177" s="42" t="str">
        <f>IF(AND(C177=Master!$H$9,B177="2012-2013",E177&gt;1000,G177="PLN03"),H177,"")</f>
        <v/>
      </c>
      <c r="AP177" s="42" t="str">
        <f>IF(AND(C177=Master!$H$9,B177="2012-2013",E177="",G177="PLN03"),H177,"")</f>
        <v/>
      </c>
      <c r="AQ177" s="44" t="str">
        <f>IF(AND(C177=Master!$H$1,B177="2012-2013",E177&gt;1000,G177="NPN05"),H177,"")</f>
        <v/>
      </c>
      <c r="AR177" s="44" t="str">
        <f>IF(AND(C177=Master!$H$1,B177="2012-2013",E177="",G177="NPN05"),H177,"")</f>
        <v/>
      </c>
      <c r="AS177" s="44" t="str">
        <f>IF(AND(C177=Master!$H$2,B177="2012-2013",E177&gt;1000,G177="NPN05"),H177,"")</f>
        <v/>
      </c>
      <c r="AT177" s="44" t="str">
        <f>IF(AND(C177=Master!$H$2,B177="2012-2013",E177="",G177="NPN05"),H177,"")</f>
        <v/>
      </c>
      <c r="AU177" s="44" t="str">
        <f>IF(AND(C177=Master!$H$3,B177="2012-2013",E177&gt;1000,G177="NPN05"),H177,"")</f>
        <v/>
      </c>
      <c r="AV177" s="44" t="str">
        <f>IF(AND(C177=Master!$H$3,B177="2012-2013",E177="",G177="NPN05"),H177,"")</f>
        <v/>
      </c>
      <c r="AW177" s="44" t="str">
        <f>IF(AND(C177=Master!$H$4,B177="2012-2013",E177&gt;1000,G177="NPN05"),H177,"")</f>
        <v/>
      </c>
      <c r="AX177" s="44" t="str">
        <f>IF(AND(C177=Master!$H$4,B177="2012-2013",E177="",G177="NPN05"),H177,"")</f>
        <v/>
      </c>
      <c r="AY177" s="44" t="str">
        <f>IF(AND(C177=Master!$H$5,B177="2012-2013",E177&gt;1000,G177="NPN05"),H177,"")</f>
        <v/>
      </c>
      <c r="AZ177" s="44" t="str">
        <f>IF(AND(C177=Master!$H$5,B177="2012-2013",E177="",G177="NPN05"),H177,"")</f>
        <v/>
      </c>
      <c r="BA177" s="44" t="str">
        <f>IF(AND(C177=Master!$H$6,B177="2012-2013",E177&gt;1000,G177="NPN05"),H177,"")</f>
        <v/>
      </c>
      <c r="BB177" s="44" t="str">
        <f>IF(AND(C177=Master!$H$6,B177="2012-2013",E177="",G177="NPN05"),H177,"")</f>
        <v/>
      </c>
      <c r="BC177" s="44" t="str">
        <f>IF(AND(C177=Master!$H$7,B177="2012-2013",E177&gt;1000,G177="NPN05"),H177,"")</f>
        <v/>
      </c>
      <c r="BD177" s="44" t="str">
        <f>IF(AND(C177=Master!$H$7,B177="2012-2013",E177="",G177="NPN05"),H177,"")</f>
        <v/>
      </c>
      <c r="BE177" s="44" t="str">
        <f>IF(AND(C177=Master!$H$8,B177="2012-2013",E177&gt;1000,G177="NPN05"),H177,"")</f>
        <v/>
      </c>
      <c r="BF177" s="44" t="str">
        <f>IF(AND(C177=Master!$H$8,B177="2012-2013",E177="",G177="NPN05"),H177,"")</f>
        <v/>
      </c>
      <c r="BG177" s="44" t="str">
        <f>IF(AND(C177=Master!$H$9,B177="2012-2013",E177&gt;1000,G177="NPN05"),H177,"")</f>
        <v/>
      </c>
      <c r="BH177" s="44" t="str">
        <f>IF(AND(C177=Master!$H$9,B177="2012-2013",E177="",G177="NPN05"),H177,"")</f>
        <v/>
      </c>
    </row>
    <row r="178" spans="1:60" x14ac:dyDescent="0.25">
      <c r="A178" s="3">
        <v>176</v>
      </c>
      <c r="B178" s="12"/>
      <c r="C178" s="12"/>
      <c r="D178" s="31"/>
      <c r="E178" s="4"/>
      <c r="F178" s="13"/>
      <c r="G178" s="21"/>
      <c r="H178" s="35"/>
      <c r="I178" s="21"/>
      <c r="J178" s="25" t="str">
        <f>IF(NOT(I178=""),INDEX(Master!$B$1:$B$46,MATCH(I178,Master!$A$1:$A$46,0)),"")</f>
        <v/>
      </c>
      <c r="K178" s="18"/>
      <c r="L178" s="86"/>
      <c r="M178" s="13"/>
      <c r="N178" s="13"/>
      <c r="O178" s="18"/>
      <c r="P178" s="35"/>
      <c r="Q178" s="21"/>
      <c r="R178" s="21"/>
      <c r="S178" s="13"/>
      <c r="T178" s="12"/>
      <c r="U178" s="12"/>
      <c r="V178" s="12"/>
      <c r="W178" s="14"/>
      <c r="Y178" s="42" t="str">
        <f>IF(AND(C178=Master!$H$1,B178="2012-2013",E178&gt;1000,G178="PLN03"),H178,"")</f>
        <v/>
      </c>
      <c r="Z178" s="42" t="str">
        <f>IF(AND(C178=Master!$H$1,B178="2012-2013",E178="",G178="PLN03"),H178,"")</f>
        <v/>
      </c>
      <c r="AA178" s="42" t="str">
        <f>IF(AND(C178=Master!$H$2,B178="2012-2013",E178&gt;1000,G178="PLN03"),H178,"")</f>
        <v/>
      </c>
      <c r="AB178" s="42" t="str">
        <f>IF(AND(C178=Master!$H$2,B178="2012-2013",E178="",G178="PLN03"),H178,"")</f>
        <v/>
      </c>
      <c r="AC178" s="42" t="str">
        <f>IF(AND(C178=Master!$H$3,B178="2012-2013",E178&gt;1000,G178="PLN03"),H178,"")</f>
        <v/>
      </c>
      <c r="AD178" s="42" t="str">
        <f>IF(AND(C178=Master!$H$3,B178="2012-2013",E178="",G178="PLN03"),H178,"")</f>
        <v/>
      </c>
      <c r="AE178" s="42" t="str">
        <f>IF(AND(C178=Master!$H$4,B178="2012-2013",E178&gt;1000,G178="PLN03"),H178,"")</f>
        <v/>
      </c>
      <c r="AF178" s="42" t="str">
        <f>IF(AND(C178=Master!$H$4,B178="2012-2013",E178="",G178="PLN03"),H178,"")</f>
        <v/>
      </c>
      <c r="AG178" s="42" t="str">
        <f>IF(AND(C178=Master!$H$5,B178="2012-2013",E178&gt;1000,G178="PLN03"),H178,"")</f>
        <v/>
      </c>
      <c r="AH178" s="42" t="str">
        <f>IF(AND(C178=Master!$H$5,B178="2012-2013",E178="",G178="PLN03"),H178,"")</f>
        <v/>
      </c>
      <c r="AI178" s="42" t="str">
        <f>IF(AND(C178=Master!$H$6,B178="2012-2013",E178&gt;1000,G178="PLN03"),H178,"")</f>
        <v/>
      </c>
      <c r="AJ178" s="42" t="str">
        <f>IF(AND(C178=Master!$H$6,B178="2012-2013",E178="",G178="PLN03"),H178,"")</f>
        <v/>
      </c>
      <c r="AK178" s="42" t="str">
        <f>IF(AND(C178=Master!$H$7,B178="2012-2013",E178&gt;1000,G178="PLN03"),H178,"")</f>
        <v/>
      </c>
      <c r="AL178" s="42" t="str">
        <f>IF(AND(C178=Master!$H$7,B178="2012-2013",E178="",G178="PLN03"),H178,"")</f>
        <v/>
      </c>
      <c r="AM178" s="42" t="str">
        <f>IF(AND(C178=Master!$H$8,B178="2012-2013",E178&gt;1000,G178="PLN03"),H178,"")</f>
        <v/>
      </c>
      <c r="AN178" s="42" t="str">
        <f>IF(AND(C178=Master!$H$8,B178="2012-2013",E178="",G178="PLN03"),H178,"")</f>
        <v/>
      </c>
      <c r="AO178" s="42" t="str">
        <f>IF(AND(C178=Master!$H$9,B178="2012-2013",E178&gt;1000,G178="PLN03"),H178,"")</f>
        <v/>
      </c>
      <c r="AP178" s="42" t="str">
        <f>IF(AND(C178=Master!$H$9,B178="2012-2013",E178="",G178="PLN03"),H178,"")</f>
        <v/>
      </c>
      <c r="AQ178" s="44" t="str">
        <f>IF(AND(C178=Master!$H$1,B178="2012-2013",E178&gt;1000,G178="NPN05"),H178,"")</f>
        <v/>
      </c>
      <c r="AR178" s="44" t="str">
        <f>IF(AND(C178=Master!$H$1,B178="2012-2013",E178="",G178="NPN05"),H178,"")</f>
        <v/>
      </c>
      <c r="AS178" s="44" t="str">
        <f>IF(AND(C178=Master!$H$2,B178="2012-2013",E178&gt;1000,G178="NPN05"),H178,"")</f>
        <v/>
      </c>
      <c r="AT178" s="44" t="str">
        <f>IF(AND(C178=Master!$H$2,B178="2012-2013",E178="",G178="NPN05"),H178,"")</f>
        <v/>
      </c>
      <c r="AU178" s="44" t="str">
        <f>IF(AND(C178=Master!$H$3,B178="2012-2013",E178&gt;1000,G178="NPN05"),H178,"")</f>
        <v/>
      </c>
      <c r="AV178" s="44" t="str">
        <f>IF(AND(C178=Master!$H$3,B178="2012-2013",E178="",G178="NPN05"),H178,"")</f>
        <v/>
      </c>
      <c r="AW178" s="44" t="str">
        <f>IF(AND(C178=Master!$H$4,B178="2012-2013",E178&gt;1000,G178="NPN05"),H178,"")</f>
        <v/>
      </c>
      <c r="AX178" s="44" t="str">
        <f>IF(AND(C178=Master!$H$4,B178="2012-2013",E178="",G178="NPN05"),H178,"")</f>
        <v/>
      </c>
      <c r="AY178" s="44" t="str">
        <f>IF(AND(C178=Master!$H$5,B178="2012-2013",E178&gt;1000,G178="NPN05"),H178,"")</f>
        <v/>
      </c>
      <c r="AZ178" s="44" t="str">
        <f>IF(AND(C178=Master!$H$5,B178="2012-2013",E178="",G178="NPN05"),H178,"")</f>
        <v/>
      </c>
      <c r="BA178" s="44" t="str">
        <f>IF(AND(C178=Master!$H$6,B178="2012-2013",E178&gt;1000,G178="NPN05"),H178,"")</f>
        <v/>
      </c>
      <c r="BB178" s="44" t="str">
        <f>IF(AND(C178=Master!$H$6,B178="2012-2013",E178="",G178="NPN05"),H178,"")</f>
        <v/>
      </c>
      <c r="BC178" s="44" t="str">
        <f>IF(AND(C178=Master!$H$7,B178="2012-2013",E178&gt;1000,G178="NPN05"),H178,"")</f>
        <v/>
      </c>
      <c r="BD178" s="44" t="str">
        <f>IF(AND(C178=Master!$H$7,B178="2012-2013",E178="",G178="NPN05"),H178,"")</f>
        <v/>
      </c>
      <c r="BE178" s="44" t="str">
        <f>IF(AND(C178=Master!$H$8,B178="2012-2013",E178&gt;1000,G178="NPN05"),H178,"")</f>
        <v/>
      </c>
      <c r="BF178" s="44" t="str">
        <f>IF(AND(C178=Master!$H$8,B178="2012-2013",E178="",G178="NPN05"),H178,"")</f>
        <v/>
      </c>
      <c r="BG178" s="44" t="str">
        <f>IF(AND(C178=Master!$H$9,B178="2012-2013",E178&gt;1000,G178="NPN05"),H178,"")</f>
        <v/>
      </c>
      <c r="BH178" s="44" t="str">
        <f>IF(AND(C178=Master!$H$9,B178="2012-2013",E178="",G178="NPN05"),H178,"")</f>
        <v/>
      </c>
    </row>
    <row r="179" spans="1:60" x14ac:dyDescent="0.25">
      <c r="A179" s="3">
        <v>177</v>
      </c>
      <c r="B179" s="12"/>
      <c r="C179" s="12"/>
      <c r="D179" s="31"/>
      <c r="E179" s="4"/>
      <c r="F179" s="13"/>
      <c r="G179" s="21"/>
      <c r="H179" s="35"/>
      <c r="I179" s="21"/>
      <c r="J179" s="25" t="str">
        <f>IF(NOT(I179=""),INDEX(Master!$B$1:$B$46,MATCH(I179,Master!$A$1:$A$46,0)),"")</f>
        <v/>
      </c>
      <c r="K179" s="18"/>
      <c r="L179" s="86"/>
      <c r="M179" s="13"/>
      <c r="N179" s="13"/>
      <c r="O179" s="18"/>
      <c r="P179" s="35"/>
      <c r="Q179" s="21"/>
      <c r="R179" s="21"/>
      <c r="S179" s="13"/>
      <c r="T179" s="12"/>
      <c r="U179" s="12"/>
      <c r="V179" s="12"/>
      <c r="W179" s="14"/>
      <c r="Y179" s="42" t="str">
        <f>IF(AND(C179=Master!$H$1,B179="2012-2013",E179&gt;1000,G179="PLN03"),H179,"")</f>
        <v/>
      </c>
      <c r="Z179" s="42" t="str">
        <f>IF(AND(C179=Master!$H$1,B179="2012-2013",E179="",G179="PLN03"),H179,"")</f>
        <v/>
      </c>
      <c r="AA179" s="42" t="str">
        <f>IF(AND(C179=Master!$H$2,B179="2012-2013",E179&gt;1000,G179="PLN03"),H179,"")</f>
        <v/>
      </c>
      <c r="AB179" s="42" t="str">
        <f>IF(AND(C179=Master!$H$2,B179="2012-2013",E179="",G179="PLN03"),H179,"")</f>
        <v/>
      </c>
      <c r="AC179" s="42" t="str">
        <f>IF(AND(C179=Master!$H$3,B179="2012-2013",E179&gt;1000,G179="PLN03"),H179,"")</f>
        <v/>
      </c>
      <c r="AD179" s="42" t="str">
        <f>IF(AND(C179=Master!$H$3,B179="2012-2013",E179="",G179="PLN03"),H179,"")</f>
        <v/>
      </c>
      <c r="AE179" s="42" t="str">
        <f>IF(AND(C179=Master!$H$4,B179="2012-2013",E179&gt;1000,G179="PLN03"),H179,"")</f>
        <v/>
      </c>
      <c r="AF179" s="42" t="str">
        <f>IF(AND(C179=Master!$H$4,B179="2012-2013",E179="",G179="PLN03"),H179,"")</f>
        <v/>
      </c>
      <c r="AG179" s="42" t="str">
        <f>IF(AND(C179=Master!$H$5,B179="2012-2013",E179&gt;1000,G179="PLN03"),H179,"")</f>
        <v/>
      </c>
      <c r="AH179" s="42" t="str">
        <f>IF(AND(C179=Master!$H$5,B179="2012-2013",E179="",G179="PLN03"),H179,"")</f>
        <v/>
      </c>
      <c r="AI179" s="42" t="str">
        <f>IF(AND(C179=Master!$H$6,B179="2012-2013",E179&gt;1000,G179="PLN03"),H179,"")</f>
        <v/>
      </c>
      <c r="AJ179" s="42" t="str">
        <f>IF(AND(C179=Master!$H$6,B179="2012-2013",E179="",G179="PLN03"),H179,"")</f>
        <v/>
      </c>
      <c r="AK179" s="42" t="str">
        <f>IF(AND(C179=Master!$H$7,B179="2012-2013",E179&gt;1000,G179="PLN03"),H179,"")</f>
        <v/>
      </c>
      <c r="AL179" s="42" t="str">
        <f>IF(AND(C179=Master!$H$7,B179="2012-2013",E179="",G179="PLN03"),H179,"")</f>
        <v/>
      </c>
      <c r="AM179" s="42" t="str">
        <f>IF(AND(C179=Master!$H$8,B179="2012-2013",E179&gt;1000,G179="PLN03"),H179,"")</f>
        <v/>
      </c>
      <c r="AN179" s="42" t="str">
        <f>IF(AND(C179=Master!$H$8,B179="2012-2013",E179="",G179="PLN03"),H179,"")</f>
        <v/>
      </c>
      <c r="AO179" s="42" t="str">
        <f>IF(AND(C179=Master!$H$9,B179="2012-2013",E179&gt;1000,G179="PLN03"),H179,"")</f>
        <v/>
      </c>
      <c r="AP179" s="42" t="str">
        <f>IF(AND(C179=Master!$H$9,B179="2012-2013",E179="",G179="PLN03"),H179,"")</f>
        <v/>
      </c>
      <c r="AQ179" s="44" t="str">
        <f>IF(AND(C179=Master!$H$1,B179="2012-2013",E179&gt;1000,G179="NPN05"),H179,"")</f>
        <v/>
      </c>
      <c r="AR179" s="44" t="str">
        <f>IF(AND(C179=Master!$H$1,B179="2012-2013",E179="",G179="NPN05"),H179,"")</f>
        <v/>
      </c>
      <c r="AS179" s="44" t="str">
        <f>IF(AND(C179=Master!$H$2,B179="2012-2013",E179&gt;1000,G179="NPN05"),H179,"")</f>
        <v/>
      </c>
      <c r="AT179" s="44" t="str">
        <f>IF(AND(C179=Master!$H$2,B179="2012-2013",E179="",G179="NPN05"),H179,"")</f>
        <v/>
      </c>
      <c r="AU179" s="44" t="str">
        <f>IF(AND(C179=Master!$H$3,B179="2012-2013",E179&gt;1000,G179="NPN05"),H179,"")</f>
        <v/>
      </c>
      <c r="AV179" s="44" t="str">
        <f>IF(AND(C179=Master!$H$3,B179="2012-2013",E179="",G179="NPN05"),H179,"")</f>
        <v/>
      </c>
      <c r="AW179" s="44" t="str">
        <f>IF(AND(C179=Master!$H$4,B179="2012-2013",E179&gt;1000,G179="NPN05"),H179,"")</f>
        <v/>
      </c>
      <c r="AX179" s="44" t="str">
        <f>IF(AND(C179=Master!$H$4,B179="2012-2013",E179="",G179="NPN05"),H179,"")</f>
        <v/>
      </c>
      <c r="AY179" s="44" t="str">
        <f>IF(AND(C179=Master!$H$5,B179="2012-2013",E179&gt;1000,G179="NPN05"),H179,"")</f>
        <v/>
      </c>
      <c r="AZ179" s="44" t="str">
        <f>IF(AND(C179=Master!$H$5,B179="2012-2013",E179="",G179="NPN05"),H179,"")</f>
        <v/>
      </c>
      <c r="BA179" s="44" t="str">
        <f>IF(AND(C179=Master!$H$6,B179="2012-2013",E179&gt;1000,G179="NPN05"),H179,"")</f>
        <v/>
      </c>
      <c r="BB179" s="44" t="str">
        <f>IF(AND(C179=Master!$H$6,B179="2012-2013",E179="",G179="NPN05"),H179,"")</f>
        <v/>
      </c>
      <c r="BC179" s="44" t="str">
        <f>IF(AND(C179=Master!$H$7,B179="2012-2013",E179&gt;1000,G179="NPN05"),H179,"")</f>
        <v/>
      </c>
      <c r="BD179" s="44" t="str">
        <f>IF(AND(C179=Master!$H$7,B179="2012-2013",E179="",G179="NPN05"),H179,"")</f>
        <v/>
      </c>
      <c r="BE179" s="44" t="str">
        <f>IF(AND(C179=Master!$H$8,B179="2012-2013",E179&gt;1000,G179="NPN05"),H179,"")</f>
        <v/>
      </c>
      <c r="BF179" s="44" t="str">
        <f>IF(AND(C179=Master!$H$8,B179="2012-2013",E179="",G179="NPN05"),H179,"")</f>
        <v/>
      </c>
      <c r="BG179" s="44" t="str">
        <f>IF(AND(C179=Master!$H$9,B179="2012-2013",E179&gt;1000,G179="NPN05"),H179,"")</f>
        <v/>
      </c>
      <c r="BH179" s="44" t="str">
        <f>IF(AND(C179=Master!$H$9,B179="2012-2013",E179="",G179="NPN05"),H179,"")</f>
        <v/>
      </c>
    </row>
    <row r="180" spans="1:60" x14ac:dyDescent="0.25">
      <c r="A180" s="3">
        <v>178</v>
      </c>
      <c r="B180" s="12"/>
      <c r="C180" s="12"/>
      <c r="D180" s="31"/>
      <c r="E180" s="4"/>
      <c r="F180" s="13"/>
      <c r="G180" s="21"/>
      <c r="H180" s="35"/>
      <c r="I180" s="21"/>
      <c r="J180" s="25" t="str">
        <f>IF(NOT(I180=""),INDEX(Master!$B$1:$B$46,MATCH(I180,Master!$A$1:$A$46,0)),"")</f>
        <v/>
      </c>
      <c r="K180" s="18"/>
      <c r="L180" s="86"/>
      <c r="M180" s="13"/>
      <c r="N180" s="13"/>
      <c r="O180" s="18"/>
      <c r="P180" s="35"/>
      <c r="Q180" s="21"/>
      <c r="R180" s="21"/>
      <c r="S180" s="13"/>
      <c r="T180" s="12"/>
      <c r="U180" s="12"/>
      <c r="V180" s="12"/>
      <c r="W180" s="14"/>
      <c r="Y180" s="42" t="str">
        <f>IF(AND(C180=Master!$H$1,B180="2012-2013",E180&gt;1000,G180="PLN03"),H180,"")</f>
        <v/>
      </c>
      <c r="Z180" s="42" t="str">
        <f>IF(AND(C180=Master!$H$1,B180="2012-2013",E180="",G180="PLN03"),H180,"")</f>
        <v/>
      </c>
      <c r="AA180" s="42" t="str">
        <f>IF(AND(C180=Master!$H$2,B180="2012-2013",E180&gt;1000,G180="PLN03"),H180,"")</f>
        <v/>
      </c>
      <c r="AB180" s="42" t="str">
        <f>IF(AND(C180=Master!$H$2,B180="2012-2013",E180="",G180="PLN03"),H180,"")</f>
        <v/>
      </c>
      <c r="AC180" s="42" t="str">
        <f>IF(AND(C180=Master!$H$3,B180="2012-2013",E180&gt;1000,G180="PLN03"),H180,"")</f>
        <v/>
      </c>
      <c r="AD180" s="42" t="str">
        <f>IF(AND(C180=Master!$H$3,B180="2012-2013",E180="",G180="PLN03"),H180,"")</f>
        <v/>
      </c>
      <c r="AE180" s="42" t="str">
        <f>IF(AND(C180=Master!$H$4,B180="2012-2013",E180&gt;1000,G180="PLN03"),H180,"")</f>
        <v/>
      </c>
      <c r="AF180" s="42" t="str">
        <f>IF(AND(C180=Master!$H$4,B180="2012-2013",E180="",G180="PLN03"),H180,"")</f>
        <v/>
      </c>
      <c r="AG180" s="42" t="str">
        <f>IF(AND(C180=Master!$H$5,B180="2012-2013",E180&gt;1000,G180="PLN03"),H180,"")</f>
        <v/>
      </c>
      <c r="AH180" s="42" t="str">
        <f>IF(AND(C180=Master!$H$5,B180="2012-2013",E180="",G180="PLN03"),H180,"")</f>
        <v/>
      </c>
      <c r="AI180" s="42" t="str">
        <f>IF(AND(C180=Master!$H$6,B180="2012-2013",E180&gt;1000,G180="PLN03"),H180,"")</f>
        <v/>
      </c>
      <c r="AJ180" s="42" t="str">
        <f>IF(AND(C180=Master!$H$6,B180="2012-2013",E180="",G180="PLN03"),H180,"")</f>
        <v/>
      </c>
      <c r="AK180" s="42" t="str">
        <f>IF(AND(C180=Master!$H$7,B180="2012-2013",E180&gt;1000,G180="PLN03"),H180,"")</f>
        <v/>
      </c>
      <c r="AL180" s="42" t="str">
        <f>IF(AND(C180=Master!$H$7,B180="2012-2013",E180="",G180="PLN03"),H180,"")</f>
        <v/>
      </c>
      <c r="AM180" s="42" t="str">
        <f>IF(AND(C180=Master!$H$8,B180="2012-2013",E180&gt;1000,G180="PLN03"),H180,"")</f>
        <v/>
      </c>
      <c r="AN180" s="42" t="str">
        <f>IF(AND(C180=Master!$H$8,B180="2012-2013",E180="",G180="PLN03"),H180,"")</f>
        <v/>
      </c>
      <c r="AO180" s="42" t="str">
        <f>IF(AND(C180=Master!$H$9,B180="2012-2013",E180&gt;1000,G180="PLN03"),H180,"")</f>
        <v/>
      </c>
      <c r="AP180" s="42" t="str">
        <f>IF(AND(C180=Master!$H$9,B180="2012-2013",E180="",G180="PLN03"),H180,"")</f>
        <v/>
      </c>
      <c r="AQ180" s="44" t="str">
        <f>IF(AND(C180=Master!$H$1,B180="2012-2013",E180&gt;1000,G180="NPN05"),H180,"")</f>
        <v/>
      </c>
      <c r="AR180" s="44" t="str">
        <f>IF(AND(C180=Master!$H$1,B180="2012-2013",E180="",G180="NPN05"),H180,"")</f>
        <v/>
      </c>
      <c r="AS180" s="44" t="str">
        <f>IF(AND(C180=Master!$H$2,B180="2012-2013",E180&gt;1000,G180="NPN05"),H180,"")</f>
        <v/>
      </c>
      <c r="AT180" s="44" t="str">
        <f>IF(AND(C180=Master!$H$2,B180="2012-2013",E180="",G180="NPN05"),H180,"")</f>
        <v/>
      </c>
      <c r="AU180" s="44" t="str">
        <f>IF(AND(C180=Master!$H$3,B180="2012-2013",E180&gt;1000,G180="NPN05"),H180,"")</f>
        <v/>
      </c>
      <c r="AV180" s="44" t="str">
        <f>IF(AND(C180=Master!$H$3,B180="2012-2013",E180="",G180="NPN05"),H180,"")</f>
        <v/>
      </c>
      <c r="AW180" s="44" t="str">
        <f>IF(AND(C180=Master!$H$4,B180="2012-2013",E180&gt;1000,G180="NPN05"),H180,"")</f>
        <v/>
      </c>
      <c r="AX180" s="44" t="str">
        <f>IF(AND(C180=Master!$H$4,B180="2012-2013",E180="",G180="NPN05"),H180,"")</f>
        <v/>
      </c>
      <c r="AY180" s="44" t="str">
        <f>IF(AND(C180=Master!$H$5,B180="2012-2013",E180&gt;1000,G180="NPN05"),H180,"")</f>
        <v/>
      </c>
      <c r="AZ180" s="44" t="str">
        <f>IF(AND(C180=Master!$H$5,B180="2012-2013",E180="",G180="NPN05"),H180,"")</f>
        <v/>
      </c>
      <c r="BA180" s="44" t="str">
        <f>IF(AND(C180=Master!$H$6,B180="2012-2013",E180&gt;1000,G180="NPN05"),H180,"")</f>
        <v/>
      </c>
      <c r="BB180" s="44" t="str">
        <f>IF(AND(C180=Master!$H$6,B180="2012-2013",E180="",G180="NPN05"),H180,"")</f>
        <v/>
      </c>
      <c r="BC180" s="44" t="str">
        <f>IF(AND(C180=Master!$H$7,B180="2012-2013",E180&gt;1000,G180="NPN05"),H180,"")</f>
        <v/>
      </c>
      <c r="BD180" s="44" t="str">
        <f>IF(AND(C180=Master!$H$7,B180="2012-2013",E180="",G180="NPN05"),H180,"")</f>
        <v/>
      </c>
      <c r="BE180" s="44" t="str">
        <f>IF(AND(C180=Master!$H$8,B180="2012-2013",E180&gt;1000,G180="NPN05"),H180,"")</f>
        <v/>
      </c>
      <c r="BF180" s="44" t="str">
        <f>IF(AND(C180=Master!$H$8,B180="2012-2013",E180="",G180="NPN05"),H180,"")</f>
        <v/>
      </c>
      <c r="BG180" s="44" t="str">
        <f>IF(AND(C180=Master!$H$9,B180="2012-2013",E180&gt;1000,G180="NPN05"),H180,"")</f>
        <v/>
      </c>
      <c r="BH180" s="44" t="str">
        <f>IF(AND(C180=Master!$H$9,B180="2012-2013",E180="",G180="NPN05"),H180,"")</f>
        <v/>
      </c>
    </row>
    <row r="181" spans="1:60" x14ac:dyDescent="0.25">
      <c r="A181" s="3">
        <v>179</v>
      </c>
      <c r="B181" s="12"/>
      <c r="C181" s="12"/>
      <c r="D181" s="31"/>
      <c r="E181" s="4"/>
      <c r="F181" s="13"/>
      <c r="G181" s="21"/>
      <c r="H181" s="35"/>
      <c r="I181" s="21"/>
      <c r="J181" s="25" t="str">
        <f>IF(NOT(I181=""),INDEX(Master!$B$1:$B$46,MATCH(I181,Master!$A$1:$A$46,0)),"")</f>
        <v/>
      </c>
      <c r="K181" s="18"/>
      <c r="L181" s="86"/>
      <c r="M181" s="13"/>
      <c r="N181" s="13"/>
      <c r="O181" s="18"/>
      <c r="P181" s="35"/>
      <c r="Q181" s="21"/>
      <c r="R181" s="21"/>
      <c r="S181" s="13"/>
      <c r="T181" s="12"/>
      <c r="U181" s="12"/>
      <c r="V181" s="12"/>
      <c r="W181" s="14"/>
      <c r="Y181" s="42" t="str">
        <f>IF(AND(C181=Master!$H$1,B181="2012-2013",E181&gt;1000,G181="PLN03"),H181,"")</f>
        <v/>
      </c>
      <c r="Z181" s="42" t="str">
        <f>IF(AND(C181=Master!$H$1,B181="2012-2013",E181="",G181="PLN03"),H181,"")</f>
        <v/>
      </c>
      <c r="AA181" s="42" t="str">
        <f>IF(AND(C181=Master!$H$2,B181="2012-2013",E181&gt;1000,G181="PLN03"),H181,"")</f>
        <v/>
      </c>
      <c r="AB181" s="42" t="str">
        <f>IF(AND(C181=Master!$H$2,B181="2012-2013",E181="",G181="PLN03"),H181,"")</f>
        <v/>
      </c>
      <c r="AC181" s="42" t="str">
        <f>IF(AND(C181=Master!$H$3,B181="2012-2013",E181&gt;1000,G181="PLN03"),H181,"")</f>
        <v/>
      </c>
      <c r="AD181" s="42" t="str">
        <f>IF(AND(C181=Master!$H$3,B181="2012-2013",E181="",G181="PLN03"),H181,"")</f>
        <v/>
      </c>
      <c r="AE181" s="42" t="str">
        <f>IF(AND(C181=Master!$H$4,B181="2012-2013",E181&gt;1000,G181="PLN03"),H181,"")</f>
        <v/>
      </c>
      <c r="AF181" s="42" t="str">
        <f>IF(AND(C181=Master!$H$4,B181="2012-2013",E181="",G181="PLN03"),H181,"")</f>
        <v/>
      </c>
      <c r="AG181" s="42" t="str">
        <f>IF(AND(C181=Master!$H$5,B181="2012-2013",E181&gt;1000,G181="PLN03"),H181,"")</f>
        <v/>
      </c>
      <c r="AH181" s="42" t="str">
        <f>IF(AND(C181=Master!$H$5,B181="2012-2013",E181="",G181="PLN03"),H181,"")</f>
        <v/>
      </c>
      <c r="AI181" s="42" t="str">
        <f>IF(AND(C181=Master!$H$6,B181="2012-2013",E181&gt;1000,G181="PLN03"),H181,"")</f>
        <v/>
      </c>
      <c r="AJ181" s="42" t="str">
        <f>IF(AND(C181=Master!$H$6,B181="2012-2013",E181="",G181="PLN03"),H181,"")</f>
        <v/>
      </c>
      <c r="AK181" s="42" t="str">
        <f>IF(AND(C181=Master!$H$7,B181="2012-2013",E181&gt;1000,G181="PLN03"),H181,"")</f>
        <v/>
      </c>
      <c r="AL181" s="42" t="str">
        <f>IF(AND(C181=Master!$H$7,B181="2012-2013",E181="",G181="PLN03"),H181,"")</f>
        <v/>
      </c>
      <c r="AM181" s="42" t="str">
        <f>IF(AND(C181=Master!$H$8,B181="2012-2013",E181&gt;1000,G181="PLN03"),H181,"")</f>
        <v/>
      </c>
      <c r="AN181" s="42" t="str">
        <f>IF(AND(C181=Master!$H$8,B181="2012-2013",E181="",G181="PLN03"),H181,"")</f>
        <v/>
      </c>
      <c r="AO181" s="42" t="str">
        <f>IF(AND(C181=Master!$H$9,B181="2012-2013",E181&gt;1000,G181="PLN03"),H181,"")</f>
        <v/>
      </c>
      <c r="AP181" s="42" t="str">
        <f>IF(AND(C181=Master!$H$9,B181="2012-2013",E181="",G181="PLN03"),H181,"")</f>
        <v/>
      </c>
      <c r="AQ181" s="44" t="str">
        <f>IF(AND(C181=Master!$H$1,B181="2012-2013",E181&gt;1000,G181="NPN05"),H181,"")</f>
        <v/>
      </c>
      <c r="AR181" s="44" t="str">
        <f>IF(AND(C181=Master!$H$1,B181="2012-2013",E181="",G181="NPN05"),H181,"")</f>
        <v/>
      </c>
      <c r="AS181" s="44" t="str">
        <f>IF(AND(C181=Master!$H$2,B181="2012-2013",E181&gt;1000,G181="NPN05"),H181,"")</f>
        <v/>
      </c>
      <c r="AT181" s="44" t="str">
        <f>IF(AND(C181=Master!$H$2,B181="2012-2013",E181="",G181="NPN05"),H181,"")</f>
        <v/>
      </c>
      <c r="AU181" s="44" t="str">
        <f>IF(AND(C181=Master!$H$3,B181="2012-2013",E181&gt;1000,G181="NPN05"),H181,"")</f>
        <v/>
      </c>
      <c r="AV181" s="44" t="str">
        <f>IF(AND(C181=Master!$H$3,B181="2012-2013",E181="",G181="NPN05"),H181,"")</f>
        <v/>
      </c>
      <c r="AW181" s="44" t="str">
        <f>IF(AND(C181=Master!$H$4,B181="2012-2013",E181&gt;1000,G181="NPN05"),H181,"")</f>
        <v/>
      </c>
      <c r="AX181" s="44" t="str">
        <f>IF(AND(C181=Master!$H$4,B181="2012-2013",E181="",G181="NPN05"),H181,"")</f>
        <v/>
      </c>
      <c r="AY181" s="44" t="str">
        <f>IF(AND(C181=Master!$H$5,B181="2012-2013",E181&gt;1000,G181="NPN05"),H181,"")</f>
        <v/>
      </c>
      <c r="AZ181" s="44" t="str">
        <f>IF(AND(C181=Master!$H$5,B181="2012-2013",E181="",G181="NPN05"),H181,"")</f>
        <v/>
      </c>
      <c r="BA181" s="44" t="str">
        <f>IF(AND(C181=Master!$H$6,B181="2012-2013",E181&gt;1000,G181="NPN05"),H181,"")</f>
        <v/>
      </c>
      <c r="BB181" s="44" t="str">
        <f>IF(AND(C181=Master!$H$6,B181="2012-2013",E181="",G181="NPN05"),H181,"")</f>
        <v/>
      </c>
      <c r="BC181" s="44" t="str">
        <f>IF(AND(C181=Master!$H$7,B181="2012-2013",E181&gt;1000,G181="NPN05"),H181,"")</f>
        <v/>
      </c>
      <c r="BD181" s="44" t="str">
        <f>IF(AND(C181=Master!$H$7,B181="2012-2013",E181="",G181="NPN05"),H181,"")</f>
        <v/>
      </c>
      <c r="BE181" s="44" t="str">
        <f>IF(AND(C181=Master!$H$8,B181="2012-2013",E181&gt;1000,G181="NPN05"),H181,"")</f>
        <v/>
      </c>
      <c r="BF181" s="44" t="str">
        <f>IF(AND(C181=Master!$H$8,B181="2012-2013",E181="",G181="NPN05"),H181,"")</f>
        <v/>
      </c>
      <c r="BG181" s="44" t="str">
        <f>IF(AND(C181=Master!$H$9,B181="2012-2013",E181&gt;1000,G181="NPN05"),H181,"")</f>
        <v/>
      </c>
      <c r="BH181" s="44" t="str">
        <f>IF(AND(C181=Master!$H$9,B181="2012-2013",E181="",G181="NPN05"),H181,"")</f>
        <v/>
      </c>
    </row>
    <row r="182" spans="1:60" x14ac:dyDescent="0.25">
      <c r="A182" s="3">
        <v>180</v>
      </c>
      <c r="B182" s="12"/>
      <c r="C182" s="12"/>
      <c r="D182" s="31"/>
      <c r="E182" s="4"/>
      <c r="F182" s="13"/>
      <c r="G182" s="21"/>
      <c r="H182" s="35"/>
      <c r="I182" s="21"/>
      <c r="J182" s="25" t="str">
        <f>IF(NOT(I182=""),INDEX(Master!$B$1:$B$46,MATCH(I182,Master!$A$1:$A$46,0)),"")</f>
        <v/>
      </c>
      <c r="K182" s="18"/>
      <c r="L182" s="86"/>
      <c r="M182" s="13"/>
      <c r="N182" s="13"/>
      <c r="O182" s="18"/>
      <c r="P182" s="35"/>
      <c r="Q182" s="21"/>
      <c r="R182" s="21"/>
      <c r="S182" s="13"/>
      <c r="T182" s="12"/>
      <c r="U182" s="12"/>
      <c r="V182" s="12"/>
      <c r="W182" s="14"/>
      <c r="Y182" s="42" t="str">
        <f>IF(AND(C182=Master!$H$1,B182="2012-2013",E182&gt;1000,G182="PLN03"),H182,"")</f>
        <v/>
      </c>
      <c r="Z182" s="42" t="str">
        <f>IF(AND(C182=Master!$H$1,B182="2012-2013",E182="",G182="PLN03"),H182,"")</f>
        <v/>
      </c>
      <c r="AA182" s="42" t="str">
        <f>IF(AND(C182=Master!$H$2,B182="2012-2013",E182&gt;1000,G182="PLN03"),H182,"")</f>
        <v/>
      </c>
      <c r="AB182" s="42" t="str">
        <f>IF(AND(C182=Master!$H$2,B182="2012-2013",E182="",G182="PLN03"),H182,"")</f>
        <v/>
      </c>
      <c r="AC182" s="42" t="str">
        <f>IF(AND(C182=Master!$H$3,B182="2012-2013",E182&gt;1000,G182="PLN03"),H182,"")</f>
        <v/>
      </c>
      <c r="AD182" s="42" t="str">
        <f>IF(AND(C182=Master!$H$3,B182="2012-2013",E182="",G182="PLN03"),H182,"")</f>
        <v/>
      </c>
      <c r="AE182" s="42" t="str">
        <f>IF(AND(C182=Master!$H$4,B182="2012-2013",E182&gt;1000,G182="PLN03"),H182,"")</f>
        <v/>
      </c>
      <c r="AF182" s="42" t="str">
        <f>IF(AND(C182=Master!$H$4,B182="2012-2013",E182="",G182="PLN03"),H182,"")</f>
        <v/>
      </c>
      <c r="AG182" s="42" t="str">
        <f>IF(AND(C182=Master!$H$5,B182="2012-2013",E182&gt;1000,G182="PLN03"),H182,"")</f>
        <v/>
      </c>
      <c r="AH182" s="42" t="str">
        <f>IF(AND(C182=Master!$H$5,B182="2012-2013",E182="",G182="PLN03"),H182,"")</f>
        <v/>
      </c>
      <c r="AI182" s="42" t="str">
        <f>IF(AND(C182=Master!$H$6,B182="2012-2013",E182&gt;1000,G182="PLN03"),H182,"")</f>
        <v/>
      </c>
      <c r="AJ182" s="42" t="str">
        <f>IF(AND(C182=Master!$H$6,B182="2012-2013",E182="",G182="PLN03"),H182,"")</f>
        <v/>
      </c>
      <c r="AK182" s="42" t="str">
        <f>IF(AND(C182=Master!$H$7,B182="2012-2013",E182&gt;1000,G182="PLN03"),H182,"")</f>
        <v/>
      </c>
      <c r="AL182" s="42" t="str">
        <f>IF(AND(C182=Master!$H$7,B182="2012-2013",E182="",G182="PLN03"),H182,"")</f>
        <v/>
      </c>
      <c r="AM182" s="42" t="str">
        <f>IF(AND(C182=Master!$H$8,B182="2012-2013",E182&gt;1000,G182="PLN03"),H182,"")</f>
        <v/>
      </c>
      <c r="AN182" s="42" t="str">
        <f>IF(AND(C182=Master!$H$8,B182="2012-2013",E182="",G182="PLN03"),H182,"")</f>
        <v/>
      </c>
      <c r="AO182" s="42" t="str">
        <f>IF(AND(C182=Master!$H$9,B182="2012-2013",E182&gt;1000,G182="PLN03"),H182,"")</f>
        <v/>
      </c>
      <c r="AP182" s="42" t="str">
        <f>IF(AND(C182=Master!$H$9,B182="2012-2013",E182="",G182="PLN03"),H182,"")</f>
        <v/>
      </c>
      <c r="AQ182" s="44" t="str">
        <f>IF(AND(C182=Master!$H$1,B182="2012-2013",E182&gt;1000,G182="NPN05"),H182,"")</f>
        <v/>
      </c>
      <c r="AR182" s="44" t="str">
        <f>IF(AND(C182=Master!$H$1,B182="2012-2013",E182="",G182="NPN05"),H182,"")</f>
        <v/>
      </c>
      <c r="AS182" s="44" t="str">
        <f>IF(AND(C182=Master!$H$2,B182="2012-2013",E182&gt;1000,G182="NPN05"),H182,"")</f>
        <v/>
      </c>
      <c r="AT182" s="44" t="str">
        <f>IF(AND(C182=Master!$H$2,B182="2012-2013",E182="",G182="NPN05"),H182,"")</f>
        <v/>
      </c>
      <c r="AU182" s="44" t="str">
        <f>IF(AND(C182=Master!$H$3,B182="2012-2013",E182&gt;1000,G182="NPN05"),H182,"")</f>
        <v/>
      </c>
      <c r="AV182" s="44" t="str">
        <f>IF(AND(C182=Master!$H$3,B182="2012-2013",E182="",G182="NPN05"),H182,"")</f>
        <v/>
      </c>
      <c r="AW182" s="44" t="str">
        <f>IF(AND(C182=Master!$H$4,B182="2012-2013",E182&gt;1000,G182="NPN05"),H182,"")</f>
        <v/>
      </c>
      <c r="AX182" s="44" t="str">
        <f>IF(AND(C182=Master!$H$4,B182="2012-2013",E182="",G182="NPN05"),H182,"")</f>
        <v/>
      </c>
      <c r="AY182" s="44" t="str">
        <f>IF(AND(C182=Master!$H$5,B182="2012-2013",E182&gt;1000,G182="NPN05"),H182,"")</f>
        <v/>
      </c>
      <c r="AZ182" s="44" t="str">
        <f>IF(AND(C182=Master!$H$5,B182="2012-2013",E182="",G182="NPN05"),H182,"")</f>
        <v/>
      </c>
      <c r="BA182" s="44" t="str">
        <f>IF(AND(C182=Master!$H$6,B182="2012-2013",E182&gt;1000,G182="NPN05"),H182,"")</f>
        <v/>
      </c>
      <c r="BB182" s="44" t="str">
        <f>IF(AND(C182=Master!$H$6,B182="2012-2013",E182="",G182="NPN05"),H182,"")</f>
        <v/>
      </c>
      <c r="BC182" s="44" t="str">
        <f>IF(AND(C182=Master!$H$7,B182="2012-2013",E182&gt;1000,G182="NPN05"),H182,"")</f>
        <v/>
      </c>
      <c r="BD182" s="44" t="str">
        <f>IF(AND(C182=Master!$H$7,B182="2012-2013",E182="",G182="NPN05"),H182,"")</f>
        <v/>
      </c>
      <c r="BE182" s="44" t="str">
        <f>IF(AND(C182=Master!$H$8,B182="2012-2013",E182&gt;1000,G182="NPN05"),H182,"")</f>
        <v/>
      </c>
      <c r="BF182" s="44" t="str">
        <f>IF(AND(C182=Master!$H$8,B182="2012-2013",E182="",G182="NPN05"),H182,"")</f>
        <v/>
      </c>
      <c r="BG182" s="44" t="str">
        <f>IF(AND(C182=Master!$H$9,B182="2012-2013",E182&gt;1000,G182="NPN05"),H182,"")</f>
        <v/>
      </c>
      <c r="BH182" s="44" t="str">
        <f>IF(AND(C182=Master!$H$9,B182="2012-2013",E182="",G182="NPN05"),H182,"")</f>
        <v/>
      </c>
    </row>
    <row r="183" spans="1:60" x14ac:dyDescent="0.25">
      <c r="A183" s="3">
        <v>181</v>
      </c>
      <c r="B183" s="12"/>
      <c r="C183" s="12"/>
      <c r="D183" s="31"/>
      <c r="E183" s="4"/>
      <c r="F183" s="13"/>
      <c r="G183" s="21"/>
      <c r="H183" s="35"/>
      <c r="I183" s="21"/>
      <c r="J183" s="25" t="str">
        <f>IF(NOT(I183=""),INDEX(Master!$B$1:$B$46,MATCH(I183,Master!$A$1:$A$46,0)),"")</f>
        <v/>
      </c>
      <c r="K183" s="18"/>
      <c r="L183" s="86"/>
      <c r="M183" s="13"/>
      <c r="N183" s="13"/>
      <c r="O183" s="18"/>
      <c r="P183" s="35"/>
      <c r="Q183" s="21"/>
      <c r="R183" s="21"/>
      <c r="S183" s="13"/>
      <c r="T183" s="12"/>
      <c r="U183" s="12"/>
      <c r="V183" s="12"/>
      <c r="W183" s="14"/>
      <c r="Y183" s="42" t="str">
        <f>IF(AND(C183=Master!$H$1,B183="2012-2013",E183&gt;1000,G183="PLN03"),H183,"")</f>
        <v/>
      </c>
      <c r="Z183" s="42" t="str">
        <f>IF(AND(C183=Master!$H$1,B183="2012-2013",E183="",G183="PLN03"),H183,"")</f>
        <v/>
      </c>
      <c r="AA183" s="42" t="str">
        <f>IF(AND(C183=Master!$H$2,B183="2012-2013",E183&gt;1000,G183="PLN03"),H183,"")</f>
        <v/>
      </c>
      <c r="AB183" s="42" t="str">
        <f>IF(AND(C183=Master!$H$2,B183="2012-2013",E183="",G183="PLN03"),H183,"")</f>
        <v/>
      </c>
      <c r="AC183" s="42" t="str">
        <f>IF(AND(C183=Master!$H$3,B183="2012-2013",E183&gt;1000,G183="PLN03"),H183,"")</f>
        <v/>
      </c>
      <c r="AD183" s="42" t="str">
        <f>IF(AND(C183=Master!$H$3,B183="2012-2013",E183="",G183="PLN03"),H183,"")</f>
        <v/>
      </c>
      <c r="AE183" s="42" t="str">
        <f>IF(AND(C183=Master!$H$4,B183="2012-2013",E183&gt;1000,G183="PLN03"),H183,"")</f>
        <v/>
      </c>
      <c r="AF183" s="42" t="str">
        <f>IF(AND(C183=Master!$H$4,B183="2012-2013",E183="",G183="PLN03"),H183,"")</f>
        <v/>
      </c>
      <c r="AG183" s="42" t="str">
        <f>IF(AND(C183=Master!$H$5,B183="2012-2013",E183&gt;1000,G183="PLN03"),H183,"")</f>
        <v/>
      </c>
      <c r="AH183" s="42" t="str">
        <f>IF(AND(C183=Master!$H$5,B183="2012-2013",E183="",G183="PLN03"),H183,"")</f>
        <v/>
      </c>
      <c r="AI183" s="42" t="str">
        <f>IF(AND(C183=Master!$H$6,B183="2012-2013",E183&gt;1000,G183="PLN03"),H183,"")</f>
        <v/>
      </c>
      <c r="AJ183" s="42" t="str">
        <f>IF(AND(C183=Master!$H$6,B183="2012-2013",E183="",G183="PLN03"),H183,"")</f>
        <v/>
      </c>
      <c r="AK183" s="42" t="str">
        <f>IF(AND(C183=Master!$H$7,B183="2012-2013",E183&gt;1000,G183="PLN03"),H183,"")</f>
        <v/>
      </c>
      <c r="AL183" s="42" t="str">
        <f>IF(AND(C183=Master!$H$7,B183="2012-2013",E183="",G183="PLN03"),H183,"")</f>
        <v/>
      </c>
      <c r="AM183" s="42" t="str">
        <f>IF(AND(C183=Master!$H$8,B183="2012-2013",E183&gt;1000,G183="PLN03"),H183,"")</f>
        <v/>
      </c>
      <c r="AN183" s="42" t="str">
        <f>IF(AND(C183=Master!$H$8,B183="2012-2013",E183="",G183="PLN03"),H183,"")</f>
        <v/>
      </c>
      <c r="AO183" s="42" t="str">
        <f>IF(AND(C183=Master!$H$9,B183="2012-2013",E183&gt;1000,G183="PLN03"),H183,"")</f>
        <v/>
      </c>
      <c r="AP183" s="42" t="str">
        <f>IF(AND(C183=Master!$H$9,B183="2012-2013",E183="",G183="PLN03"),H183,"")</f>
        <v/>
      </c>
      <c r="AQ183" s="44" t="str">
        <f>IF(AND(C183=Master!$H$1,B183="2012-2013",E183&gt;1000,G183="NPN05"),H183,"")</f>
        <v/>
      </c>
      <c r="AR183" s="44" t="str">
        <f>IF(AND(C183=Master!$H$1,B183="2012-2013",E183="",G183="NPN05"),H183,"")</f>
        <v/>
      </c>
      <c r="AS183" s="44" t="str">
        <f>IF(AND(C183=Master!$H$2,B183="2012-2013",E183&gt;1000,G183="NPN05"),H183,"")</f>
        <v/>
      </c>
      <c r="AT183" s="44" t="str">
        <f>IF(AND(C183=Master!$H$2,B183="2012-2013",E183="",G183="NPN05"),H183,"")</f>
        <v/>
      </c>
      <c r="AU183" s="44" t="str">
        <f>IF(AND(C183=Master!$H$3,B183="2012-2013",E183&gt;1000,G183="NPN05"),H183,"")</f>
        <v/>
      </c>
      <c r="AV183" s="44" t="str">
        <f>IF(AND(C183=Master!$H$3,B183="2012-2013",E183="",G183="NPN05"),H183,"")</f>
        <v/>
      </c>
      <c r="AW183" s="44" t="str">
        <f>IF(AND(C183=Master!$H$4,B183="2012-2013",E183&gt;1000,G183="NPN05"),H183,"")</f>
        <v/>
      </c>
      <c r="AX183" s="44" t="str">
        <f>IF(AND(C183=Master!$H$4,B183="2012-2013",E183="",G183="NPN05"),H183,"")</f>
        <v/>
      </c>
      <c r="AY183" s="44" t="str">
        <f>IF(AND(C183=Master!$H$5,B183="2012-2013",E183&gt;1000,G183="NPN05"),H183,"")</f>
        <v/>
      </c>
      <c r="AZ183" s="44" t="str">
        <f>IF(AND(C183=Master!$H$5,B183="2012-2013",E183="",G183="NPN05"),H183,"")</f>
        <v/>
      </c>
      <c r="BA183" s="44" t="str">
        <f>IF(AND(C183=Master!$H$6,B183="2012-2013",E183&gt;1000,G183="NPN05"),H183,"")</f>
        <v/>
      </c>
      <c r="BB183" s="44" t="str">
        <f>IF(AND(C183=Master!$H$6,B183="2012-2013",E183="",G183="NPN05"),H183,"")</f>
        <v/>
      </c>
      <c r="BC183" s="44" t="str">
        <f>IF(AND(C183=Master!$H$7,B183="2012-2013",E183&gt;1000,G183="NPN05"),H183,"")</f>
        <v/>
      </c>
      <c r="BD183" s="44" t="str">
        <f>IF(AND(C183=Master!$H$7,B183="2012-2013",E183="",G183="NPN05"),H183,"")</f>
        <v/>
      </c>
      <c r="BE183" s="44" t="str">
        <f>IF(AND(C183=Master!$H$8,B183="2012-2013",E183&gt;1000,G183="NPN05"),H183,"")</f>
        <v/>
      </c>
      <c r="BF183" s="44" t="str">
        <f>IF(AND(C183=Master!$H$8,B183="2012-2013",E183="",G183="NPN05"),H183,"")</f>
        <v/>
      </c>
      <c r="BG183" s="44" t="str">
        <f>IF(AND(C183=Master!$H$9,B183="2012-2013",E183&gt;1000,G183="NPN05"),H183,"")</f>
        <v/>
      </c>
      <c r="BH183" s="44" t="str">
        <f>IF(AND(C183=Master!$H$9,B183="2012-2013",E183="",G183="NPN05"),H183,"")</f>
        <v/>
      </c>
    </row>
    <row r="184" spans="1:60" x14ac:dyDescent="0.25">
      <c r="A184" s="5">
        <v>182</v>
      </c>
      <c r="B184" s="12"/>
      <c r="C184" s="12"/>
      <c r="D184" s="31"/>
      <c r="E184" s="4"/>
      <c r="F184" s="13"/>
      <c r="G184" s="21"/>
      <c r="H184" s="35"/>
      <c r="I184" s="21"/>
      <c r="J184" s="25" t="str">
        <f>IF(NOT(I184=""),INDEX(Master!$B$1:$B$46,MATCH(I184,Master!$A$1:$A$46,0)),"")</f>
        <v/>
      </c>
      <c r="K184" s="18"/>
      <c r="L184" s="86"/>
      <c r="M184" s="13"/>
      <c r="N184" s="13"/>
      <c r="O184" s="18"/>
      <c r="P184" s="35"/>
      <c r="Q184" s="21"/>
      <c r="R184" s="21"/>
      <c r="S184" s="13"/>
      <c r="T184" s="12"/>
      <c r="U184" s="12"/>
      <c r="V184" s="12"/>
      <c r="W184" s="14"/>
      <c r="Y184" s="42" t="str">
        <f>IF(AND(C184=Master!$H$1,B184="2012-2013",E184&gt;1000,G184="PLN03"),H184,"")</f>
        <v/>
      </c>
      <c r="Z184" s="42" t="str">
        <f>IF(AND(C184=Master!$H$1,B184="2012-2013",E184="",G184="PLN03"),H184,"")</f>
        <v/>
      </c>
      <c r="AA184" s="42" t="str">
        <f>IF(AND(C184=Master!$H$2,B184="2012-2013",E184&gt;1000,G184="PLN03"),H184,"")</f>
        <v/>
      </c>
      <c r="AB184" s="42" t="str">
        <f>IF(AND(C184=Master!$H$2,B184="2012-2013",E184="",G184="PLN03"),H184,"")</f>
        <v/>
      </c>
      <c r="AC184" s="42" t="str">
        <f>IF(AND(C184=Master!$H$3,B184="2012-2013",E184&gt;1000,G184="PLN03"),H184,"")</f>
        <v/>
      </c>
      <c r="AD184" s="42" t="str">
        <f>IF(AND(C184=Master!$H$3,B184="2012-2013",E184="",G184="PLN03"),H184,"")</f>
        <v/>
      </c>
      <c r="AE184" s="42" t="str">
        <f>IF(AND(C184=Master!$H$4,B184="2012-2013",E184&gt;1000,G184="PLN03"),H184,"")</f>
        <v/>
      </c>
      <c r="AF184" s="42" t="str">
        <f>IF(AND(C184=Master!$H$4,B184="2012-2013",E184="",G184="PLN03"),H184,"")</f>
        <v/>
      </c>
      <c r="AG184" s="42" t="str">
        <f>IF(AND(C184=Master!$H$5,B184="2012-2013",E184&gt;1000,G184="PLN03"),H184,"")</f>
        <v/>
      </c>
      <c r="AH184" s="42" t="str">
        <f>IF(AND(C184=Master!$H$5,B184="2012-2013",E184="",G184="PLN03"),H184,"")</f>
        <v/>
      </c>
      <c r="AI184" s="42" t="str">
        <f>IF(AND(C184=Master!$H$6,B184="2012-2013",E184&gt;1000,G184="PLN03"),H184,"")</f>
        <v/>
      </c>
      <c r="AJ184" s="42" t="str">
        <f>IF(AND(C184=Master!$H$6,B184="2012-2013",E184="",G184="PLN03"),H184,"")</f>
        <v/>
      </c>
      <c r="AK184" s="42" t="str">
        <f>IF(AND(C184=Master!$H$7,B184="2012-2013",E184&gt;1000,G184="PLN03"),H184,"")</f>
        <v/>
      </c>
      <c r="AL184" s="42" t="str">
        <f>IF(AND(C184=Master!$H$7,B184="2012-2013",E184="",G184="PLN03"),H184,"")</f>
        <v/>
      </c>
      <c r="AM184" s="42" t="str">
        <f>IF(AND(C184=Master!$H$8,B184="2012-2013",E184&gt;1000,G184="PLN03"),H184,"")</f>
        <v/>
      </c>
      <c r="AN184" s="42" t="str">
        <f>IF(AND(C184=Master!$H$8,B184="2012-2013",E184="",G184="PLN03"),H184,"")</f>
        <v/>
      </c>
      <c r="AO184" s="42" t="str">
        <f>IF(AND(C184=Master!$H$9,B184="2012-2013",E184&gt;1000,G184="PLN03"),H184,"")</f>
        <v/>
      </c>
      <c r="AP184" s="42" t="str">
        <f>IF(AND(C184=Master!$H$9,B184="2012-2013",E184="",G184="PLN03"),H184,"")</f>
        <v/>
      </c>
      <c r="AQ184" s="44" t="str">
        <f>IF(AND(C184=Master!$H$1,B184="2012-2013",E184&gt;1000,G184="NPN05"),H184,"")</f>
        <v/>
      </c>
      <c r="AR184" s="44" t="str">
        <f>IF(AND(C184=Master!$H$1,B184="2012-2013",E184="",G184="NPN05"),H184,"")</f>
        <v/>
      </c>
      <c r="AS184" s="44" t="str">
        <f>IF(AND(C184=Master!$H$2,B184="2012-2013",E184&gt;1000,G184="NPN05"),H184,"")</f>
        <v/>
      </c>
      <c r="AT184" s="44" t="str">
        <f>IF(AND(C184=Master!$H$2,B184="2012-2013",E184="",G184="NPN05"),H184,"")</f>
        <v/>
      </c>
      <c r="AU184" s="44" t="str">
        <f>IF(AND(C184=Master!$H$3,B184="2012-2013",E184&gt;1000,G184="NPN05"),H184,"")</f>
        <v/>
      </c>
      <c r="AV184" s="44" t="str">
        <f>IF(AND(C184=Master!$H$3,B184="2012-2013",E184="",G184="NPN05"),H184,"")</f>
        <v/>
      </c>
      <c r="AW184" s="44" t="str">
        <f>IF(AND(C184=Master!$H$4,B184="2012-2013",E184&gt;1000,G184="NPN05"),H184,"")</f>
        <v/>
      </c>
      <c r="AX184" s="44" t="str">
        <f>IF(AND(C184=Master!$H$4,B184="2012-2013",E184="",G184="NPN05"),H184,"")</f>
        <v/>
      </c>
      <c r="AY184" s="44" t="str">
        <f>IF(AND(C184=Master!$H$5,B184="2012-2013",E184&gt;1000,G184="NPN05"),H184,"")</f>
        <v/>
      </c>
      <c r="AZ184" s="44" t="str">
        <f>IF(AND(C184=Master!$H$5,B184="2012-2013",E184="",G184="NPN05"),H184,"")</f>
        <v/>
      </c>
      <c r="BA184" s="44" t="str">
        <f>IF(AND(C184=Master!$H$6,B184="2012-2013",E184&gt;1000,G184="NPN05"),H184,"")</f>
        <v/>
      </c>
      <c r="BB184" s="44" t="str">
        <f>IF(AND(C184=Master!$H$6,B184="2012-2013",E184="",G184="NPN05"),H184,"")</f>
        <v/>
      </c>
      <c r="BC184" s="44" t="str">
        <f>IF(AND(C184=Master!$H$7,B184="2012-2013",E184&gt;1000,G184="NPN05"),H184,"")</f>
        <v/>
      </c>
      <c r="BD184" s="44" t="str">
        <f>IF(AND(C184=Master!$H$7,B184="2012-2013",E184="",G184="NPN05"),H184,"")</f>
        <v/>
      </c>
      <c r="BE184" s="44" t="str">
        <f>IF(AND(C184=Master!$H$8,B184="2012-2013",E184&gt;1000,G184="NPN05"),H184,"")</f>
        <v/>
      </c>
      <c r="BF184" s="44" t="str">
        <f>IF(AND(C184=Master!$H$8,B184="2012-2013",E184="",G184="NPN05"),H184,"")</f>
        <v/>
      </c>
      <c r="BG184" s="44" t="str">
        <f>IF(AND(C184=Master!$H$9,B184="2012-2013",E184&gt;1000,G184="NPN05"),H184,"")</f>
        <v/>
      </c>
      <c r="BH184" s="44" t="str">
        <f>IF(AND(C184=Master!$H$9,B184="2012-2013",E184="",G184="NPN05"),H184,"")</f>
        <v/>
      </c>
    </row>
    <row r="185" spans="1:60" x14ac:dyDescent="0.25">
      <c r="A185" s="3">
        <v>183</v>
      </c>
      <c r="B185" s="12"/>
      <c r="C185" s="12"/>
      <c r="D185" s="31"/>
      <c r="E185" s="4"/>
      <c r="F185" s="13"/>
      <c r="G185" s="21"/>
      <c r="H185" s="35"/>
      <c r="I185" s="21"/>
      <c r="J185" s="25" t="str">
        <f>IF(NOT(I185=""),INDEX(Master!$B$1:$B$46,MATCH(I185,Master!$A$1:$A$46,0)),"")</f>
        <v/>
      </c>
      <c r="K185" s="18"/>
      <c r="L185" s="86"/>
      <c r="M185" s="13"/>
      <c r="N185" s="13"/>
      <c r="O185" s="18"/>
      <c r="P185" s="35"/>
      <c r="Q185" s="21"/>
      <c r="R185" s="21"/>
      <c r="S185" s="13"/>
      <c r="T185" s="12"/>
      <c r="U185" s="12"/>
      <c r="V185" s="12"/>
      <c r="W185" s="14"/>
      <c r="Y185" s="42" t="str">
        <f>IF(AND(C185=Master!$H$1,B185="2012-2013",E185&gt;1000,G185="PLN03"),H185,"")</f>
        <v/>
      </c>
      <c r="Z185" s="42" t="str">
        <f>IF(AND(C185=Master!$H$1,B185="2012-2013",E185="",G185="PLN03"),H185,"")</f>
        <v/>
      </c>
      <c r="AA185" s="42" t="str">
        <f>IF(AND(C185=Master!$H$2,B185="2012-2013",E185&gt;1000,G185="PLN03"),H185,"")</f>
        <v/>
      </c>
      <c r="AB185" s="42" t="str">
        <f>IF(AND(C185=Master!$H$2,B185="2012-2013",E185="",G185="PLN03"),H185,"")</f>
        <v/>
      </c>
      <c r="AC185" s="42" t="str">
        <f>IF(AND(C185=Master!$H$3,B185="2012-2013",E185&gt;1000,G185="PLN03"),H185,"")</f>
        <v/>
      </c>
      <c r="AD185" s="42" t="str">
        <f>IF(AND(C185=Master!$H$3,B185="2012-2013",E185="",G185="PLN03"),H185,"")</f>
        <v/>
      </c>
      <c r="AE185" s="42" t="str">
        <f>IF(AND(C185=Master!$H$4,B185="2012-2013",E185&gt;1000,G185="PLN03"),H185,"")</f>
        <v/>
      </c>
      <c r="AF185" s="42" t="str">
        <f>IF(AND(C185=Master!$H$4,B185="2012-2013",E185="",G185="PLN03"),H185,"")</f>
        <v/>
      </c>
      <c r="AG185" s="42" t="str">
        <f>IF(AND(C185=Master!$H$5,B185="2012-2013",E185&gt;1000,G185="PLN03"),H185,"")</f>
        <v/>
      </c>
      <c r="AH185" s="42" t="str">
        <f>IF(AND(C185=Master!$H$5,B185="2012-2013",E185="",G185="PLN03"),H185,"")</f>
        <v/>
      </c>
      <c r="AI185" s="42" t="str">
        <f>IF(AND(C185=Master!$H$6,B185="2012-2013",E185&gt;1000,G185="PLN03"),H185,"")</f>
        <v/>
      </c>
      <c r="AJ185" s="42" t="str">
        <f>IF(AND(C185=Master!$H$6,B185="2012-2013",E185="",G185="PLN03"),H185,"")</f>
        <v/>
      </c>
      <c r="AK185" s="42" t="str">
        <f>IF(AND(C185=Master!$H$7,B185="2012-2013",E185&gt;1000,G185="PLN03"),H185,"")</f>
        <v/>
      </c>
      <c r="AL185" s="42" t="str">
        <f>IF(AND(C185=Master!$H$7,B185="2012-2013",E185="",G185="PLN03"),H185,"")</f>
        <v/>
      </c>
      <c r="AM185" s="42" t="str">
        <f>IF(AND(C185=Master!$H$8,B185="2012-2013",E185&gt;1000,G185="PLN03"),H185,"")</f>
        <v/>
      </c>
      <c r="AN185" s="42" t="str">
        <f>IF(AND(C185=Master!$H$8,B185="2012-2013",E185="",G185="PLN03"),H185,"")</f>
        <v/>
      </c>
      <c r="AO185" s="42" t="str">
        <f>IF(AND(C185=Master!$H$9,B185="2012-2013",E185&gt;1000,G185="PLN03"),H185,"")</f>
        <v/>
      </c>
      <c r="AP185" s="42" t="str">
        <f>IF(AND(C185=Master!$H$9,B185="2012-2013",E185="",G185="PLN03"),H185,"")</f>
        <v/>
      </c>
      <c r="AQ185" s="44" t="str">
        <f>IF(AND(C185=Master!$H$1,B185="2012-2013",E185&gt;1000,G185="NPN05"),H185,"")</f>
        <v/>
      </c>
      <c r="AR185" s="44" t="str">
        <f>IF(AND(C185=Master!$H$1,B185="2012-2013",E185="",G185="NPN05"),H185,"")</f>
        <v/>
      </c>
      <c r="AS185" s="44" t="str">
        <f>IF(AND(C185=Master!$H$2,B185="2012-2013",E185&gt;1000,G185="NPN05"),H185,"")</f>
        <v/>
      </c>
      <c r="AT185" s="44" t="str">
        <f>IF(AND(C185=Master!$H$2,B185="2012-2013",E185="",G185="NPN05"),H185,"")</f>
        <v/>
      </c>
      <c r="AU185" s="44" t="str">
        <f>IF(AND(C185=Master!$H$3,B185="2012-2013",E185&gt;1000,G185="NPN05"),H185,"")</f>
        <v/>
      </c>
      <c r="AV185" s="44" t="str">
        <f>IF(AND(C185=Master!$H$3,B185="2012-2013",E185="",G185="NPN05"),H185,"")</f>
        <v/>
      </c>
      <c r="AW185" s="44" t="str">
        <f>IF(AND(C185=Master!$H$4,B185="2012-2013",E185&gt;1000,G185="NPN05"),H185,"")</f>
        <v/>
      </c>
      <c r="AX185" s="44" t="str">
        <f>IF(AND(C185=Master!$H$4,B185="2012-2013",E185="",G185="NPN05"),H185,"")</f>
        <v/>
      </c>
      <c r="AY185" s="44" t="str">
        <f>IF(AND(C185=Master!$H$5,B185="2012-2013",E185&gt;1000,G185="NPN05"),H185,"")</f>
        <v/>
      </c>
      <c r="AZ185" s="44" t="str">
        <f>IF(AND(C185=Master!$H$5,B185="2012-2013",E185="",G185="NPN05"),H185,"")</f>
        <v/>
      </c>
      <c r="BA185" s="44" t="str">
        <f>IF(AND(C185=Master!$H$6,B185="2012-2013",E185&gt;1000,G185="NPN05"),H185,"")</f>
        <v/>
      </c>
      <c r="BB185" s="44" t="str">
        <f>IF(AND(C185=Master!$H$6,B185="2012-2013",E185="",G185="NPN05"),H185,"")</f>
        <v/>
      </c>
      <c r="BC185" s="44" t="str">
        <f>IF(AND(C185=Master!$H$7,B185="2012-2013",E185&gt;1000,G185="NPN05"),H185,"")</f>
        <v/>
      </c>
      <c r="BD185" s="44" t="str">
        <f>IF(AND(C185=Master!$H$7,B185="2012-2013",E185="",G185="NPN05"),H185,"")</f>
        <v/>
      </c>
      <c r="BE185" s="44" t="str">
        <f>IF(AND(C185=Master!$H$8,B185="2012-2013",E185&gt;1000,G185="NPN05"),H185,"")</f>
        <v/>
      </c>
      <c r="BF185" s="44" t="str">
        <f>IF(AND(C185=Master!$H$8,B185="2012-2013",E185="",G185="NPN05"),H185,"")</f>
        <v/>
      </c>
      <c r="BG185" s="44" t="str">
        <f>IF(AND(C185=Master!$H$9,B185="2012-2013",E185&gt;1000,G185="NPN05"),H185,"")</f>
        <v/>
      </c>
      <c r="BH185" s="44" t="str">
        <f>IF(AND(C185=Master!$H$9,B185="2012-2013",E185="",G185="NPN05"),H185,"")</f>
        <v/>
      </c>
    </row>
    <row r="186" spans="1:60" x14ac:dyDescent="0.25">
      <c r="A186" s="3">
        <v>184</v>
      </c>
      <c r="B186" s="12"/>
      <c r="C186" s="12"/>
      <c r="D186" s="31"/>
      <c r="E186" s="4"/>
      <c r="F186" s="13"/>
      <c r="G186" s="21"/>
      <c r="H186" s="35"/>
      <c r="I186" s="21"/>
      <c r="J186" s="25" t="str">
        <f>IF(NOT(I186=""),INDEX(Master!$B$1:$B$46,MATCH(I186,Master!$A$1:$A$46,0)),"")</f>
        <v/>
      </c>
      <c r="K186" s="18"/>
      <c r="L186" s="86"/>
      <c r="M186" s="13"/>
      <c r="N186" s="13"/>
      <c r="O186" s="18"/>
      <c r="P186" s="35"/>
      <c r="Q186" s="21"/>
      <c r="R186" s="21"/>
      <c r="S186" s="13"/>
      <c r="T186" s="12"/>
      <c r="U186" s="12"/>
      <c r="V186" s="12"/>
      <c r="W186" s="14"/>
      <c r="Y186" s="42" t="str">
        <f>IF(AND(C186=Master!$H$1,B186="2012-2013",E186&gt;1000,G186="PLN03"),H186,"")</f>
        <v/>
      </c>
      <c r="Z186" s="42" t="str">
        <f>IF(AND(C186=Master!$H$1,B186="2012-2013",E186="",G186="PLN03"),H186,"")</f>
        <v/>
      </c>
      <c r="AA186" s="42" t="str">
        <f>IF(AND(C186=Master!$H$2,B186="2012-2013",E186&gt;1000,G186="PLN03"),H186,"")</f>
        <v/>
      </c>
      <c r="AB186" s="42" t="str">
        <f>IF(AND(C186=Master!$H$2,B186="2012-2013",E186="",G186="PLN03"),H186,"")</f>
        <v/>
      </c>
      <c r="AC186" s="42" t="str">
        <f>IF(AND(C186=Master!$H$3,B186="2012-2013",E186&gt;1000,G186="PLN03"),H186,"")</f>
        <v/>
      </c>
      <c r="AD186" s="42" t="str">
        <f>IF(AND(C186=Master!$H$3,B186="2012-2013",E186="",G186="PLN03"),H186,"")</f>
        <v/>
      </c>
      <c r="AE186" s="42" t="str">
        <f>IF(AND(C186=Master!$H$4,B186="2012-2013",E186&gt;1000,G186="PLN03"),H186,"")</f>
        <v/>
      </c>
      <c r="AF186" s="42" t="str">
        <f>IF(AND(C186=Master!$H$4,B186="2012-2013",E186="",G186="PLN03"),H186,"")</f>
        <v/>
      </c>
      <c r="AG186" s="42" t="str">
        <f>IF(AND(C186=Master!$H$5,B186="2012-2013",E186&gt;1000,G186="PLN03"),H186,"")</f>
        <v/>
      </c>
      <c r="AH186" s="42" t="str">
        <f>IF(AND(C186=Master!$H$5,B186="2012-2013",E186="",G186="PLN03"),H186,"")</f>
        <v/>
      </c>
      <c r="AI186" s="42" t="str">
        <f>IF(AND(C186=Master!$H$6,B186="2012-2013",E186&gt;1000,G186="PLN03"),H186,"")</f>
        <v/>
      </c>
      <c r="AJ186" s="42" t="str">
        <f>IF(AND(C186=Master!$H$6,B186="2012-2013",E186="",G186="PLN03"),H186,"")</f>
        <v/>
      </c>
      <c r="AK186" s="42" t="str">
        <f>IF(AND(C186=Master!$H$7,B186="2012-2013",E186&gt;1000,G186="PLN03"),H186,"")</f>
        <v/>
      </c>
      <c r="AL186" s="42" t="str">
        <f>IF(AND(C186=Master!$H$7,B186="2012-2013",E186="",G186="PLN03"),H186,"")</f>
        <v/>
      </c>
      <c r="AM186" s="42" t="str">
        <f>IF(AND(C186=Master!$H$8,B186="2012-2013",E186&gt;1000,G186="PLN03"),H186,"")</f>
        <v/>
      </c>
      <c r="AN186" s="42" t="str">
        <f>IF(AND(C186=Master!$H$8,B186="2012-2013",E186="",G186="PLN03"),H186,"")</f>
        <v/>
      </c>
      <c r="AO186" s="42" t="str">
        <f>IF(AND(C186=Master!$H$9,B186="2012-2013",E186&gt;1000,G186="PLN03"),H186,"")</f>
        <v/>
      </c>
      <c r="AP186" s="42" t="str">
        <f>IF(AND(C186=Master!$H$9,B186="2012-2013",E186="",G186="PLN03"),H186,"")</f>
        <v/>
      </c>
      <c r="AQ186" s="44" t="str">
        <f>IF(AND(C186=Master!$H$1,B186="2012-2013",E186&gt;1000,G186="NPN05"),H186,"")</f>
        <v/>
      </c>
      <c r="AR186" s="44" t="str">
        <f>IF(AND(C186=Master!$H$1,B186="2012-2013",E186="",G186="NPN05"),H186,"")</f>
        <v/>
      </c>
      <c r="AS186" s="44" t="str">
        <f>IF(AND(C186=Master!$H$2,B186="2012-2013",E186&gt;1000,G186="NPN05"),H186,"")</f>
        <v/>
      </c>
      <c r="AT186" s="44" t="str">
        <f>IF(AND(C186=Master!$H$2,B186="2012-2013",E186="",G186="NPN05"),H186,"")</f>
        <v/>
      </c>
      <c r="AU186" s="44" t="str">
        <f>IF(AND(C186=Master!$H$3,B186="2012-2013",E186&gt;1000,G186="NPN05"),H186,"")</f>
        <v/>
      </c>
      <c r="AV186" s="44" t="str">
        <f>IF(AND(C186=Master!$H$3,B186="2012-2013",E186="",G186="NPN05"),H186,"")</f>
        <v/>
      </c>
      <c r="AW186" s="44" t="str">
        <f>IF(AND(C186=Master!$H$4,B186="2012-2013",E186&gt;1000,G186="NPN05"),H186,"")</f>
        <v/>
      </c>
      <c r="AX186" s="44" t="str">
        <f>IF(AND(C186=Master!$H$4,B186="2012-2013",E186="",G186="NPN05"),H186,"")</f>
        <v/>
      </c>
      <c r="AY186" s="44" t="str">
        <f>IF(AND(C186=Master!$H$5,B186="2012-2013",E186&gt;1000,G186="NPN05"),H186,"")</f>
        <v/>
      </c>
      <c r="AZ186" s="44" t="str">
        <f>IF(AND(C186=Master!$H$5,B186="2012-2013",E186="",G186="NPN05"),H186,"")</f>
        <v/>
      </c>
      <c r="BA186" s="44" t="str">
        <f>IF(AND(C186=Master!$H$6,B186="2012-2013",E186&gt;1000,G186="NPN05"),H186,"")</f>
        <v/>
      </c>
      <c r="BB186" s="44" t="str">
        <f>IF(AND(C186=Master!$H$6,B186="2012-2013",E186="",G186="NPN05"),H186,"")</f>
        <v/>
      </c>
      <c r="BC186" s="44" t="str">
        <f>IF(AND(C186=Master!$H$7,B186="2012-2013",E186&gt;1000,G186="NPN05"),H186,"")</f>
        <v/>
      </c>
      <c r="BD186" s="44" t="str">
        <f>IF(AND(C186=Master!$H$7,B186="2012-2013",E186="",G186="NPN05"),H186,"")</f>
        <v/>
      </c>
      <c r="BE186" s="44" t="str">
        <f>IF(AND(C186=Master!$H$8,B186="2012-2013",E186&gt;1000,G186="NPN05"),H186,"")</f>
        <v/>
      </c>
      <c r="BF186" s="44" t="str">
        <f>IF(AND(C186=Master!$H$8,B186="2012-2013",E186="",G186="NPN05"),H186,"")</f>
        <v/>
      </c>
      <c r="BG186" s="44" t="str">
        <f>IF(AND(C186=Master!$H$9,B186="2012-2013",E186&gt;1000,G186="NPN05"),H186,"")</f>
        <v/>
      </c>
      <c r="BH186" s="44" t="str">
        <f>IF(AND(C186=Master!$H$9,B186="2012-2013",E186="",G186="NPN05"),H186,"")</f>
        <v/>
      </c>
    </row>
    <row r="187" spans="1:60" x14ac:dyDescent="0.25">
      <c r="A187" s="3">
        <v>185</v>
      </c>
      <c r="B187" s="12"/>
      <c r="C187" s="12"/>
      <c r="D187" s="31"/>
      <c r="E187" s="4"/>
      <c r="F187" s="13"/>
      <c r="G187" s="21"/>
      <c r="H187" s="35"/>
      <c r="I187" s="21"/>
      <c r="J187" s="25" t="str">
        <f>IF(NOT(I187=""),INDEX(Master!$B$1:$B$46,MATCH(I187,Master!$A$1:$A$46,0)),"")</f>
        <v/>
      </c>
      <c r="K187" s="18"/>
      <c r="L187" s="86"/>
      <c r="M187" s="13"/>
      <c r="N187" s="13"/>
      <c r="O187" s="18"/>
      <c r="P187" s="35"/>
      <c r="Q187" s="21"/>
      <c r="R187" s="21"/>
      <c r="S187" s="13"/>
      <c r="T187" s="12"/>
      <c r="U187" s="12"/>
      <c r="V187" s="12"/>
      <c r="W187" s="14"/>
      <c r="Y187" s="42" t="str">
        <f>IF(AND(C187=Master!$H$1,B187="2012-2013",E187&gt;1000,G187="PLN03"),H187,"")</f>
        <v/>
      </c>
      <c r="Z187" s="42" t="str">
        <f>IF(AND(C187=Master!$H$1,B187="2012-2013",E187="",G187="PLN03"),H187,"")</f>
        <v/>
      </c>
      <c r="AA187" s="42" t="str">
        <f>IF(AND(C187=Master!$H$2,B187="2012-2013",E187&gt;1000,G187="PLN03"),H187,"")</f>
        <v/>
      </c>
      <c r="AB187" s="42" t="str">
        <f>IF(AND(C187=Master!$H$2,B187="2012-2013",E187="",G187="PLN03"),H187,"")</f>
        <v/>
      </c>
      <c r="AC187" s="42" t="str">
        <f>IF(AND(C187=Master!$H$3,B187="2012-2013",E187&gt;1000,G187="PLN03"),H187,"")</f>
        <v/>
      </c>
      <c r="AD187" s="42" t="str">
        <f>IF(AND(C187=Master!$H$3,B187="2012-2013",E187="",G187="PLN03"),H187,"")</f>
        <v/>
      </c>
      <c r="AE187" s="42" t="str">
        <f>IF(AND(C187=Master!$H$4,B187="2012-2013",E187&gt;1000,G187="PLN03"),H187,"")</f>
        <v/>
      </c>
      <c r="AF187" s="42" t="str">
        <f>IF(AND(C187=Master!$H$4,B187="2012-2013",E187="",G187="PLN03"),H187,"")</f>
        <v/>
      </c>
      <c r="AG187" s="42" t="str">
        <f>IF(AND(C187=Master!$H$5,B187="2012-2013",E187&gt;1000,G187="PLN03"),H187,"")</f>
        <v/>
      </c>
      <c r="AH187" s="42" t="str">
        <f>IF(AND(C187=Master!$H$5,B187="2012-2013",E187="",G187="PLN03"),H187,"")</f>
        <v/>
      </c>
      <c r="AI187" s="42" t="str">
        <f>IF(AND(C187=Master!$H$6,B187="2012-2013",E187&gt;1000,G187="PLN03"),H187,"")</f>
        <v/>
      </c>
      <c r="AJ187" s="42" t="str">
        <f>IF(AND(C187=Master!$H$6,B187="2012-2013",E187="",G187="PLN03"),H187,"")</f>
        <v/>
      </c>
      <c r="AK187" s="42" t="str">
        <f>IF(AND(C187=Master!$H$7,B187="2012-2013",E187&gt;1000,G187="PLN03"),H187,"")</f>
        <v/>
      </c>
      <c r="AL187" s="42" t="str">
        <f>IF(AND(C187=Master!$H$7,B187="2012-2013",E187="",G187="PLN03"),H187,"")</f>
        <v/>
      </c>
      <c r="AM187" s="42" t="str">
        <f>IF(AND(C187=Master!$H$8,B187="2012-2013",E187&gt;1000,G187="PLN03"),H187,"")</f>
        <v/>
      </c>
      <c r="AN187" s="42" t="str">
        <f>IF(AND(C187=Master!$H$8,B187="2012-2013",E187="",G187="PLN03"),H187,"")</f>
        <v/>
      </c>
      <c r="AO187" s="42" t="str">
        <f>IF(AND(C187=Master!$H$9,B187="2012-2013",E187&gt;1000,G187="PLN03"),H187,"")</f>
        <v/>
      </c>
      <c r="AP187" s="42" t="str">
        <f>IF(AND(C187=Master!$H$9,B187="2012-2013",E187="",G187="PLN03"),H187,"")</f>
        <v/>
      </c>
      <c r="AQ187" s="44" t="str">
        <f>IF(AND(C187=Master!$H$1,B187="2012-2013",E187&gt;1000,G187="NPN05"),H187,"")</f>
        <v/>
      </c>
      <c r="AR187" s="44" t="str">
        <f>IF(AND(C187=Master!$H$1,B187="2012-2013",E187="",G187="NPN05"),H187,"")</f>
        <v/>
      </c>
      <c r="AS187" s="44" t="str">
        <f>IF(AND(C187=Master!$H$2,B187="2012-2013",E187&gt;1000,G187="NPN05"),H187,"")</f>
        <v/>
      </c>
      <c r="AT187" s="44" t="str">
        <f>IF(AND(C187=Master!$H$2,B187="2012-2013",E187="",G187="NPN05"),H187,"")</f>
        <v/>
      </c>
      <c r="AU187" s="44" t="str">
        <f>IF(AND(C187=Master!$H$3,B187="2012-2013",E187&gt;1000,G187="NPN05"),H187,"")</f>
        <v/>
      </c>
      <c r="AV187" s="44" t="str">
        <f>IF(AND(C187=Master!$H$3,B187="2012-2013",E187="",G187="NPN05"),H187,"")</f>
        <v/>
      </c>
      <c r="AW187" s="44" t="str">
        <f>IF(AND(C187=Master!$H$4,B187="2012-2013",E187&gt;1000,G187="NPN05"),H187,"")</f>
        <v/>
      </c>
      <c r="AX187" s="44" t="str">
        <f>IF(AND(C187=Master!$H$4,B187="2012-2013",E187="",G187="NPN05"),H187,"")</f>
        <v/>
      </c>
      <c r="AY187" s="44" t="str">
        <f>IF(AND(C187=Master!$H$5,B187="2012-2013",E187&gt;1000,G187="NPN05"),H187,"")</f>
        <v/>
      </c>
      <c r="AZ187" s="44" t="str">
        <f>IF(AND(C187=Master!$H$5,B187="2012-2013",E187="",G187="NPN05"),H187,"")</f>
        <v/>
      </c>
      <c r="BA187" s="44" t="str">
        <f>IF(AND(C187=Master!$H$6,B187="2012-2013",E187&gt;1000,G187="NPN05"),H187,"")</f>
        <v/>
      </c>
      <c r="BB187" s="44" t="str">
        <f>IF(AND(C187=Master!$H$6,B187="2012-2013",E187="",G187="NPN05"),H187,"")</f>
        <v/>
      </c>
      <c r="BC187" s="44" t="str">
        <f>IF(AND(C187=Master!$H$7,B187="2012-2013",E187&gt;1000,G187="NPN05"),H187,"")</f>
        <v/>
      </c>
      <c r="BD187" s="44" t="str">
        <f>IF(AND(C187=Master!$H$7,B187="2012-2013",E187="",G187="NPN05"),H187,"")</f>
        <v/>
      </c>
      <c r="BE187" s="44" t="str">
        <f>IF(AND(C187=Master!$H$8,B187="2012-2013",E187&gt;1000,G187="NPN05"),H187,"")</f>
        <v/>
      </c>
      <c r="BF187" s="44" t="str">
        <f>IF(AND(C187=Master!$H$8,B187="2012-2013",E187="",G187="NPN05"),H187,"")</f>
        <v/>
      </c>
      <c r="BG187" s="44" t="str">
        <f>IF(AND(C187=Master!$H$9,B187="2012-2013",E187&gt;1000,G187="NPN05"),H187,"")</f>
        <v/>
      </c>
      <c r="BH187" s="44" t="str">
        <f>IF(AND(C187=Master!$H$9,B187="2012-2013",E187="",G187="NPN05"),H187,"")</f>
        <v/>
      </c>
    </row>
    <row r="188" spans="1:60" x14ac:dyDescent="0.25">
      <c r="A188" s="3">
        <v>186</v>
      </c>
      <c r="B188" s="12"/>
      <c r="C188" s="12"/>
      <c r="D188" s="31"/>
      <c r="E188" s="4"/>
      <c r="F188" s="13"/>
      <c r="G188" s="21"/>
      <c r="H188" s="35"/>
      <c r="I188" s="21"/>
      <c r="J188" s="25" t="str">
        <f>IF(NOT(I188=""),INDEX(Master!$B$1:$B$46,MATCH(I188,Master!$A$1:$A$46,0)),"")</f>
        <v/>
      </c>
      <c r="K188" s="18"/>
      <c r="L188" s="86"/>
      <c r="M188" s="13"/>
      <c r="N188" s="13"/>
      <c r="O188" s="18"/>
      <c r="P188" s="35"/>
      <c r="Q188" s="21"/>
      <c r="R188" s="21"/>
      <c r="S188" s="13"/>
      <c r="T188" s="12"/>
      <c r="U188" s="12"/>
      <c r="V188" s="12"/>
      <c r="W188" s="14"/>
      <c r="Y188" s="42" t="str">
        <f>IF(AND(C188=Master!$H$1,B188="2012-2013",E188&gt;1000,G188="PLN03"),H188,"")</f>
        <v/>
      </c>
      <c r="Z188" s="42" t="str">
        <f>IF(AND(C188=Master!$H$1,B188="2012-2013",E188="",G188="PLN03"),H188,"")</f>
        <v/>
      </c>
      <c r="AA188" s="42" t="str">
        <f>IF(AND(C188=Master!$H$2,B188="2012-2013",E188&gt;1000,G188="PLN03"),H188,"")</f>
        <v/>
      </c>
      <c r="AB188" s="42" t="str">
        <f>IF(AND(C188=Master!$H$2,B188="2012-2013",E188="",G188="PLN03"),H188,"")</f>
        <v/>
      </c>
      <c r="AC188" s="42" t="str">
        <f>IF(AND(C188=Master!$H$3,B188="2012-2013",E188&gt;1000,G188="PLN03"),H188,"")</f>
        <v/>
      </c>
      <c r="AD188" s="42" t="str">
        <f>IF(AND(C188=Master!$H$3,B188="2012-2013",E188="",G188="PLN03"),H188,"")</f>
        <v/>
      </c>
      <c r="AE188" s="42" t="str">
        <f>IF(AND(C188=Master!$H$4,B188="2012-2013",E188&gt;1000,G188="PLN03"),H188,"")</f>
        <v/>
      </c>
      <c r="AF188" s="42" t="str">
        <f>IF(AND(C188=Master!$H$4,B188="2012-2013",E188="",G188="PLN03"),H188,"")</f>
        <v/>
      </c>
      <c r="AG188" s="42" t="str">
        <f>IF(AND(C188=Master!$H$5,B188="2012-2013",E188&gt;1000,G188="PLN03"),H188,"")</f>
        <v/>
      </c>
      <c r="AH188" s="42" t="str">
        <f>IF(AND(C188=Master!$H$5,B188="2012-2013",E188="",G188="PLN03"),H188,"")</f>
        <v/>
      </c>
      <c r="AI188" s="42" t="str">
        <f>IF(AND(C188=Master!$H$6,B188="2012-2013",E188&gt;1000,G188="PLN03"),H188,"")</f>
        <v/>
      </c>
      <c r="AJ188" s="42" t="str">
        <f>IF(AND(C188=Master!$H$6,B188="2012-2013",E188="",G188="PLN03"),H188,"")</f>
        <v/>
      </c>
      <c r="AK188" s="42" t="str">
        <f>IF(AND(C188=Master!$H$7,B188="2012-2013",E188&gt;1000,G188="PLN03"),H188,"")</f>
        <v/>
      </c>
      <c r="AL188" s="42" t="str">
        <f>IF(AND(C188=Master!$H$7,B188="2012-2013",E188="",G188="PLN03"),H188,"")</f>
        <v/>
      </c>
      <c r="AM188" s="42" t="str">
        <f>IF(AND(C188=Master!$H$8,B188="2012-2013",E188&gt;1000,G188="PLN03"),H188,"")</f>
        <v/>
      </c>
      <c r="AN188" s="42" t="str">
        <f>IF(AND(C188=Master!$H$8,B188="2012-2013",E188="",G188="PLN03"),H188,"")</f>
        <v/>
      </c>
      <c r="AO188" s="42" t="str">
        <f>IF(AND(C188=Master!$H$9,B188="2012-2013",E188&gt;1000,G188="PLN03"),H188,"")</f>
        <v/>
      </c>
      <c r="AP188" s="42" t="str">
        <f>IF(AND(C188=Master!$H$9,B188="2012-2013",E188="",G188="PLN03"),H188,"")</f>
        <v/>
      </c>
      <c r="AQ188" s="44" t="str">
        <f>IF(AND(C188=Master!$H$1,B188="2012-2013",E188&gt;1000,G188="NPN05"),H188,"")</f>
        <v/>
      </c>
      <c r="AR188" s="44" t="str">
        <f>IF(AND(C188=Master!$H$1,B188="2012-2013",E188="",G188="NPN05"),H188,"")</f>
        <v/>
      </c>
      <c r="AS188" s="44" t="str">
        <f>IF(AND(C188=Master!$H$2,B188="2012-2013",E188&gt;1000,G188="NPN05"),H188,"")</f>
        <v/>
      </c>
      <c r="AT188" s="44" t="str">
        <f>IF(AND(C188=Master!$H$2,B188="2012-2013",E188="",G188="NPN05"),H188,"")</f>
        <v/>
      </c>
      <c r="AU188" s="44" t="str">
        <f>IF(AND(C188=Master!$H$3,B188="2012-2013",E188&gt;1000,G188="NPN05"),H188,"")</f>
        <v/>
      </c>
      <c r="AV188" s="44" t="str">
        <f>IF(AND(C188=Master!$H$3,B188="2012-2013",E188="",G188="NPN05"),H188,"")</f>
        <v/>
      </c>
      <c r="AW188" s="44" t="str">
        <f>IF(AND(C188=Master!$H$4,B188="2012-2013",E188&gt;1000,G188="NPN05"),H188,"")</f>
        <v/>
      </c>
      <c r="AX188" s="44" t="str">
        <f>IF(AND(C188=Master!$H$4,B188="2012-2013",E188="",G188="NPN05"),H188,"")</f>
        <v/>
      </c>
      <c r="AY188" s="44" t="str">
        <f>IF(AND(C188=Master!$H$5,B188="2012-2013",E188&gt;1000,G188="NPN05"),H188,"")</f>
        <v/>
      </c>
      <c r="AZ188" s="44" t="str">
        <f>IF(AND(C188=Master!$H$5,B188="2012-2013",E188="",G188="NPN05"),H188,"")</f>
        <v/>
      </c>
      <c r="BA188" s="44" t="str">
        <f>IF(AND(C188=Master!$H$6,B188="2012-2013",E188&gt;1000,G188="NPN05"),H188,"")</f>
        <v/>
      </c>
      <c r="BB188" s="44" t="str">
        <f>IF(AND(C188=Master!$H$6,B188="2012-2013",E188="",G188="NPN05"),H188,"")</f>
        <v/>
      </c>
      <c r="BC188" s="44" t="str">
        <f>IF(AND(C188=Master!$H$7,B188="2012-2013",E188&gt;1000,G188="NPN05"),H188,"")</f>
        <v/>
      </c>
      <c r="BD188" s="44" t="str">
        <f>IF(AND(C188=Master!$H$7,B188="2012-2013",E188="",G188="NPN05"),H188,"")</f>
        <v/>
      </c>
      <c r="BE188" s="44" t="str">
        <f>IF(AND(C188=Master!$H$8,B188="2012-2013",E188&gt;1000,G188="NPN05"),H188,"")</f>
        <v/>
      </c>
      <c r="BF188" s="44" t="str">
        <f>IF(AND(C188=Master!$H$8,B188="2012-2013",E188="",G188="NPN05"),H188,"")</f>
        <v/>
      </c>
      <c r="BG188" s="44" t="str">
        <f>IF(AND(C188=Master!$H$9,B188="2012-2013",E188&gt;1000,G188="NPN05"),H188,"")</f>
        <v/>
      </c>
      <c r="BH188" s="44" t="str">
        <f>IF(AND(C188=Master!$H$9,B188="2012-2013",E188="",G188="NPN05"),H188,"")</f>
        <v/>
      </c>
    </row>
    <row r="189" spans="1:60" x14ac:dyDescent="0.25">
      <c r="A189" s="3">
        <v>187</v>
      </c>
      <c r="B189" s="12"/>
      <c r="C189" s="12"/>
      <c r="D189" s="31"/>
      <c r="E189" s="4"/>
      <c r="F189" s="13"/>
      <c r="G189" s="21"/>
      <c r="H189" s="35"/>
      <c r="I189" s="21"/>
      <c r="J189" s="25" t="str">
        <f>IF(NOT(I189=""),INDEX(Master!$B$1:$B$46,MATCH(I189,Master!$A$1:$A$46,0)),"")</f>
        <v/>
      </c>
      <c r="K189" s="18"/>
      <c r="L189" s="86"/>
      <c r="M189" s="13"/>
      <c r="N189" s="13"/>
      <c r="O189" s="18"/>
      <c r="P189" s="35"/>
      <c r="Q189" s="21"/>
      <c r="R189" s="21"/>
      <c r="S189" s="13"/>
      <c r="T189" s="12"/>
      <c r="U189" s="12"/>
      <c r="V189" s="12"/>
      <c r="W189" s="14"/>
      <c r="Y189" s="42" t="str">
        <f>IF(AND(C189=Master!$H$1,B189="2012-2013",E189&gt;1000,G189="PLN03"),H189,"")</f>
        <v/>
      </c>
      <c r="Z189" s="42" t="str">
        <f>IF(AND(C189=Master!$H$1,B189="2012-2013",E189="",G189="PLN03"),H189,"")</f>
        <v/>
      </c>
      <c r="AA189" s="42" t="str">
        <f>IF(AND(C189=Master!$H$2,B189="2012-2013",E189&gt;1000,G189="PLN03"),H189,"")</f>
        <v/>
      </c>
      <c r="AB189" s="42" t="str">
        <f>IF(AND(C189=Master!$H$2,B189="2012-2013",E189="",G189="PLN03"),H189,"")</f>
        <v/>
      </c>
      <c r="AC189" s="42" t="str">
        <f>IF(AND(C189=Master!$H$3,B189="2012-2013",E189&gt;1000,G189="PLN03"),H189,"")</f>
        <v/>
      </c>
      <c r="AD189" s="42" t="str">
        <f>IF(AND(C189=Master!$H$3,B189="2012-2013",E189="",G189="PLN03"),H189,"")</f>
        <v/>
      </c>
      <c r="AE189" s="42" t="str">
        <f>IF(AND(C189=Master!$H$4,B189="2012-2013",E189&gt;1000,G189="PLN03"),H189,"")</f>
        <v/>
      </c>
      <c r="AF189" s="42" t="str">
        <f>IF(AND(C189=Master!$H$4,B189="2012-2013",E189="",G189="PLN03"),H189,"")</f>
        <v/>
      </c>
      <c r="AG189" s="42" t="str">
        <f>IF(AND(C189=Master!$H$5,B189="2012-2013",E189&gt;1000,G189="PLN03"),H189,"")</f>
        <v/>
      </c>
      <c r="AH189" s="42" t="str">
        <f>IF(AND(C189=Master!$H$5,B189="2012-2013",E189="",G189="PLN03"),H189,"")</f>
        <v/>
      </c>
      <c r="AI189" s="42" t="str">
        <f>IF(AND(C189=Master!$H$6,B189="2012-2013",E189&gt;1000,G189="PLN03"),H189,"")</f>
        <v/>
      </c>
      <c r="AJ189" s="42" t="str">
        <f>IF(AND(C189=Master!$H$6,B189="2012-2013",E189="",G189="PLN03"),H189,"")</f>
        <v/>
      </c>
      <c r="AK189" s="42" t="str">
        <f>IF(AND(C189=Master!$H$7,B189="2012-2013",E189&gt;1000,G189="PLN03"),H189,"")</f>
        <v/>
      </c>
      <c r="AL189" s="42" t="str">
        <f>IF(AND(C189=Master!$H$7,B189="2012-2013",E189="",G189="PLN03"),H189,"")</f>
        <v/>
      </c>
      <c r="AM189" s="42" t="str">
        <f>IF(AND(C189=Master!$H$8,B189="2012-2013",E189&gt;1000,G189="PLN03"),H189,"")</f>
        <v/>
      </c>
      <c r="AN189" s="42" t="str">
        <f>IF(AND(C189=Master!$H$8,B189="2012-2013",E189="",G189="PLN03"),H189,"")</f>
        <v/>
      </c>
      <c r="AO189" s="42" t="str">
        <f>IF(AND(C189=Master!$H$9,B189="2012-2013",E189&gt;1000,G189="PLN03"),H189,"")</f>
        <v/>
      </c>
      <c r="AP189" s="42" t="str">
        <f>IF(AND(C189=Master!$H$9,B189="2012-2013",E189="",G189="PLN03"),H189,"")</f>
        <v/>
      </c>
      <c r="AQ189" s="44" t="str">
        <f>IF(AND(C189=Master!$H$1,B189="2012-2013",E189&gt;1000,G189="NPN05"),H189,"")</f>
        <v/>
      </c>
      <c r="AR189" s="44" t="str">
        <f>IF(AND(C189=Master!$H$1,B189="2012-2013",E189="",G189="NPN05"),H189,"")</f>
        <v/>
      </c>
      <c r="AS189" s="44" t="str">
        <f>IF(AND(C189=Master!$H$2,B189="2012-2013",E189&gt;1000,G189="NPN05"),H189,"")</f>
        <v/>
      </c>
      <c r="AT189" s="44" t="str">
        <f>IF(AND(C189=Master!$H$2,B189="2012-2013",E189="",G189="NPN05"),H189,"")</f>
        <v/>
      </c>
      <c r="AU189" s="44" t="str">
        <f>IF(AND(C189=Master!$H$3,B189="2012-2013",E189&gt;1000,G189="NPN05"),H189,"")</f>
        <v/>
      </c>
      <c r="AV189" s="44" t="str">
        <f>IF(AND(C189=Master!$H$3,B189="2012-2013",E189="",G189="NPN05"),H189,"")</f>
        <v/>
      </c>
      <c r="AW189" s="44" t="str">
        <f>IF(AND(C189=Master!$H$4,B189="2012-2013",E189&gt;1000,G189="NPN05"),H189,"")</f>
        <v/>
      </c>
      <c r="AX189" s="44" t="str">
        <f>IF(AND(C189=Master!$H$4,B189="2012-2013",E189="",G189="NPN05"),H189,"")</f>
        <v/>
      </c>
      <c r="AY189" s="44" t="str">
        <f>IF(AND(C189=Master!$H$5,B189="2012-2013",E189&gt;1000,G189="NPN05"),H189,"")</f>
        <v/>
      </c>
      <c r="AZ189" s="44" t="str">
        <f>IF(AND(C189=Master!$H$5,B189="2012-2013",E189="",G189="NPN05"),H189,"")</f>
        <v/>
      </c>
      <c r="BA189" s="44" t="str">
        <f>IF(AND(C189=Master!$H$6,B189="2012-2013",E189&gt;1000,G189="NPN05"),H189,"")</f>
        <v/>
      </c>
      <c r="BB189" s="44" t="str">
        <f>IF(AND(C189=Master!$H$6,B189="2012-2013",E189="",G189="NPN05"),H189,"")</f>
        <v/>
      </c>
      <c r="BC189" s="44" t="str">
        <f>IF(AND(C189=Master!$H$7,B189="2012-2013",E189&gt;1000,G189="NPN05"),H189,"")</f>
        <v/>
      </c>
      <c r="BD189" s="44" t="str">
        <f>IF(AND(C189=Master!$H$7,B189="2012-2013",E189="",G189="NPN05"),H189,"")</f>
        <v/>
      </c>
      <c r="BE189" s="44" t="str">
        <f>IF(AND(C189=Master!$H$8,B189="2012-2013",E189&gt;1000,G189="NPN05"),H189,"")</f>
        <v/>
      </c>
      <c r="BF189" s="44" t="str">
        <f>IF(AND(C189=Master!$H$8,B189="2012-2013",E189="",G189="NPN05"),H189,"")</f>
        <v/>
      </c>
      <c r="BG189" s="44" t="str">
        <f>IF(AND(C189=Master!$H$9,B189="2012-2013",E189&gt;1000,G189="NPN05"),H189,"")</f>
        <v/>
      </c>
      <c r="BH189" s="44" t="str">
        <f>IF(AND(C189=Master!$H$9,B189="2012-2013",E189="",G189="NPN05"),H189,"")</f>
        <v/>
      </c>
    </row>
    <row r="190" spans="1:60" x14ac:dyDescent="0.25">
      <c r="A190" s="3">
        <v>188</v>
      </c>
      <c r="B190" s="12"/>
      <c r="C190" s="12"/>
      <c r="D190" s="31"/>
      <c r="E190" s="4"/>
      <c r="F190" s="13"/>
      <c r="G190" s="21"/>
      <c r="H190" s="35"/>
      <c r="I190" s="21"/>
      <c r="J190" s="25" t="str">
        <f>IF(NOT(I190=""),INDEX(Master!$B$1:$B$46,MATCH(I190,Master!$A$1:$A$46,0)),"")</f>
        <v/>
      </c>
      <c r="K190" s="18"/>
      <c r="L190" s="86"/>
      <c r="M190" s="13"/>
      <c r="N190" s="13"/>
      <c r="O190" s="18"/>
      <c r="P190" s="35"/>
      <c r="Q190" s="21"/>
      <c r="R190" s="21"/>
      <c r="S190" s="13"/>
      <c r="T190" s="12"/>
      <c r="U190" s="12"/>
      <c r="V190" s="12"/>
      <c r="W190" s="14"/>
      <c r="Y190" s="42" t="str">
        <f>IF(AND(C190=Master!$H$1,B190="2012-2013",E190&gt;1000,G190="PLN03"),H190,"")</f>
        <v/>
      </c>
      <c r="Z190" s="42" t="str">
        <f>IF(AND(C190=Master!$H$1,B190="2012-2013",E190="",G190="PLN03"),H190,"")</f>
        <v/>
      </c>
      <c r="AA190" s="42" t="str">
        <f>IF(AND(C190=Master!$H$2,B190="2012-2013",E190&gt;1000,G190="PLN03"),H190,"")</f>
        <v/>
      </c>
      <c r="AB190" s="42" t="str">
        <f>IF(AND(C190=Master!$H$2,B190="2012-2013",E190="",G190="PLN03"),H190,"")</f>
        <v/>
      </c>
      <c r="AC190" s="42" t="str">
        <f>IF(AND(C190=Master!$H$3,B190="2012-2013",E190&gt;1000,G190="PLN03"),H190,"")</f>
        <v/>
      </c>
      <c r="AD190" s="42" t="str">
        <f>IF(AND(C190=Master!$H$3,B190="2012-2013",E190="",G190="PLN03"),H190,"")</f>
        <v/>
      </c>
      <c r="AE190" s="42" t="str">
        <f>IF(AND(C190=Master!$H$4,B190="2012-2013",E190&gt;1000,G190="PLN03"),H190,"")</f>
        <v/>
      </c>
      <c r="AF190" s="42" t="str">
        <f>IF(AND(C190=Master!$H$4,B190="2012-2013",E190="",G190="PLN03"),H190,"")</f>
        <v/>
      </c>
      <c r="AG190" s="42" t="str">
        <f>IF(AND(C190=Master!$H$5,B190="2012-2013",E190&gt;1000,G190="PLN03"),H190,"")</f>
        <v/>
      </c>
      <c r="AH190" s="42" t="str">
        <f>IF(AND(C190=Master!$H$5,B190="2012-2013",E190="",G190="PLN03"),H190,"")</f>
        <v/>
      </c>
      <c r="AI190" s="42" t="str">
        <f>IF(AND(C190=Master!$H$6,B190="2012-2013",E190&gt;1000,G190="PLN03"),H190,"")</f>
        <v/>
      </c>
      <c r="AJ190" s="42" t="str">
        <f>IF(AND(C190=Master!$H$6,B190="2012-2013",E190="",G190="PLN03"),H190,"")</f>
        <v/>
      </c>
      <c r="AK190" s="42" t="str">
        <f>IF(AND(C190=Master!$H$7,B190="2012-2013",E190&gt;1000,G190="PLN03"),H190,"")</f>
        <v/>
      </c>
      <c r="AL190" s="42" t="str">
        <f>IF(AND(C190=Master!$H$7,B190="2012-2013",E190="",G190="PLN03"),H190,"")</f>
        <v/>
      </c>
      <c r="AM190" s="42" t="str">
        <f>IF(AND(C190=Master!$H$8,B190="2012-2013",E190&gt;1000,G190="PLN03"),H190,"")</f>
        <v/>
      </c>
      <c r="AN190" s="42" t="str">
        <f>IF(AND(C190=Master!$H$8,B190="2012-2013",E190="",G190="PLN03"),H190,"")</f>
        <v/>
      </c>
      <c r="AO190" s="42" t="str">
        <f>IF(AND(C190=Master!$H$9,B190="2012-2013",E190&gt;1000,G190="PLN03"),H190,"")</f>
        <v/>
      </c>
      <c r="AP190" s="42" t="str">
        <f>IF(AND(C190=Master!$H$9,B190="2012-2013",E190="",G190="PLN03"),H190,"")</f>
        <v/>
      </c>
      <c r="AQ190" s="44" t="str">
        <f>IF(AND(C190=Master!$H$1,B190="2012-2013",E190&gt;1000,G190="NPN05"),H190,"")</f>
        <v/>
      </c>
      <c r="AR190" s="44" t="str">
        <f>IF(AND(C190=Master!$H$1,B190="2012-2013",E190="",G190="NPN05"),H190,"")</f>
        <v/>
      </c>
      <c r="AS190" s="44" t="str">
        <f>IF(AND(C190=Master!$H$2,B190="2012-2013",E190&gt;1000,G190="NPN05"),H190,"")</f>
        <v/>
      </c>
      <c r="AT190" s="44" t="str">
        <f>IF(AND(C190=Master!$H$2,B190="2012-2013",E190="",G190="NPN05"),H190,"")</f>
        <v/>
      </c>
      <c r="AU190" s="44" t="str">
        <f>IF(AND(C190=Master!$H$3,B190="2012-2013",E190&gt;1000,G190="NPN05"),H190,"")</f>
        <v/>
      </c>
      <c r="AV190" s="44" t="str">
        <f>IF(AND(C190=Master!$H$3,B190="2012-2013",E190="",G190="NPN05"),H190,"")</f>
        <v/>
      </c>
      <c r="AW190" s="44" t="str">
        <f>IF(AND(C190=Master!$H$4,B190="2012-2013",E190&gt;1000,G190="NPN05"),H190,"")</f>
        <v/>
      </c>
      <c r="AX190" s="44" t="str">
        <f>IF(AND(C190=Master!$H$4,B190="2012-2013",E190="",G190="NPN05"),H190,"")</f>
        <v/>
      </c>
      <c r="AY190" s="44" t="str">
        <f>IF(AND(C190=Master!$H$5,B190="2012-2013",E190&gt;1000,G190="NPN05"),H190,"")</f>
        <v/>
      </c>
      <c r="AZ190" s="44" t="str">
        <f>IF(AND(C190=Master!$H$5,B190="2012-2013",E190="",G190="NPN05"),H190,"")</f>
        <v/>
      </c>
      <c r="BA190" s="44" t="str">
        <f>IF(AND(C190=Master!$H$6,B190="2012-2013",E190&gt;1000,G190="NPN05"),H190,"")</f>
        <v/>
      </c>
      <c r="BB190" s="44" t="str">
        <f>IF(AND(C190=Master!$H$6,B190="2012-2013",E190="",G190="NPN05"),H190,"")</f>
        <v/>
      </c>
      <c r="BC190" s="44" t="str">
        <f>IF(AND(C190=Master!$H$7,B190="2012-2013",E190&gt;1000,G190="NPN05"),H190,"")</f>
        <v/>
      </c>
      <c r="BD190" s="44" t="str">
        <f>IF(AND(C190=Master!$H$7,B190="2012-2013",E190="",G190="NPN05"),H190,"")</f>
        <v/>
      </c>
      <c r="BE190" s="44" t="str">
        <f>IF(AND(C190=Master!$H$8,B190="2012-2013",E190&gt;1000,G190="NPN05"),H190,"")</f>
        <v/>
      </c>
      <c r="BF190" s="44" t="str">
        <f>IF(AND(C190=Master!$H$8,B190="2012-2013",E190="",G190="NPN05"),H190,"")</f>
        <v/>
      </c>
      <c r="BG190" s="44" t="str">
        <f>IF(AND(C190=Master!$H$9,B190="2012-2013",E190&gt;1000,G190="NPN05"),H190,"")</f>
        <v/>
      </c>
      <c r="BH190" s="44" t="str">
        <f>IF(AND(C190=Master!$H$9,B190="2012-2013",E190="",G190="NPN05"),H190,"")</f>
        <v/>
      </c>
    </row>
    <row r="191" spans="1:60" x14ac:dyDescent="0.25">
      <c r="A191" s="3">
        <v>189</v>
      </c>
      <c r="B191" s="12"/>
      <c r="C191" s="12"/>
      <c r="D191" s="31"/>
      <c r="E191" s="4"/>
      <c r="F191" s="13"/>
      <c r="G191" s="21"/>
      <c r="H191" s="35"/>
      <c r="I191" s="21"/>
      <c r="J191" s="25" t="str">
        <f>IF(NOT(I191=""),INDEX(Master!$B$1:$B$46,MATCH(I191,Master!$A$1:$A$46,0)),"")</f>
        <v/>
      </c>
      <c r="K191" s="18"/>
      <c r="L191" s="86"/>
      <c r="M191" s="13"/>
      <c r="N191" s="13"/>
      <c r="O191" s="18"/>
      <c r="P191" s="35"/>
      <c r="Q191" s="21"/>
      <c r="R191" s="21"/>
      <c r="S191" s="13"/>
      <c r="T191" s="12"/>
      <c r="U191" s="12"/>
      <c r="V191" s="12"/>
      <c r="W191" s="14"/>
      <c r="Y191" s="42" t="str">
        <f>IF(AND(C191=Master!$H$1,B191="2012-2013",E191&gt;1000,G191="PLN03"),H191,"")</f>
        <v/>
      </c>
      <c r="Z191" s="42" t="str">
        <f>IF(AND(C191=Master!$H$1,B191="2012-2013",E191="",G191="PLN03"),H191,"")</f>
        <v/>
      </c>
      <c r="AA191" s="42" t="str">
        <f>IF(AND(C191=Master!$H$2,B191="2012-2013",E191&gt;1000,G191="PLN03"),H191,"")</f>
        <v/>
      </c>
      <c r="AB191" s="42" t="str">
        <f>IF(AND(C191=Master!$H$2,B191="2012-2013",E191="",G191="PLN03"),H191,"")</f>
        <v/>
      </c>
      <c r="AC191" s="42" t="str">
        <f>IF(AND(C191=Master!$H$3,B191="2012-2013",E191&gt;1000,G191="PLN03"),H191,"")</f>
        <v/>
      </c>
      <c r="AD191" s="42" t="str">
        <f>IF(AND(C191=Master!$H$3,B191="2012-2013",E191="",G191="PLN03"),H191,"")</f>
        <v/>
      </c>
      <c r="AE191" s="42" t="str">
        <f>IF(AND(C191=Master!$H$4,B191="2012-2013",E191&gt;1000,G191="PLN03"),H191,"")</f>
        <v/>
      </c>
      <c r="AF191" s="42" t="str">
        <f>IF(AND(C191=Master!$H$4,B191="2012-2013",E191="",G191="PLN03"),H191,"")</f>
        <v/>
      </c>
      <c r="AG191" s="42" t="str">
        <f>IF(AND(C191=Master!$H$5,B191="2012-2013",E191&gt;1000,G191="PLN03"),H191,"")</f>
        <v/>
      </c>
      <c r="AH191" s="42" t="str">
        <f>IF(AND(C191=Master!$H$5,B191="2012-2013",E191="",G191="PLN03"),H191,"")</f>
        <v/>
      </c>
      <c r="AI191" s="42" t="str">
        <f>IF(AND(C191=Master!$H$6,B191="2012-2013",E191&gt;1000,G191="PLN03"),H191,"")</f>
        <v/>
      </c>
      <c r="AJ191" s="42" t="str">
        <f>IF(AND(C191=Master!$H$6,B191="2012-2013",E191="",G191="PLN03"),H191,"")</f>
        <v/>
      </c>
      <c r="AK191" s="42" t="str">
        <f>IF(AND(C191=Master!$H$7,B191="2012-2013",E191&gt;1000,G191="PLN03"),H191,"")</f>
        <v/>
      </c>
      <c r="AL191" s="42" t="str">
        <f>IF(AND(C191=Master!$H$7,B191="2012-2013",E191="",G191="PLN03"),H191,"")</f>
        <v/>
      </c>
      <c r="AM191" s="42" t="str">
        <f>IF(AND(C191=Master!$H$8,B191="2012-2013",E191&gt;1000,G191="PLN03"),H191,"")</f>
        <v/>
      </c>
      <c r="AN191" s="42" t="str">
        <f>IF(AND(C191=Master!$H$8,B191="2012-2013",E191="",G191="PLN03"),H191,"")</f>
        <v/>
      </c>
      <c r="AO191" s="42" t="str">
        <f>IF(AND(C191=Master!$H$9,B191="2012-2013",E191&gt;1000,G191="PLN03"),H191,"")</f>
        <v/>
      </c>
      <c r="AP191" s="42" t="str">
        <f>IF(AND(C191=Master!$H$9,B191="2012-2013",E191="",G191="PLN03"),H191,"")</f>
        <v/>
      </c>
      <c r="AQ191" s="44" t="str">
        <f>IF(AND(C191=Master!$H$1,B191="2012-2013",E191&gt;1000,G191="NPN05"),H191,"")</f>
        <v/>
      </c>
      <c r="AR191" s="44" t="str">
        <f>IF(AND(C191=Master!$H$1,B191="2012-2013",E191="",G191="NPN05"),H191,"")</f>
        <v/>
      </c>
      <c r="AS191" s="44" t="str">
        <f>IF(AND(C191=Master!$H$2,B191="2012-2013",E191&gt;1000,G191="NPN05"),H191,"")</f>
        <v/>
      </c>
      <c r="AT191" s="44" t="str">
        <f>IF(AND(C191=Master!$H$2,B191="2012-2013",E191="",G191="NPN05"),H191,"")</f>
        <v/>
      </c>
      <c r="AU191" s="44" t="str">
        <f>IF(AND(C191=Master!$H$3,B191="2012-2013",E191&gt;1000,G191="NPN05"),H191,"")</f>
        <v/>
      </c>
      <c r="AV191" s="44" t="str">
        <f>IF(AND(C191=Master!$H$3,B191="2012-2013",E191="",G191="NPN05"),H191,"")</f>
        <v/>
      </c>
      <c r="AW191" s="44" t="str">
        <f>IF(AND(C191=Master!$H$4,B191="2012-2013",E191&gt;1000,G191="NPN05"),H191,"")</f>
        <v/>
      </c>
      <c r="AX191" s="44" t="str">
        <f>IF(AND(C191=Master!$H$4,B191="2012-2013",E191="",G191="NPN05"),H191,"")</f>
        <v/>
      </c>
      <c r="AY191" s="44" t="str">
        <f>IF(AND(C191=Master!$H$5,B191="2012-2013",E191&gt;1000,G191="NPN05"),H191,"")</f>
        <v/>
      </c>
      <c r="AZ191" s="44" t="str">
        <f>IF(AND(C191=Master!$H$5,B191="2012-2013",E191="",G191="NPN05"),H191,"")</f>
        <v/>
      </c>
      <c r="BA191" s="44" t="str">
        <f>IF(AND(C191=Master!$H$6,B191="2012-2013",E191&gt;1000,G191="NPN05"),H191,"")</f>
        <v/>
      </c>
      <c r="BB191" s="44" t="str">
        <f>IF(AND(C191=Master!$H$6,B191="2012-2013",E191="",G191="NPN05"),H191,"")</f>
        <v/>
      </c>
      <c r="BC191" s="44" t="str">
        <f>IF(AND(C191=Master!$H$7,B191="2012-2013",E191&gt;1000,G191="NPN05"),H191,"")</f>
        <v/>
      </c>
      <c r="BD191" s="44" t="str">
        <f>IF(AND(C191=Master!$H$7,B191="2012-2013",E191="",G191="NPN05"),H191,"")</f>
        <v/>
      </c>
      <c r="BE191" s="44" t="str">
        <f>IF(AND(C191=Master!$H$8,B191="2012-2013",E191&gt;1000,G191="NPN05"),H191,"")</f>
        <v/>
      </c>
      <c r="BF191" s="44" t="str">
        <f>IF(AND(C191=Master!$H$8,B191="2012-2013",E191="",G191="NPN05"),H191,"")</f>
        <v/>
      </c>
      <c r="BG191" s="44" t="str">
        <f>IF(AND(C191=Master!$H$9,B191="2012-2013",E191&gt;1000,G191="NPN05"),H191,"")</f>
        <v/>
      </c>
      <c r="BH191" s="44" t="str">
        <f>IF(AND(C191=Master!$H$9,B191="2012-2013",E191="",G191="NPN05"),H191,"")</f>
        <v/>
      </c>
    </row>
    <row r="192" spans="1:60" x14ac:dyDescent="0.25">
      <c r="A192" s="3">
        <v>190</v>
      </c>
      <c r="B192" s="12"/>
      <c r="C192" s="12"/>
      <c r="D192" s="31"/>
      <c r="E192" s="4"/>
      <c r="F192" s="13"/>
      <c r="G192" s="21"/>
      <c r="H192" s="35"/>
      <c r="I192" s="21"/>
      <c r="J192" s="25" t="str">
        <f>IF(NOT(I192=""),INDEX(Master!$B$1:$B$46,MATCH(I192,Master!$A$1:$A$46,0)),"")</f>
        <v/>
      </c>
      <c r="K192" s="18"/>
      <c r="L192" s="86"/>
      <c r="M192" s="13"/>
      <c r="N192" s="13"/>
      <c r="O192" s="18"/>
      <c r="P192" s="35"/>
      <c r="Q192" s="21"/>
      <c r="R192" s="21"/>
      <c r="S192" s="13"/>
      <c r="T192" s="12"/>
      <c r="U192" s="12"/>
      <c r="V192" s="12"/>
      <c r="W192" s="14"/>
      <c r="Y192" s="42" t="str">
        <f>IF(AND(C192=Master!$H$1,B192="2012-2013",E192&gt;1000,G192="PLN03"),H192,"")</f>
        <v/>
      </c>
      <c r="Z192" s="42" t="str">
        <f>IF(AND(C192=Master!$H$1,B192="2012-2013",E192="",G192="PLN03"),H192,"")</f>
        <v/>
      </c>
      <c r="AA192" s="42" t="str">
        <f>IF(AND(C192=Master!$H$2,B192="2012-2013",E192&gt;1000,G192="PLN03"),H192,"")</f>
        <v/>
      </c>
      <c r="AB192" s="42" t="str">
        <f>IF(AND(C192=Master!$H$2,B192="2012-2013",E192="",G192="PLN03"),H192,"")</f>
        <v/>
      </c>
      <c r="AC192" s="42" t="str">
        <f>IF(AND(C192=Master!$H$3,B192="2012-2013",E192&gt;1000,G192="PLN03"),H192,"")</f>
        <v/>
      </c>
      <c r="AD192" s="42" t="str">
        <f>IF(AND(C192=Master!$H$3,B192="2012-2013",E192="",G192="PLN03"),H192,"")</f>
        <v/>
      </c>
      <c r="AE192" s="42" t="str">
        <f>IF(AND(C192=Master!$H$4,B192="2012-2013",E192&gt;1000,G192="PLN03"),H192,"")</f>
        <v/>
      </c>
      <c r="AF192" s="42" t="str">
        <f>IF(AND(C192=Master!$H$4,B192="2012-2013",E192="",G192="PLN03"),H192,"")</f>
        <v/>
      </c>
      <c r="AG192" s="42" t="str">
        <f>IF(AND(C192=Master!$H$5,B192="2012-2013",E192&gt;1000,G192="PLN03"),H192,"")</f>
        <v/>
      </c>
      <c r="AH192" s="42" t="str">
        <f>IF(AND(C192=Master!$H$5,B192="2012-2013",E192="",G192="PLN03"),H192,"")</f>
        <v/>
      </c>
      <c r="AI192" s="42" t="str">
        <f>IF(AND(C192=Master!$H$6,B192="2012-2013",E192&gt;1000,G192="PLN03"),H192,"")</f>
        <v/>
      </c>
      <c r="AJ192" s="42" t="str">
        <f>IF(AND(C192=Master!$H$6,B192="2012-2013",E192="",G192="PLN03"),H192,"")</f>
        <v/>
      </c>
      <c r="AK192" s="42" t="str">
        <f>IF(AND(C192=Master!$H$7,B192="2012-2013",E192&gt;1000,G192="PLN03"),H192,"")</f>
        <v/>
      </c>
      <c r="AL192" s="42" t="str">
        <f>IF(AND(C192=Master!$H$7,B192="2012-2013",E192="",G192="PLN03"),H192,"")</f>
        <v/>
      </c>
      <c r="AM192" s="42" t="str">
        <f>IF(AND(C192=Master!$H$8,B192="2012-2013",E192&gt;1000,G192="PLN03"),H192,"")</f>
        <v/>
      </c>
      <c r="AN192" s="42" t="str">
        <f>IF(AND(C192=Master!$H$8,B192="2012-2013",E192="",G192="PLN03"),H192,"")</f>
        <v/>
      </c>
      <c r="AO192" s="42" t="str">
        <f>IF(AND(C192=Master!$H$9,B192="2012-2013",E192&gt;1000,G192="PLN03"),H192,"")</f>
        <v/>
      </c>
      <c r="AP192" s="42" t="str">
        <f>IF(AND(C192=Master!$H$9,B192="2012-2013",E192="",G192="PLN03"),H192,"")</f>
        <v/>
      </c>
      <c r="AQ192" s="44" t="str">
        <f>IF(AND(C192=Master!$H$1,B192="2012-2013",E192&gt;1000,G192="NPN05"),H192,"")</f>
        <v/>
      </c>
      <c r="AR192" s="44" t="str">
        <f>IF(AND(C192=Master!$H$1,B192="2012-2013",E192="",G192="NPN05"),H192,"")</f>
        <v/>
      </c>
      <c r="AS192" s="44" t="str">
        <f>IF(AND(C192=Master!$H$2,B192="2012-2013",E192&gt;1000,G192="NPN05"),H192,"")</f>
        <v/>
      </c>
      <c r="AT192" s="44" t="str">
        <f>IF(AND(C192=Master!$H$2,B192="2012-2013",E192="",G192="NPN05"),H192,"")</f>
        <v/>
      </c>
      <c r="AU192" s="44" t="str">
        <f>IF(AND(C192=Master!$H$3,B192="2012-2013",E192&gt;1000,G192="NPN05"),H192,"")</f>
        <v/>
      </c>
      <c r="AV192" s="44" t="str">
        <f>IF(AND(C192=Master!$H$3,B192="2012-2013",E192="",G192="NPN05"),H192,"")</f>
        <v/>
      </c>
      <c r="AW192" s="44" t="str">
        <f>IF(AND(C192=Master!$H$4,B192="2012-2013",E192&gt;1000,G192="NPN05"),H192,"")</f>
        <v/>
      </c>
      <c r="AX192" s="44" t="str">
        <f>IF(AND(C192=Master!$H$4,B192="2012-2013",E192="",G192="NPN05"),H192,"")</f>
        <v/>
      </c>
      <c r="AY192" s="44" t="str">
        <f>IF(AND(C192=Master!$H$5,B192="2012-2013",E192&gt;1000,G192="NPN05"),H192,"")</f>
        <v/>
      </c>
      <c r="AZ192" s="44" t="str">
        <f>IF(AND(C192=Master!$H$5,B192="2012-2013",E192="",G192="NPN05"),H192,"")</f>
        <v/>
      </c>
      <c r="BA192" s="44" t="str">
        <f>IF(AND(C192=Master!$H$6,B192="2012-2013",E192&gt;1000,G192="NPN05"),H192,"")</f>
        <v/>
      </c>
      <c r="BB192" s="44" t="str">
        <f>IF(AND(C192=Master!$H$6,B192="2012-2013",E192="",G192="NPN05"),H192,"")</f>
        <v/>
      </c>
      <c r="BC192" s="44" t="str">
        <f>IF(AND(C192=Master!$H$7,B192="2012-2013",E192&gt;1000,G192="NPN05"),H192,"")</f>
        <v/>
      </c>
      <c r="BD192" s="44" t="str">
        <f>IF(AND(C192=Master!$H$7,B192="2012-2013",E192="",G192="NPN05"),H192,"")</f>
        <v/>
      </c>
      <c r="BE192" s="44" t="str">
        <f>IF(AND(C192=Master!$H$8,B192="2012-2013",E192&gt;1000,G192="NPN05"),H192,"")</f>
        <v/>
      </c>
      <c r="BF192" s="44" t="str">
        <f>IF(AND(C192=Master!$H$8,B192="2012-2013",E192="",G192="NPN05"),H192,"")</f>
        <v/>
      </c>
      <c r="BG192" s="44" t="str">
        <f>IF(AND(C192=Master!$H$9,B192="2012-2013",E192&gt;1000,G192="NPN05"),H192,"")</f>
        <v/>
      </c>
      <c r="BH192" s="44" t="str">
        <f>IF(AND(C192=Master!$H$9,B192="2012-2013",E192="",G192="NPN05"),H192,"")</f>
        <v/>
      </c>
    </row>
    <row r="193" spans="1:60" x14ac:dyDescent="0.25">
      <c r="A193" s="5">
        <v>191</v>
      </c>
      <c r="B193" s="12"/>
      <c r="C193" s="12"/>
      <c r="D193" s="31"/>
      <c r="E193" s="4"/>
      <c r="F193" s="13"/>
      <c r="G193" s="21"/>
      <c r="H193" s="35"/>
      <c r="I193" s="21"/>
      <c r="J193" s="25" t="str">
        <f>IF(NOT(I193=""),INDEX(Master!$B$1:$B$46,MATCH(I193,Master!$A$1:$A$46,0)),"")</f>
        <v/>
      </c>
      <c r="K193" s="18"/>
      <c r="L193" s="86"/>
      <c r="M193" s="13"/>
      <c r="N193" s="13"/>
      <c r="O193" s="18"/>
      <c r="P193" s="35"/>
      <c r="Q193" s="21"/>
      <c r="R193" s="21"/>
      <c r="S193" s="13"/>
      <c r="T193" s="12"/>
      <c r="U193" s="12"/>
      <c r="V193" s="12"/>
      <c r="W193" s="14"/>
      <c r="Y193" s="42" t="str">
        <f>IF(AND(C193=Master!$H$1,B193="2012-2013",E193&gt;1000,G193="PLN03"),H193,"")</f>
        <v/>
      </c>
      <c r="Z193" s="42" t="str">
        <f>IF(AND(C193=Master!$H$1,B193="2012-2013",E193="",G193="PLN03"),H193,"")</f>
        <v/>
      </c>
      <c r="AA193" s="42" t="str">
        <f>IF(AND(C193=Master!$H$2,B193="2012-2013",E193&gt;1000,G193="PLN03"),H193,"")</f>
        <v/>
      </c>
      <c r="AB193" s="42" t="str">
        <f>IF(AND(C193=Master!$H$2,B193="2012-2013",E193="",G193="PLN03"),H193,"")</f>
        <v/>
      </c>
      <c r="AC193" s="42" t="str">
        <f>IF(AND(C193=Master!$H$3,B193="2012-2013",E193&gt;1000,G193="PLN03"),H193,"")</f>
        <v/>
      </c>
      <c r="AD193" s="42" t="str">
        <f>IF(AND(C193=Master!$H$3,B193="2012-2013",E193="",G193="PLN03"),H193,"")</f>
        <v/>
      </c>
      <c r="AE193" s="42" t="str">
        <f>IF(AND(C193=Master!$H$4,B193="2012-2013",E193&gt;1000,G193="PLN03"),H193,"")</f>
        <v/>
      </c>
      <c r="AF193" s="42" t="str">
        <f>IF(AND(C193=Master!$H$4,B193="2012-2013",E193="",G193="PLN03"),H193,"")</f>
        <v/>
      </c>
      <c r="AG193" s="42" t="str">
        <f>IF(AND(C193=Master!$H$5,B193="2012-2013",E193&gt;1000,G193="PLN03"),H193,"")</f>
        <v/>
      </c>
      <c r="AH193" s="42" t="str">
        <f>IF(AND(C193=Master!$H$5,B193="2012-2013",E193="",G193="PLN03"),H193,"")</f>
        <v/>
      </c>
      <c r="AI193" s="42" t="str">
        <f>IF(AND(C193=Master!$H$6,B193="2012-2013",E193&gt;1000,G193="PLN03"),H193,"")</f>
        <v/>
      </c>
      <c r="AJ193" s="42" t="str">
        <f>IF(AND(C193=Master!$H$6,B193="2012-2013",E193="",G193="PLN03"),H193,"")</f>
        <v/>
      </c>
      <c r="AK193" s="42" t="str">
        <f>IF(AND(C193=Master!$H$7,B193="2012-2013",E193&gt;1000,G193="PLN03"),H193,"")</f>
        <v/>
      </c>
      <c r="AL193" s="42" t="str">
        <f>IF(AND(C193=Master!$H$7,B193="2012-2013",E193="",G193="PLN03"),H193,"")</f>
        <v/>
      </c>
      <c r="AM193" s="42" t="str">
        <f>IF(AND(C193=Master!$H$8,B193="2012-2013",E193&gt;1000,G193="PLN03"),H193,"")</f>
        <v/>
      </c>
      <c r="AN193" s="42" t="str">
        <f>IF(AND(C193=Master!$H$8,B193="2012-2013",E193="",G193="PLN03"),H193,"")</f>
        <v/>
      </c>
      <c r="AO193" s="42" t="str">
        <f>IF(AND(C193=Master!$H$9,B193="2012-2013",E193&gt;1000,G193="PLN03"),H193,"")</f>
        <v/>
      </c>
      <c r="AP193" s="42" t="str">
        <f>IF(AND(C193=Master!$H$9,B193="2012-2013",E193="",G193="PLN03"),H193,"")</f>
        <v/>
      </c>
      <c r="AQ193" s="44" t="str">
        <f>IF(AND(C193=Master!$H$1,B193="2012-2013",E193&gt;1000,G193="NPN05"),H193,"")</f>
        <v/>
      </c>
      <c r="AR193" s="44" t="str">
        <f>IF(AND(C193=Master!$H$1,B193="2012-2013",E193="",G193="NPN05"),H193,"")</f>
        <v/>
      </c>
      <c r="AS193" s="44" t="str">
        <f>IF(AND(C193=Master!$H$2,B193="2012-2013",E193&gt;1000,G193="NPN05"),H193,"")</f>
        <v/>
      </c>
      <c r="AT193" s="44" t="str">
        <f>IF(AND(C193=Master!$H$2,B193="2012-2013",E193="",G193="NPN05"),H193,"")</f>
        <v/>
      </c>
      <c r="AU193" s="44" t="str">
        <f>IF(AND(C193=Master!$H$3,B193="2012-2013",E193&gt;1000,G193="NPN05"),H193,"")</f>
        <v/>
      </c>
      <c r="AV193" s="44" t="str">
        <f>IF(AND(C193=Master!$H$3,B193="2012-2013",E193="",G193="NPN05"),H193,"")</f>
        <v/>
      </c>
      <c r="AW193" s="44" t="str">
        <f>IF(AND(C193=Master!$H$4,B193="2012-2013",E193&gt;1000,G193="NPN05"),H193,"")</f>
        <v/>
      </c>
      <c r="AX193" s="44" t="str">
        <f>IF(AND(C193=Master!$H$4,B193="2012-2013",E193="",G193="NPN05"),H193,"")</f>
        <v/>
      </c>
      <c r="AY193" s="44" t="str">
        <f>IF(AND(C193=Master!$H$5,B193="2012-2013",E193&gt;1000,G193="NPN05"),H193,"")</f>
        <v/>
      </c>
      <c r="AZ193" s="44" t="str">
        <f>IF(AND(C193=Master!$H$5,B193="2012-2013",E193="",G193="NPN05"),H193,"")</f>
        <v/>
      </c>
      <c r="BA193" s="44" t="str">
        <f>IF(AND(C193=Master!$H$6,B193="2012-2013",E193&gt;1000,G193="NPN05"),H193,"")</f>
        <v/>
      </c>
      <c r="BB193" s="44" t="str">
        <f>IF(AND(C193=Master!$H$6,B193="2012-2013",E193="",G193="NPN05"),H193,"")</f>
        <v/>
      </c>
      <c r="BC193" s="44" t="str">
        <f>IF(AND(C193=Master!$H$7,B193="2012-2013",E193&gt;1000,G193="NPN05"),H193,"")</f>
        <v/>
      </c>
      <c r="BD193" s="44" t="str">
        <f>IF(AND(C193=Master!$H$7,B193="2012-2013",E193="",G193="NPN05"),H193,"")</f>
        <v/>
      </c>
      <c r="BE193" s="44" t="str">
        <f>IF(AND(C193=Master!$H$8,B193="2012-2013",E193&gt;1000,G193="NPN05"),H193,"")</f>
        <v/>
      </c>
      <c r="BF193" s="44" t="str">
        <f>IF(AND(C193=Master!$H$8,B193="2012-2013",E193="",G193="NPN05"),H193,"")</f>
        <v/>
      </c>
      <c r="BG193" s="44" t="str">
        <f>IF(AND(C193=Master!$H$9,B193="2012-2013",E193&gt;1000,G193="NPN05"),H193,"")</f>
        <v/>
      </c>
      <c r="BH193" s="44" t="str">
        <f>IF(AND(C193=Master!$H$9,B193="2012-2013",E193="",G193="NPN05"),H193,"")</f>
        <v/>
      </c>
    </row>
    <row r="194" spans="1:60" x14ac:dyDescent="0.25">
      <c r="A194" s="3">
        <v>192</v>
      </c>
      <c r="B194" s="12"/>
      <c r="C194" s="12"/>
      <c r="D194" s="31"/>
      <c r="E194" s="4"/>
      <c r="F194" s="13"/>
      <c r="G194" s="21"/>
      <c r="H194" s="35"/>
      <c r="I194" s="21"/>
      <c r="J194" s="25" t="str">
        <f>IF(NOT(I194=""),INDEX(Master!$B$1:$B$46,MATCH(I194,Master!$A$1:$A$46,0)),"")</f>
        <v/>
      </c>
      <c r="K194" s="18"/>
      <c r="L194" s="86"/>
      <c r="M194" s="13"/>
      <c r="N194" s="13"/>
      <c r="O194" s="18"/>
      <c r="P194" s="35"/>
      <c r="Q194" s="21"/>
      <c r="R194" s="21"/>
      <c r="S194" s="13"/>
      <c r="T194" s="12"/>
      <c r="U194" s="12"/>
      <c r="V194" s="12"/>
      <c r="W194" s="14"/>
      <c r="Y194" s="42" t="str">
        <f>IF(AND(C194=Master!$H$1,B194="2012-2013",E194&gt;1000,G194="PLN03"),H194,"")</f>
        <v/>
      </c>
      <c r="Z194" s="42" t="str">
        <f>IF(AND(C194=Master!$H$1,B194="2012-2013",E194="",G194="PLN03"),H194,"")</f>
        <v/>
      </c>
      <c r="AA194" s="42" t="str">
        <f>IF(AND(C194=Master!$H$2,B194="2012-2013",E194&gt;1000,G194="PLN03"),H194,"")</f>
        <v/>
      </c>
      <c r="AB194" s="42" t="str">
        <f>IF(AND(C194=Master!$H$2,B194="2012-2013",E194="",G194="PLN03"),H194,"")</f>
        <v/>
      </c>
      <c r="AC194" s="42" t="str">
        <f>IF(AND(C194=Master!$H$3,B194="2012-2013",E194&gt;1000,G194="PLN03"),H194,"")</f>
        <v/>
      </c>
      <c r="AD194" s="42" t="str">
        <f>IF(AND(C194=Master!$H$3,B194="2012-2013",E194="",G194="PLN03"),H194,"")</f>
        <v/>
      </c>
      <c r="AE194" s="42" t="str">
        <f>IF(AND(C194=Master!$H$4,B194="2012-2013",E194&gt;1000,G194="PLN03"),H194,"")</f>
        <v/>
      </c>
      <c r="AF194" s="42" t="str">
        <f>IF(AND(C194=Master!$H$4,B194="2012-2013",E194="",G194="PLN03"),H194,"")</f>
        <v/>
      </c>
      <c r="AG194" s="42" t="str">
        <f>IF(AND(C194=Master!$H$5,B194="2012-2013",E194&gt;1000,G194="PLN03"),H194,"")</f>
        <v/>
      </c>
      <c r="AH194" s="42" t="str">
        <f>IF(AND(C194=Master!$H$5,B194="2012-2013",E194="",G194="PLN03"),H194,"")</f>
        <v/>
      </c>
      <c r="AI194" s="42" t="str">
        <f>IF(AND(C194=Master!$H$6,B194="2012-2013",E194&gt;1000,G194="PLN03"),H194,"")</f>
        <v/>
      </c>
      <c r="AJ194" s="42" t="str">
        <f>IF(AND(C194=Master!$H$6,B194="2012-2013",E194="",G194="PLN03"),H194,"")</f>
        <v/>
      </c>
      <c r="AK194" s="42" t="str">
        <f>IF(AND(C194=Master!$H$7,B194="2012-2013",E194&gt;1000,G194="PLN03"),H194,"")</f>
        <v/>
      </c>
      <c r="AL194" s="42" t="str">
        <f>IF(AND(C194=Master!$H$7,B194="2012-2013",E194="",G194="PLN03"),H194,"")</f>
        <v/>
      </c>
      <c r="AM194" s="42" t="str">
        <f>IF(AND(C194=Master!$H$8,B194="2012-2013",E194&gt;1000,G194="PLN03"),H194,"")</f>
        <v/>
      </c>
      <c r="AN194" s="42" t="str">
        <f>IF(AND(C194=Master!$H$8,B194="2012-2013",E194="",G194="PLN03"),H194,"")</f>
        <v/>
      </c>
      <c r="AO194" s="42" t="str">
        <f>IF(AND(C194=Master!$H$9,B194="2012-2013",E194&gt;1000,G194="PLN03"),H194,"")</f>
        <v/>
      </c>
      <c r="AP194" s="42" t="str">
        <f>IF(AND(C194=Master!$H$9,B194="2012-2013",E194="",G194="PLN03"),H194,"")</f>
        <v/>
      </c>
      <c r="AQ194" s="44" t="str">
        <f>IF(AND(C194=Master!$H$1,B194="2012-2013",E194&gt;1000,G194="NPN05"),H194,"")</f>
        <v/>
      </c>
      <c r="AR194" s="44" t="str">
        <f>IF(AND(C194=Master!$H$1,B194="2012-2013",E194="",G194="NPN05"),H194,"")</f>
        <v/>
      </c>
      <c r="AS194" s="44" t="str">
        <f>IF(AND(C194=Master!$H$2,B194="2012-2013",E194&gt;1000,G194="NPN05"),H194,"")</f>
        <v/>
      </c>
      <c r="AT194" s="44" t="str">
        <f>IF(AND(C194=Master!$H$2,B194="2012-2013",E194="",G194="NPN05"),H194,"")</f>
        <v/>
      </c>
      <c r="AU194" s="44" t="str">
        <f>IF(AND(C194=Master!$H$3,B194="2012-2013",E194&gt;1000,G194="NPN05"),H194,"")</f>
        <v/>
      </c>
      <c r="AV194" s="44" t="str">
        <f>IF(AND(C194=Master!$H$3,B194="2012-2013",E194="",G194="NPN05"),H194,"")</f>
        <v/>
      </c>
      <c r="AW194" s="44" t="str">
        <f>IF(AND(C194=Master!$H$4,B194="2012-2013",E194&gt;1000,G194="NPN05"),H194,"")</f>
        <v/>
      </c>
      <c r="AX194" s="44" t="str">
        <f>IF(AND(C194=Master!$H$4,B194="2012-2013",E194="",G194="NPN05"),H194,"")</f>
        <v/>
      </c>
      <c r="AY194" s="44" t="str">
        <f>IF(AND(C194=Master!$H$5,B194="2012-2013",E194&gt;1000,G194="NPN05"),H194,"")</f>
        <v/>
      </c>
      <c r="AZ194" s="44" t="str">
        <f>IF(AND(C194=Master!$H$5,B194="2012-2013",E194="",G194="NPN05"),H194,"")</f>
        <v/>
      </c>
      <c r="BA194" s="44" t="str">
        <f>IF(AND(C194=Master!$H$6,B194="2012-2013",E194&gt;1000,G194="NPN05"),H194,"")</f>
        <v/>
      </c>
      <c r="BB194" s="44" t="str">
        <f>IF(AND(C194=Master!$H$6,B194="2012-2013",E194="",G194="NPN05"),H194,"")</f>
        <v/>
      </c>
      <c r="BC194" s="44" t="str">
        <f>IF(AND(C194=Master!$H$7,B194="2012-2013",E194&gt;1000,G194="NPN05"),H194,"")</f>
        <v/>
      </c>
      <c r="BD194" s="44" t="str">
        <f>IF(AND(C194=Master!$H$7,B194="2012-2013",E194="",G194="NPN05"),H194,"")</f>
        <v/>
      </c>
      <c r="BE194" s="44" t="str">
        <f>IF(AND(C194=Master!$H$8,B194="2012-2013",E194&gt;1000,G194="NPN05"),H194,"")</f>
        <v/>
      </c>
      <c r="BF194" s="44" t="str">
        <f>IF(AND(C194=Master!$H$8,B194="2012-2013",E194="",G194="NPN05"),H194,"")</f>
        <v/>
      </c>
      <c r="BG194" s="44" t="str">
        <f>IF(AND(C194=Master!$H$9,B194="2012-2013",E194&gt;1000,G194="NPN05"),H194,"")</f>
        <v/>
      </c>
      <c r="BH194" s="44" t="str">
        <f>IF(AND(C194=Master!$H$9,B194="2012-2013",E194="",G194="NPN05"),H194,"")</f>
        <v/>
      </c>
    </row>
    <row r="195" spans="1:60" x14ac:dyDescent="0.25">
      <c r="A195" s="3">
        <v>193</v>
      </c>
      <c r="B195" s="12"/>
      <c r="C195" s="12"/>
      <c r="D195" s="31"/>
      <c r="E195" s="4"/>
      <c r="F195" s="13"/>
      <c r="G195" s="21"/>
      <c r="H195" s="35"/>
      <c r="I195" s="21"/>
      <c r="J195" s="25" t="str">
        <f>IF(NOT(I195=""),INDEX(Master!$B$1:$B$46,MATCH(I195,Master!$A$1:$A$46,0)),"")</f>
        <v/>
      </c>
      <c r="K195" s="18"/>
      <c r="L195" s="86"/>
      <c r="M195" s="13"/>
      <c r="N195" s="13"/>
      <c r="O195" s="18"/>
      <c r="P195" s="35"/>
      <c r="Q195" s="21"/>
      <c r="R195" s="21"/>
      <c r="S195" s="13"/>
      <c r="T195" s="12"/>
      <c r="U195" s="12"/>
      <c r="V195" s="12"/>
      <c r="W195" s="14"/>
      <c r="Y195" s="42" t="str">
        <f>IF(AND(C195=Master!$H$1,B195="2012-2013",E195&gt;1000,G195="PLN03"),H195,"")</f>
        <v/>
      </c>
      <c r="Z195" s="42" t="str">
        <f>IF(AND(C195=Master!$H$1,B195="2012-2013",E195="",G195="PLN03"),H195,"")</f>
        <v/>
      </c>
      <c r="AA195" s="42" t="str">
        <f>IF(AND(C195=Master!$H$2,B195="2012-2013",E195&gt;1000,G195="PLN03"),H195,"")</f>
        <v/>
      </c>
      <c r="AB195" s="42" t="str">
        <f>IF(AND(C195=Master!$H$2,B195="2012-2013",E195="",G195="PLN03"),H195,"")</f>
        <v/>
      </c>
      <c r="AC195" s="42" t="str">
        <f>IF(AND(C195=Master!$H$3,B195="2012-2013",E195&gt;1000,G195="PLN03"),H195,"")</f>
        <v/>
      </c>
      <c r="AD195" s="42" t="str">
        <f>IF(AND(C195=Master!$H$3,B195="2012-2013",E195="",G195="PLN03"),H195,"")</f>
        <v/>
      </c>
      <c r="AE195" s="42" t="str">
        <f>IF(AND(C195=Master!$H$4,B195="2012-2013",E195&gt;1000,G195="PLN03"),H195,"")</f>
        <v/>
      </c>
      <c r="AF195" s="42" t="str">
        <f>IF(AND(C195=Master!$H$4,B195="2012-2013",E195="",G195="PLN03"),H195,"")</f>
        <v/>
      </c>
      <c r="AG195" s="42" t="str">
        <f>IF(AND(C195=Master!$H$5,B195="2012-2013",E195&gt;1000,G195="PLN03"),H195,"")</f>
        <v/>
      </c>
      <c r="AH195" s="42" t="str">
        <f>IF(AND(C195=Master!$H$5,B195="2012-2013",E195="",G195="PLN03"),H195,"")</f>
        <v/>
      </c>
      <c r="AI195" s="42" t="str">
        <f>IF(AND(C195=Master!$H$6,B195="2012-2013",E195&gt;1000,G195="PLN03"),H195,"")</f>
        <v/>
      </c>
      <c r="AJ195" s="42" t="str">
        <f>IF(AND(C195=Master!$H$6,B195="2012-2013",E195="",G195="PLN03"),H195,"")</f>
        <v/>
      </c>
      <c r="AK195" s="42" t="str">
        <f>IF(AND(C195=Master!$H$7,B195="2012-2013",E195&gt;1000,G195="PLN03"),H195,"")</f>
        <v/>
      </c>
      <c r="AL195" s="42" t="str">
        <f>IF(AND(C195=Master!$H$7,B195="2012-2013",E195="",G195="PLN03"),H195,"")</f>
        <v/>
      </c>
      <c r="AM195" s="42" t="str">
        <f>IF(AND(C195=Master!$H$8,B195="2012-2013",E195&gt;1000,G195="PLN03"),H195,"")</f>
        <v/>
      </c>
      <c r="AN195" s="42" t="str">
        <f>IF(AND(C195=Master!$H$8,B195="2012-2013",E195="",G195="PLN03"),H195,"")</f>
        <v/>
      </c>
      <c r="AO195" s="42" t="str">
        <f>IF(AND(C195=Master!$H$9,B195="2012-2013",E195&gt;1000,G195="PLN03"),H195,"")</f>
        <v/>
      </c>
      <c r="AP195" s="42" t="str">
        <f>IF(AND(C195=Master!$H$9,B195="2012-2013",E195="",G195="PLN03"),H195,"")</f>
        <v/>
      </c>
      <c r="AQ195" s="44" t="str">
        <f>IF(AND(C195=Master!$H$1,B195="2012-2013",E195&gt;1000,G195="NPN05"),H195,"")</f>
        <v/>
      </c>
      <c r="AR195" s="44" t="str">
        <f>IF(AND(C195=Master!$H$1,B195="2012-2013",E195="",G195="NPN05"),H195,"")</f>
        <v/>
      </c>
      <c r="AS195" s="44" t="str">
        <f>IF(AND(C195=Master!$H$2,B195="2012-2013",E195&gt;1000,G195="NPN05"),H195,"")</f>
        <v/>
      </c>
      <c r="AT195" s="44" t="str">
        <f>IF(AND(C195=Master!$H$2,B195="2012-2013",E195="",G195="NPN05"),H195,"")</f>
        <v/>
      </c>
      <c r="AU195" s="44" t="str">
        <f>IF(AND(C195=Master!$H$3,B195="2012-2013",E195&gt;1000,G195="NPN05"),H195,"")</f>
        <v/>
      </c>
      <c r="AV195" s="44" t="str">
        <f>IF(AND(C195=Master!$H$3,B195="2012-2013",E195="",G195="NPN05"),H195,"")</f>
        <v/>
      </c>
      <c r="AW195" s="44" t="str">
        <f>IF(AND(C195=Master!$H$4,B195="2012-2013",E195&gt;1000,G195="NPN05"),H195,"")</f>
        <v/>
      </c>
      <c r="AX195" s="44" t="str">
        <f>IF(AND(C195=Master!$H$4,B195="2012-2013",E195="",G195="NPN05"),H195,"")</f>
        <v/>
      </c>
      <c r="AY195" s="44" t="str">
        <f>IF(AND(C195=Master!$H$5,B195="2012-2013",E195&gt;1000,G195="NPN05"),H195,"")</f>
        <v/>
      </c>
      <c r="AZ195" s="44" t="str">
        <f>IF(AND(C195=Master!$H$5,B195="2012-2013",E195="",G195="NPN05"),H195,"")</f>
        <v/>
      </c>
      <c r="BA195" s="44" t="str">
        <f>IF(AND(C195=Master!$H$6,B195="2012-2013",E195&gt;1000,G195="NPN05"),H195,"")</f>
        <v/>
      </c>
      <c r="BB195" s="44" t="str">
        <f>IF(AND(C195=Master!$H$6,B195="2012-2013",E195="",G195="NPN05"),H195,"")</f>
        <v/>
      </c>
      <c r="BC195" s="44" t="str">
        <f>IF(AND(C195=Master!$H$7,B195="2012-2013",E195&gt;1000,G195="NPN05"),H195,"")</f>
        <v/>
      </c>
      <c r="BD195" s="44" t="str">
        <f>IF(AND(C195=Master!$H$7,B195="2012-2013",E195="",G195="NPN05"),H195,"")</f>
        <v/>
      </c>
      <c r="BE195" s="44" t="str">
        <f>IF(AND(C195=Master!$H$8,B195="2012-2013",E195&gt;1000,G195="NPN05"),H195,"")</f>
        <v/>
      </c>
      <c r="BF195" s="44" t="str">
        <f>IF(AND(C195=Master!$H$8,B195="2012-2013",E195="",G195="NPN05"),H195,"")</f>
        <v/>
      </c>
      <c r="BG195" s="44" t="str">
        <f>IF(AND(C195=Master!$H$9,B195="2012-2013",E195&gt;1000,G195="NPN05"),H195,"")</f>
        <v/>
      </c>
      <c r="BH195" s="44" t="str">
        <f>IF(AND(C195=Master!$H$9,B195="2012-2013",E195="",G195="NPN05"),H195,"")</f>
        <v/>
      </c>
    </row>
    <row r="196" spans="1:60" x14ac:dyDescent="0.25">
      <c r="A196" s="3">
        <v>194</v>
      </c>
      <c r="B196" s="12"/>
      <c r="C196" s="12"/>
      <c r="D196" s="31"/>
      <c r="E196" s="4"/>
      <c r="F196" s="13"/>
      <c r="G196" s="21"/>
      <c r="H196" s="35"/>
      <c r="I196" s="21"/>
      <c r="J196" s="25" t="str">
        <f>IF(NOT(I196=""),INDEX(Master!$B$1:$B$46,MATCH(I196,Master!$A$1:$A$46,0)),"")</f>
        <v/>
      </c>
      <c r="K196" s="18"/>
      <c r="L196" s="86"/>
      <c r="M196" s="13"/>
      <c r="N196" s="13"/>
      <c r="O196" s="18"/>
      <c r="P196" s="35"/>
      <c r="Q196" s="21"/>
      <c r="R196" s="21"/>
      <c r="S196" s="13"/>
      <c r="T196" s="12"/>
      <c r="U196" s="12"/>
      <c r="V196" s="12"/>
      <c r="W196" s="14"/>
      <c r="Y196" s="42" t="str">
        <f>IF(AND(C196=Master!$H$1,B196="2012-2013",E196&gt;1000,G196="PLN03"),H196,"")</f>
        <v/>
      </c>
      <c r="Z196" s="42" t="str">
        <f>IF(AND(C196=Master!$H$1,B196="2012-2013",E196="",G196="PLN03"),H196,"")</f>
        <v/>
      </c>
      <c r="AA196" s="42" t="str">
        <f>IF(AND(C196=Master!$H$2,B196="2012-2013",E196&gt;1000,G196="PLN03"),H196,"")</f>
        <v/>
      </c>
      <c r="AB196" s="42" t="str">
        <f>IF(AND(C196=Master!$H$2,B196="2012-2013",E196="",G196="PLN03"),H196,"")</f>
        <v/>
      </c>
      <c r="AC196" s="42" t="str">
        <f>IF(AND(C196=Master!$H$3,B196="2012-2013",E196&gt;1000,G196="PLN03"),H196,"")</f>
        <v/>
      </c>
      <c r="AD196" s="42" t="str">
        <f>IF(AND(C196=Master!$H$3,B196="2012-2013",E196="",G196="PLN03"),H196,"")</f>
        <v/>
      </c>
      <c r="AE196" s="42" t="str">
        <f>IF(AND(C196=Master!$H$4,B196="2012-2013",E196&gt;1000,G196="PLN03"),H196,"")</f>
        <v/>
      </c>
      <c r="AF196" s="42" t="str">
        <f>IF(AND(C196=Master!$H$4,B196="2012-2013",E196="",G196="PLN03"),H196,"")</f>
        <v/>
      </c>
      <c r="AG196" s="42" t="str">
        <f>IF(AND(C196=Master!$H$5,B196="2012-2013",E196&gt;1000,G196="PLN03"),H196,"")</f>
        <v/>
      </c>
      <c r="AH196" s="42" t="str">
        <f>IF(AND(C196=Master!$H$5,B196="2012-2013",E196="",G196="PLN03"),H196,"")</f>
        <v/>
      </c>
      <c r="AI196" s="42" t="str">
        <f>IF(AND(C196=Master!$H$6,B196="2012-2013",E196&gt;1000,G196="PLN03"),H196,"")</f>
        <v/>
      </c>
      <c r="AJ196" s="42" t="str">
        <f>IF(AND(C196=Master!$H$6,B196="2012-2013",E196="",G196="PLN03"),H196,"")</f>
        <v/>
      </c>
      <c r="AK196" s="42" t="str">
        <f>IF(AND(C196=Master!$H$7,B196="2012-2013",E196&gt;1000,G196="PLN03"),H196,"")</f>
        <v/>
      </c>
      <c r="AL196" s="42" t="str">
        <f>IF(AND(C196=Master!$H$7,B196="2012-2013",E196="",G196="PLN03"),H196,"")</f>
        <v/>
      </c>
      <c r="AM196" s="42" t="str">
        <f>IF(AND(C196=Master!$H$8,B196="2012-2013",E196&gt;1000,G196="PLN03"),H196,"")</f>
        <v/>
      </c>
      <c r="AN196" s="42" t="str">
        <f>IF(AND(C196=Master!$H$8,B196="2012-2013",E196="",G196="PLN03"),H196,"")</f>
        <v/>
      </c>
      <c r="AO196" s="42" t="str">
        <f>IF(AND(C196=Master!$H$9,B196="2012-2013",E196&gt;1000,G196="PLN03"),H196,"")</f>
        <v/>
      </c>
      <c r="AP196" s="42" t="str">
        <f>IF(AND(C196=Master!$H$9,B196="2012-2013",E196="",G196="PLN03"),H196,"")</f>
        <v/>
      </c>
      <c r="AQ196" s="44" t="str">
        <f>IF(AND(C196=Master!$H$1,B196="2012-2013",E196&gt;1000,G196="NPN05"),H196,"")</f>
        <v/>
      </c>
      <c r="AR196" s="44" t="str">
        <f>IF(AND(C196=Master!$H$1,B196="2012-2013",E196="",G196="NPN05"),H196,"")</f>
        <v/>
      </c>
      <c r="AS196" s="44" t="str">
        <f>IF(AND(C196=Master!$H$2,B196="2012-2013",E196&gt;1000,G196="NPN05"),H196,"")</f>
        <v/>
      </c>
      <c r="AT196" s="44" t="str">
        <f>IF(AND(C196=Master!$H$2,B196="2012-2013",E196="",G196="NPN05"),H196,"")</f>
        <v/>
      </c>
      <c r="AU196" s="44" t="str">
        <f>IF(AND(C196=Master!$H$3,B196="2012-2013",E196&gt;1000,G196="NPN05"),H196,"")</f>
        <v/>
      </c>
      <c r="AV196" s="44" t="str">
        <f>IF(AND(C196=Master!$H$3,B196="2012-2013",E196="",G196="NPN05"),H196,"")</f>
        <v/>
      </c>
      <c r="AW196" s="44" t="str">
        <f>IF(AND(C196=Master!$H$4,B196="2012-2013",E196&gt;1000,G196="NPN05"),H196,"")</f>
        <v/>
      </c>
      <c r="AX196" s="44" t="str">
        <f>IF(AND(C196=Master!$H$4,B196="2012-2013",E196="",G196="NPN05"),H196,"")</f>
        <v/>
      </c>
      <c r="AY196" s="44" t="str">
        <f>IF(AND(C196=Master!$H$5,B196="2012-2013",E196&gt;1000,G196="NPN05"),H196,"")</f>
        <v/>
      </c>
      <c r="AZ196" s="44" t="str">
        <f>IF(AND(C196=Master!$H$5,B196="2012-2013",E196="",G196="NPN05"),H196,"")</f>
        <v/>
      </c>
      <c r="BA196" s="44" t="str">
        <f>IF(AND(C196=Master!$H$6,B196="2012-2013",E196&gt;1000,G196="NPN05"),H196,"")</f>
        <v/>
      </c>
      <c r="BB196" s="44" t="str">
        <f>IF(AND(C196=Master!$H$6,B196="2012-2013",E196="",G196="NPN05"),H196,"")</f>
        <v/>
      </c>
      <c r="BC196" s="44" t="str">
        <f>IF(AND(C196=Master!$H$7,B196="2012-2013",E196&gt;1000,G196="NPN05"),H196,"")</f>
        <v/>
      </c>
      <c r="BD196" s="44" t="str">
        <f>IF(AND(C196=Master!$H$7,B196="2012-2013",E196="",G196="NPN05"),H196,"")</f>
        <v/>
      </c>
      <c r="BE196" s="44" t="str">
        <f>IF(AND(C196=Master!$H$8,B196="2012-2013",E196&gt;1000,G196="NPN05"),H196,"")</f>
        <v/>
      </c>
      <c r="BF196" s="44" t="str">
        <f>IF(AND(C196=Master!$H$8,B196="2012-2013",E196="",G196="NPN05"),H196,"")</f>
        <v/>
      </c>
      <c r="BG196" s="44" t="str">
        <f>IF(AND(C196=Master!$H$9,B196="2012-2013",E196&gt;1000,G196="NPN05"),H196,"")</f>
        <v/>
      </c>
      <c r="BH196" s="44" t="str">
        <f>IF(AND(C196=Master!$H$9,B196="2012-2013",E196="",G196="NPN05"),H196,"")</f>
        <v/>
      </c>
    </row>
    <row r="197" spans="1:60" x14ac:dyDescent="0.25">
      <c r="A197" s="3">
        <v>195</v>
      </c>
      <c r="B197" s="12"/>
      <c r="C197" s="12"/>
      <c r="D197" s="31"/>
      <c r="E197" s="4"/>
      <c r="F197" s="13"/>
      <c r="G197" s="21"/>
      <c r="H197" s="35"/>
      <c r="I197" s="21"/>
      <c r="J197" s="25" t="str">
        <f>IF(NOT(I197=""),INDEX(Master!$B$1:$B$46,MATCH(I197,Master!$A$1:$A$46,0)),"")</f>
        <v/>
      </c>
      <c r="K197" s="18"/>
      <c r="L197" s="86"/>
      <c r="M197" s="13"/>
      <c r="N197" s="13"/>
      <c r="O197" s="18"/>
      <c r="P197" s="35"/>
      <c r="Q197" s="21"/>
      <c r="R197" s="21"/>
      <c r="S197" s="13"/>
      <c r="T197" s="12"/>
      <c r="U197" s="12"/>
      <c r="V197" s="12"/>
      <c r="W197" s="14"/>
      <c r="Y197" s="42" t="str">
        <f>IF(AND(C197=Master!$H$1,B197="2012-2013",E197&gt;1000,G197="PLN03"),H197,"")</f>
        <v/>
      </c>
      <c r="Z197" s="42" t="str">
        <f>IF(AND(C197=Master!$H$1,B197="2012-2013",E197="",G197="PLN03"),H197,"")</f>
        <v/>
      </c>
      <c r="AA197" s="42" t="str">
        <f>IF(AND(C197=Master!$H$2,B197="2012-2013",E197&gt;1000,G197="PLN03"),H197,"")</f>
        <v/>
      </c>
      <c r="AB197" s="42" t="str">
        <f>IF(AND(C197=Master!$H$2,B197="2012-2013",E197="",G197="PLN03"),H197,"")</f>
        <v/>
      </c>
      <c r="AC197" s="42" t="str">
        <f>IF(AND(C197=Master!$H$3,B197="2012-2013",E197&gt;1000,G197="PLN03"),H197,"")</f>
        <v/>
      </c>
      <c r="AD197" s="42" t="str">
        <f>IF(AND(C197=Master!$H$3,B197="2012-2013",E197="",G197="PLN03"),H197,"")</f>
        <v/>
      </c>
      <c r="AE197" s="42" t="str">
        <f>IF(AND(C197=Master!$H$4,B197="2012-2013",E197&gt;1000,G197="PLN03"),H197,"")</f>
        <v/>
      </c>
      <c r="AF197" s="42" t="str">
        <f>IF(AND(C197=Master!$H$4,B197="2012-2013",E197="",G197="PLN03"),H197,"")</f>
        <v/>
      </c>
      <c r="AG197" s="42" t="str">
        <f>IF(AND(C197=Master!$H$5,B197="2012-2013",E197&gt;1000,G197="PLN03"),H197,"")</f>
        <v/>
      </c>
      <c r="AH197" s="42" t="str">
        <f>IF(AND(C197=Master!$H$5,B197="2012-2013",E197="",G197="PLN03"),H197,"")</f>
        <v/>
      </c>
      <c r="AI197" s="42" t="str">
        <f>IF(AND(C197=Master!$H$6,B197="2012-2013",E197&gt;1000,G197="PLN03"),H197,"")</f>
        <v/>
      </c>
      <c r="AJ197" s="42" t="str">
        <f>IF(AND(C197=Master!$H$6,B197="2012-2013",E197="",G197="PLN03"),H197,"")</f>
        <v/>
      </c>
      <c r="AK197" s="42" t="str">
        <f>IF(AND(C197=Master!$H$7,B197="2012-2013",E197&gt;1000,G197="PLN03"),H197,"")</f>
        <v/>
      </c>
      <c r="AL197" s="42" t="str">
        <f>IF(AND(C197=Master!$H$7,B197="2012-2013",E197="",G197="PLN03"),H197,"")</f>
        <v/>
      </c>
      <c r="AM197" s="42" t="str">
        <f>IF(AND(C197=Master!$H$8,B197="2012-2013",E197&gt;1000,G197="PLN03"),H197,"")</f>
        <v/>
      </c>
      <c r="AN197" s="42" t="str">
        <f>IF(AND(C197=Master!$H$8,B197="2012-2013",E197="",G197="PLN03"),H197,"")</f>
        <v/>
      </c>
      <c r="AO197" s="42" t="str">
        <f>IF(AND(C197=Master!$H$9,B197="2012-2013",E197&gt;1000,G197="PLN03"),H197,"")</f>
        <v/>
      </c>
      <c r="AP197" s="42" t="str">
        <f>IF(AND(C197=Master!$H$9,B197="2012-2013",E197="",G197="PLN03"),H197,"")</f>
        <v/>
      </c>
      <c r="AQ197" s="44" t="str">
        <f>IF(AND(C197=Master!$H$1,B197="2012-2013",E197&gt;1000,G197="NPN05"),H197,"")</f>
        <v/>
      </c>
      <c r="AR197" s="44" t="str">
        <f>IF(AND(C197=Master!$H$1,B197="2012-2013",E197="",G197="NPN05"),H197,"")</f>
        <v/>
      </c>
      <c r="AS197" s="44" t="str">
        <f>IF(AND(C197=Master!$H$2,B197="2012-2013",E197&gt;1000,G197="NPN05"),H197,"")</f>
        <v/>
      </c>
      <c r="AT197" s="44" t="str">
        <f>IF(AND(C197=Master!$H$2,B197="2012-2013",E197="",G197="NPN05"),H197,"")</f>
        <v/>
      </c>
      <c r="AU197" s="44" t="str">
        <f>IF(AND(C197=Master!$H$3,B197="2012-2013",E197&gt;1000,G197="NPN05"),H197,"")</f>
        <v/>
      </c>
      <c r="AV197" s="44" t="str">
        <f>IF(AND(C197=Master!$H$3,B197="2012-2013",E197="",G197="NPN05"),H197,"")</f>
        <v/>
      </c>
      <c r="AW197" s="44" t="str">
        <f>IF(AND(C197=Master!$H$4,B197="2012-2013",E197&gt;1000,G197="NPN05"),H197,"")</f>
        <v/>
      </c>
      <c r="AX197" s="44" t="str">
        <f>IF(AND(C197=Master!$H$4,B197="2012-2013",E197="",G197="NPN05"),H197,"")</f>
        <v/>
      </c>
      <c r="AY197" s="44" t="str">
        <f>IF(AND(C197=Master!$H$5,B197="2012-2013",E197&gt;1000,G197="NPN05"),H197,"")</f>
        <v/>
      </c>
      <c r="AZ197" s="44" t="str">
        <f>IF(AND(C197=Master!$H$5,B197="2012-2013",E197="",G197="NPN05"),H197,"")</f>
        <v/>
      </c>
      <c r="BA197" s="44" t="str">
        <f>IF(AND(C197=Master!$H$6,B197="2012-2013",E197&gt;1000,G197="NPN05"),H197,"")</f>
        <v/>
      </c>
      <c r="BB197" s="44" t="str">
        <f>IF(AND(C197=Master!$H$6,B197="2012-2013",E197="",G197="NPN05"),H197,"")</f>
        <v/>
      </c>
      <c r="BC197" s="44" t="str">
        <f>IF(AND(C197=Master!$H$7,B197="2012-2013",E197&gt;1000,G197="NPN05"),H197,"")</f>
        <v/>
      </c>
      <c r="BD197" s="44" t="str">
        <f>IF(AND(C197=Master!$H$7,B197="2012-2013",E197="",G197="NPN05"),H197,"")</f>
        <v/>
      </c>
      <c r="BE197" s="44" t="str">
        <f>IF(AND(C197=Master!$H$8,B197="2012-2013",E197&gt;1000,G197="NPN05"),H197,"")</f>
        <v/>
      </c>
      <c r="BF197" s="44" t="str">
        <f>IF(AND(C197=Master!$H$8,B197="2012-2013",E197="",G197="NPN05"),H197,"")</f>
        <v/>
      </c>
      <c r="BG197" s="44" t="str">
        <f>IF(AND(C197=Master!$H$9,B197="2012-2013",E197&gt;1000,G197="NPN05"),H197,"")</f>
        <v/>
      </c>
      <c r="BH197" s="44" t="str">
        <f>IF(AND(C197=Master!$H$9,B197="2012-2013",E197="",G197="NPN05"),H197,"")</f>
        <v/>
      </c>
    </row>
    <row r="198" spans="1:60" x14ac:dyDescent="0.25">
      <c r="A198" s="3">
        <v>196</v>
      </c>
      <c r="B198" s="12"/>
      <c r="C198" s="12"/>
      <c r="D198" s="31"/>
      <c r="E198" s="4"/>
      <c r="F198" s="13"/>
      <c r="G198" s="21"/>
      <c r="H198" s="35"/>
      <c r="I198" s="21"/>
      <c r="J198" s="25" t="str">
        <f>IF(NOT(I198=""),INDEX(Master!$B$1:$B$46,MATCH(I198,Master!$A$1:$A$46,0)),"")</f>
        <v/>
      </c>
      <c r="K198" s="18"/>
      <c r="L198" s="86"/>
      <c r="M198" s="13"/>
      <c r="N198" s="13"/>
      <c r="O198" s="18"/>
      <c r="P198" s="35"/>
      <c r="Q198" s="21"/>
      <c r="R198" s="21"/>
      <c r="S198" s="13"/>
      <c r="T198" s="12"/>
      <c r="U198" s="12"/>
      <c r="V198" s="12"/>
      <c r="W198" s="14"/>
      <c r="Y198" s="42" t="str">
        <f>IF(AND(C198=Master!$H$1,B198="2012-2013",E198&gt;1000,G198="PLN03"),H198,"")</f>
        <v/>
      </c>
      <c r="Z198" s="42" t="str">
        <f>IF(AND(C198=Master!$H$1,B198="2012-2013",E198="",G198="PLN03"),H198,"")</f>
        <v/>
      </c>
      <c r="AA198" s="42" t="str">
        <f>IF(AND(C198=Master!$H$2,B198="2012-2013",E198&gt;1000,G198="PLN03"),H198,"")</f>
        <v/>
      </c>
      <c r="AB198" s="42" t="str">
        <f>IF(AND(C198=Master!$H$2,B198="2012-2013",E198="",G198="PLN03"),H198,"")</f>
        <v/>
      </c>
      <c r="AC198" s="42" t="str">
        <f>IF(AND(C198=Master!$H$3,B198="2012-2013",E198&gt;1000,G198="PLN03"),H198,"")</f>
        <v/>
      </c>
      <c r="AD198" s="42" t="str">
        <f>IF(AND(C198=Master!$H$3,B198="2012-2013",E198="",G198="PLN03"),H198,"")</f>
        <v/>
      </c>
      <c r="AE198" s="42" t="str">
        <f>IF(AND(C198=Master!$H$4,B198="2012-2013",E198&gt;1000,G198="PLN03"),H198,"")</f>
        <v/>
      </c>
      <c r="AF198" s="42" t="str">
        <f>IF(AND(C198=Master!$H$4,B198="2012-2013",E198="",G198="PLN03"),H198,"")</f>
        <v/>
      </c>
      <c r="AG198" s="42" t="str">
        <f>IF(AND(C198=Master!$H$5,B198="2012-2013",E198&gt;1000,G198="PLN03"),H198,"")</f>
        <v/>
      </c>
      <c r="AH198" s="42" t="str">
        <f>IF(AND(C198=Master!$H$5,B198="2012-2013",E198="",G198="PLN03"),H198,"")</f>
        <v/>
      </c>
      <c r="AI198" s="42" t="str">
        <f>IF(AND(C198=Master!$H$6,B198="2012-2013",E198&gt;1000,G198="PLN03"),H198,"")</f>
        <v/>
      </c>
      <c r="AJ198" s="42" t="str">
        <f>IF(AND(C198=Master!$H$6,B198="2012-2013",E198="",G198="PLN03"),H198,"")</f>
        <v/>
      </c>
      <c r="AK198" s="42" t="str">
        <f>IF(AND(C198=Master!$H$7,B198="2012-2013",E198&gt;1000,G198="PLN03"),H198,"")</f>
        <v/>
      </c>
      <c r="AL198" s="42" t="str">
        <f>IF(AND(C198=Master!$H$7,B198="2012-2013",E198="",G198="PLN03"),H198,"")</f>
        <v/>
      </c>
      <c r="AM198" s="42" t="str">
        <f>IF(AND(C198=Master!$H$8,B198="2012-2013",E198&gt;1000,G198="PLN03"),H198,"")</f>
        <v/>
      </c>
      <c r="AN198" s="42" t="str">
        <f>IF(AND(C198=Master!$H$8,B198="2012-2013",E198="",G198="PLN03"),H198,"")</f>
        <v/>
      </c>
      <c r="AO198" s="42" t="str">
        <f>IF(AND(C198=Master!$H$9,B198="2012-2013",E198&gt;1000,G198="PLN03"),H198,"")</f>
        <v/>
      </c>
      <c r="AP198" s="42" t="str">
        <f>IF(AND(C198=Master!$H$9,B198="2012-2013",E198="",G198="PLN03"),H198,"")</f>
        <v/>
      </c>
      <c r="AQ198" s="44" t="str">
        <f>IF(AND(C198=Master!$H$1,B198="2012-2013",E198&gt;1000,G198="NPN05"),H198,"")</f>
        <v/>
      </c>
      <c r="AR198" s="44" t="str">
        <f>IF(AND(C198=Master!$H$1,B198="2012-2013",E198="",G198="NPN05"),H198,"")</f>
        <v/>
      </c>
      <c r="AS198" s="44" t="str">
        <f>IF(AND(C198=Master!$H$2,B198="2012-2013",E198&gt;1000,G198="NPN05"),H198,"")</f>
        <v/>
      </c>
      <c r="AT198" s="44" t="str">
        <f>IF(AND(C198=Master!$H$2,B198="2012-2013",E198="",G198="NPN05"),H198,"")</f>
        <v/>
      </c>
      <c r="AU198" s="44" t="str">
        <f>IF(AND(C198=Master!$H$3,B198="2012-2013",E198&gt;1000,G198="NPN05"),H198,"")</f>
        <v/>
      </c>
      <c r="AV198" s="44" t="str">
        <f>IF(AND(C198=Master!$H$3,B198="2012-2013",E198="",G198="NPN05"),H198,"")</f>
        <v/>
      </c>
      <c r="AW198" s="44" t="str">
        <f>IF(AND(C198=Master!$H$4,B198="2012-2013",E198&gt;1000,G198="NPN05"),H198,"")</f>
        <v/>
      </c>
      <c r="AX198" s="44" t="str">
        <f>IF(AND(C198=Master!$H$4,B198="2012-2013",E198="",G198="NPN05"),H198,"")</f>
        <v/>
      </c>
      <c r="AY198" s="44" t="str">
        <f>IF(AND(C198=Master!$H$5,B198="2012-2013",E198&gt;1000,G198="NPN05"),H198,"")</f>
        <v/>
      </c>
      <c r="AZ198" s="44" t="str">
        <f>IF(AND(C198=Master!$H$5,B198="2012-2013",E198="",G198="NPN05"),H198,"")</f>
        <v/>
      </c>
      <c r="BA198" s="44" t="str">
        <f>IF(AND(C198=Master!$H$6,B198="2012-2013",E198&gt;1000,G198="NPN05"),H198,"")</f>
        <v/>
      </c>
      <c r="BB198" s="44" t="str">
        <f>IF(AND(C198=Master!$H$6,B198="2012-2013",E198="",G198="NPN05"),H198,"")</f>
        <v/>
      </c>
      <c r="BC198" s="44" t="str">
        <f>IF(AND(C198=Master!$H$7,B198="2012-2013",E198&gt;1000,G198="NPN05"),H198,"")</f>
        <v/>
      </c>
      <c r="BD198" s="44" t="str">
        <f>IF(AND(C198=Master!$H$7,B198="2012-2013",E198="",G198="NPN05"),H198,"")</f>
        <v/>
      </c>
      <c r="BE198" s="44" t="str">
        <f>IF(AND(C198=Master!$H$8,B198="2012-2013",E198&gt;1000,G198="NPN05"),H198,"")</f>
        <v/>
      </c>
      <c r="BF198" s="44" t="str">
        <f>IF(AND(C198=Master!$H$8,B198="2012-2013",E198="",G198="NPN05"),H198,"")</f>
        <v/>
      </c>
      <c r="BG198" s="44" t="str">
        <f>IF(AND(C198=Master!$H$9,B198="2012-2013",E198&gt;1000,G198="NPN05"),H198,"")</f>
        <v/>
      </c>
      <c r="BH198" s="44" t="str">
        <f>IF(AND(C198=Master!$H$9,B198="2012-2013",E198="",G198="NPN05"),H198,"")</f>
        <v/>
      </c>
    </row>
    <row r="199" spans="1:60" x14ac:dyDescent="0.25">
      <c r="A199" s="3">
        <v>197</v>
      </c>
      <c r="B199" s="12"/>
      <c r="C199" s="12"/>
      <c r="D199" s="31"/>
      <c r="E199" s="4"/>
      <c r="F199" s="13"/>
      <c r="G199" s="21"/>
      <c r="H199" s="35"/>
      <c r="I199" s="21"/>
      <c r="J199" s="25" t="str">
        <f>IF(NOT(I199=""),INDEX(Master!$B$1:$B$46,MATCH(I199,Master!$A$1:$A$46,0)),"")</f>
        <v/>
      </c>
      <c r="K199" s="18"/>
      <c r="L199" s="86"/>
      <c r="M199" s="13"/>
      <c r="N199" s="13"/>
      <c r="O199" s="18"/>
      <c r="P199" s="35"/>
      <c r="Q199" s="21"/>
      <c r="R199" s="21"/>
      <c r="S199" s="13"/>
      <c r="T199" s="12"/>
      <c r="U199" s="12"/>
      <c r="V199" s="12"/>
      <c r="W199" s="14"/>
      <c r="Y199" s="42" t="str">
        <f>IF(AND(C199=Master!$H$1,B199="2012-2013",E199&gt;1000,G199="PLN03"),H199,"")</f>
        <v/>
      </c>
      <c r="Z199" s="42" t="str">
        <f>IF(AND(C199=Master!$H$1,B199="2012-2013",E199="",G199="PLN03"),H199,"")</f>
        <v/>
      </c>
      <c r="AA199" s="42" t="str">
        <f>IF(AND(C199=Master!$H$2,B199="2012-2013",E199&gt;1000,G199="PLN03"),H199,"")</f>
        <v/>
      </c>
      <c r="AB199" s="42" t="str">
        <f>IF(AND(C199=Master!$H$2,B199="2012-2013",E199="",G199="PLN03"),H199,"")</f>
        <v/>
      </c>
      <c r="AC199" s="42" t="str">
        <f>IF(AND(C199=Master!$H$3,B199="2012-2013",E199&gt;1000,G199="PLN03"),H199,"")</f>
        <v/>
      </c>
      <c r="AD199" s="42" t="str">
        <f>IF(AND(C199=Master!$H$3,B199="2012-2013",E199="",G199="PLN03"),H199,"")</f>
        <v/>
      </c>
      <c r="AE199" s="42" t="str">
        <f>IF(AND(C199=Master!$H$4,B199="2012-2013",E199&gt;1000,G199="PLN03"),H199,"")</f>
        <v/>
      </c>
      <c r="AF199" s="42" t="str">
        <f>IF(AND(C199=Master!$H$4,B199="2012-2013",E199="",G199="PLN03"),H199,"")</f>
        <v/>
      </c>
      <c r="AG199" s="42" t="str">
        <f>IF(AND(C199=Master!$H$5,B199="2012-2013",E199&gt;1000,G199="PLN03"),H199,"")</f>
        <v/>
      </c>
      <c r="AH199" s="42" t="str">
        <f>IF(AND(C199=Master!$H$5,B199="2012-2013",E199="",G199="PLN03"),H199,"")</f>
        <v/>
      </c>
      <c r="AI199" s="42" t="str">
        <f>IF(AND(C199=Master!$H$6,B199="2012-2013",E199&gt;1000,G199="PLN03"),H199,"")</f>
        <v/>
      </c>
      <c r="AJ199" s="42" t="str">
        <f>IF(AND(C199=Master!$H$6,B199="2012-2013",E199="",G199="PLN03"),H199,"")</f>
        <v/>
      </c>
      <c r="AK199" s="42" t="str">
        <f>IF(AND(C199=Master!$H$7,B199="2012-2013",E199&gt;1000,G199="PLN03"),H199,"")</f>
        <v/>
      </c>
      <c r="AL199" s="42" t="str">
        <f>IF(AND(C199=Master!$H$7,B199="2012-2013",E199="",G199="PLN03"),H199,"")</f>
        <v/>
      </c>
      <c r="AM199" s="42" t="str">
        <f>IF(AND(C199=Master!$H$8,B199="2012-2013",E199&gt;1000,G199="PLN03"),H199,"")</f>
        <v/>
      </c>
      <c r="AN199" s="42" t="str">
        <f>IF(AND(C199=Master!$H$8,B199="2012-2013",E199="",G199="PLN03"),H199,"")</f>
        <v/>
      </c>
      <c r="AO199" s="42" t="str">
        <f>IF(AND(C199=Master!$H$9,B199="2012-2013",E199&gt;1000,G199="PLN03"),H199,"")</f>
        <v/>
      </c>
      <c r="AP199" s="42" t="str">
        <f>IF(AND(C199=Master!$H$9,B199="2012-2013",E199="",G199="PLN03"),H199,"")</f>
        <v/>
      </c>
      <c r="AQ199" s="44" t="str">
        <f>IF(AND(C199=Master!$H$1,B199="2012-2013",E199&gt;1000,G199="NPN05"),H199,"")</f>
        <v/>
      </c>
      <c r="AR199" s="44" t="str">
        <f>IF(AND(C199=Master!$H$1,B199="2012-2013",E199="",G199="NPN05"),H199,"")</f>
        <v/>
      </c>
      <c r="AS199" s="44" t="str">
        <f>IF(AND(C199=Master!$H$2,B199="2012-2013",E199&gt;1000,G199="NPN05"),H199,"")</f>
        <v/>
      </c>
      <c r="AT199" s="44" t="str">
        <f>IF(AND(C199=Master!$H$2,B199="2012-2013",E199="",G199="NPN05"),H199,"")</f>
        <v/>
      </c>
      <c r="AU199" s="44" t="str">
        <f>IF(AND(C199=Master!$H$3,B199="2012-2013",E199&gt;1000,G199="NPN05"),H199,"")</f>
        <v/>
      </c>
      <c r="AV199" s="44" t="str">
        <f>IF(AND(C199=Master!$H$3,B199="2012-2013",E199="",G199="NPN05"),H199,"")</f>
        <v/>
      </c>
      <c r="AW199" s="44" t="str">
        <f>IF(AND(C199=Master!$H$4,B199="2012-2013",E199&gt;1000,G199="NPN05"),H199,"")</f>
        <v/>
      </c>
      <c r="AX199" s="44" t="str">
        <f>IF(AND(C199=Master!$H$4,B199="2012-2013",E199="",G199="NPN05"),H199,"")</f>
        <v/>
      </c>
      <c r="AY199" s="44" t="str">
        <f>IF(AND(C199=Master!$H$5,B199="2012-2013",E199&gt;1000,G199="NPN05"),H199,"")</f>
        <v/>
      </c>
      <c r="AZ199" s="44" t="str">
        <f>IF(AND(C199=Master!$H$5,B199="2012-2013",E199="",G199="NPN05"),H199,"")</f>
        <v/>
      </c>
      <c r="BA199" s="44" t="str">
        <f>IF(AND(C199=Master!$H$6,B199="2012-2013",E199&gt;1000,G199="NPN05"),H199,"")</f>
        <v/>
      </c>
      <c r="BB199" s="44" t="str">
        <f>IF(AND(C199=Master!$H$6,B199="2012-2013",E199="",G199="NPN05"),H199,"")</f>
        <v/>
      </c>
      <c r="BC199" s="44" t="str">
        <f>IF(AND(C199=Master!$H$7,B199="2012-2013",E199&gt;1000,G199="NPN05"),H199,"")</f>
        <v/>
      </c>
      <c r="BD199" s="44" t="str">
        <f>IF(AND(C199=Master!$H$7,B199="2012-2013",E199="",G199="NPN05"),H199,"")</f>
        <v/>
      </c>
      <c r="BE199" s="44" t="str">
        <f>IF(AND(C199=Master!$H$8,B199="2012-2013",E199&gt;1000,G199="NPN05"),H199,"")</f>
        <v/>
      </c>
      <c r="BF199" s="44" t="str">
        <f>IF(AND(C199=Master!$H$8,B199="2012-2013",E199="",G199="NPN05"),H199,"")</f>
        <v/>
      </c>
      <c r="BG199" s="44" t="str">
        <f>IF(AND(C199=Master!$H$9,B199="2012-2013",E199&gt;1000,G199="NPN05"),H199,"")</f>
        <v/>
      </c>
      <c r="BH199" s="44" t="str">
        <f>IF(AND(C199=Master!$H$9,B199="2012-2013",E199="",G199="NPN05"),H199,"")</f>
        <v/>
      </c>
    </row>
    <row r="200" spans="1:60" x14ac:dyDescent="0.25">
      <c r="A200" s="3">
        <v>198</v>
      </c>
      <c r="B200" s="12"/>
      <c r="C200" s="12"/>
      <c r="D200" s="31"/>
      <c r="E200" s="4"/>
      <c r="F200" s="13"/>
      <c r="G200" s="21"/>
      <c r="H200" s="35"/>
      <c r="I200" s="21"/>
      <c r="J200" s="25" t="str">
        <f>IF(NOT(I200=""),INDEX(Master!$B$1:$B$46,MATCH(I200,Master!$A$1:$A$46,0)),"")</f>
        <v/>
      </c>
      <c r="K200" s="18"/>
      <c r="L200" s="86"/>
      <c r="M200" s="13"/>
      <c r="N200" s="13"/>
      <c r="O200" s="18"/>
      <c r="P200" s="35"/>
      <c r="Q200" s="21"/>
      <c r="R200" s="21"/>
      <c r="S200" s="13"/>
      <c r="T200" s="12"/>
      <c r="U200" s="12"/>
      <c r="V200" s="12"/>
      <c r="W200" s="14"/>
      <c r="Y200" s="42" t="str">
        <f>IF(AND(C200=Master!$H$1,B200="2012-2013",E200&gt;1000,G200="PLN03"),H200,"")</f>
        <v/>
      </c>
      <c r="Z200" s="42" t="str">
        <f>IF(AND(C200=Master!$H$1,B200="2012-2013",E200="",G200="PLN03"),H200,"")</f>
        <v/>
      </c>
      <c r="AA200" s="42" t="str">
        <f>IF(AND(C200=Master!$H$2,B200="2012-2013",E200&gt;1000,G200="PLN03"),H200,"")</f>
        <v/>
      </c>
      <c r="AB200" s="42" t="str">
        <f>IF(AND(C200=Master!$H$2,B200="2012-2013",E200="",G200="PLN03"),H200,"")</f>
        <v/>
      </c>
      <c r="AC200" s="42" t="str">
        <f>IF(AND(C200=Master!$H$3,B200="2012-2013",E200&gt;1000,G200="PLN03"),H200,"")</f>
        <v/>
      </c>
      <c r="AD200" s="42" t="str">
        <f>IF(AND(C200=Master!$H$3,B200="2012-2013",E200="",G200="PLN03"),H200,"")</f>
        <v/>
      </c>
      <c r="AE200" s="42" t="str">
        <f>IF(AND(C200=Master!$H$4,B200="2012-2013",E200&gt;1000,G200="PLN03"),H200,"")</f>
        <v/>
      </c>
      <c r="AF200" s="42" t="str">
        <f>IF(AND(C200=Master!$H$4,B200="2012-2013",E200="",G200="PLN03"),H200,"")</f>
        <v/>
      </c>
      <c r="AG200" s="42" t="str">
        <f>IF(AND(C200=Master!$H$5,B200="2012-2013",E200&gt;1000,G200="PLN03"),H200,"")</f>
        <v/>
      </c>
      <c r="AH200" s="42" t="str">
        <f>IF(AND(C200=Master!$H$5,B200="2012-2013",E200="",G200="PLN03"),H200,"")</f>
        <v/>
      </c>
      <c r="AI200" s="42" t="str">
        <f>IF(AND(C200=Master!$H$6,B200="2012-2013",E200&gt;1000,G200="PLN03"),H200,"")</f>
        <v/>
      </c>
      <c r="AJ200" s="42" t="str">
        <f>IF(AND(C200=Master!$H$6,B200="2012-2013",E200="",G200="PLN03"),H200,"")</f>
        <v/>
      </c>
      <c r="AK200" s="42" t="str">
        <f>IF(AND(C200=Master!$H$7,B200="2012-2013",E200&gt;1000,G200="PLN03"),H200,"")</f>
        <v/>
      </c>
      <c r="AL200" s="42" t="str">
        <f>IF(AND(C200=Master!$H$7,B200="2012-2013",E200="",G200="PLN03"),H200,"")</f>
        <v/>
      </c>
      <c r="AM200" s="42" t="str">
        <f>IF(AND(C200=Master!$H$8,B200="2012-2013",E200&gt;1000,G200="PLN03"),H200,"")</f>
        <v/>
      </c>
      <c r="AN200" s="42" t="str">
        <f>IF(AND(C200=Master!$H$8,B200="2012-2013",E200="",G200="PLN03"),H200,"")</f>
        <v/>
      </c>
      <c r="AO200" s="42" t="str">
        <f>IF(AND(C200=Master!$H$9,B200="2012-2013",E200&gt;1000,G200="PLN03"),H200,"")</f>
        <v/>
      </c>
      <c r="AP200" s="42" t="str">
        <f>IF(AND(C200=Master!$H$9,B200="2012-2013",E200="",G200="PLN03"),H200,"")</f>
        <v/>
      </c>
      <c r="AQ200" s="44" t="str">
        <f>IF(AND(C200=Master!$H$1,B200="2012-2013",E200&gt;1000,G200="NPN05"),H200,"")</f>
        <v/>
      </c>
      <c r="AR200" s="44" t="str">
        <f>IF(AND(C200=Master!$H$1,B200="2012-2013",E200="",G200="NPN05"),H200,"")</f>
        <v/>
      </c>
      <c r="AS200" s="44" t="str">
        <f>IF(AND(C200=Master!$H$2,B200="2012-2013",E200&gt;1000,G200="NPN05"),H200,"")</f>
        <v/>
      </c>
      <c r="AT200" s="44" t="str">
        <f>IF(AND(C200=Master!$H$2,B200="2012-2013",E200="",G200="NPN05"),H200,"")</f>
        <v/>
      </c>
      <c r="AU200" s="44" t="str">
        <f>IF(AND(C200=Master!$H$3,B200="2012-2013",E200&gt;1000,G200="NPN05"),H200,"")</f>
        <v/>
      </c>
      <c r="AV200" s="44" t="str">
        <f>IF(AND(C200=Master!$H$3,B200="2012-2013",E200="",G200="NPN05"),H200,"")</f>
        <v/>
      </c>
      <c r="AW200" s="44" t="str">
        <f>IF(AND(C200=Master!$H$4,B200="2012-2013",E200&gt;1000,G200="NPN05"),H200,"")</f>
        <v/>
      </c>
      <c r="AX200" s="44" t="str">
        <f>IF(AND(C200=Master!$H$4,B200="2012-2013",E200="",G200="NPN05"),H200,"")</f>
        <v/>
      </c>
      <c r="AY200" s="44" t="str">
        <f>IF(AND(C200=Master!$H$5,B200="2012-2013",E200&gt;1000,G200="NPN05"),H200,"")</f>
        <v/>
      </c>
      <c r="AZ200" s="44" t="str">
        <f>IF(AND(C200=Master!$H$5,B200="2012-2013",E200="",G200="NPN05"),H200,"")</f>
        <v/>
      </c>
      <c r="BA200" s="44" t="str">
        <f>IF(AND(C200=Master!$H$6,B200="2012-2013",E200&gt;1000,G200="NPN05"),H200,"")</f>
        <v/>
      </c>
      <c r="BB200" s="44" t="str">
        <f>IF(AND(C200=Master!$H$6,B200="2012-2013",E200="",G200="NPN05"),H200,"")</f>
        <v/>
      </c>
      <c r="BC200" s="44" t="str">
        <f>IF(AND(C200=Master!$H$7,B200="2012-2013",E200&gt;1000,G200="NPN05"),H200,"")</f>
        <v/>
      </c>
      <c r="BD200" s="44" t="str">
        <f>IF(AND(C200=Master!$H$7,B200="2012-2013",E200="",G200="NPN05"),H200,"")</f>
        <v/>
      </c>
      <c r="BE200" s="44" t="str">
        <f>IF(AND(C200=Master!$H$8,B200="2012-2013",E200&gt;1000,G200="NPN05"),H200,"")</f>
        <v/>
      </c>
      <c r="BF200" s="44" t="str">
        <f>IF(AND(C200=Master!$H$8,B200="2012-2013",E200="",G200="NPN05"),H200,"")</f>
        <v/>
      </c>
      <c r="BG200" s="44" t="str">
        <f>IF(AND(C200=Master!$H$9,B200="2012-2013",E200&gt;1000,G200="NPN05"),H200,"")</f>
        <v/>
      </c>
      <c r="BH200" s="44" t="str">
        <f>IF(AND(C200=Master!$H$9,B200="2012-2013",E200="",G200="NPN05"),H200,"")</f>
        <v/>
      </c>
    </row>
    <row r="201" spans="1:60" x14ac:dyDescent="0.25">
      <c r="A201" s="3">
        <v>199</v>
      </c>
      <c r="B201" s="12"/>
      <c r="C201" s="12"/>
      <c r="D201" s="31"/>
      <c r="E201" s="4"/>
      <c r="F201" s="13"/>
      <c r="G201" s="21"/>
      <c r="H201" s="35"/>
      <c r="I201" s="21"/>
      <c r="J201" s="25" t="str">
        <f>IF(NOT(I201=""),INDEX(Master!$B$1:$B$46,MATCH(I201,Master!$A$1:$A$46,0)),"")</f>
        <v/>
      </c>
      <c r="K201" s="18"/>
      <c r="L201" s="86"/>
      <c r="M201" s="13"/>
      <c r="N201" s="13"/>
      <c r="O201" s="18"/>
      <c r="P201" s="35"/>
      <c r="Q201" s="21"/>
      <c r="R201" s="21"/>
      <c r="S201" s="13"/>
      <c r="T201" s="12"/>
      <c r="U201" s="12"/>
      <c r="V201" s="12"/>
      <c r="W201" s="14"/>
      <c r="Y201" s="42" t="str">
        <f>IF(AND(C201=Master!$H$1,B201="2012-2013",E201&gt;1000,G201="PLN03"),H201,"")</f>
        <v/>
      </c>
      <c r="Z201" s="42" t="str">
        <f>IF(AND(C201=Master!$H$1,B201="2012-2013",E201="",G201="PLN03"),H201,"")</f>
        <v/>
      </c>
      <c r="AA201" s="42" t="str">
        <f>IF(AND(C201=Master!$H$2,B201="2012-2013",E201&gt;1000,G201="PLN03"),H201,"")</f>
        <v/>
      </c>
      <c r="AB201" s="42" t="str">
        <f>IF(AND(C201=Master!$H$2,B201="2012-2013",E201="",G201="PLN03"),H201,"")</f>
        <v/>
      </c>
      <c r="AC201" s="42" t="str">
        <f>IF(AND(C201=Master!$H$3,B201="2012-2013",E201&gt;1000,G201="PLN03"),H201,"")</f>
        <v/>
      </c>
      <c r="AD201" s="42" t="str">
        <f>IF(AND(C201=Master!$H$3,B201="2012-2013",E201="",G201="PLN03"),H201,"")</f>
        <v/>
      </c>
      <c r="AE201" s="42" t="str">
        <f>IF(AND(C201=Master!$H$4,B201="2012-2013",E201&gt;1000,G201="PLN03"),H201,"")</f>
        <v/>
      </c>
      <c r="AF201" s="42" t="str">
        <f>IF(AND(C201=Master!$H$4,B201="2012-2013",E201="",G201="PLN03"),H201,"")</f>
        <v/>
      </c>
      <c r="AG201" s="42" t="str">
        <f>IF(AND(C201=Master!$H$5,B201="2012-2013",E201&gt;1000,G201="PLN03"),H201,"")</f>
        <v/>
      </c>
      <c r="AH201" s="42" t="str">
        <f>IF(AND(C201=Master!$H$5,B201="2012-2013",E201="",G201="PLN03"),H201,"")</f>
        <v/>
      </c>
      <c r="AI201" s="42" t="str">
        <f>IF(AND(C201=Master!$H$6,B201="2012-2013",E201&gt;1000,G201="PLN03"),H201,"")</f>
        <v/>
      </c>
      <c r="AJ201" s="42" t="str">
        <f>IF(AND(C201=Master!$H$6,B201="2012-2013",E201="",G201="PLN03"),H201,"")</f>
        <v/>
      </c>
      <c r="AK201" s="42" t="str">
        <f>IF(AND(C201=Master!$H$7,B201="2012-2013",E201&gt;1000,G201="PLN03"),H201,"")</f>
        <v/>
      </c>
      <c r="AL201" s="42" t="str">
        <f>IF(AND(C201=Master!$H$7,B201="2012-2013",E201="",G201="PLN03"),H201,"")</f>
        <v/>
      </c>
      <c r="AM201" s="42" t="str">
        <f>IF(AND(C201=Master!$H$8,B201="2012-2013",E201&gt;1000,G201="PLN03"),H201,"")</f>
        <v/>
      </c>
      <c r="AN201" s="42" t="str">
        <f>IF(AND(C201=Master!$H$8,B201="2012-2013",E201="",G201="PLN03"),H201,"")</f>
        <v/>
      </c>
      <c r="AO201" s="42" t="str">
        <f>IF(AND(C201=Master!$H$9,B201="2012-2013",E201&gt;1000,G201="PLN03"),H201,"")</f>
        <v/>
      </c>
      <c r="AP201" s="42" t="str">
        <f>IF(AND(C201=Master!$H$9,B201="2012-2013",E201="",G201="PLN03"),H201,"")</f>
        <v/>
      </c>
      <c r="AQ201" s="44" t="str">
        <f>IF(AND(C201=Master!$H$1,B201="2012-2013",E201&gt;1000,G201="NPN05"),H201,"")</f>
        <v/>
      </c>
      <c r="AR201" s="44" t="str">
        <f>IF(AND(C201=Master!$H$1,B201="2012-2013",E201="",G201="NPN05"),H201,"")</f>
        <v/>
      </c>
      <c r="AS201" s="44" t="str">
        <f>IF(AND(C201=Master!$H$2,B201="2012-2013",E201&gt;1000,G201="NPN05"),H201,"")</f>
        <v/>
      </c>
      <c r="AT201" s="44" t="str">
        <f>IF(AND(C201=Master!$H$2,B201="2012-2013",E201="",G201="NPN05"),H201,"")</f>
        <v/>
      </c>
      <c r="AU201" s="44" t="str">
        <f>IF(AND(C201=Master!$H$3,B201="2012-2013",E201&gt;1000,G201="NPN05"),H201,"")</f>
        <v/>
      </c>
      <c r="AV201" s="44" t="str">
        <f>IF(AND(C201=Master!$H$3,B201="2012-2013",E201="",G201="NPN05"),H201,"")</f>
        <v/>
      </c>
      <c r="AW201" s="44" t="str">
        <f>IF(AND(C201=Master!$H$4,B201="2012-2013",E201&gt;1000,G201="NPN05"),H201,"")</f>
        <v/>
      </c>
      <c r="AX201" s="44" t="str">
        <f>IF(AND(C201=Master!$H$4,B201="2012-2013",E201="",G201="NPN05"),H201,"")</f>
        <v/>
      </c>
      <c r="AY201" s="44" t="str">
        <f>IF(AND(C201=Master!$H$5,B201="2012-2013",E201&gt;1000,G201="NPN05"),H201,"")</f>
        <v/>
      </c>
      <c r="AZ201" s="44" t="str">
        <f>IF(AND(C201=Master!$H$5,B201="2012-2013",E201="",G201="NPN05"),H201,"")</f>
        <v/>
      </c>
      <c r="BA201" s="44" t="str">
        <f>IF(AND(C201=Master!$H$6,B201="2012-2013",E201&gt;1000,G201="NPN05"),H201,"")</f>
        <v/>
      </c>
      <c r="BB201" s="44" t="str">
        <f>IF(AND(C201=Master!$H$6,B201="2012-2013",E201="",G201="NPN05"),H201,"")</f>
        <v/>
      </c>
      <c r="BC201" s="44" t="str">
        <f>IF(AND(C201=Master!$H$7,B201="2012-2013",E201&gt;1000,G201="NPN05"),H201,"")</f>
        <v/>
      </c>
      <c r="BD201" s="44" t="str">
        <f>IF(AND(C201=Master!$H$7,B201="2012-2013",E201="",G201="NPN05"),H201,"")</f>
        <v/>
      </c>
      <c r="BE201" s="44" t="str">
        <f>IF(AND(C201=Master!$H$8,B201="2012-2013",E201&gt;1000,G201="NPN05"),H201,"")</f>
        <v/>
      </c>
      <c r="BF201" s="44" t="str">
        <f>IF(AND(C201=Master!$H$8,B201="2012-2013",E201="",G201="NPN05"),H201,"")</f>
        <v/>
      </c>
      <c r="BG201" s="44" t="str">
        <f>IF(AND(C201=Master!$H$9,B201="2012-2013",E201&gt;1000,G201="NPN05"),H201,"")</f>
        <v/>
      </c>
      <c r="BH201" s="44" t="str">
        <f>IF(AND(C201=Master!$H$9,B201="2012-2013",E201="",G201="NPN05"),H201,"")</f>
        <v/>
      </c>
    </row>
    <row r="202" spans="1:60" x14ac:dyDescent="0.25">
      <c r="A202" s="5">
        <v>200</v>
      </c>
      <c r="B202" s="12"/>
      <c r="C202" s="12"/>
      <c r="D202" s="31"/>
      <c r="E202" s="4"/>
      <c r="F202" s="13"/>
      <c r="G202" s="21"/>
      <c r="H202" s="35"/>
      <c r="I202" s="21"/>
      <c r="J202" s="25" t="str">
        <f>IF(NOT(I202=""),INDEX(Master!$B$1:$B$46,MATCH(I202,Master!$A$1:$A$46,0)),"")</f>
        <v/>
      </c>
      <c r="K202" s="18"/>
      <c r="L202" s="86"/>
      <c r="M202" s="13"/>
      <c r="N202" s="13"/>
      <c r="O202" s="18"/>
      <c r="P202" s="35"/>
      <c r="Q202" s="21"/>
      <c r="R202" s="21"/>
      <c r="S202" s="13"/>
      <c r="T202" s="12"/>
      <c r="U202" s="12"/>
      <c r="V202" s="12"/>
      <c r="W202" s="14"/>
      <c r="Y202" s="42" t="str">
        <f>IF(AND(C202=Master!$H$1,B202="2012-2013",E202&gt;1000,G202="PLN03"),H202,"")</f>
        <v/>
      </c>
      <c r="Z202" s="42" t="str">
        <f>IF(AND(C202=Master!$H$1,B202="2012-2013",E202="",G202="PLN03"),H202,"")</f>
        <v/>
      </c>
      <c r="AA202" s="42" t="str">
        <f>IF(AND(C202=Master!$H$2,B202="2012-2013",E202&gt;1000,G202="PLN03"),H202,"")</f>
        <v/>
      </c>
      <c r="AB202" s="42" t="str">
        <f>IF(AND(C202=Master!$H$2,B202="2012-2013",E202="",G202="PLN03"),H202,"")</f>
        <v/>
      </c>
      <c r="AC202" s="42" t="str">
        <f>IF(AND(C202=Master!$H$3,B202="2012-2013",E202&gt;1000,G202="PLN03"),H202,"")</f>
        <v/>
      </c>
      <c r="AD202" s="42" t="str">
        <f>IF(AND(C202=Master!$H$3,B202="2012-2013",E202="",G202="PLN03"),H202,"")</f>
        <v/>
      </c>
      <c r="AE202" s="42" t="str">
        <f>IF(AND(C202=Master!$H$4,B202="2012-2013",E202&gt;1000,G202="PLN03"),H202,"")</f>
        <v/>
      </c>
      <c r="AF202" s="42" t="str">
        <f>IF(AND(C202=Master!$H$4,B202="2012-2013",E202="",G202="PLN03"),H202,"")</f>
        <v/>
      </c>
      <c r="AG202" s="42" t="str">
        <f>IF(AND(C202=Master!$H$5,B202="2012-2013",E202&gt;1000,G202="PLN03"),H202,"")</f>
        <v/>
      </c>
      <c r="AH202" s="42" t="str">
        <f>IF(AND(C202=Master!$H$5,B202="2012-2013",E202="",G202="PLN03"),H202,"")</f>
        <v/>
      </c>
      <c r="AI202" s="42" t="str">
        <f>IF(AND(C202=Master!$H$6,B202="2012-2013",E202&gt;1000,G202="PLN03"),H202,"")</f>
        <v/>
      </c>
      <c r="AJ202" s="42" t="str">
        <f>IF(AND(C202=Master!$H$6,B202="2012-2013",E202="",G202="PLN03"),H202,"")</f>
        <v/>
      </c>
      <c r="AK202" s="42" t="str">
        <f>IF(AND(C202=Master!$H$7,B202="2012-2013",E202&gt;1000,G202="PLN03"),H202,"")</f>
        <v/>
      </c>
      <c r="AL202" s="42" t="str">
        <f>IF(AND(C202=Master!$H$7,B202="2012-2013",E202="",G202="PLN03"),H202,"")</f>
        <v/>
      </c>
      <c r="AM202" s="42" t="str">
        <f>IF(AND(C202=Master!$H$8,B202="2012-2013",E202&gt;1000,G202="PLN03"),H202,"")</f>
        <v/>
      </c>
      <c r="AN202" s="42" t="str">
        <f>IF(AND(C202=Master!$H$8,B202="2012-2013",E202="",G202="PLN03"),H202,"")</f>
        <v/>
      </c>
      <c r="AO202" s="42" t="str">
        <f>IF(AND(C202=Master!$H$9,B202="2012-2013",E202&gt;1000,G202="PLN03"),H202,"")</f>
        <v/>
      </c>
      <c r="AP202" s="42" t="str">
        <f>IF(AND(C202=Master!$H$9,B202="2012-2013",E202="",G202="PLN03"),H202,"")</f>
        <v/>
      </c>
      <c r="AQ202" s="44" t="str">
        <f>IF(AND(C202=Master!$H$1,B202="2012-2013",E202&gt;1000,G202="NPN05"),H202,"")</f>
        <v/>
      </c>
      <c r="AR202" s="44" t="str">
        <f>IF(AND(C202=Master!$H$1,B202="2012-2013",E202="",G202="NPN05"),H202,"")</f>
        <v/>
      </c>
      <c r="AS202" s="44" t="str">
        <f>IF(AND(C202=Master!$H$2,B202="2012-2013",E202&gt;1000,G202="NPN05"),H202,"")</f>
        <v/>
      </c>
      <c r="AT202" s="44" t="str">
        <f>IF(AND(C202=Master!$H$2,B202="2012-2013",E202="",G202="NPN05"),H202,"")</f>
        <v/>
      </c>
      <c r="AU202" s="44" t="str">
        <f>IF(AND(C202=Master!$H$3,B202="2012-2013",E202&gt;1000,G202="NPN05"),H202,"")</f>
        <v/>
      </c>
      <c r="AV202" s="44" t="str">
        <f>IF(AND(C202=Master!$H$3,B202="2012-2013",E202="",G202="NPN05"),H202,"")</f>
        <v/>
      </c>
      <c r="AW202" s="44" t="str">
        <f>IF(AND(C202=Master!$H$4,B202="2012-2013",E202&gt;1000,G202="NPN05"),H202,"")</f>
        <v/>
      </c>
      <c r="AX202" s="44" t="str">
        <f>IF(AND(C202=Master!$H$4,B202="2012-2013",E202="",G202="NPN05"),H202,"")</f>
        <v/>
      </c>
      <c r="AY202" s="44" t="str">
        <f>IF(AND(C202=Master!$H$5,B202="2012-2013",E202&gt;1000,G202="NPN05"),H202,"")</f>
        <v/>
      </c>
      <c r="AZ202" s="44" t="str">
        <f>IF(AND(C202=Master!$H$5,B202="2012-2013",E202="",G202="NPN05"),H202,"")</f>
        <v/>
      </c>
      <c r="BA202" s="44" t="str">
        <f>IF(AND(C202=Master!$H$6,B202="2012-2013",E202&gt;1000,G202="NPN05"),H202,"")</f>
        <v/>
      </c>
      <c r="BB202" s="44" t="str">
        <f>IF(AND(C202=Master!$H$6,B202="2012-2013",E202="",G202="NPN05"),H202,"")</f>
        <v/>
      </c>
      <c r="BC202" s="44" t="str">
        <f>IF(AND(C202=Master!$H$7,B202="2012-2013",E202&gt;1000,G202="NPN05"),H202,"")</f>
        <v/>
      </c>
      <c r="BD202" s="44" t="str">
        <f>IF(AND(C202=Master!$H$7,B202="2012-2013",E202="",G202="NPN05"),H202,"")</f>
        <v/>
      </c>
      <c r="BE202" s="44" t="str">
        <f>IF(AND(C202=Master!$H$8,B202="2012-2013",E202&gt;1000,G202="NPN05"),H202,"")</f>
        <v/>
      </c>
      <c r="BF202" s="44" t="str">
        <f>IF(AND(C202=Master!$H$8,B202="2012-2013",E202="",G202="NPN05"),H202,"")</f>
        <v/>
      </c>
      <c r="BG202" s="44" t="str">
        <f>IF(AND(C202=Master!$H$9,B202="2012-2013",E202&gt;1000,G202="NPN05"),H202,"")</f>
        <v/>
      </c>
      <c r="BH202" s="44" t="str">
        <f>IF(AND(C202=Master!$H$9,B202="2012-2013",E202="",G202="NPN05"),H202,"")</f>
        <v/>
      </c>
    </row>
    <row r="203" spans="1:60" x14ac:dyDescent="0.25">
      <c r="A203" s="3">
        <v>201</v>
      </c>
      <c r="B203" s="12"/>
      <c r="C203" s="12"/>
      <c r="D203" s="31"/>
      <c r="E203" s="4"/>
      <c r="F203" s="13"/>
      <c r="G203" s="21"/>
      <c r="H203" s="35"/>
      <c r="I203" s="21"/>
      <c r="J203" s="25" t="str">
        <f>IF(NOT(I203=""),INDEX(Master!$B$1:$B$46,MATCH(I203,Master!$A$1:$A$46,0)),"")</f>
        <v/>
      </c>
      <c r="K203" s="18"/>
      <c r="L203" s="86"/>
      <c r="M203" s="13"/>
      <c r="N203" s="13"/>
      <c r="O203" s="18"/>
      <c r="P203" s="35"/>
      <c r="Q203" s="21"/>
      <c r="R203" s="21"/>
      <c r="S203" s="13"/>
      <c r="T203" s="12"/>
      <c r="U203" s="12"/>
      <c r="V203" s="12"/>
      <c r="W203" s="14"/>
      <c r="Y203" s="42" t="str">
        <f>IF(AND(C203=Master!$H$1,B203="2012-2013",E203&gt;1000,G203="PLN03"),H203,"")</f>
        <v/>
      </c>
      <c r="Z203" s="42" t="str">
        <f>IF(AND(C203=Master!$H$1,B203="2012-2013",E203="",G203="PLN03"),H203,"")</f>
        <v/>
      </c>
      <c r="AA203" s="42" t="str">
        <f>IF(AND(C203=Master!$H$2,B203="2012-2013",E203&gt;1000,G203="PLN03"),H203,"")</f>
        <v/>
      </c>
      <c r="AB203" s="42" t="str">
        <f>IF(AND(C203=Master!$H$2,B203="2012-2013",E203="",G203="PLN03"),H203,"")</f>
        <v/>
      </c>
      <c r="AC203" s="42" t="str">
        <f>IF(AND(C203=Master!$H$3,B203="2012-2013",E203&gt;1000,G203="PLN03"),H203,"")</f>
        <v/>
      </c>
      <c r="AD203" s="42" t="str">
        <f>IF(AND(C203=Master!$H$3,B203="2012-2013",E203="",G203="PLN03"),H203,"")</f>
        <v/>
      </c>
      <c r="AE203" s="42" t="str">
        <f>IF(AND(C203=Master!$H$4,B203="2012-2013",E203&gt;1000,G203="PLN03"),H203,"")</f>
        <v/>
      </c>
      <c r="AF203" s="42" t="str">
        <f>IF(AND(C203=Master!$H$4,B203="2012-2013",E203="",G203="PLN03"),H203,"")</f>
        <v/>
      </c>
      <c r="AG203" s="42" t="str">
        <f>IF(AND(C203=Master!$H$5,B203="2012-2013",E203&gt;1000,G203="PLN03"),H203,"")</f>
        <v/>
      </c>
      <c r="AH203" s="42" t="str">
        <f>IF(AND(C203=Master!$H$5,B203="2012-2013",E203="",G203="PLN03"),H203,"")</f>
        <v/>
      </c>
      <c r="AI203" s="42" t="str">
        <f>IF(AND(C203=Master!$H$6,B203="2012-2013",E203&gt;1000,G203="PLN03"),H203,"")</f>
        <v/>
      </c>
      <c r="AJ203" s="42" t="str">
        <f>IF(AND(C203=Master!$H$6,B203="2012-2013",E203="",G203="PLN03"),H203,"")</f>
        <v/>
      </c>
      <c r="AK203" s="42" t="str">
        <f>IF(AND(C203=Master!$H$7,B203="2012-2013",E203&gt;1000,G203="PLN03"),H203,"")</f>
        <v/>
      </c>
      <c r="AL203" s="42" t="str">
        <f>IF(AND(C203=Master!$H$7,B203="2012-2013",E203="",G203="PLN03"),H203,"")</f>
        <v/>
      </c>
      <c r="AM203" s="42" t="str">
        <f>IF(AND(C203=Master!$H$8,B203="2012-2013",E203&gt;1000,G203="PLN03"),H203,"")</f>
        <v/>
      </c>
      <c r="AN203" s="42" t="str">
        <f>IF(AND(C203=Master!$H$8,B203="2012-2013",E203="",G203="PLN03"),H203,"")</f>
        <v/>
      </c>
      <c r="AO203" s="42" t="str">
        <f>IF(AND(C203=Master!$H$9,B203="2012-2013",E203&gt;1000,G203="PLN03"),H203,"")</f>
        <v/>
      </c>
      <c r="AP203" s="42" t="str">
        <f>IF(AND(C203=Master!$H$9,B203="2012-2013",E203="",G203="PLN03"),H203,"")</f>
        <v/>
      </c>
      <c r="AQ203" s="44" t="str">
        <f>IF(AND(C203=Master!$H$1,B203="2012-2013",E203&gt;1000,G203="NPN05"),H203,"")</f>
        <v/>
      </c>
      <c r="AR203" s="44" t="str">
        <f>IF(AND(C203=Master!$H$1,B203="2012-2013",E203="",G203="NPN05"),H203,"")</f>
        <v/>
      </c>
      <c r="AS203" s="44" t="str">
        <f>IF(AND(C203=Master!$H$2,B203="2012-2013",E203&gt;1000,G203="NPN05"),H203,"")</f>
        <v/>
      </c>
      <c r="AT203" s="44" t="str">
        <f>IF(AND(C203=Master!$H$2,B203="2012-2013",E203="",G203="NPN05"),H203,"")</f>
        <v/>
      </c>
      <c r="AU203" s="44" t="str">
        <f>IF(AND(C203=Master!$H$3,B203="2012-2013",E203&gt;1000,G203="NPN05"),H203,"")</f>
        <v/>
      </c>
      <c r="AV203" s="44" t="str">
        <f>IF(AND(C203=Master!$H$3,B203="2012-2013",E203="",G203="NPN05"),H203,"")</f>
        <v/>
      </c>
      <c r="AW203" s="44" t="str">
        <f>IF(AND(C203=Master!$H$4,B203="2012-2013",E203&gt;1000,G203="NPN05"),H203,"")</f>
        <v/>
      </c>
      <c r="AX203" s="44" t="str">
        <f>IF(AND(C203=Master!$H$4,B203="2012-2013",E203="",G203="NPN05"),H203,"")</f>
        <v/>
      </c>
      <c r="AY203" s="44" t="str">
        <f>IF(AND(C203=Master!$H$5,B203="2012-2013",E203&gt;1000,G203="NPN05"),H203,"")</f>
        <v/>
      </c>
      <c r="AZ203" s="44" t="str">
        <f>IF(AND(C203=Master!$H$5,B203="2012-2013",E203="",G203="NPN05"),H203,"")</f>
        <v/>
      </c>
      <c r="BA203" s="44" t="str">
        <f>IF(AND(C203=Master!$H$6,B203="2012-2013",E203&gt;1000,G203="NPN05"),H203,"")</f>
        <v/>
      </c>
      <c r="BB203" s="44" t="str">
        <f>IF(AND(C203=Master!$H$6,B203="2012-2013",E203="",G203="NPN05"),H203,"")</f>
        <v/>
      </c>
      <c r="BC203" s="44" t="str">
        <f>IF(AND(C203=Master!$H$7,B203="2012-2013",E203&gt;1000,G203="NPN05"),H203,"")</f>
        <v/>
      </c>
      <c r="BD203" s="44" t="str">
        <f>IF(AND(C203=Master!$H$7,B203="2012-2013",E203="",G203="NPN05"),H203,"")</f>
        <v/>
      </c>
      <c r="BE203" s="44" t="str">
        <f>IF(AND(C203=Master!$H$8,B203="2012-2013",E203&gt;1000,G203="NPN05"),H203,"")</f>
        <v/>
      </c>
      <c r="BF203" s="44" t="str">
        <f>IF(AND(C203=Master!$H$8,B203="2012-2013",E203="",G203="NPN05"),H203,"")</f>
        <v/>
      </c>
      <c r="BG203" s="44" t="str">
        <f>IF(AND(C203=Master!$H$9,B203="2012-2013",E203&gt;1000,G203="NPN05"),H203,"")</f>
        <v/>
      </c>
      <c r="BH203" s="44" t="str">
        <f>IF(AND(C203=Master!$H$9,B203="2012-2013",E203="",G203="NPN05"),H203,"")</f>
        <v/>
      </c>
    </row>
    <row r="204" spans="1:60" x14ac:dyDescent="0.25">
      <c r="A204" s="3">
        <v>202</v>
      </c>
      <c r="B204" s="12"/>
      <c r="C204" s="12"/>
      <c r="D204" s="31"/>
      <c r="E204" s="4"/>
      <c r="F204" s="13"/>
      <c r="G204" s="21"/>
      <c r="H204" s="35"/>
      <c r="I204" s="21"/>
      <c r="J204" s="25" t="str">
        <f>IF(NOT(I204=""),INDEX(Master!$B$1:$B$46,MATCH(I204,Master!$A$1:$A$46,0)),"")</f>
        <v/>
      </c>
      <c r="K204" s="18"/>
      <c r="L204" s="86"/>
      <c r="M204" s="13"/>
      <c r="N204" s="13"/>
      <c r="O204" s="18"/>
      <c r="P204" s="35"/>
      <c r="Q204" s="21"/>
      <c r="R204" s="21"/>
      <c r="S204" s="13"/>
      <c r="T204" s="12"/>
      <c r="U204" s="12"/>
      <c r="V204" s="12"/>
      <c r="W204" s="14"/>
      <c r="Y204" s="42" t="str">
        <f>IF(AND(C204=Master!$H$1,B204="2012-2013",E204&gt;1000,G204="PLN03"),H204,"")</f>
        <v/>
      </c>
      <c r="Z204" s="42" t="str">
        <f>IF(AND(C204=Master!$H$1,B204="2012-2013",E204="",G204="PLN03"),H204,"")</f>
        <v/>
      </c>
      <c r="AA204" s="42" t="str">
        <f>IF(AND(C204=Master!$H$2,B204="2012-2013",E204&gt;1000,G204="PLN03"),H204,"")</f>
        <v/>
      </c>
      <c r="AB204" s="42" t="str">
        <f>IF(AND(C204=Master!$H$2,B204="2012-2013",E204="",G204="PLN03"),H204,"")</f>
        <v/>
      </c>
      <c r="AC204" s="42" t="str">
        <f>IF(AND(C204=Master!$H$3,B204="2012-2013",E204&gt;1000,G204="PLN03"),H204,"")</f>
        <v/>
      </c>
      <c r="AD204" s="42" t="str">
        <f>IF(AND(C204=Master!$H$3,B204="2012-2013",E204="",G204="PLN03"),H204,"")</f>
        <v/>
      </c>
      <c r="AE204" s="42" t="str">
        <f>IF(AND(C204=Master!$H$4,B204="2012-2013",E204&gt;1000,G204="PLN03"),H204,"")</f>
        <v/>
      </c>
      <c r="AF204" s="42" t="str">
        <f>IF(AND(C204=Master!$H$4,B204="2012-2013",E204="",G204="PLN03"),H204,"")</f>
        <v/>
      </c>
      <c r="AG204" s="42" t="str">
        <f>IF(AND(C204=Master!$H$5,B204="2012-2013",E204&gt;1000,G204="PLN03"),H204,"")</f>
        <v/>
      </c>
      <c r="AH204" s="42" t="str">
        <f>IF(AND(C204=Master!$H$5,B204="2012-2013",E204="",G204="PLN03"),H204,"")</f>
        <v/>
      </c>
      <c r="AI204" s="42" t="str">
        <f>IF(AND(C204=Master!$H$6,B204="2012-2013",E204&gt;1000,G204="PLN03"),H204,"")</f>
        <v/>
      </c>
      <c r="AJ204" s="42" t="str">
        <f>IF(AND(C204=Master!$H$6,B204="2012-2013",E204="",G204="PLN03"),H204,"")</f>
        <v/>
      </c>
      <c r="AK204" s="42" t="str">
        <f>IF(AND(C204=Master!$H$7,B204="2012-2013",E204&gt;1000,G204="PLN03"),H204,"")</f>
        <v/>
      </c>
      <c r="AL204" s="42" t="str">
        <f>IF(AND(C204=Master!$H$7,B204="2012-2013",E204="",G204="PLN03"),H204,"")</f>
        <v/>
      </c>
      <c r="AM204" s="42" t="str">
        <f>IF(AND(C204=Master!$H$8,B204="2012-2013",E204&gt;1000,G204="PLN03"),H204,"")</f>
        <v/>
      </c>
      <c r="AN204" s="42" t="str">
        <f>IF(AND(C204=Master!$H$8,B204="2012-2013",E204="",G204="PLN03"),H204,"")</f>
        <v/>
      </c>
      <c r="AO204" s="42" t="str">
        <f>IF(AND(C204=Master!$H$9,B204="2012-2013",E204&gt;1000,G204="PLN03"),H204,"")</f>
        <v/>
      </c>
      <c r="AP204" s="42" t="str">
        <f>IF(AND(C204=Master!$H$9,B204="2012-2013",E204="",G204="PLN03"),H204,"")</f>
        <v/>
      </c>
      <c r="AQ204" s="44" t="str">
        <f>IF(AND(C204=Master!$H$1,B204="2012-2013",E204&gt;1000,G204="NPN05"),H204,"")</f>
        <v/>
      </c>
      <c r="AR204" s="44" t="str">
        <f>IF(AND(C204=Master!$H$1,B204="2012-2013",E204="",G204="NPN05"),H204,"")</f>
        <v/>
      </c>
      <c r="AS204" s="44" t="str">
        <f>IF(AND(C204=Master!$H$2,B204="2012-2013",E204&gt;1000,G204="NPN05"),H204,"")</f>
        <v/>
      </c>
      <c r="AT204" s="44" t="str">
        <f>IF(AND(C204=Master!$H$2,B204="2012-2013",E204="",G204="NPN05"),H204,"")</f>
        <v/>
      </c>
      <c r="AU204" s="44" t="str">
        <f>IF(AND(C204=Master!$H$3,B204="2012-2013",E204&gt;1000,G204="NPN05"),H204,"")</f>
        <v/>
      </c>
      <c r="AV204" s="44" t="str">
        <f>IF(AND(C204=Master!$H$3,B204="2012-2013",E204="",G204="NPN05"),H204,"")</f>
        <v/>
      </c>
      <c r="AW204" s="44" t="str">
        <f>IF(AND(C204=Master!$H$4,B204="2012-2013",E204&gt;1000,G204="NPN05"),H204,"")</f>
        <v/>
      </c>
      <c r="AX204" s="44" t="str">
        <f>IF(AND(C204=Master!$H$4,B204="2012-2013",E204="",G204="NPN05"),H204,"")</f>
        <v/>
      </c>
      <c r="AY204" s="44" t="str">
        <f>IF(AND(C204=Master!$H$5,B204="2012-2013",E204&gt;1000,G204="NPN05"),H204,"")</f>
        <v/>
      </c>
      <c r="AZ204" s="44" t="str">
        <f>IF(AND(C204=Master!$H$5,B204="2012-2013",E204="",G204="NPN05"),H204,"")</f>
        <v/>
      </c>
      <c r="BA204" s="44" t="str">
        <f>IF(AND(C204=Master!$H$6,B204="2012-2013",E204&gt;1000,G204="NPN05"),H204,"")</f>
        <v/>
      </c>
      <c r="BB204" s="44" t="str">
        <f>IF(AND(C204=Master!$H$6,B204="2012-2013",E204="",G204="NPN05"),H204,"")</f>
        <v/>
      </c>
      <c r="BC204" s="44" t="str">
        <f>IF(AND(C204=Master!$H$7,B204="2012-2013",E204&gt;1000,G204="NPN05"),H204,"")</f>
        <v/>
      </c>
      <c r="BD204" s="44" t="str">
        <f>IF(AND(C204=Master!$H$7,B204="2012-2013",E204="",G204="NPN05"),H204,"")</f>
        <v/>
      </c>
      <c r="BE204" s="44" t="str">
        <f>IF(AND(C204=Master!$H$8,B204="2012-2013",E204&gt;1000,G204="NPN05"),H204,"")</f>
        <v/>
      </c>
      <c r="BF204" s="44" t="str">
        <f>IF(AND(C204=Master!$H$8,B204="2012-2013",E204="",G204="NPN05"),H204,"")</f>
        <v/>
      </c>
      <c r="BG204" s="44" t="str">
        <f>IF(AND(C204=Master!$H$9,B204="2012-2013",E204&gt;1000,G204="NPN05"),H204,"")</f>
        <v/>
      </c>
      <c r="BH204" s="44" t="str">
        <f>IF(AND(C204=Master!$H$9,B204="2012-2013",E204="",G204="NPN05"),H204,"")</f>
        <v/>
      </c>
    </row>
    <row r="205" spans="1:60" x14ac:dyDescent="0.25">
      <c r="A205" s="3">
        <v>203</v>
      </c>
      <c r="B205" s="12"/>
      <c r="C205" s="12"/>
      <c r="D205" s="31"/>
      <c r="E205" s="4"/>
      <c r="F205" s="13"/>
      <c r="G205" s="21"/>
      <c r="H205" s="35"/>
      <c r="I205" s="21"/>
      <c r="J205" s="25" t="str">
        <f>IF(NOT(I205=""),INDEX(Master!$B$1:$B$46,MATCH(I205,Master!$A$1:$A$46,0)),"")</f>
        <v/>
      </c>
      <c r="K205" s="18"/>
      <c r="L205" s="86"/>
      <c r="M205" s="13"/>
      <c r="N205" s="13"/>
      <c r="O205" s="18"/>
      <c r="P205" s="35"/>
      <c r="Q205" s="21"/>
      <c r="R205" s="21"/>
      <c r="S205" s="13"/>
      <c r="T205" s="12"/>
      <c r="U205" s="12"/>
      <c r="V205" s="12"/>
      <c r="W205" s="14"/>
      <c r="Y205" s="42" t="str">
        <f>IF(AND(C205=Master!$H$1,B205="2012-2013",E205&gt;1000,G205="PLN03"),H205,"")</f>
        <v/>
      </c>
      <c r="Z205" s="42" t="str">
        <f>IF(AND(C205=Master!$H$1,B205="2012-2013",E205="",G205="PLN03"),H205,"")</f>
        <v/>
      </c>
      <c r="AA205" s="42" t="str">
        <f>IF(AND(C205=Master!$H$2,B205="2012-2013",E205&gt;1000,G205="PLN03"),H205,"")</f>
        <v/>
      </c>
      <c r="AB205" s="42" t="str">
        <f>IF(AND(C205=Master!$H$2,B205="2012-2013",E205="",G205="PLN03"),H205,"")</f>
        <v/>
      </c>
      <c r="AC205" s="42" t="str">
        <f>IF(AND(C205=Master!$H$3,B205="2012-2013",E205&gt;1000,G205="PLN03"),H205,"")</f>
        <v/>
      </c>
      <c r="AD205" s="42" t="str">
        <f>IF(AND(C205=Master!$H$3,B205="2012-2013",E205="",G205="PLN03"),H205,"")</f>
        <v/>
      </c>
      <c r="AE205" s="42" t="str">
        <f>IF(AND(C205=Master!$H$4,B205="2012-2013",E205&gt;1000,G205="PLN03"),H205,"")</f>
        <v/>
      </c>
      <c r="AF205" s="42" t="str">
        <f>IF(AND(C205=Master!$H$4,B205="2012-2013",E205="",G205="PLN03"),H205,"")</f>
        <v/>
      </c>
      <c r="AG205" s="42" t="str">
        <f>IF(AND(C205=Master!$H$5,B205="2012-2013",E205&gt;1000,G205="PLN03"),H205,"")</f>
        <v/>
      </c>
      <c r="AH205" s="42" t="str">
        <f>IF(AND(C205=Master!$H$5,B205="2012-2013",E205="",G205="PLN03"),H205,"")</f>
        <v/>
      </c>
      <c r="AI205" s="42" t="str">
        <f>IF(AND(C205=Master!$H$6,B205="2012-2013",E205&gt;1000,G205="PLN03"),H205,"")</f>
        <v/>
      </c>
      <c r="AJ205" s="42" t="str">
        <f>IF(AND(C205=Master!$H$6,B205="2012-2013",E205="",G205="PLN03"),H205,"")</f>
        <v/>
      </c>
      <c r="AK205" s="42" t="str">
        <f>IF(AND(C205=Master!$H$7,B205="2012-2013",E205&gt;1000,G205="PLN03"),H205,"")</f>
        <v/>
      </c>
      <c r="AL205" s="42" t="str">
        <f>IF(AND(C205=Master!$H$7,B205="2012-2013",E205="",G205="PLN03"),H205,"")</f>
        <v/>
      </c>
      <c r="AM205" s="42" t="str">
        <f>IF(AND(C205=Master!$H$8,B205="2012-2013",E205&gt;1000,G205="PLN03"),H205,"")</f>
        <v/>
      </c>
      <c r="AN205" s="42" t="str">
        <f>IF(AND(C205=Master!$H$8,B205="2012-2013",E205="",G205="PLN03"),H205,"")</f>
        <v/>
      </c>
      <c r="AO205" s="42" t="str">
        <f>IF(AND(C205=Master!$H$9,B205="2012-2013",E205&gt;1000,G205="PLN03"),H205,"")</f>
        <v/>
      </c>
      <c r="AP205" s="42" t="str">
        <f>IF(AND(C205=Master!$H$9,B205="2012-2013",E205="",G205="PLN03"),H205,"")</f>
        <v/>
      </c>
      <c r="AQ205" s="44" t="str">
        <f>IF(AND(C205=Master!$H$1,B205="2012-2013",E205&gt;1000,G205="NPN05"),H205,"")</f>
        <v/>
      </c>
      <c r="AR205" s="44" t="str">
        <f>IF(AND(C205=Master!$H$1,B205="2012-2013",E205="",G205="NPN05"),H205,"")</f>
        <v/>
      </c>
      <c r="AS205" s="44" t="str">
        <f>IF(AND(C205=Master!$H$2,B205="2012-2013",E205&gt;1000,G205="NPN05"),H205,"")</f>
        <v/>
      </c>
      <c r="AT205" s="44" t="str">
        <f>IF(AND(C205=Master!$H$2,B205="2012-2013",E205="",G205="NPN05"),H205,"")</f>
        <v/>
      </c>
      <c r="AU205" s="44" t="str">
        <f>IF(AND(C205=Master!$H$3,B205="2012-2013",E205&gt;1000,G205="NPN05"),H205,"")</f>
        <v/>
      </c>
      <c r="AV205" s="44" t="str">
        <f>IF(AND(C205=Master!$H$3,B205="2012-2013",E205="",G205="NPN05"),H205,"")</f>
        <v/>
      </c>
      <c r="AW205" s="44" t="str">
        <f>IF(AND(C205=Master!$H$4,B205="2012-2013",E205&gt;1000,G205="NPN05"),H205,"")</f>
        <v/>
      </c>
      <c r="AX205" s="44" t="str">
        <f>IF(AND(C205=Master!$H$4,B205="2012-2013",E205="",G205="NPN05"),H205,"")</f>
        <v/>
      </c>
      <c r="AY205" s="44" t="str">
        <f>IF(AND(C205=Master!$H$5,B205="2012-2013",E205&gt;1000,G205="NPN05"),H205,"")</f>
        <v/>
      </c>
      <c r="AZ205" s="44" t="str">
        <f>IF(AND(C205=Master!$H$5,B205="2012-2013",E205="",G205="NPN05"),H205,"")</f>
        <v/>
      </c>
      <c r="BA205" s="44" t="str">
        <f>IF(AND(C205=Master!$H$6,B205="2012-2013",E205&gt;1000,G205="NPN05"),H205,"")</f>
        <v/>
      </c>
      <c r="BB205" s="44" t="str">
        <f>IF(AND(C205=Master!$H$6,B205="2012-2013",E205="",G205="NPN05"),H205,"")</f>
        <v/>
      </c>
      <c r="BC205" s="44" t="str">
        <f>IF(AND(C205=Master!$H$7,B205="2012-2013",E205&gt;1000,G205="NPN05"),H205,"")</f>
        <v/>
      </c>
      <c r="BD205" s="44" t="str">
        <f>IF(AND(C205=Master!$H$7,B205="2012-2013",E205="",G205="NPN05"),H205,"")</f>
        <v/>
      </c>
      <c r="BE205" s="44" t="str">
        <f>IF(AND(C205=Master!$H$8,B205="2012-2013",E205&gt;1000,G205="NPN05"),H205,"")</f>
        <v/>
      </c>
      <c r="BF205" s="44" t="str">
        <f>IF(AND(C205=Master!$H$8,B205="2012-2013",E205="",G205="NPN05"),H205,"")</f>
        <v/>
      </c>
      <c r="BG205" s="44" t="str">
        <f>IF(AND(C205=Master!$H$9,B205="2012-2013",E205&gt;1000,G205="NPN05"),H205,"")</f>
        <v/>
      </c>
      <c r="BH205" s="44" t="str">
        <f>IF(AND(C205=Master!$H$9,B205="2012-2013",E205="",G205="NPN05"),H205,"")</f>
        <v/>
      </c>
    </row>
    <row r="206" spans="1:60" x14ac:dyDescent="0.25">
      <c r="A206" s="3">
        <v>204</v>
      </c>
      <c r="B206" s="12"/>
      <c r="C206" s="12"/>
      <c r="D206" s="31"/>
      <c r="E206" s="4"/>
      <c r="F206" s="13"/>
      <c r="G206" s="21"/>
      <c r="H206" s="35"/>
      <c r="I206" s="21"/>
      <c r="J206" s="25" t="str">
        <f>IF(NOT(I206=""),INDEX(Master!$B$1:$B$46,MATCH(I206,Master!$A$1:$A$46,0)),"")</f>
        <v/>
      </c>
      <c r="K206" s="18"/>
      <c r="L206" s="86"/>
      <c r="M206" s="13"/>
      <c r="N206" s="13"/>
      <c r="O206" s="18"/>
      <c r="P206" s="35"/>
      <c r="Q206" s="21"/>
      <c r="R206" s="21"/>
      <c r="S206" s="13"/>
      <c r="T206" s="12"/>
      <c r="U206" s="12"/>
      <c r="V206" s="12"/>
      <c r="W206" s="14"/>
      <c r="Y206" s="42" t="str">
        <f>IF(AND(C206=Master!$H$1,B206="2012-2013",E206&gt;1000,G206="PLN03"),H206,"")</f>
        <v/>
      </c>
      <c r="Z206" s="42" t="str">
        <f>IF(AND(C206=Master!$H$1,B206="2012-2013",E206="",G206="PLN03"),H206,"")</f>
        <v/>
      </c>
      <c r="AA206" s="42" t="str">
        <f>IF(AND(C206=Master!$H$2,B206="2012-2013",E206&gt;1000,G206="PLN03"),H206,"")</f>
        <v/>
      </c>
      <c r="AB206" s="42" t="str">
        <f>IF(AND(C206=Master!$H$2,B206="2012-2013",E206="",G206="PLN03"),H206,"")</f>
        <v/>
      </c>
      <c r="AC206" s="42" t="str">
        <f>IF(AND(C206=Master!$H$3,B206="2012-2013",E206&gt;1000,G206="PLN03"),H206,"")</f>
        <v/>
      </c>
      <c r="AD206" s="42" t="str">
        <f>IF(AND(C206=Master!$H$3,B206="2012-2013",E206="",G206="PLN03"),H206,"")</f>
        <v/>
      </c>
      <c r="AE206" s="42" t="str">
        <f>IF(AND(C206=Master!$H$4,B206="2012-2013",E206&gt;1000,G206="PLN03"),H206,"")</f>
        <v/>
      </c>
      <c r="AF206" s="42" t="str">
        <f>IF(AND(C206=Master!$H$4,B206="2012-2013",E206="",G206="PLN03"),H206,"")</f>
        <v/>
      </c>
      <c r="AG206" s="42" t="str">
        <f>IF(AND(C206=Master!$H$5,B206="2012-2013",E206&gt;1000,G206="PLN03"),H206,"")</f>
        <v/>
      </c>
      <c r="AH206" s="42" t="str">
        <f>IF(AND(C206=Master!$H$5,B206="2012-2013",E206="",G206="PLN03"),H206,"")</f>
        <v/>
      </c>
      <c r="AI206" s="42" t="str">
        <f>IF(AND(C206=Master!$H$6,B206="2012-2013",E206&gt;1000,G206="PLN03"),H206,"")</f>
        <v/>
      </c>
      <c r="AJ206" s="42" t="str">
        <f>IF(AND(C206=Master!$H$6,B206="2012-2013",E206="",G206="PLN03"),H206,"")</f>
        <v/>
      </c>
      <c r="AK206" s="42" t="str">
        <f>IF(AND(C206=Master!$H$7,B206="2012-2013",E206&gt;1000,G206="PLN03"),H206,"")</f>
        <v/>
      </c>
      <c r="AL206" s="42" t="str">
        <f>IF(AND(C206=Master!$H$7,B206="2012-2013",E206="",G206="PLN03"),H206,"")</f>
        <v/>
      </c>
      <c r="AM206" s="42" t="str">
        <f>IF(AND(C206=Master!$H$8,B206="2012-2013",E206&gt;1000,G206="PLN03"),H206,"")</f>
        <v/>
      </c>
      <c r="AN206" s="42" t="str">
        <f>IF(AND(C206=Master!$H$8,B206="2012-2013",E206="",G206="PLN03"),H206,"")</f>
        <v/>
      </c>
      <c r="AO206" s="42" t="str">
        <f>IF(AND(C206=Master!$H$9,B206="2012-2013",E206&gt;1000,G206="PLN03"),H206,"")</f>
        <v/>
      </c>
      <c r="AP206" s="42" t="str">
        <f>IF(AND(C206=Master!$H$9,B206="2012-2013",E206="",G206="PLN03"),H206,"")</f>
        <v/>
      </c>
      <c r="AQ206" s="44" t="str">
        <f>IF(AND(C206=Master!$H$1,B206="2012-2013",E206&gt;1000,G206="NPN05"),H206,"")</f>
        <v/>
      </c>
      <c r="AR206" s="44" t="str">
        <f>IF(AND(C206=Master!$H$1,B206="2012-2013",E206="",G206="NPN05"),H206,"")</f>
        <v/>
      </c>
      <c r="AS206" s="44" t="str">
        <f>IF(AND(C206=Master!$H$2,B206="2012-2013",E206&gt;1000,G206="NPN05"),H206,"")</f>
        <v/>
      </c>
      <c r="AT206" s="44" t="str">
        <f>IF(AND(C206=Master!$H$2,B206="2012-2013",E206="",G206="NPN05"),H206,"")</f>
        <v/>
      </c>
      <c r="AU206" s="44" t="str">
        <f>IF(AND(C206=Master!$H$3,B206="2012-2013",E206&gt;1000,G206="NPN05"),H206,"")</f>
        <v/>
      </c>
      <c r="AV206" s="44" t="str">
        <f>IF(AND(C206=Master!$H$3,B206="2012-2013",E206="",G206="NPN05"),H206,"")</f>
        <v/>
      </c>
      <c r="AW206" s="44" t="str">
        <f>IF(AND(C206=Master!$H$4,B206="2012-2013",E206&gt;1000,G206="NPN05"),H206,"")</f>
        <v/>
      </c>
      <c r="AX206" s="44" t="str">
        <f>IF(AND(C206=Master!$H$4,B206="2012-2013",E206="",G206="NPN05"),H206,"")</f>
        <v/>
      </c>
      <c r="AY206" s="44" t="str">
        <f>IF(AND(C206=Master!$H$5,B206="2012-2013",E206&gt;1000,G206="NPN05"),H206,"")</f>
        <v/>
      </c>
      <c r="AZ206" s="44" t="str">
        <f>IF(AND(C206=Master!$H$5,B206="2012-2013",E206="",G206="NPN05"),H206,"")</f>
        <v/>
      </c>
      <c r="BA206" s="44" t="str">
        <f>IF(AND(C206=Master!$H$6,B206="2012-2013",E206&gt;1000,G206="NPN05"),H206,"")</f>
        <v/>
      </c>
      <c r="BB206" s="44" t="str">
        <f>IF(AND(C206=Master!$H$6,B206="2012-2013",E206="",G206="NPN05"),H206,"")</f>
        <v/>
      </c>
      <c r="BC206" s="44" t="str">
        <f>IF(AND(C206=Master!$H$7,B206="2012-2013",E206&gt;1000,G206="NPN05"),H206,"")</f>
        <v/>
      </c>
      <c r="BD206" s="44" t="str">
        <f>IF(AND(C206=Master!$H$7,B206="2012-2013",E206="",G206="NPN05"),H206,"")</f>
        <v/>
      </c>
      <c r="BE206" s="44" t="str">
        <f>IF(AND(C206=Master!$H$8,B206="2012-2013",E206&gt;1000,G206="NPN05"),H206,"")</f>
        <v/>
      </c>
      <c r="BF206" s="44" t="str">
        <f>IF(AND(C206=Master!$H$8,B206="2012-2013",E206="",G206="NPN05"),H206,"")</f>
        <v/>
      </c>
      <c r="BG206" s="44" t="str">
        <f>IF(AND(C206=Master!$H$9,B206="2012-2013",E206&gt;1000,G206="NPN05"),H206,"")</f>
        <v/>
      </c>
      <c r="BH206" s="44" t="str">
        <f>IF(AND(C206=Master!$H$9,B206="2012-2013",E206="",G206="NPN05"),H206,"")</f>
        <v/>
      </c>
    </row>
    <row r="207" spans="1:60" x14ac:dyDescent="0.25">
      <c r="A207" s="3">
        <v>205</v>
      </c>
      <c r="B207" s="12"/>
      <c r="C207" s="12"/>
      <c r="D207" s="31"/>
      <c r="E207" s="4"/>
      <c r="F207" s="13"/>
      <c r="G207" s="21"/>
      <c r="H207" s="35"/>
      <c r="I207" s="21"/>
      <c r="J207" s="25" t="str">
        <f>IF(NOT(I207=""),INDEX(Master!$B$1:$B$46,MATCH(I207,Master!$A$1:$A$46,0)),"")</f>
        <v/>
      </c>
      <c r="K207" s="18"/>
      <c r="L207" s="86"/>
      <c r="M207" s="13"/>
      <c r="N207" s="13"/>
      <c r="O207" s="18"/>
      <c r="P207" s="35"/>
      <c r="Q207" s="21"/>
      <c r="R207" s="21"/>
      <c r="S207" s="13"/>
      <c r="T207" s="12"/>
      <c r="U207" s="12"/>
      <c r="V207" s="12"/>
      <c r="W207" s="14"/>
      <c r="Y207" s="42" t="str">
        <f>IF(AND(C207=Master!$H$1,B207="2012-2013",E207&gt;1000,G207="PLN03"),H207,"")</f>
        <v/>
      </c>
      <c r="Z207" s="42" t="str">
        <f>IF(AND(C207=Master!$H$1,B207="2012-2013",E207="",G207="PLN03"),H207,"")</f>
        <v/>
      </c>
      <c r="AA207" s="42" t="str">
        <f>IF(AND(C207=Master!$H$2,B207="2012-2013",E207&gt;1000,G207="PLN03"),H207,"")</f>
        <v/>
      </c>
      <c r="AB207" s="42" t="str">
        <f>IF(AND(C207=Master!$H$2,B207="2012-2013",E207="",G207="PLN03"),H207,"")</f>
        <v/>
      </c>
      <c r="AC207" s="42" t="str">
        <f>IF(AND(C207=Master!$H$3,B207="2012-2013",E207&gt;1000,G207="PLN03"),H207,"")</f>
        <v/>
      </c>
      <c r="AD207" s="42" t="str">
        <f>IF(AND(C207=Master!$H$3,B207="2012-2013",E207="",G207="PLN03"),H207,"")</f>
        <v/>
      </c>
      <c r="AE207" s="42" t="str">
        <f>IF(AND(C207=Master!$H$4,B207="2012-2013",E207&gt;1000,G207="PLN03"),H207,"")</f>
        <v/>
      </c>
      <c r="AF207" s="42" t="str">
        <f>IF(AND(C207=Master!$H$4,B207="2012-2013",E207="",G207="PLN03"),H207,"")</f>
        <v/>
      </c>
      <c r="AG207" s="42" t="str">
        <f>IF(AND(C207=Master!$H$5,B207="2012-2013",E207&gt;1000,G207="PLN03"),H207,"")</f>
        <v/>
      </c>
      <c r="AH207" s="42" t="str">
        <f>IF(AND(C207=Master!$H$5,B207="2012-2013",E207="",G207="PLN03"),H207,"")</f>
        <v/>
      </c>
      <c r="AI207" s="42" t="str">
        <f>IF(AND(C207=Master!$H$6,B207="2012-2013",E207&gt;1000,G207="PLN03"),H207,"")</f>
        <v/>
      </c>
      <c r="AJ207" s="42" t="str">
        <f>IF(AND(C207=Master!$H$6,B207="2012-2013",E207="",G207="PLN03"),H207,"")</f>
        <v/>
      </c>
      <c r="AK207" s="42" t="str">
        <f>IF(AND(C207=Master!$H$7,B207="2012-2013",E207&gt;1000,G207="PLN03"),H207,"")</f>
        <v/>
      </c>
      <c r="AL207" s="42" t="str">
        <f>IF(AND(C207=Master!$H$7,B207="2012-2013",E207="",G207="PLN03"),H207,"")</f>
        <v/>
      </c>
      <c r="AM207" s="42" t="str">
        <f>IF(AND(C207=Master!$H$8,B207="2012-2013",E207&gt;1000,G207="PLN03"),H207,"")</f>
        <v/>
      </c>
      <c r="AN207" s="42" t="str">
        <f>IF(AND(C207=Master!$H$8,B207="2012-2013",E207="",G207="PLN03"),H207,"")</f>
        <v/>
      </c>
      <c r="AO207" s="42" t="str">
        <f>IF(AND(C207=Master!$H$9,B207="2012-2013",E207&gt;1000,G207="PLN03"),H207,"")</f>
        <v/>
      </c>
      <c r="AP207" s="42" t="str">
        <f>IF(AND(C207=Master!$H$9,B207="2012-2013",E207="",G207="PLN03"),H207,"")</f>
        <v/>
      </c>
      <c r="AQ207" s="44" t="str">
        <f>IF(AND(C207=Master!$H$1,B207="2012-2013",E207&gt;1000,G207="NPN05"),H207,"")</f>
        <v/>
      </c>
      <c r="AR207" s="44" t="str">
        <f>IF(AND(C207=Master!$H$1,B207="2012-2013",E207="",G207="NPN05"),H207,"")</f>
        <v/>
      </c>
      <c r="AS207" s="44" t="str">
        <f>IF(AND(C207=Master!$H$2,B207="2012-2013",E207&gt;1000,G207="NPN05"),H207,"")</f>
        <v/>
      </c>
      <c r="AT207" s="44" t="str">
        <f>IF(AND(C207=Master!$H$2,B207="2012-2013",E207="",G207="NPN05"),H207,"")</f>
        <v/>
      </c>
      <c r="AU207" s="44" t="str">
        <f>IF(AND(C207=Master!$H$3,B207="2012-2013",E207&gt;1000,G207="NPN05"),H207,"")</f>
        <v/>
      </c>
      <c r="AV207" s="44" t="str">
        <f>IF(AND(C207=Master!$H$3,B207="2012-2013",E207="",G207="NPN05"),H207,"")</f>
        <v/>
      </c>
      <c r="AW207" s="44" t="str">
        <f>IF(AND(C207=Master!$H$4,B207="2012-2013",E207&gt;1000,G207="NPN05"),H207,"")</f>
        <v/>
      </c>
      <c r="AX207" s="44" t="str">
        <f>IF(AND(C207=Master!$H$4,B207="2012-2013",E207="",G207="NPN05"),H207,"")</f>
        <v/>
      </c>
      <c r="AY207" s="44" t="str">
        <f>IF(AND(C207=Master!$H$5,B207="2012-2013",E207&gt;1000,G207="NPN05"),H207,"")</f>
        <v/>
      </c>
      <c r="AZ207" s="44" t="str">
        <f>IF(AND(C207=Master!$H$5,B207="2012-2013",E207="",G207="NPN05"),H207,"")</f>
        <v/>
      </c>
      <c r="BA207" s="44" t="str">
        <f>IF(AND(C207=Master!$H$6,B207="2012-2013",E207&gt;1000,G207="NPN05"),H207,"")</f>
        <v/>
      </c>
      <c r="BB207" s="44" t="str">
        <f>IF(AND(C207=Master!$H$6,B207="2012-2013",E207="",G207="NPN05"),H207,"")</f>
        <v/>
      </c>
      <c r="BC207" s="44" t="str">
        <f>IF(AND(C207=Master!$H$7,B207="2012-2013",E207&gt;1000,G207="NPN05"),H207,"")</f>
        <v/>
      </c>
      <c r="BD207" s="44" t="str">
        <f>IF(AND(C207=Master!$H$7,B207="2012-2013",E207="",G207="NPN05"),H207,"")</f>
        <v/>
      </c>
      <c r="BE207" s="44" t="str">
        <f>IF(AND(C207=Master!$H$8,B207="2012-2013",E207&gt;1000,G207="NPN05"),H207,"")</f>
        <v/>
      </c>
      <c r="BF207" s="44" t="str">
        <f>IF(AND(C207=Master!$H$8,B207="2012-2013",E207="",G207="NPN05"),H207,"")</f>
        <v/>
      </c>
      <c r="BG207" s="44" t="str">
        <f>IF(AND(C207=Master!$H$9,B207="2012-2013",E207&gt;1000,G207="NPN05"),H207,"")</f>
        <v/>
      </c>
      <c r="BH207" s="44" t="str">
        <f>IF(AND(C207=Master!$H$9,B207="2012-2013",E207="",G207="NPN05"),H207,"")</f>
        <v/>
      </c>
    </row>
    <row r="208" spans="1:60" x14ac:dyDescent="0.25">
      <c r="A208" s="3">
        <v>206</v>
      </c>
      <c r="B208" s="12"/>
      <c r="C208" s="12"/>
      <c r="D208" s="31"/>
      <c r="E208" s="4"/>
      <c r="F208" s="13"/>
      <c r="G208" s="21"/>
      <c r="H208" s="35"/>
      <c r="I208" s="21"/>
      <c r="J208" s="25" t="str">
        <f>IF(NOT(I208=""),INDEX(Master!$B$1:$B$46,MATCH(I208,Master!$A$1:$A$46,0)),"")</f>
        <v/>
      </c>
      <c r="K208" s="18"/>
      <c r="L208" s="86"/>
      <c r="M208" s="13"/>
      <c r="N208" s="13"/>
      <c r="O208" s="18"/>
      <c r="P208" s="35"/>
      <c r="Q208" s="21"/>
      <c r="R208" s="21"/>
      <c r="S208" s="13"/>
      <c r="T208" s="12"/>
      <c r="U208" s="12"/>
      <c r="V208" s="12"/>
      <c r="W208" s="14"/>
      <c r="Y208" s="42" t="str">
        <f>IF(AND(C208=Master!$H$1,B208="2012-2013",E208&gt;1000,G208="PLN03"),H208,"")</f>
        <v/>
      </c>
      <c r="Z208" s="42" t="str">
        <f>IF(AND(C208=Master!$H$1,B208="2012-2013",E208="",G208="PLN03"),H208,"")</f>
        <v/>
      </c>
      <c r="AA208" s="42" t="str">
        <f>IF(AND(C208=Master!$H$2,B208="2012-2013",E208&gt;1000,G208="PLN03"),H208,"")</f>
        <v/>
      </c>
      <c r="AB208" s="42" t="str">
        <f>IF(AND(C208=Master!$H$2,B208="2012-2013",E208="",G208="PLN03"),H208,"")</f>
        <v/>
      </c>
      <c r="AC208" s="42" t="str">
        <f>IF(AND(C208=Master!$H$3,B208="2012-2013",E208&gt;1000,G208="PLN03"),H208,"")</f>
        <v/>
      </c>
      <c r="AD208" s="42" t="str">
        <f>IF(AND(C208=Master!$H$3,B208="2012-2013",E208="",G208="PLN03"),H208,"")</f>
        <v/>
      </c>
      <c r="AE208" s="42" t="str">
        <f>IF(AND(C208=Master!$H$4,B208="2012-2013",E208&gt;1000,G208="PLN03"),H208,"")</f>
        <v/>
      </c>
      <c r="AF208" s="42" t="str">
        <f>IF(AND(C208=Master!$H$4,B208="2012-2013",E208="",G208="PLN03"),H208,"")</f>
        <v/>
      </c>
      <c r="AG208" s="42" t="str">
        <f>IF(AND(C208=Master!$H$5,B208="2012-2013",E208&gt;1000,G208="PLN03"),H208,"")</f>
        <v/>
      </c>
      <c r="AH208" s="42" t="str">
        <f>IF(AND(C208=Master!$H$5,B208="2012-2013",E208="",G208="PLN03"),H208,"")</f>
        <v/>
      </c>
      <c r="AI208" s="42" t="str">
        <f>IF(AND(C208=Master!$H$6,B208="2012-2013",E208&gt;1000,G208="PLN03"),H208,"")</f>
        <v/>
      </c>
      <c r="AJ208" s="42" t="str">
        <f>IF(AND(C208=Master!$H$6,B208="2012-2013",E208="",G208="PLN03"),H208,"")</f>
        <v/>
      </c>
      <c r="AK208" s="42" t="str">
        <f>IF(AND(C208=Master!$H$7,B208="2012-2013",E208&gt;1000,G208="PLN03"),H208,"")</f>
        <v/>
      </c>
      <c r="AL208" s="42" t="str">
        <f>IF(AND(C208=Master!$H$7,B208="2012-2013",E208="",G208="PLN03"),H208,"")</f>
        <v/>
      </c>
      <c r="AM208" s="42" t="str">
        <f>IF(AND(C208=Master!$H$8,B208="2012-2013",E208&gt;1000,G208="PLN03"),H208,"")</f>
        <v/>
      </c>
      <c r="AN208" s="42" t="str">
        <f>IF(AND(C208=Master!$H$8,B208="2012-2013",E208="",G208="PLN03"),H208,"")</f>
        <v/>
      </c>
      <c r="AO208" s="42" t="str">
        <f>IF(AND(C208=Master!$H$9,B208="2012-2013",E208&gt;1000,G208="PLN03"),H208,"")</f>
        <v/>
      </c>
      <c r="AP208" s="42" t="str">
        <f>IF(AND(C208=Master!$H$9,B208="2012-2013",E208="",G208="PLN03"),H208,"")</f>
        <v/>
      </c>
      <c r="AQ208" s="44" t="str">
        <f>IF(AND(C208=Master!$H$1,B208="2012-2013",E208&gt;1000,G208="NPN05"),H208,"")</f>
        <v/>
      </c>
      <c r="AR208" s="44" t="str">
        <f>IF(AND(C208=Master!$H$1,B208="2012-2013",E208="",G208="NPN05"),H208,"")</f>
        <v/>
      </c>
      <c r="AS208" s="44" t="str">
        <f>IF(AND(C208=Master!$H$2,B208="2012-2013",E208&gt;1000,G208="NPN05"),H208,"")</f>
        <v/>
      </c>
      <c r="AT208" s="44" t="str">
        <f>IF(AND(C208=Master!$H$2,B208="2012-2013",E208="",G208="NPN05"),H208,"")</f>
        <v/>
      </c>
      <c r="AU208" s="44" t="str">
        <f>IF(AND(C208=Master!$H$3,B208="2012-2013",E208&gt;1000,G208="NPN05"),H208,"")</f>
        <v/>
      </c>
      <c r="AV208" s="44" t="str">
        <f>IF(AND(C208=Master!$H$3,B208="2012-2013",E208="",G208="NPN05"),H208,"")</f>
        <v/>
      </c>
      <c r="AW208" s="44" t="str">
        <f>IF(AND(C208=Master!$H$4,B208="2012-2013",E208&gt;1000,G208="NPN05"),H208,"")</f>
        <v/>
      </c>
      <c r="AX208" s="44" t="str">
        <f>IF(AND(C208=Master!$H$4,B208="2012-2013",E208="",G208="NPN05"),H208,"")</f>
        <v/>
      </c>
      <c r="AY208" s="44" t="str">
        <f>IF(AND(C208=Master!$H$5,B208="2012-2013",E208&gt;1000,G208="NPN05"),H208,"")</f>
        <v/>
      </c>
      <c r="AZ208" s="44" t="str">
        <f>IF(AND(C208=Master!$H$5,B208="2012-2013",E208="",G208="NPN05"),H208,"")</f>
        <v/>
      </c>
      <c r="BA208" s="44" t="str">
        <f>IF(AND(C208=Master!$H$6,B208="2012-2013",E208&gt;1000,G208="NPN05"),H208,"")</f>
        <v/>
      </c>
      <c r="BB208" s="44" t="str">
        <f>IF(AND(C208=Master!$H$6,B208="2012-2013",E208="",G208="NPN05"),H208,"")</f>
        <v/>
      </c>
      <c r="BC208" s="44" t="str">
        <f>IF(AND(C208=Master!$H$7,B208="2012-2013",E208&gt;1000,G208="NPN05"),H208,"")</f>
        <v/>
      </c>
      <c r="BD208" s="44" t="str">
        <f>IF(AND(C208=Master!$H$7,B208="2012-2013",E208="",G208="NPN05"),H208,"")</f>
        <v/>
      </c>
      <c r="BE208" s="44" t="str">
        <f>IF(AND(C208=Master!$H$8,B208="2012-2013",E208&gt;1000,G208="NPN05"),H208,"")</f>
        <v/>
      </c>
      <c r="BF208" s="44" t="str">
        <f>IF(AND(C208=Master!$H$8,B208="2012-2013",E208="",G208="NPN05"),H208,"")</f>
        <v/>
      </c>
      <c r="BG208" s="44" t="str">
        <f>IF(AND(C208=Master!$H$9,B208="2012-2013",E208&gt;1000,G208="NPN05"),H208,"")</f>
        <v/>
      </c>
      <c r="BH208" s="44" t="str">
        <f>IF(AND(C208=Master!$H$9,B208="2012-2013",E208="",G208="NPN05"),H208,"")</f>
        <v/>
      </c>
    </row>
    <row r="209" spans="1:60" x14ac:dyDescent="0.25">
      <c r="A209" s="3">
        <v>207</v>
      </c>
      <c r="B209" s="12"/>
      <c r="C209" s="12"/>
      <c r="D209" s="31"/>
      <c r="E209" s="4"/>
      <c r="F209" s="13"/>
      <c r="G209" s="21"/>
      <c r="H209" s="35"/>
      <c r="I209" s="21"/>
      <c r="J209" s="25" t="str">
        <f>IF(NOT(I209=""),INDEX(Master!$B$1:$B$46,MATCH(I209,Master!$A$1:$A$46,0)),"")</f>
        <v/>
      </c>
      <c r="K209" s="18"/>
      <c r="L209" s="86"/>
      <c r="M209" s="13"/>
      <c r="N209" s="13"/>
      <c r="O209" s="18"/>
      <c r="P209" s="35"/>
      <c r="Q209" s="21"/>
      <c r="R209" s="21"/>
      <c r="S209" s="13"/>
      <c r="T209" s="12"/>
      <c r="U209" s="12"/>
      <c r="V209" s="12"/>
      <c r="W209" s="14"/>
      <c r="Y209" s="42" t="str">
        <f>IF(AND(C209=Master!$H$1,B209="2012-2013",E209&gt;1000,G209="PLN03"),H209,"")</f>
        <v/>
      </c>
      <c r="Z209" s="42" t="str">
        <f>IF(AND(C209=Master!$H$1,B209="2012-2013",E209="",G209="PLN03"),H209,"")</f>
        <v/>
      </c>
      <c r="AA209" s="42" t="str">
        <f>IF(AND(C209=Master!$H$2,B209="2012-2013",E209&gt;1000,G209="PLN03"),H209,"")</f>
        <v/>
      </c>
      <c r="AB209" s="42" t="str">
        <f>IF(AND(C209=Master!$H$2,B209="2012-2013",E209="",G209="PLN03"),H209,"")</f>
        <v/>
      </c>
      <c r="AC209" s="42" t="str">
        <f>IF(AND(C209=Master!$H$3,B209="2012-2013",E209&gt;1000,G209="PLN03"),H209,"")</f>
        <v/>
      </c>
      <c r="AD209" s="42" t="str">
        <f>IF(AND(C209=Master!$H$3,B209="2012-2013",E209="",G209="PLN03"),H209,"")</f>
        <v/>
      </c>
      <c r="AE209" s="42" t="str">
        <f>IF(AND(C209=Master!$H$4,B209="2012-2013",E209&gt;1000,G209="PLN03"),H209,"")</f>
        <v/>
      </c>
      <c r="AF209" s="42" t="str">
        <f>IF(AND(C209=Master!$H$4,B209="2012-2013",E209="",G209="PLN03"),H209,"")</f>
        <v/>
      </c>
      <c r="AG209" s="42" t="str">
        <f>IF(AND(C209=Master!$H$5,B209="2012-2013",E209&gt;1000,G209="PLN03"),H209,"")</f>
        <v/>
      </c>
      <c r="AH209" s="42" t="str">
        <f>IF(AND(C209=Master!$H$5,B209="2012-2013",E209="",G209="PLN03"),H209,"")</f>
        <v/>
      </c>
      <c r="AI209" s="42" t="str">
        <f>IF(AND(C209=Master!$H$6,B209="2012-2013",E209&gt;1000,G209="PLN03"),H209,"")</f>
        <v/>
      </c>
      <c r="AJ209" s="42" t="str">
        <f>IF(AND(C209=Master!$H$6,B209="2012-2013",E209="",G209="PLN03"),H209,"")</f>
        <v/>
      </c>
      <c r="AK209" s="42" t="str">
        <f>IF(AND(C209=Master!$H$7,B209="2012-2013",E209&gt;1000,G209="PLN03"),H209,"")</f>
        <v/>
      </c>
      <c r="AL209" s="42" t="str">
        <f>IF(AND(C209=Master!$H$7,B209="2012-2013",E209="",G209="PLN03"),H209,"")</f>
        <v/>
      </c>
      <c r="AM209" s="42" t="str">
        <f>IF(AND(C209=Master!$H$8,B209="2012-2013",E209&gt;1000,G209="PLN03"),H209,"")</f>
        <v/>
      </c>
      <c r="AN209" s="42" t="str">
        <f>IF(AND(C209=Master!$H$8,B209="2012-2013",E209="",G209="PLN03"),H209,"")</f>
        <v/>
      </c>
      <c r="AO209" s="42" t="str">
        <f>IF(AND(C209=Master!$H$9,B209="2012-2013",E209&gt;1000,G209="PLN03"),H209,"")</f>
        <v/>
      </c>
      <c r="AP209" s="42" t="str">
        <f>IF(AND(C209=Master!$H$9,B209="2012-2013",E209="",G209="PLN03"),H209,"")</f>
        <v/>
      </c>
      <c r="AQ209" s="44" t="str">
        <f>IF(AND(C209=Master!$H$1,B209="2012-2013",E209&gt;1000,G209="NPN05"),H209,"")</f>
        <v/>
      </c>
      <c r="AR209" s="44" t="str">
        <f>IF(AND(C209=Master!$H$1,B209="2012-2013",E209="",G209="NPN05"),H209,"")</f>
        <v/>
      </c>
      <c r="AS209" s="44" t="str">
        <f>IF(AND(C209=Master!$H$2,B209="2012-2013",E209&gt;1000,G209="NPN05"),H209,"")</f>
        <v/>
      </c>
      <c r="AT209" s="44" t="str">
        <f>IF(AND(C209=Master!$H$2,B209="2012-2013",E209="",G209="NPN05"),H209,"")</f>
        <v/>
      </c>
      <c r="AU209" s="44" t="str">
        <f>IF(AND(C209=Master!$H$3,B209="2012-2013",E209&gt;1000,G209="NPN05"),H209,"")</f>
        <v/>
      </c>
      <c r="AV209" s="44" t="str">
        <f>IF(AND(C209=Master!$H$3,B209="2012-2013",E209="",G209="NPN05"),H209,"")</f>
        <v/>
      </c>
      <c r="AW209" s="44" t="str">
        <f>IF(AND(C209=Master!$H$4,B209="2012-2013",E209&gt;1000,G209="NPN05"),H209,"")</f>
        <v/>
      </c>
      <c r="AX209" s="44" t="str">
        <f>IF(AND(C209=Master!$H$4,B209="2012-2013",E209="",G209="NPN05"),H209,"")</f>
        <v/>
      </c>
      <c r="AY209" s="44" t="str">
        <f>IF(AND(C209=Master!$H$5,B209="2012-2013",E209&gt;1000,G209="NPN05"),H209,"")</f>
        <v/>
      </c>
      <c r="AZ209" s="44" t="str">
        <f>IF(AND(C209=Master!$H$5,B209="2012-2013",E209="",G209="NPN05"),H209,"")</f>
        <v/>
      </c>
      <c r="BA209" s="44" t="str">
        <f>IF(AND(C209=Master!$H$6,B209="2012-2013",E209&gt;1000,G209="NPN05"),H209,"")</f>
        <v/>
      </c>
      <c r="BB209" s="44" t="str">
        <f>IF(AND(C209=Master!$H$6,B209="2012-2013",E209="",G209="NPN05"),H209,"")</f>
        <v/>
      </c>
      <c r="BC209" s="44" t="str">
        <f>IF(AND(C209=Master!$H$7,B209="2012-2013",E209&gt;1000,G209="NPN05"),H209,"")</f>
        <v/>
      </c>
      <c r="BD209" s="44" t="str">
        <f>IF(AND(C209=Master!$H$7,B209="2012-2013",E209="",G209="NPN05"),H209,"")</f>
        <v/>
      </c>
      <c r="BE209" s="44" t="str">
        <f>IF(AND(C209=Master!$H$8,B209="2012-2013",E209&gt;1000,G209="NPN05"),H209,"")</f>
        <v/>
      </c>
      <c r="BF209" s="44" t="str">
        <f>IF(AND(C209=Master!$H$8,B209="2012-2013",E209="",G209="NPN05"),H209,"")</f>
        <v/>
      </c>
      <c r="BG209" s="44" t="str">
        <f>IF(AND(C209=Master!$H$9,B209="2012-2013",E209&gt;1000,G209="NPN05"),H209,"")</f>
        <v/>
      </c>
      <c r="BH209" s="44" t="str">
        <f>IF(AND(C209=Master!$H$9,B209="2012-2013",E209="",G209="NPN05"),H209,"")</f>
        <v/>
      </c>
    </row>
    <row r="210" spans="1:60" x14ac:dyDescent="0.25">
      <c r="A210" s="3">
        <v>208</v>
      </c>
      <c r="B210" s="12"/>
      <c r="C210" s="12"/>
      <c r="D210" s="31"/>
      <c r="E210" s="4"/>
      <c r="F210" s="13"/>
      <c r="G210" s="21"/>
      <c r="H210" s="35"/>
      <c r="I210" s="21"/>
      <c r="J210" s="25" t="str">
        <f>IF(NOT(I210=""),INDEX(Master!$B$1:$B$46,MATCH(I210,Master!$A$1:$A$46,0)),"")</f>
        <v/>
      </c>
      <c r="K210" s="18"/>
      <c r="L210" s="86"/>
      <c r="M210" s="13"/>
      <c r="N210" s="13"/>
      <c r="O210" s="18"/>
      <c r="P210" s="35"/>
      <c r="Q210" s="21"/>
      <c r="R210" s="21"/>
      <c r="S210" s="13"/>
      <c r="T210" s="12"/>
      <c r="U210" s="12"/>
      <c r="V210" s="12"/>
      <c r="W210" s="14"/>
      <c r="Y210" s="42" t="str">
        <f>IF(AND(C210=Master!$H$1,B210="2012-2013",E210&gt;1000,G210="PLN03"),H210,"")</f>
        <v/>
      </c>
      <c r="Z210" s="42" t="str">
        <f>IF(AND(C210=Master!$H$1,B210="2012-2013",E210="",G210="PLN03"),H210,"")</f>
        <v/>
      </c>
      <c r="AA210" s="42" t="str">
        <f>IF(AND(C210=Master!$H$2,B210="2012-2013",E210&gt;1000,G210="PLN03"),H210,"")</f>
        <v/>
      </c>
      <c r="AB210" s="42" t="str">
        <f>IF(AND(C210=Master!$H$2,B210="2012-2013",E210="",G210="PLN03"),H210,"")</f>
        <v/>
      </c>
      <c r="AC210" s="42" t="str">
        <f>IF(AND(C210=Master!$H$3,B210="2012-2013",E210&gt;1000,G210="PLN03"),H210,"")</f>
        <v/>
      </c>
      <c r="AD210" s="42" t="str">
        <f>IF(AND(C210=Master!$H$3,B210="2012-2013",E210="",G210="PLN03"),H210,"")</f>
        <v/>
      </c>
      <c r="AE210" s="42" t="str">
        <f>IF(AND(C210=Master!$H$4,B210="2012-2013",E210&gt;1000,G210="PLN03"),H210,"")</f>
        <v/>
      </c>
      <c r="AF210" s="42" t="str">
        <f>IF(AND(C210=Master!$H$4,B210="2012-2013",E210="",G210="PLN03"),H210,"")</f>
        <v/>
      </c>
      <c r="AG210" s="42" t="str">
        <f>IF(AND(C210=Master!$H$5,B210="2012-2013",E210&gt;1000,G210="PLN03"),H210,"")</f>
        <v/>
      </c>
      <c r="AH210" s="42" t="str">
        <f>IF(AND(C210=Master!$H$5,B210="2012-2013",E210="",G210="PLN03"),H210,"")</f>
        <v/>
      </c>
      <c r="AI210" s="42" t="str">
        <f>IF(AND(C210=Master!$H$6,B210="2012-2013",E210&gt;1000,G210="PLN03"),H210,"")</f>
        <v/>
      </c>
      <c r="AJ210" s="42" t="str">
        <f>IF(AND(C210=Master!$H$6,B210="2012-2013",E210="",G210="PLN03"),H210,"")</f>
        <v/>
      </c>
      <c r="AK210" s="42" t="str">
        <f>IF(AND(C210=Master!$H$7,B210="2012-2013",E210&gt;1000,G210="PLN03"),H210,"")</f>
        <v/>
      </c>
      <c r="AL210" s="42" t="str">
        <f>IF(AND(C210=Master!$H$7,B210="2012-2013",E210="",G210="PLN03"),H210,"")</f>
        <v/>
      </c>
      <c r="AM210" s="42" t="str">
        <f>IF(AND(C210=Master!$H$8,B210="2012-2013",E210&gt;1000,G210="PLN03"),H210,"")</f>
        <v/>
      </c>
      <c r="AN210" s="42" t="str">
        <f>IF(AND(C210=Master!$H$8,B210="2012-2013",E210="",G210="PLN03"),H210,"")</f>
        <v/>
      </c>
      <c r="AO210" s="42" t="str">
        <f>IF(AND(C210=Master!$H$9,B210="2012-2013",E210&gt;1000,G210="PLN03"),H210,"")</f>
        <v/>
      </c>
      <c r="AP210" s="42" t="str">
        <f>IF(AND(C210=Master!$H$9,B210="2012-2013",E210="",G210="PLN03"),H210,"")</f>
        <v/>
      </c>
      <c r="AQ210" s="44" t="str">
        <f>IF(AND(C210=Master!$H$1,B210="2012-2013",E210&gt;1000,G210="NPN05"),H210,"")</f>
        <v/>
      </c>
      <c r="AR210" s="44" t="str">
        <f>IF(AND(C210=Master!$H$1,B210="2012-2013",E210="",G210="NPN05"),H210,"")</f>
        <v/>
      </c>
      <c r="AS210" s="44" t="str">
        <f>IF(AND(C210=Master!$H$2,B210="2012-2013",E210&gt;1000,G210="NPN05"),H210,"")</f>
        <v/>
      </c>
      <c r="AT210" s="44" t="str">
        <f>IF(AND(C210=Master!$H$2,B210="2012-2013",E210="",G210="NPN05"),H210,"")</f>
        <v/>
      </c>
      <c r="AU210" s="44" t="str">
        <f>IF(AND(C210=Master!$H$3,B210="2012-2013",E210&gt;1000,G210="NPN05"),H210,"")</f>
        <v/>
      </c>
      <c r="AV210" s="44" t="str">
        <f>IF(AND(C210=Master!$H$3,B210="2012-2013",E210="",G210="NPN05"),H210,"")</f>
        <v/>
      </c>
      <c r="AW210" s="44" t="str">
        <f>IF(AND(C210=Master!$H$4,B210="2012-2013",E210&gt;1000,G210="NPN05"),H210,"")</f>
        <v/>
      </c>
      <c r="AX210" s="44" t="str">
        <f>IF(AND(C210=Master!$H$4,B210="2012-2013",E210="",G210="NPN05"),H210,"")</f>
        <v/>
      </c>
      <c r="AY210" s="44" t="str">
        <f>IF(AND(C210=Master!$H$5,B210="2012-2013",E210&gt;1000,G210="NPN05"),H210,"")</f>
        <v/>
      </c>
      <c r="AZ210" s="44" t="str">
        <f>IF(AND(C210=Master!$H$5,B210="2012-2013",E210="",G210="NPN05"),H210,"")</f>
        <v/>
      </c>
      <c r="BA210" s="44" t="str">
        <f>IF(AND(C210=Master!$H$6,B210="2012-2013",E210&gt;1000,G210="NPN05"),H210,"")</f>
        <v/>
      </c>
      <c r="BB210" s="44" t="str">
        <f>IF(AND(C210=Master!$H$6,B210="2012-2013",E210="",G210="NPN05"),H210,"")</f>
        <v/>
      </c>
      <c r="BC210" s="44" t="str">
        <f>IF(AND(C210=Master!$H$7,B210="2012-2013",E210&gt;1000,G210="NPN05"),H210,"")</f>
        <v/>
      </c>
      <c r="BD210" s="44" t="str">
        <f>IF(AND(C210=Master!$H$7,B210="2012-2013",E210="",G210="NPN05"),H210,"")</f>
        <v/>
      </c>
      <c r="BE210" s="44" t="str">
        <f>IF(AND(C210=Master!$H$8,B210="2012-2013",E210&gt;1000,G210="NPN05"),H210,"")</f>
        <v/>
      </c>
      <c r="BF210" s="44" t="str">
        <f>IF(AND(C210=Master!$H$8,B210="2012-2013",E210="",G210="NPN05"),H210,"")</f>
        <v/>
      </c>
      <c r="BG210" s="44" t="str">
        <f>IF(AND(C210=Master!$H$9,B210="2012-2013",E210&gt;1000,G210="NPN05"),H210,"")</f>
        <v/>
      </c>
      <c r="BH210" s="44" t="str">
        <f>IF(AND(C210=Master!$H$9,B210="2012-2013",E210="",G210="NPN05"),H210,"")</f>
        <v/>
      </c>
    </row>
    <row r="211" spans="1:60" x14ac:dyDescent="0.25">
      <c r="A211" s="5">
        <v>209</v>
      </c>
      <c r="B211" s="12"/>
      <c r="C211" s="12"/>
      <c r="D211" s="31"/>
      <c r="E211" s="4"/>
      <c r="F211" s="13"/>
      <c r="G211" s="21"/>
      <c r="H211" s="35"/>
      <c r="I211" s="21"/>
      <c r="J211" s="25" t="str">
        <f>IF(NOT(I211=""),INDEX(Master!$B$1:$B$46,MATCH(I211,Master!$A$1:$A$46,0)),"")</f>
        <v/>
      </c>
      <c r="K211" s="18"/>
      <c r="L211" s="86"/>
      <c r="M211" s="13"/>
      <c r="N211" s="13"/>
      <c r="O211" s="18"/>
      <c r="P211" s="35"/>
      <c r="Q211" s="21"/>
      <c r="R211" s="21"/>
      <c r="S211" s="13"/>
      <c r="T211" s="12"/>
      <c r="U211" s="12"/>
      <c r="V211" s="12"/>
      <c r="W211" s="14"/>
      <c r="Y211" s="42" t="str">
        <f>IF(AND(C211=Master!$H$1,B211="2012-2013",E211&gt;1000,G211="PLN03"),H211,"")</f>
        <v/>
      </c>
      <c r="Z211" s="42" t="str">
        <f>IF(AND(C211=Master!$H$1,B211="2012-2013",E211="",G211="PLN03"),H211,"")</f>
        <v/>
      </c>
      <c r="AA211" s="42" t="str">
        <f>IF(AND(C211=Master!$H$2,B211="2012-2013",E211&gt;1000,G211="PLN03"),H211,"")</f>
        <v/>
      </c>
      <c r="AB211" s="42" t="str">
        <f>IF(AND(C211=Master!$H$2,B211="2012-2013",E211="",G211="PLN03"),H211,"")</f>
        <v/>
      </c>
      <c r="AC211" s="42" t="str">
        <f>IF(AND(C211=Master!$H$3,B211="2012-2013",E211&gt;1000,G211="PLN03"),H211,"")</f>
        <v/>
      </c>
      <c r="AD211" s="42" t="str">
        <f>IF(AND(C211=Master!$H$3,B211="2012-2013",E211="",G211="PLN03"),H211,"")</f>
        <v/>
      </c>
      <c r="AE211" s="42" t="str">
        <f>IF(AND(C211=Master!$H$4,B211="2012-2013",E211&gt;1000,G211="PLN03"),H211,"")</f>
        <v/>
      </c>
      <c r="AF211" s="42" t="str">
        <f>IF(AND(C211=Master!$H$4,B211="2012-2013",E211="",G211="PLN03"),H211,"")</f>
        <v/>
      </c>
      <c r="AG211" s="42" t="str">
        <f>IF(AND(C211=Master!$H$5,B211="2012-2013",E211&gt;1000,G211="PLN03"),H211,"")</f>
        <v/>
      </c>
      <c r="AH211" s="42" t="str">
        <f>IF(AND(C211=Master!$H$5,B211="2012-2013",E211="",G211="PLN03"),H211,"")</f>
        <v/>
      </c>
      <c r="AI211" s="42" t="str">
        <f>IF(AND(C211=Master!$H$6,B211="2012-2013",E211&gt;1000,G211="PLN03"),H211,"")</f>
        <v/>
      </c>
      <c r="AJ211" s="42" t="str">
        <f>IF(AND(C211=Master!$H$6,B211="2012-2013",E211="",G211="PLN03"),H211,"")</f>
        <v/>
      </c>
      <c r="AK211" s="42" t="str">
        <f>IF(AND(C211=Master!$H$7,B211="2012-2013",E211&gt;1000,G211="PLN03"),H211,"")</f>
        <v/>
      </c>
      <c r="AL211" s="42" t="str">
        <f>IF(AND(C211=Master!$H$7,B211="2012-2013",E211="",G211="PLN03"),H211,"")</f>
        <v/>
      </c>
      <c r="AM211" s="42" t="str">
        <f>IF(AND(C211=Master!$H$8,B211="2012-2013",E211&gt;1000,G211="PLN03"),H211,"")</f>
        <v/>
      </c>
      <c r="AN211" s="42" t="str">
        <f>IF(AND(C211=Master!$H$8,B211="2012-2013",E211="",G211="PLN03"),H211,"")</f>
        <v/>
      </c>
      <c r="AO211" s="42" t="str">
        <f>IF(AND(C211=Master!$H$9,B211="2012-2013",E211&gt;1000,G211="PLN03"),H211,"")</f>
        <v/>
      </c>
      <c r="AP211" s="42" t="str">
        <f>IF(AND(C211=Master!$H$9,B211="2012-2013",E211="",G211="PLN03"),H211,"")</f>
        <v/>
      </c>
      <c r="AQ211" s="44" t="str">
        <f>IF(AND(C211=Master!$H$1,B211="2012-2013",E211&gt;1000,G211="NPN05"),H211,"")</f>
        <v/>
      </c>
      <c r="AR211" s="44" t="str">
        <f>IF(AND(C211=Master!$H$1,B211="2012-2013",E211="",G211="NPN05"),H211,"")</f>
        <v/>
      </c>
      <c r="AS211" s="44" t="str">
        <f>IF(AND(C211=Master!$H$2,B211="2012-2013",E211&gt;1000,G211="NPN05"),H211,"")</f>
        <v/>
      </c>
      <c r="AT211" s="44" t="str">
        <f>IF(AND(C211=Master!$H$2,B211="2012-2013",E211="",G211="NPN05"),H211,"")</f>
        <v/>
      </c>
      <c r="AU211" s="44" t="str">
        <f>IF(AND(C211=Master!$H$3,B211="2012-2013",E211&gt;1000,G211="NPN05"),H211,"")</f>
        <v/>
      </c>
      <c r="AV211" s="44" t="str">
        <f>IF(AND(C211=Master!$H$3,B211="2012-2013",E211="",G211="NPN05"),H211,"")</f>
        <v/>
      </c>
      <c r="AW211" s="44" t="str">
        <f>IF(AND(C211=Master!$H$4,B211="2012-2013",E211&gt;1000,G211="NPN05"),H211,"")</f>
        <v/>
      </c>
      <c r="AX211" s="44" t="str">
        <f>IF(AND(C211=Master!$H$4,B211="2012-2013",E211="",G211="NPN05"),H211,"")</f>
        <v/>
      </c>
      <c r="AY211" s="44" t="str">
        <f>IF(AND(C211=Master!$H$5,B211="2012-2013",E211&gt;1000,G211="NPN05"),H211,"")</f>
        <v/>
      </c>
      <c r="AZ211" s="44" t="str">
        <f>IF(AND(C211=Master!$H$5,B211="2012-2013",E211="",G211="NPN05"),H211,"")</f>
        <v/>
      </c>
      <c r="BA211" s="44" t="str">
        <f>IF(AND(C211=Master!$H$6,B211="2012-2013",E211&gt;1000,G211="NPN05"),H211,"")</f>
        <v/>
      </c>
      <c r="BB211" s="44" t="str">
        <f>IF(AND(C211=Master!$H$6,B211="2012-2013",E211="",G211="NPN05"),H211,"")</f>
        <v/>
      </c>
      <c r="BC211" s="44" t="str">
        <f>IF(AND(C211=Master!$H$7,B211="2012-2013",E211&gt;1000,G211="NPN05"),H211,"")</f>
        <v/>
      </c>
      <c r="BD211" s="44" t="str">
        <f>IF(AND(C211=Master!$H$7,B211="2012-2013",E211="",G211="NPN05"),H211,"")</f>
        <v/>
      </c>
      <c r="BE211" s="44" t="str">
        <f>IF(AND(C211=Master!$H$8,B211="2012-2013",E211&gt;1000,G211="NPN05"),H211,"")</f>
        <v/>
      </c>
      <c r="BF211" s="44" t="str">
        <f>IF(AND(C211=Master!$H$8,B211="2012-2013",E211="",G211="NPN05"),H211,"")</f>
        <v/>
      </c>
      <c r="BG211" s="44" t="str">
        <f>IF(AND(C211=Master!$H$9,B211="2012-2013",E211&gt;1000,G211="NPN05"),H211,"")</f>
        <v/>
      </c>
      <c r="BH211" s="44" t="str">
        <f>IF(AND(C211=Master!$H$9,B211="2012-2013",E211="",G211="NPN05"),H211,"")</f>
        <v/>
      </c>
    </row>
    <row r="212" spans="1:60" x14ac:dyDescent="0.25">
      <c r="A212" s="3">
        <v>210</v>
      </c>
      <c r="B212" s="12"/>
      <c r="C212" s="12"/>
      <c r="D212" s="31"/>
      <c r="E212" s="4"/>
      <c r="F212" s="13"/>
      <c r="G212" s="21"/>
      <c r="H212" s="35"/>
      <c r="I212" s="21"/>
      <c r="J212" s="25" t="str">
        <f>IF(NOT(I212=""),INDEX(Master!$B$1:$B$46,MATCH(I212,Master!$A$1:$A$46,0)),"")</f>
        <v/>
      </c>
      <c r="K212" s="18"/>
      <c r="L212" s="86"/>
      <c r="M212" s="13"/>
      <c r="N212" s="13"/>
      <c r="O212" s="18"/>
      <c r="P212" s="35"/>
      <c r="Q212" s="21"/>
      <c r="R212" s="21"/>
      <c r="S212" s="13"/>
      <c r="T212" s="12"/>
      <c r="U212" s="12"/>
      <c r="V212" s="12"/>
      <c r="W212" s="14"/>
      <c r="Y212" s="42" t="str">
        <f>IF(AND(C212=Master!$H$1,B212="2012-2013",E212&gt;1000,G212="PLN03"),H212,"")</f>
        <v/>
      </c>
      <c r="Z212" s="42" t="str">
        <f>IF(AND(C212=Master!$H$1,B212="2012-2013",E212="",G212="PLN03"),H212,"")</f>
        <v/>
      </c>
      <c r="AA212" s="42" t="str">
        <f>IF(AND(C212=Master!$H$2,B212="2012-2013",E212&gt;1000,G212="PLN03"),H212,"")</f>
        <v/>
      </c>
      <c r="AB212" s="42" t="str">
        <f>IF(AND(C212=Master!$H$2,B212="2012-2013",E212="",G212="PLN03"),H212,"")</f>
        <v/>
      </c>
      <c r="AC212" s="42" t="str">
        <f>IF(AND(C212=Master!$H$3,B212="2012-2013",E212&gt;1000,G212="PLN03"),H212,"")</f>
        <v/>
      </c>
      <c r="AD212" s="42" t="str">
        <f>IF(AND(C212=Master!$H$3,B212="2012-2013",E212="",G212="PLN03"),H212,"")</f>
        <v/>
      </c>
      <c r="AE212" s="42" t="str">
        <f>IF(AND(C212=Master!$H$4,B212="2012-2013",E212&gt;1000,G212="PLN03"),H212,"")</f>
        <v/>
      </c>
      <c r="AF212" s="42" t="str">
        <f>IF(AND(C212=Master!$H$4,B212="2012-2013",E212="",G212="PLN03"),H212,"")</f>
        <v/>
      </c>
      <c r="AG212" s="42" t="str">
        <f>IF(AND(C212=Master!$H$5,B212="2012-2013",E212&gt;1000,G212="PLN03"),H212,"")</f>
        <v/>
      </c>
      <c r="AH212" s="42" t="str">
        <f>IF(AND(C212=Master!$H$5,B212="2012-2013",E212="",G212="PLN03"),H212,"")</f>
        <v/>
      </c>
      <c r="AI212" s="42" t="str">
        <f>IF(AND(C212=Master!$H$6,B212="2012-2013",E212&gt;1000,G212="PLN03"),H212,"")</f>
        <v/>
      </c>
      <c r="AJ212" s="42" t="str">
        <f>IF(AND(C212=Master!$H$6,B212="2012-2013",E212="",G212="PLN03"),H212,"")</f>
        <v/>
      </c>
      <c r="AK212" s="42" t="str">
        <f>IF(AND(C212=Master!$H$7,B212="2012-2013",E212&gt;1000,G212="PLN03"),H212,"")</f>
        <v/>
      </c>
      <c r="AL212" s="42" t="str">
        <f>IF(AND(C212=Master!$H$7,B212="2012-2013",E212="",G212="PLN03"),H212,"")</f>
        <v/>
      </c>
      <c r="AM212" s="42" t="str">
        <f>IF(AND(C212=Master!$H$8,B212="2012-2013",E212&gt;1000,G212="PLN03"),H212,"")</f>
        <v/>
      </c>
      <c r="AN212" s="42" t="str">
        <f>IF(AND(C212=Master!$H$8,B212="2012-2013",E212="",G212="PLN03"),H212,"")</f>
        <v/>
      </c>
      <c r="AO212" s="42" t="str">
        <f>IF(AND(C212=Master!$H$9,B212="2012-2013",E212&gt;1000,G212="PLN03"),H212,"")</f>
        <v/>
      </c>
      <c r="AP212" s="42" t="str">
        <f>IF(AND(C212=Master!$H$9,B212="2012-2013",E212="",G212="PLN03"),H212,"")</f>
        <v/>
      </c>
      <c r="AQ212" s="44" t="str">
        <f>IF(AND(C212=Master!$H$1,B212="2012-2013",E212&gt;1000,G212="NPN05"),H212,"")</f>
        <v/>
      </c>
      <c r="AR212" s="44" t="str">
        <f>IF(AND(C212=Master!$H$1,B212="2012-2013",E212="",G212="NPN05"),H212,"")</f>
        <v/>
      </c>
      <c r="AS212" s="44" t="str">
        <f>IF(AND(C212=Master!$H$2,B212="2012-2013",E212&gt;1000,G212="NPN05"),H212,"")</f>
        <v/>
      </c>
      <c r="AT212" s="44" t="str">
        <f>IF(AND(C212=Master!$H$2,B212="2012-2013",E212="",G212="NPN05"),H212,"")</f>
        <v/>
      </c>
      <c r="AU212" s="44" t="str">
        <f>IF(AND(C212=Master!$H$3,B212="2012-2013",E212&gt;1000,G212="NPN05"),H212,"")</f>
        <v/>
      </c>
      <c r="AV212" s="44" t="str">
        <f>IF(AND(C212=Master!$H$3,B212="2012-2013",E212="",G212="NPN05"),H212,"")</f>
        <v/>
      </c>
      <c r="AW212" s="44" t="str">
        <f>IF(AND(C212=Master!$H$4,B212="2012-2013",E212&gt;1000,G212="NPN05"),H212,"")</f>
        <v/>
      </c>
      <c r="AX212" s="44" t="str">
        <f>IF(AND(C212=Master!$H$4,B212="2012-2013",E212="",G212="NPN05"),H212,"")</f>
        <v/>
      </c>
      <c r="AY212" s="44" t="str">
        <f>IF(AND(C212=Master!$H$5,B212="2012-2013",E212&gt;1000,G212="NPN05"),H212,"")</f>
        <v/>
      </c>
      <c r="AZ212" s="44" t="str">
        <f>IF(AND(C212=Master!$H$5,B212="2012-2013",E212="",G212="NPN05"),H212,"")</f>
        <v/>
      </c>
      <c r="BA212" s="44" t="str">
        <f>IF(AND(C212=Master!$H$6,B212="2012-2013",E212&gt;1000,G212="NPN05"),H212,"")</f>
        <v/>
      </c>
      <c r="BB212" s="44" t="str">
        <f>IF(AND(C212=Master!$H$6,B212="2012-2013",E212="",G212="NPN05"),H212,"")</f>
        <v/>
      </c>
      <c r="BC212" s="44" t="str">
        <f>IF(AND(C212=Master!$H$7,B212="2012-2013",E212&gt;1000,G212="NPN05"),H212,"")</f>
        <v/>
      </c>
      <c r="BD212" s="44" t="str">
        <f>IF(AND(C212=Master!$H$7,B212="2012-2013",E212="",G212="NPN05"),H212,"")</f>
        <v/>
      </c>
      <c r="BE212" s="44" t="str">
        <f>IF(AND(C212=Master!$H$8,B212="2012-2013",E212&gt;1000,G212="NPN05"),H212,"")</f>
        <v/>
      </c>
      <c r="BF212" s="44" t="str">
        <f>IF(AND(C212=Master!$H$8,B212="2012-2013",E212="",G212="NPN05"),H212,"")</f>
        <v/>
      </c>
      <c r="BG212" s="44" t="str">
        <f>IF(AND(C212=Master!$H$9,B212="2012-2013",E212&gt;1000,G212="NPN05"),H212,"")</f>
        <v/>
      </c>
      <c r="BH212" s="44" t="str">
        <f>IF(AND(C212=Master!$H$9,B212="2012-2013",E212="",G212="NPN05"),H212,"")</f>
        <v/>
      </c>
    </row>
    <row r="213" spans="1:60" x14ac:dyDescent="0.25">
      <c r="A213" s="3">
        <v>211</v>
      </c>
      <c r="B213" s="12"/>
      <c r="C213" s="12"/>
      <c r="D213" s="31"/>
      <c r="E213" s="4"/>
      <c r="F213" s="13"/>
      <c r="G213" s="21"/>
      <c r="H213" s="35"/>
      <c r="I213" s="21"/>
      <c r="J213" s="25" t="str">
        <f>IF(NOT(I213=""),INDEX(Master!$B$1:$B$46,MATCH(I213,Master!$A$1:$A$46,0)),"")</f>
        <v/>
      </c>
      <c r="K213" s="18"/>
      <c r="L213" s="86"/>
      <c r="M213" s="13"/>
      <c r="N213" s="13"/>
      <c r="O213" s="18"/>
      <c r="P213" s="35"/>
      <c r="Q213" s="21"/>
      <c r="R213" s="21"/>
      <c r="S213" s="13"/>
      <c r="T213" s="12"/>
      <c r="U213" s="12"/>
      <c r="V213" s="12"/>
      <c r="W213" s="14"/>
      <c r="Y213" s="42" t="str">
        <f>IF(AND(C213=Master!$H$1,B213="2012-2013",E213&gt;1000,G213="PLN03"),H213,"")</f>
        <v/>
      </c>
      <c r="Z213" s="42" t="str">
        <f>IF(AND(C213=Master!$H$1,B213="2012-2013",E213="",G213="PLN03"),H213,"")</f>
        <v/>
      </c>
      <c r="AA213" s="42" t="str">
        <f>IF(AND(C213=Master!$H$2,B213="2012-2013",E213&gt;1000,G213="PLN03"),H213,"")</f>
        <v/>
      </c>
      <c r="AB213" s="42" t="str">
        <f>IF(AND(C213=Master!$H$2,B213="2012-2013",E213="",G213="PLN03"),H213,"")</f>
        <v/>
      </c>
      <c r="AC213" s="42" t="str">
        <f>IF(AND(C213=Master!$H$3,B213="2012-2013",E213&gt;1000,G213="PLN03"),H213,"")</f>
        <v/>
      </c>
      <c r="AD213" s="42" t="str">
        <f>IF(AND(C213=Master!$H$3,B213="2012-2013",E213="",G213="PLN03"),H213,"")</f>
        <v/>
      </c>
      <c r="AE213" s="42" t="str">
        <f>IF(AND(C213=Master!$H$4,B213="2012-2013",E213&gt;1000,G213="PLN03"),H213,"")</f>
        <v/>
      </c>
      <c r="AF213" s="42" t="str">
        <f>IF(AND(C213=Master!$H$4,B213="2012-2013",E213="",G213="PLN03"),H213,"")</f>
        <v/>
      </c>
      <c r="AG213" s="42" t="str">
        <f>IF(AND(C213=Master!$H$5,B213="2012-2013",E213&gt;1000,G213="PLN03"),H213,"")</f>
        <v/>
      </c>
      <c r="AH213" s="42" t="str">
        <f>IF(AND(C213=Master!$H$5,B213="2012-2013",E213="",G213="PLN03"),H213,"")</f>
        <v/>
      </c>
      <c r="AI213" s="42" t="str">
        <f>IF(AND(C213=Master!$H$6,B213="2012-2013",E213&gt;1000,G213="PLN03"),H213,"")</f>
        <v/>
      </c>
      <c r="AJ213" s="42" t="str">
        <f>IF(AND(C213=Master!$H$6,B213="2012-2013",E213="",G213="PLN03"),H213,"")</f>
        <v/>
      </c>
      <c r="AK213" s="42" t="str">
        <f>IF(AND(C213=Master!$H$7,B213="2012-2013",E213&gt;1000,G213="PLN03"),H213,"")</f>
        <v/>
      </c>
      <c r="AL213" s="42" t="str">
        <f>IF(AND(C213=Master!$H$7,B213="2012-2013",E213="",G213="PLN03"),H213,"")</f>
        <v/>
      </c>
      <c r="AM213" s="42" t="str">
        <f>IF(AND(C213=Master!$H$8,B213="2012-2013",E213&gt;1000,G213="PLN03"),H213,"")</f>
        <v/>
      </c>
      <c r="AN213" s="42" t="str">
        <f>IF(AND(C213=Master!$H$8,B213="2012-2013",E213="",G213="PLN03"),H213,"")</f>
        <v/>
      </c>
      <c r="AO213" s="42" t="str">
        <f>IF(AND(C213=Master!$H$9,B213="2012-2013",E213&gt;1000,G213="PLN03"),H213,"")</f>
        <v/>
      </c>
      <c r="AP213" s="42" t="str">
        <f>IF(AND(C213=Master!$H$9,B213="2012-2013",E213="",G213="PLN03"),H213,"")</f>
        <v/>
      </c>
      <c r="AQ213" s="44" t="str">
        <f>IF(AND(C213=Master!$H$1,B213="2012-2013",E213&gt;1000,G213="NPN05"),H213,"")</f>
        <v/>
      </c>
      <c r="AR213" s="44" t="str">
        <f>IF(AND(C213=Master!$H$1,B213="2012-2013",E213="",G213="NPN05"),H213,"")</f>
        <v/>
      </c>
      <c r="AS213" s="44" t="str">
        <f>IF(AND(C213=Master!$H$2,B213="2012-2013",E213&gt;1000,G213="NPN05"),H213,"")</f>
        <v/>
      </c>
      <c r="AT213" s="44" t="str">
        <f>IF(AND(C213=Master!$H$2,B213="2012-2013",E213="",G213="NPN05"),H213,"")</f>
        <v/>
      </c>
      <c r="AU213" s="44" t="str">
        <f>IF(AND(C213=Master!$H$3,B213="2012-2013",E213&gt;1000,G213="NPN05"),H213,"")</f>
        <v/>
      </c>
      <c r="AV213" s="44" t="str">
        <f>IF(AND(C213=Master!$H$3,B213="2012-2013",E213="",G213="NPN05"),H213,"")</f>
        <v/>
      </c>
      <c r="AW213" s="44" t="str">
        <f>IF(AND(C213=Master!$H$4,B213="2012-2013",E213&gt;1000,G213="NPN05"),H213,"")</f>
        <v/>
      </c>
      <c r="AX213" s="44" t="str">
        <f>IF(AND(C213=Master!$H$4,B213="2012-2013",E213="",G213="NPN05"),H213,"")</f>
        <v/>
      </c>
      <c r="AY213" s="44" t="str">
        <f>IF(AND(C213=Master!$H$5,B213="2012-2013",E213&gt;1000,G213="NPN05"),H213,"")</f>
        <v/>
      </c>
      <c r="AZ213" s="44" t="str">
        <f>IF(AND(C213=Master!$H$5,B213="2012-2013",E213="",G213="NPN05"),H213,"")</f>
        <v/>
      </c>
      <c r="BA213" s="44" t="str">
        <f>IF(AND(C213=Master!$H$6,B213="2012-2013",E213&gt;1000,G213="NPN05"),H213,"")</f>
        <v/>
      </c>
      <c r="BB213" s="44" t="str">
        <f>IF(AND(C213=Master!$H$6,B213="2012-2013",E213="",G213="NPN05"),H213,"")</f>
        <v/>
      </c>
      <c r="BC213" s="44" t="str">
        <f>IF(AND(C213=Master!$H$7,B213="2012-2013",E213&gt;1000,G213="NPN05"),H213,"")</f>
        <v/>
      </c>
      <c r="BD213" s="44" t="str">
        <f>IF(AND(C213=Master!$H$7,B213="2012-2013",E213="",G213="NPN05"),H213,"")</f>
        <v/>
      </c>
      <c r="BE213" s="44" t="str">
        <f>IF(AND(C213=Master!$H$8,B213="2012-2013",E213&gt;1000,G213="NPN05"),H213,"")</f>
        <v/>
      </c>
      <c r="BF213" s="44" t="str">
        <f>IF(AND(C213=Master!$H$8,B213="2012-2013",E213="",G213="NPN05"),H213,"")</f>
        <v/>
      </c>
      <c r="BG213" s="44" t="str">
        <f>IF(AND(C213=Master!$H$9,B213="2012-2013",E213&gt;1000,G213="NPN05"),H213,"")</f>
        <v/>
      </c>
      <c r="BH213" s="44" t="str">
        <f>IF(AND(C213=Master!$H$9,B213="2012-2013",E213="",G213="NPN05"),H213,"")</f>
        <v/>
      </c>
    </row>
    <row r="214" spans="1:60" x14ac:dyDescent="0.25">
      <c r="A214" s="3">
        <v>212</v>
      </c>
      <c r="B214" s="12"/>
      <c r="C214" s="12"/>
      <c r="D214" s="31"/>
      <c r="E214" s="4"/>
      <c r="F214" s="13"/>
      <c r="G214" s="21"/>
      <c r="H214" s="35"/>
      <c r="I214" s="21"/>
      <c r="J214" s="25" t="str">
        <f>IF(NOT(I214=""),INDEX(Master!$B$1:$B$46,MATCH(I214,Master!$A$1:$A$46,0)),"")</f>
        <v/>
      </c>
      <c r="K214" s="18"/>
      <c r="L214" s="86"/>
      <c r="M214" s="13"/>
      <c r="N214" s="13"/>
      <c r="O214" s="18"/>
      <c r="P214" s="35"/>
      <c r="Q214" s="21"/>
      <c r="R214" s="21"/>
      <c r="S214" s="13"/>
      <c r="T214" s="12"/>
      <c r="U214" s="12"/>
      <c r="V214" s="12"/>
      <c r="W214" s="14"/>
      <c r="Y214" s="42" t="str">
        <f>IF(AND(C214=Master!$H$1,B214="2012-2013",E214&gt;1000,G214="PLN03"),H214,"")</f>
        <v/>
      </c>
      <c r="Z214" s="42" t="str">
        <f>IF(AND(C214=Master!$H$1,B214="2012-2013",E214="",G214="PLN03"),H214,"")</f>
        <v/>
      </c>
      <c r="AA214" s="42" t="str">
        <f>IF(AND(C214=Master!$H$2,B214="2012-2013",E214&gt;1000,G214="PLN03"),H214,"")</f>
        <v/>
      </c>
      <c r="AB214" s="42" t="str">
        <f>IF(AND(C214=Master!$H$2,B214="2012-2013",E214="",G214="PLN03"),H214,"")</f>
        <v/>
      </c>
      <c r="AC214" s="42" t="str">
        <f>IF(AND(C214=Master!$H$3,B214="2012-2013",E214&gt;1000,G214="PLN03"),H214,"")</f>
        <v/>
      </c>
      <c r="AD214" s="42" t="str">
        <f>IF(AND(C214=Master!$H$3,B214="2012-2013",E214="",G214="PLN03"),H214,"")</f>
        <v/>
      </c>
      <c r="AE214" s="42" t="str">
        <f>IF(AND(C214=Master!$H$4,B214="2012-2013",E214&gt;1000,G214="PLN03"),H214,"")</f>
        <v/>
      </c>
      <c r="AF214" s="42" t="str">
        <f>IF(AND(C214=Master!$H$4,B214="2012-2013",E214="",G214="PLN03"),H214,"")</f>
        <v/>
      </c>
      <c r="AG214" s="42" t="str">
        <f>IF(AND(C214=Master!$H$5,B214="2012-2013",E214&gt;1000,G214="PLN03"),H214,"")</f>
        <v/>
      </c>
      <c r="AH214" s="42" t="str">
        <f>IF(AND(C214=Master!$H$5,B214="2012-2013",E214="",G214="PLN03"),H214,"")</f>
        <v/>
      </c>
      <c r="AI214" s="42" t="str">
        <f>IF(AND(C214=Master!$H$6,B214="2012-2013",E214&gt;1000,G214="PLN03"),H214,"")</f>
        <v/>
      </c>
      <c r="AJ214" s="42" t="str">
        <f>IF(AND(C214=Master!$H$6,B214="2012-2013",E214="",G214="PLN03"),H214,"")</f>
        <v/>
      </c>
      <c r="AK214" s="42" t="str">
        <f>IF(AND(C214=Master!$H$7,B214="2012-2013",E214&gt;1000,G214="PLN03"),H214,"")</f>
        <v/>
      </c>
      <c r="AL214" s="42" t="str">
        <f>IF(AND(C214=Master!$H$7,B214="2012-2013",E214="",G214="PLN03"),H214,"")</f>
        <v/>
      </c>
      <c r="AM214" s="42" t="str">
        <f>IF(AND(C214=Master!$H$8,B214="2012-2013",E214&gt;1000,G214="PLN03"),H214,"")</f>
        <v/>
      </c>
      <c r="AN214" s="42" t="str">
        <f>IF(AND(C214=Master!$H$8,B214="2012-2013",E214="",G214="PLN03"),H214,"")</f>
        <v/>
      </c>
      <c r="AO214" s="42" t="str">
        <f>IF(AND(C214=Master!$H$9,B214="2012-2013",E214&gt;1000,G214="PLN03"),H214,"")</f>
        <v/>
      </c>
      <c r="AP214" s="42" t="str">
        <f>IF(AND(C214=Master!$H$9,B214="2012-2013",E214="",G214="PLN03"),H214,"")</f>
        <v/>
      </c>
      <c r="AQ214" s="44" t="str">
        <f>IF(AND(C214=Master!$H$1,B214="2012-2013",E214&gt;1000,G214="NPN05"),H214,"")</f>
        <v/>
      </c>
      <c r="AR214" s="44" t="str">
        <f>IF(AND(C214=Master!$H$1,B214="2012-2013",E214="",G214="NPN05"),H214,"")</f>
        <v/>
      </c>
      <c r="AS214" s="44" t="str">
        <f>IF(AND(C214=Master!$H$2,B214="2012-2013",E214&gt;1000,G214="NPN05"),H214,"")</f>
        <v/>
      </c>
      <c r="AT214" s="44" t="str">
        <f>IF(AND(C214=Master!$H$2,B214="2012-2013",E214="",G214="NPN05"),H214,"")</f>
        <v/>
      </c>
      <c r="AU214" s="44" t="str">
        <f>IF(AND(C214=Master!$H$3,B214="2012-2013",E214&gt;1000,G214="NPN05"),H214,"")</f>
        <v/>
      </c>
      <c r="AV214" s="44" t="str">
        <f>IF(AND(C214=Master!$H$3,B214="2012-2013",E214="",G214="NPN05"),H214,"")</f>
        <v/>
      </c>
      <c r="AW214" s="44" t="str">
        <f>IF(AND(C214=Master!$H$4,B214="2012-2013",E214&gt;1000,G214="NPN05"),H214,"")</f>
        <v/>
      </c>
      <c r="AX214" s="44" t="str">
        <f>IF(AND(C214=Master!$H$4,B214="2012-2013",E214="",G214="NPN05"),H214,"")</f>
        <v/>
      </c>
      <c r="AY214" s="44" t="str">
        <f>IF(AND(C214=Master!$H$5,B214="2012-2013",E214&gt;1000,G214="NPN05"),H214,"")</f>
        <v/>
      </c>
      <c r="AZ214" s="44" t="str">
        <f>IF(AND(C214=Master!$H$5,B214="2012-2013",E214="",G214="NPN05"),H214,"")</f>
        <v/>
      </c>
      <c r="BA214" s="44" t="str">
        <f>IF(AND(C214=Master!$H$6,B214="2012-2013",E214&gt;1000,G214="NPN05"),H214,"")</f>
        <v/>
      </c>
      <c r="BB214" s="44" t="str">
        <f>IF(AND(C214=Master!$H$6,B214="2012-2013",E214="",G214="NPN05"),H214,"")</f>
        <v/>
      </c>
      <c r="BC214" s="44" t="str">
        <f>IF(AND(C214=Master!$H$7,B214="2012-2013",E214&gt;1000,G214="NPN05"),H214,"")</f>
        <v/>
      </c>
      <c r="BD214" s="44" t="str">
        <f>IF(AND(C214=Master!$H$7,B214="2012-2013",E214="",G214="NPN05"),H214,"")</f>
        <v/>
      </c>
      <c r="BE214" s="44" t="str">
        <f>IF(AND(C214=Master!$H$8,B214="2012-2013",E214&gt;1000,G214="NPN05"),H214,"")</f>
        <v/>
      </c>
      <c r="BF214" s="44" t="str">
        <f>IF(AND(C214=Master!$H$8,B214="2012-2013",E214="",G214="NPN05"),H214,"")</f>
        <v/>
      </c>
      <c r="BG214" s="44" t="str">
        <f>IF(AND(C214=Master!$H$9,B214="2012-2013",E214&gt;1000,G214="NPN05"),H214,"")</f>
        <v/>
      </c>
      <c r="BH214" s="44" t="str">
        <f>IF(AND(C214=Master!$H$9,B214="2012-2013",E214="",G214="NPN05"),H214,"")</f>
        <v/>
      </c>
    </row>
    <row r="215" spans="1:60" x14ac:dyDescent="0.25">
      <c r="A215" s="3">
        <v>213</v>
      </c>
      <c r="B215" s="12"/>
      <c r="C215" s="12"/>
      <c r="D215" s="31"/>
      <c r="E215" s="4"/>
      <c r="F215" s="13"/>
      <c r="G215" s="21"/>
      <c r="H215" s="35"/>
      <c r="I215" s="21"/>
      <c r="J215" s="25" t="str">
        <f>IF(NOT(I215=""),INDEX(Master!$B$1:$B$46,MATCH(I215,Master!$A$1:$A$46,0)),"")</f>
        <v/>
      </c>
      <c r="K215" s="18"/>
      <c r="L215" s="86"/>
      <c r="M215" s="13"/>
      <c r="N215" s="13"/>
      <c r="O215" s="18"/>
      <c r="P215" s="35"/>
      <c r="Q215" s="21"/>
      <c r="R215" s="21"/>
      <c r="S215" s="13"/>
      <c r="T215" s="12"/>
      <c r="U215" s="12"/>
      <c r="V215" s="12"/>
      <c r="W215" s="14"/>
      <c r="Y215" s="42" t="str">
        <f>IF(AND(C215=Master!$H$1,B215="2012-2013",E215&gt;1000,G215="PLN03"),H215,"")</f>
        <v/>
      </c>
      <c r="Z215" s="42" t="str">
        <f>IF(AND(C215=Master!$H$1,B215="2012-2013",E215="",G215="PLN03"),H215,"")</f>
        <v/>
      </c>
      <c r="AA215" s="42" t="str">
        <f>IF(AND(C215=Master!$H$2,B215="2012-2013",E215&gt;1000,G215="PLN03"),H215,"")</f>
        <v/>
      </c>
      <c r="AB215" s="42" t="str">
        <f>IF(AND(C215=Master!$H$2,B215="2012-2013",E215="",G215="PLN03"),H215,"")</f>
        <v/>
      </c>
      <c r="AC215" s="42" t="str">
        <f>IF(AND(C215=Master!$H$3,B215="2012-2013",E215&gt;1000,G215="PLN03"),H215,"")</f>
        <v/>
      </c>
      <c r="AD215" s="42" t="str">
        <f>IF(AND(C215=Master!$H$3,B215="2012-2013",E215="",G215="PLN03"),H215,"")</f>
        <v/>
      </c>
      <c r="AE215" s="42" t="str">
        <f>IF(AND(C215=Master!$H$4,B215="2012-2013",E215&gt;1000,G215="PLN03"),H215,"")</f>
        <v/>
      </c>
      <c r="AF215" s="42" t="str">
        <f>IF(AND(C215=Master!$H$4,B215="2012-2013",E215="",G215="PLN03"),H215,"")</f>
        <v/>
      </c>
      <c r="AG215" s="42" t="str">
        <f>IF(AND(C215=Master!$H$5,B215="2012-2013",E215&gt;1000,G215="PLN03"),H215,"")</f>
        <v/>
      </c>
      <c r="AH215" s="42" t="str">
        <f>IF(AND(C215=Master!$H$5,B215="2012-2013",E215="",G215="PLN03"),H215,"")</f>
        <v/>
      </c>
      <c r="AI215" s="42" t="str">
        <f>IF(AND(C215=Master!$H$6,B215="2012-2013",E215&gt;1000,G215="PLN03"),H215,"")</f>
        <v/>
      </c>
      <c r="AJ215" s="42" t="str">
        <f>IF(AND(C215=Master!$H$6,B215="2012-2013",E215="",G215="PLN03"),H215,"")</f>
        <v/>
      </c>
      <c r="AK215" s="42" t="str">
        <f>IF(AND(C215=Master!$H$7,B215="2012-2013",E215&gt;1000,G215="PLN03"),H215,"")</f>
        <v/>
      </c>
      <c r="AL215" s="42" t="str">
        <f>IF(AND(C215=Master!$H$7,B215="2012-2013",E215="",G215="PLN03"),H215,"")</f>
        <v/>
      </c>
      <c r="AM215" s="42" t="str">
        <f>IF(AND(C215=Master!$H$8,B215="2012-2013",E215&gt;1000,G215="PLN03"),H215,"")</f>
        <v/>
      </c>
      <c r="AN215" s="42" t="str">
        <f>IF(AND(C215=Master!$H$8,B215="2012-2013",E215="",G215="PLN03"),H215,"")</f>
        <v/>
      </c>
      <c r="AO215" s="42" t="str">
        <f>IF(AND(C215=Master!$H$9,B215="2012-2013",E215&gt;1000,G215="PLN03"),H215,"")</f>
        <v/>
      </c>
      <c r="AP215" s="42" t="str">
        <f>IF(AND(C215=Master!$H$9,B215="2012-2013",E215="",G215="PLN03"),H215,"")</f>
        <v/>
      </c>
      <c r="AQ215" s="44" t="str">
        <f>IF(AND(C215=Master!$H$1,B215="2012-2013",E215&gt;1000,G215="NPN05"),H215,"")</f>
        <v/>
      </c>
      <c r="AR215" s="44" t="str">
        <f>IF(AND(C215=Master!$H$1,B215="2012-2013",E215="",G215="NPN05"),H215,"")</f>
        <v/>
      </c>
      <c r="AS215" s="44" t="str">
        <f>IF(AND(C215=Master!$H$2,B215="2012-2013",E215&gt;1000,G215="NPN05"),H215,"")</f>
        <v/>
      </c>
      <c r="AT215" s="44" t="str">
        <f>IF(AND(C215=Master!$H$2,B215="2012-2013",E215="",G215="NPN05"),H215,"")</f>
        <v/>
      </c>
      <c r="AU215" s="44" t="str">
        <f>IF(AND(C215=Master!$H$3,B215="2012-2013",E215&gt;1000,G215="NPN05"),H215,"")</f>
        <v/>
      </c>
      <c r="AV215" s="44" t="str">
        <f>IF(AND(C215=Master!$H$3,B215="2012-2013",E215="",G215="NPN05"),H215,"")</f>
        <v/>
      </c>
      <c r="AW215" s="44" t="str">
        <f>IF(AND(C215=Master!$H$4,B215="2012-2013",E215&gt;1000,G215="NPN05"),H215,"")</f>
        <v/>
      </c>
      <c r="AX215" s="44" t="str">
        <f>IF(AND(C215=Master!$H$4,B215="2012-2013",E215="",G215="NPN05"),H215,"")</f>
        <v/>
      </c>
      <c r="AY215" s="44" t="str">
        <f>IF(AND(C215=Master!$H$5,B215="2012-2013",E215&gt;1000,G215="NPN05"),H215,"")</f>
        <v/>
      </c>
      <c r="AZ215" s="44" t="str">
        <f>IF(AND(C215=Master!$H$5,B215="2012-2013",E215="",G215="NPN05"),H215,"")</f>
        <v/>
      </c>
      <c r="BA215" s="44" t="str">
        <f>IF(AND(C215=Master!$H$6,B215="2012-2013",E215&gt;1000,G215="NPN05"),H215,"")</f>
        <v/>
      </c>
      <c r="BB215" s="44" t="str">
        <f>IF(AND(C215=Master!$H$6,B215="2012-2013",E215="",G215="NPN05"),H215,"")</f>
        <v/>
      </c>
      <c r="BC215" s="44" t="str">
        <f>IF(AND(C215=Master!$H$7,B215="2012-2013",E215&gt;1000,G215="NPN05"),H215,"")</f>
        <v/>
      </c>
      <c r="BD215" s="44" t="str">
        <f>IF(AND(C215=Master!$H$7,B215="2012-2013",E215="",G215="NPN05"),H215,"")</f>
        <v/>
      </c>
      <c r="BE215" s="44" t="str">
        <f>IF(AND(C215=Master!$H$8,B215="2012-2013",E215&gt;1000,G215="NPN05"),H215,"")</f>
        <v/>
      </c>
      <c r="BF215" s="44" t="str">
        <f>IF(AND(C215=Master!$H$8,B215="2012-2013",E215="",G215="NPN05"),H215,"")</f>
        <v/>
      </c>
      <c r="BG215" s="44" t="str">
        <f>IF(AND(C215=Master!$H$9,B215="2012-2013",E215&gt;1000,G215="NPN05"),H215,"")</f>
        <v/>
      </c>
      <c r="BH215" s="44" t="str">
        <f>IF(AND(C215=Master!$H$9,B215="2012-2013",E215="",G215="NPN05"),H215,"")</f>
        <v/>
      </c>
    </row>
    <row r="216" spans="1:60" x14ac:dyDescent="0.25">
      <c r="A216" s="3">
        <v>214</v>
      </c>
      <c r="B216" s="12"/>
      <c r="C216" s="12"/>
      <c r="D216" s="31"/>
      <c r="E216" s="4"/>
      <c r="F216" s="13"/>
      <c r="G216" s="21"/>
      <c r="H216" s="35"/>
      <c r="I216" s="21"/>
      <c r="J216" s="25" t="str">
        <f>IF(NOT(I216=""),INDEX(Master!$B$1:$B$46,MATCH(I216,Master!$A$1:$A$46,0)),"")</f>
        <v/>
      </c>
      <c r="K216" s="18"/>
      <c r="L216" s="86"/>
      <c r="M216" s="13"/>
      <c r="N216" s="13"/>
      <c r="O216" s="18"/>
      <c r="P216" s="35"/>
      <c r="Q216" s="21"/>
      <c r="R216" s="21"/>
      <c r="S216" s="13"/>
      <c r="T216" s="12"/>
      <c r="U216" s="12"/>
      <c r="V216" s="12"/>
      <c r="W216" s="14"/>
      <c r="Y216" s="42" t="str">
        <f>IF(AND(C216=Master!$H$1,B216="2012-2013",E216&gt;1000,G216="PLN03"),H216,"")</f>
        <v/>
      </c>
      <c r="Z216" s="42" t="str">
        <f>IF(AND(C216=Master!$H$1,B216="2012-2013",E216="",G216="PLN03"),H216,"")</f>
        <v/>
      </c>
      <c r="AA216" s="42" t="str">
        <f>IF(AND(C216=Master!$H$2,B216="2012-2013",E216&gt;1000,G216="PLN03"),H216,"")</f>
        <v/>
      </c>
      <c r="AB216" s="42" t="str">
        <f>IF(AND(C216=Master!$H$2,B216="2012-2013",E216="",G216="PLN03"),H216,"")</f>
        <v/>
      </c>
      <c r="AC216" s="42" t="str">
        <f>IF(AND(C216=Master!$H$3,B216="2012-2013",E216&gt;1000,G216="PLN03"),H216,"")</f>
        <v/>
      </c>
      <c r="AD216" s="42" t="str">
        <f>IF(AND(C216=Master!$H$3,B216="2012-2013",E216="",G216="PLN03"),H216,"")</f>
        <v/>
      </c>
      <c r="AE216" s="42" t="str">
        <f>IF(AND(C216=Master!$H$4,B216="2012-2013",E216&gt;1000,G216="PLN03"),H216,"")</f>
        <v/>
      </c>
      <c r="AF216" s="42" t="str">
        <f>IF(AND(C216=Master!$H$4,B216="2012-2013",E216="",G216="PLN03"),H216,"")</f>
        <v/>
      </c>
      <c r="AG216" s="42" t="str">
        <f>IF(AND(C216=Master!$H$5,B216="2012-2013",E216&gt;1000,G216="PLN03"),H216,"")</f>
        <v/>
      </c>
      <c r="AH216" s="42" t="str">
        <f>IF(AND(C216=Master!$H$5,B216="2012-2013",E216="",G216="PLN03"),H216,"")</f>
        <v/>
      </c>
      <c r="AI216" s="42" t="str">
        <f>IF(AND(C216=Master!$H$6,B216="2012-2013",E216&gt;1000,G216="PLN03"),H216,"")</f>
        <v/>
      </c>
      <c r="AJ216" s="42" t="str">
        <f>IF(AND(C216=Master!$H$6,B216="2012-2013",E216="",G216="PLN03"),H216,"")</f>
        <v/>
      </c>
      <c r="AK216" s="42" t="str">
        <f>IF(AND(C216=Master!$H$7,B216="2012-2013",E216&gt;1000,G216="PLN03"),H216,"")</f>
        <v/>
      </c>
      <c r="AL216" s="42" t="str">
        <f>IF(AND(C216=Master!$H$7,B216="2012-2013",E216="",G216="PLN03"),H216,"")</f>
        <v/>
      </c>
      <c r="AM216" s="42" t="str">
        <f>IF(AND(C216=Master!$H$8,B216="2012-2013",E216&gt;1000,G216="PLN03"),H216,"")</f>
        <v/>
      </c>
      <c r="AN216" s="42" t="str">
        <f>IF(AND(C216=Master!$H$8,B216="2012-2013",E216="",G216="PLN03"),H216,"")</f>
        <v/>
      </c>
      <c r="AO216" s="42" t="str">
        <f>IF(AND(C216=Master!$H$9,B216="2012-2013",E216&gt;1000,G216="PLN03"),H216,"")</f>
        <v/>
      </c>
      <c r="AP216" s="42" t="str">
        <f>IF(AND(C216=Master!$H$9,B216="2012-2013",E216="",G216="PLN03"),H216,"")</f>
        <v/>
      </c>
      <c r="AQ216" s="44" t="str">
        <f>IF(AND(C216=Master!$H$1,B216="2012-2013",E216&gt;1000,G216="NPN05"),H216,"")</f>
        <v/>
      </c>
      <c r="AR216" s="44" t="str">
        <f>IF(AND(C216=Master!$H$1,B216="2012-2013",E216="",G216="NPN05"),H216,"")</f>
        <v/>
      </c>
      <c r="AS216" s="44" t="str">
        <f>IF(AND(C216=Master!$H$2,B216="2012-2013",E216&gt;1000,G216="NPN05"),H216,"")</f>
        <v/>
      </c>
      <c r="AT216" s="44" t="str">
        <f>IF(AND(C216=Master!$H$2,B216="2012-2013",E216="",G216="NPN05"),H216,"")</f>
        <v/>
      </c>
      <c r="AU216" s="44" t="str">
        <f>IF(AND(C216=Master!$H$3,B216="2012-2013",E216&gt;1000,G216="NPN05"),H216,"")</f>
        <v/>
      </c>
      <c r="AV216" s="44" t="str">
        <f>IF(AND(C216=Master!$H$3,B216="2012-2013",E216="",G216="NPN05"),H216,"")</f>
        <v/>
      </c>
      <c r="AW216" s="44" t="str">
        <f>IF(AND(C216=Master!$H$4,B216="2012-2013",E216&gt;1000,G216="NPN05"),H216,"")</f>
        <v/>
      </c>
      <c r="AX216" s="44" t="str">
        <f>IF(AND(C216=Master!$H$4,B216="2012-2013",E216="",G216="NPN05"),H216,"")</f>
        <v/>
      </c>
      <c r="AY216" s="44" t="str">
        <f>IF(AND(C216=Master!$H$5,B216="2012-2013",E216&gt;1000,G216="NPN05"),H216,"")</f>
        <v/>
      </c>
      <c r="AZ216" s="44" t="str">
        <f>IF(AND(C216=Master!$H$5,B216="2012-2013",E216="",G216="NPN05"),H216,"")</f>
        <v/>
      </c>
      <c r="BA216" s="44" t="str">
        <f>IF(AND(C216=Master!$H$6,B216="2012-2013",E216&gt;1000,G216="NPN05"),H216,"")</f>
        <v/>
      </c>
      <c r="BB216" s="44" t="str">
        <f>IF(AND(C216=Master!$H$6,B216="2012-2013",E216="",G216="NPN05"),H216,"")</f>
        <v/>
      </c>
      <c r="BC216" s="44" t="str">
        <f>IF(AND(C216=Master!$H$7,B216="2012-2013",E216&gt;1000,G216="NPN05"),H216,"")</f>
        <v/>
      </c>
      <c r="BD216" s="44" t="str">
        <f>IF(AND(C216=Master!$H$7,B216="2012-2013",E216="",G216="NPN05"),H216,"")</f>
        <v/>
      </c>
      <c r="BE216" s="44" t="str">
        <f>IF(AND(C216=Master!$H$8,B216="2012-2013",E216&gt;1000,G216="NPN05"),H216,"")</f>
        <v/>
      </c>
      <c r="BF216" s="44" t="str">
        <f>IF(AND(C216=Master!$H$8,B216="2012-2013",E216="",G216="NPN05"),H216,"")</f>
        <v/>
      </c>
      <c r="BG216" s="44" t="str">
        <f>IF(AND(C216=Master!$H$9,B216="2012-2013",E216&gt;1000,G216="NPN05"),H216,"")</f>
        <v/>
      </c>
      <c r="BH216" s="44" t="str">
        <f>IF(AND(C216=Master!$H$9,B216="2012-2013",E216="",G216="NPN05"),H216,"")</f>
        <v/>
      </c>
    </row>
    <row r="217" spans="1:60" x14ac:dyDescent="0.25">
      <c r="A217" s="3">
        <v>215</v>
      </c>
      <c r="B217" s="12"/>
      <c r="C217" s="12"/>
      <c r="D217" s="31"/>
      <c r="E217" s="4"/>
      <c r="F217" s="13"/>
      <c r="G217" s="21"/>
      <c r="H217" s="35"/>
      <c r="I217" s="21"/>
      <c r="J217" s="25" t="str">
        <f>IF(NOT(I217=""),INDEX(Master!$B$1:$B$46,MATCH(I217,Master!$A$1:$A$46,0)),"")</f>
        <v/>
      </c>
      <c r="K217" s="18"/>
      <c r="L217" s="86"/>
      <c r="M217" s="13"/>
      <c r="N217" s="13"/>
      <c r="O217" s="18"/>
      <c r="P217" s="35"/>
      <c r="Q217" s="21"/>
      <c r="R217" s="21"/>
      <c r="S217" s="13"/>
      <c r="T217" s="12"/>
      <c r="U217" s="12"/>
      <c r="V217" s="12"/>
      <c r="W217" s="14"/>
      <c r="Y217" s="42" t="str">
        <f>IF(AND(C217=Master!$H$1,B217="2012-2013",E217&gt;1000,G217="PLN03"),H217,"")</f>
        <v/>
      </c>
      <c r="Z217" s="42" t="str">
        <f>IF(AND(C217=Master!$H$1,B217="2012-2013",E217="",G217="PLN03"),H217,"")</f>
        <v/>
      </c>
      <c r="AA217" s="42" t="str">
        <f>IF(AND(C217=Master!$H$2,B217="2012-2013",E217&gt;1000,G217="PLN03"),H217,"")</f>
        <v/>
      </c>
      <c r="AB217" s="42" t="str">
        <f>IF(AND(C217=Master!$H$2,B217="2012-2013",E217="",G217="PLN03"),H217,"")</f>
        <v/>
      </c>
      <c r="AC217" s="42" t="str">
        <f>IF(AND(C217=Master!$H$3,B217="2012-2013",E217&gt;1000,G217="PLN03"),H217,"")</f>
        <v/>
      </c>
      <c r="AD217" s="42" t="str">
        <f>IF(AND(C217=Master!$H$3,B217="2012-2013",E217="",G217="PLN03"),H217,"")</f>
        <v/>
      </c>
      <c r="AE217" s="42" t="str">
        <f>IF(AND(C217=Master!$H$4,B217="2012-2013",E217&gt;1000,G217="PLN03"),H217,"")</f>
        <v/>
      </c>
      <c r="AF217" s="42" t="str">
        <f>IF(AND(C217=Master!$H$4,B217="2012-2013",E217="",G217="PLN03"),H217,"")</f>
        <v/>
      </c>
      <c r="AG217" s="42" t="str">
        <f>IF(AND(C217=Master!$H$5,B217="2012-2013",E217&gt;1000,G217="PLN03"),H217,"")</f>
        <v/>
      </c>
      <c r="AH217" s="42" t="str">
        <f>IF(AND(C217=Master!$H$5,B217="2012-2013",E217="",G217="PLN03"),H217,"")</f>
        <v/>
      </c>
      <c r="AI217" s="42" t="str">
        <f>IF(AND(C217=Master!$H$6,B217="2012-2013",E217&gt;1000,G217="PLN03"),H217,"")</f>
        <v/>
      </c>
      <c r="AJ217" s="42" t="str">
        <f>IF(AND(C217=Master!$H$6,B217="2012-2013",E217="",G217="PLN03"),H217,"")</f>
        <v/>
      </c>
      <c r="AK217" s="42" t="str">
        <f>IF(AND(C217=Master!$H$7,B217="2012-2013",E217&gt;1000,G217="PLN03"),H217,"")</f>
        <v/>
      </c>
      <c r="AL217" s="42" t="str">
        <f>IF(AND(C217=Master!$H$7,B217="2012-2013",E217="",G217="PLN03"),H217,"")</f>
        <v/>
      </c>
      <c r="AM217" s="42" t="str">
        <f>IF(AND(C217=Master!$H$8,B217="2012-2013",E217&gt;1000,G217="PLN03"),H217,"")</f>
        <v/>
      </c>
      <c r="AN217" s="42" t="str">
        <f>IF(AND(C217=Master!$H$8,B217="2012-2013",E217="",G217="PLN03"),H217,"")</f>
        <v/>
      </c>
      <c r="AO217" s="42" t="str">
        <f>IF(AND(C217=Master!$H$9,B217="2012-2013",E217&gt;1000,G217="PLN03"),H217,"")</f>
        <v/>
      </c>
      <c r="AP217" s="42" t="str">
        <f>IF(AND(C217=Master!$H$9,B217="2012-2013",E217="",G217="PLN03"),H217,"")</f>
        <v/>
      </c>
      <c r="AQ217" s="44" t="str">
        <f>IF(AND(C217=Master!$H$1,B217="2012-2013",E217&gt;1000,G217="NPN05"),H217,"")</f>
        <v/>
      </c>
      <c r="AR217" s="44" t="str">
        <f>IF(AND(C217=Master!$H$1,B217="2012-2013",E217="",G217="NPN05"),H217,"")</f>
        <v/>
      </c>
      <c r="AS217" s="44" t="str">
        <f>IF(AND(C217=Master!$H$2,B217="2012-2013",E217&gt;1000,G217="NPN05"),H217,"")</f>
        <v/>
      </c>
      <c r="AT217" s="44" t="str">
        <f>IF(AND(C217=Master!$H$2,B217="2012-2013",E217="",G217="NPN05"),H217,"")</f>
        <v/>
      </c>
      <c r="AU217" s="44" t="str">
        <f>IF(AND(C217=Master!$H$3,B217="2012-2013",E217&gt;1000,G217="NPN05"),H217,"")</f>
        <v/>
      </c>
      <c r="AV217" s="44" t="str">
        <f>IF(AND(C217=Master!$H$3,B217="2012-2013",E217="",G217="NPN05"),H217,"")</f>
        <v/>
      </c>
      <c r="AW217" s="44" t="str">
        <f>IF(AND(C217=Master!$H$4,B217="2012-2013",E217&gt;1000,G217="NPN05"),H217,"")</f>
        <v/>
      </c>
      <c r="AX217" s="44" t="str">
        <f>IF(AND(C217=Master!$H$4,B217="2012-2013",E217="",G217="NPN05"),H217,"")</f>
        <v/>
      </c>
      <c r="AY217" s="44" t="str">
        <f>IF(AND(C217=Master!$H$5,B217="2012-2013",E217&gt;1000,G217="NPN05"),H217,"")</f>
        <v/>
      </c>
      <c r="AZ217" s="44" t="str">
        <f>IF(AND(C217=Master!$H$5,B217="2012-2013",E217="",G217="NPN05"),H217,"")</f>
        <v/>
      </c>
      <c r="BA217" s="44" t="str">
        <f>IF(AND(C217=Master!$H$6,B217="2012-2013",E217&gt;1000,G217="NPN05"),H217,"")</f>
        <v/>
      </c>
      <c r="BB217" s="44" t="str">
        <f>IF(AND(C217=Master!$H$6,B217="2012-2013",E217="",G217="NPN05"),H217,"")</f>
        <v/>
      </c>
      <c r="BC217" s="44" t="str">
        <f>IF(AND(C217=Master!$H$7,B217="2012-2013",E217&gt;1000,G217="NPN05"),H217,"")</f>
        <v/>
      </c>
      <c r="BD217" s="44" t="str">
        <f>IF(AND(C217=Master!$H$7,B217="2012-2013",E217="",G217="NPN05"),H217,"")</f>
        <v/>
      </c>
      <c r="BE217" s="44" t="str">
        <f>IF(AND(C217=Master!$H$8,B217="2012-2013",E217&gt;1000,G217="NPN05"),H217,"")</f>
        <v/>
      </c>
      <c r="BF217" s="44" t="str">
        <f>IF(AND(C217=Master!$H$8,B217="2012-2013",E217="",G217="NPN05"),H217,"")</f>
        <v/>
      </c>
      <c r="BG217" s="44" t="str">
        <f>IF(AND(C217=Master!$H$9,B217="2012-2013",E217&gt;1000,G217="NPN05"),H217,"")</f>
        <v/>
      </c>
      <c r="BH217" s="44" t="str">
        <f>IF(AND(C217=Master!$H$9,B217="2012-2013",E217="",G217="NPN05"),H217,"")</f>
        <v/>
      </c>
    </row>
    <row r="218" spans="1:60" x14ac:dyDescent="0.25">
      <c r="A218" s="3">
        <v>216</v>
      </c>
      <c r="B218" s="12"/>
      <c r="C218" s="12"/>
      <c r="D218" s="31"/>
      <c r="E218" s="4"/>
      <c r="F218" s="13"/>
      <c r="G218" s="21"/>
      <c r="H218" s="35"/>
      <c r="I218" s="21"/>
      <c r="J218" s="25" t="str">
        <f>IF(NOT(I218=""),INDEX(Master!$B$1:$B$46,MATCH(I218,Master!$A$1:$A$46,0)),"")</f>
        <v/>
      </c>
      <c r="K218" s="18"/>
      <c r="L218" s="86"/>
      <c r="M218" s="13"/>
      <c r="N218" s="13"/>
      <c r="O218" s="18"/>
      <c r="P218" s="35"/>
      <c r="Q218" s="21"/>
      <c r="R218" s="21"/>
      <c r="S218" s="13"/>
      <c r="T218" s="12"/>
      <c r="U218" s="12"/>
      <c r="V218" s="12"/>
      <c r="W218" s="14"/>
      <c r="Y218" s="42" t="str">
        <f>IF(AND(C218=Master!$H$1,B218="2012-2013",E218&gt;1000,G218="PLN03"),H218,"")</f>
        <v/>
      </c>
      <c r="Z218" s="42" t="str">
        <f>IF(AND(C218=Master!$H$1,B218="2012-2013",E218="",G218="PLN03"),H218,"")</f>
        <v/>
      </c>
      <c r="AA218" s="42" t="str">
        <f>IF(AND(C218=Master!$H$2,B218="2012-2013",E218&gt;1000,G218="PLN03"),H218,"")</f>
        <v/>
      </c>
      <c r="AB218" s="42" t="str">
        <f>IF(AND(C218=Master!$H$2,B218="2012-2013",E218="",G218="PLN03"),H218,"")</f>
        <v/>
      </c>
      <c r="AC218" s="42" t="str">
        <f>IF(AND(C218=Master!$H$3,B218="2012-2013",E218&gt;1000,G218="PLN03"),H218,"")</f>
        <v/>
      </c>
      <c r="AD218" s="42" t="str">
        <f>IF(AND(C218=Master!$H$3,B218="2012-2013",E218="",G218="PLN03"),H218,"")</f>
        <v/>
      </c>
      <c r="AE218" s="42" t="str">
        <f>IF(AND(C218=Master!$H$4,B218="2012-2013",E218&gt;1000,G218="PLN03"),H218,"")</f>
        <v/>
      </c>
      <c r="AF218" s="42" t="str">
        <f>IF(AND(C218=Master!$H$4,B218="2012-2013",E218="",G218="PLN03"),H218,"")</f>
        <v/>
      </c>
      <c r="AG218" s="42" t="str">
        <f>IF(AND(C218=Master!$H$5,B218="2012-2013",E218&gt;1000,G218="PLN03"),H218,"")</f>
        <v/>
      </c>
      <c r="AH218" s="42" t="str">
        <f>IF(AND(C218=Master!$H$5,B218="2012-2013",E218="",G218="PLN03"),H218,"")</f>
        <v/>
      </c>
      <c r="AI218" s="42" t="str">
        <f>IF(AND(C218=Master!$H$6,B218="2012-2013",E218&gt;1000,G218="PLN03"),H218,"")</f>
        <v/>
      </c>
      <c r="AJ218" s="42" t="str">
        <f>IF(AND(C218=Master!$H$6,B218="2012-2013",E218="",G218="PLN03"),H218,"")</f>
        <v/>
      </c>
      <c r="AK218" s="42" t="str">
        <f>IF(AND(C218=Master!$H$7,B218="2012-2013",E218&gt;1000,G218="PLN03"),H218,"")</f>
        <v/>
      </c>
      <c r="AL218" s="42" t="str">
        <f>IF(AND(C218=Master!$H$7,B218="2012-2013",E218="",G218="PLN03"),H218,"")</f>
        <v/>
      </c>
      <c r="AM218" s="42" t="str">
        <f>IF(AND(C218=Master!$H$8,B218="2012-2013",E218&gt;1000,G218="PLN03"),H218,"")</f>
        <v/>
      </c>
      <c r="AN218" s="42" t="str">
        <f>IF(AND(C218=Master!$H$8,B218="2012-2013",E218="",G218="PLN03"),H218,"")</f>
        <v/>
      </c>
      <c r="AO218" s="42" t="str">
        <f>IF(AND(C218=Master!$H$9,B218="2012-2013",E218&gt;1000,G218="PLN03"),H218,"")</f>
        <v/>
      </c>
      <c r="AP218" s="42" t="str">
        <f>IF(AND(C218=Master!$H$9,B218="2012-2013",E218="",G218="PLN03"),H218,"")</f>
        <v/>
      </c>
      <c r="AQ218" s="44" t="str">
        <f>IF(AND(C218=Master!$H$1,B218="2012-2013",E218&gt;1000,G218="NPN05"),H218,"")</f>
        <v/>
      </c>
      <c r="AR218" s="44" t="str">
        <f>IF(AND(C218=Master!$H$1,B218="2012-2013",E218="",G218="NPN05"),H218,"")</f>
        <v/>
      </c>
      <c r="AS218" s="44" t="str">
        <f>IF(AND(C218=Master!$H$2,B218="2012-2013",E218&gt;1000,G218="NPN05"),H218,"")</f>
        <v/>
      </c>
      <c r="AT218" s="44" t="str">
        <f>IF(AND(C218=Master!$H$2,B218="2012-2013",E218="",G218="NPN05"),H218,"")</f>
        <v/>
      </c>
      <c r="AU218" s="44" t="str">
        <f>IF(AND(C218=Master!$H$3,B218="2012-2013",E218&gt;1000,G218="NPN05"),H218,"")</f>
        <v/>
      </c>
      <c r="AV218" s="44" t="str">
        <f>IF(AND(C218=Master!$H$3,B218="2012-2013",E218="",G218="NPN05"),H218,"")</f>
        <v/>
      </c>
      <c r="AW218" s="44" t="str">
        <f>IF(AND(C218=Master!$H$4,B218="2012-2013",E218&gt;1000,G218="NPN05"),H218,"")</f>
        <v/>
      </c>
      <c r="AX218" s="44" t="str">
        <f>IF(AND(C218=Master!$H$4,B218="2012-2013",E218="",G218="NPN05"),H218,"")</f>
        <v/>
      </c>
      <c r="AY218" s="44" t="str">
        <f>IF(AND(C218=Master!$H$5,B218="2012-2013",E218&gt;1000,G218="NPN05"),H218,"")</f>
        <v/>
      </c>
      <c r="AZ218" s="44" t="str">
        <f>IF(AND(C218=Master!$H$5,B218="2012-2013",E218="",G218="NPN05"),H218,"")</f>
        <v/>
      </c>
      <c r="BA218" s="44" t="str">
        <f>IF(AND(C218=Master!$H$6,B218="2012-2013",E218&gt;1000,G218="NPN05"),H218,"")</f>
        <v/>
      </c>
      <c r="BB218" s="44" t="str">
        <f>IF(AND(C218=Master!$H$6,B218="2012-2013",E218="",G218="NPN05"),H218,"")</f>
        <v/>
      </c>
      <c r="BC218" s="44" t="str">
        <f>IF(AND(C218=Master!$H$7,B218="2012-2013",E218&gt;1000,G218="NPN05"),H218,"")</f>
        <v/>
      </c>
      <c r="BD218" s="44" t="str">
        <f>IF(AND(C218=Master!$H$7,B218="2012-2013",E218="",G218="NPN05"),H218,"")</f>
        <v/>
      </c>
      <c r="BE218" s="44" t="str">
        <f>IF(AND(C218=Master!$H$8,B218="2012-2013",E218&gt;1000,G218="NPN05"),H218,"")</f>
        <v/>
      </c>
      <c r="BF218" s="44" t="str">
        <f>IF(AND(C218=Master!$H$8,B218="2012-2013",E218="",G218="NPN05"),H218,"")</f>
        <v/>
      </c>
      <c r="BG218" s="44" t="str">
        <f>IF(AND(C218=Master!$H$9,B218="2012-2013",E218&gt;1000,G218="NPN05"),H218,"")</f>
        <v/>
      </c>
      <c r="BH218" s="44" t="str">
        <f>IF(AND(C218=Master!$H$9,B218="2012-2013",E218="",G218="NPN05"),H218,"")</f>
        <v/>
      </c>
    </row>
    <row r="219" spans="1:60" x14ac:dyDescent="0.25">
      <c r="A219" s="3">
        <v>217</v>
      </c>
      <c r="B219" s="12"/>
      <c r="C219" s="12"/>
      <c r="D219" s="31"/>
      <c r="E219" s="4"/>
      <c r="F219" s="13"/>
      <c r="G219" s="21"/>
      <c r="H219" s="35"/>
      <c r="I219" s="21"/>
      <c r="J219" s="25" t="str">
        <f>IF(NOT(I219=""),INDEX(Master!$B$1:$B$46,MATCH(I219,Master!$A$1:$A$46,0)),"")</f>
        <v/>
      </c>
      <c r="K219" s="18"/>
      <c r="L219" s="86"/>
      <c r="M219" s="13"/>
      <c r="N219" s="13"/>
      <c r="O219" s="18"/>
      <c r="P219" s="35"/>
      <c r="Q219" s="21"/>
      <c r="R219" s="21"/>
      <c r="S219" s="13"/>
      <c r="T219" s="12"/>
      <c r="U219" s="12"/>
      <c r="V219" s="12"/>
      <c r="W219" s="14"/>
      <c r="Y219" s="42" t="str">
        <f>IF(AND(C219=Master!$H$1,B219="2012-2013",E219&gt;1000,G219="PLN03"),H219,"")</f>
        <v/>
      </c>
      <c r="Z219" s="42" t="str">
        <f>IF(AND(C219=Master!$H$1,B219="2012-2013",E219="",G219="PLN03"),H219,"")</f>
        <v/>
      </c>
      <c r="AA219" s="42" t="str">
        <f>IF(AND(C219=Master!$H$2,B219="2012-2013",E219&gt;1000,G219="PLN03"),H219,"")</f>
        <v/>
      </c>
      <c r="AB219" s="42" t="str">
        <f>IF(AND(C219=Master!$H$2,B219="2012-2013",E219="",G219="PLN03"),H219,"")</f>
        <v/>
      </c>
      <c r="AC219" s="42" t="str">
        <f>IF(AND(C219=Master!$H$3,B219="2012-2013",E219&gt;1000,G219="PLN03"),H219,"")</f>
        <v/>
      </c>
      <c r="AD219" s="42" t="str">
        <f>IF(AND(C219=Master!$H$3,B219="2012-2013",E219="",G219="PLN03"),H219,"")</f>
        <v/>
      </c>
      <c r="AE219" s="42" t="str">
        <f>IF(AND(C219=Master!$H$4,B219="2012-2013",E219&gt;1000,G219="PLN03"),H219,"")</f>
        <v/>
      </c>
      <c r="AF219" s="42" t="str">
        <f>IF(AND(C219=Master!$H$4,B219="2012-2013",E219="",G219="PLN03"),H219,"")</f>
        <v/>
      </c>
      <c r="AG219" s="42" t="str">
        <f>IF(AND(C219=Master!$H$5,B219="2012-2013",E219&gt;1000,G219="PLN03"),H219,"")</f>
        <v/>
      </c>
      <c r="AH219" s="42" t="str">
        <f>IF(AND(C219=Master!$H$5,B219="2012-2013",E219="",G219="PLN03"),H219,"")</f>
        <v/>
      </c>
      <c r="AI219" s="42" t="str">
        <f>IF(AND(C219=Master!$H$6,B219="2012-2013",E219&gt;1000,G219="PLN03"),H219,"")</f>
        <v/>
      </c>
      <c r="AJ219" s="42" t="str">
        <f>IF(AND(C219=Master!$H$6,B219="2012-2013",E219="",G219="PLN03"),H219,"")</f>
        <v/>
      </c>
      <c r="AK219" s="42" t="str">
        <f>IF(AND(C219=Master!$H$7,B219="2012-2013",E219&gt;1000,G219="PLN03"),H219,"")</f>
        <v/>
      </c>
      <c r="AL219" s="42" t="str">
        <f>IF(AND(C219=Master!$H$7,B219="2012-2013",E219="",G219="PLN03"),H219,"")</f>
        <v/>
      </c>
      <c r="AM219" s="42" t="str">
        <f>IF(AND(C219=Master!$H$8,B219="2012-2013",E219&gt;1000,G219="PLN03"),H219,"")</f>
        <v/>
      </c>
      <c r="AN219" s="42" t="str">
        <f>IF(AND(C219=Master!$H$8,B219="2012-2013",E219="",G219="PLN03"),H219,"")</f>
        <v/>
      </c>
      <c r="AO219" s="42" t="str">
        <f>IF(AND(C219=Master!$H$9,B219="2012-2013",E219&gt;1000,G219="PLN03"),H219,"")</f>
        <v/>
      </c>
      <c r="AP219" s="42" t="str">
        <f>IF(AND(C219=Master!$H$9,B219="2012-2013",E219="",G219="PLN03"),H219,"")</f>
        <v/>
      </c>
      <c r="AQ219" s="44" t="str">
        <f>IF(AND(C219=Master!$H$1,B219="2012-2013",E219&gt;1000,G219="NPN05"),H219,"")</f>
        <v/>
      </c>
      <c r="AR219" s="44" t="str">
        <f>IF(AND(C219=Master!$H$1,B219="2012-2013",E219="",G219="NPN05"),H219,"")</f>
        <v/>
      </c>
      <c r="AS219" s="44" t="str">
        <f>IF(AND(C219=Master!$H$2,B219="2012-2013",E219&gt;1000,G219="NPN05"),H219,"")</f>
        <v/>
      </c>
      <c r="AT219" s="44" t="str">
        <f>IF(AND(C219=Master!$H$2,B219="2012-2013",E219="",G219="NPN05"),H219,"")</f>
        <v/>
      </c>
      <c r="AU219" s="44" t="str">
        <f>IF(AND(C219=Master!$H$3,B219="2012-2013",E219&gt;1000,G219="NPN05"),H219,"")</f>
        <v/>
      </c>
      <c r="AV219" s="44" t="str">
        <f>IF(AND(C219=Master!$H$3,B219="2012-2013",E219="",G219="NPN05"),H219,"")</f>
        <v/>
      </c>
      <c r="AW219" s="44" t="str">
        <f>IF(AND(C219=Master!$H$4,B219="2012-2013",E219&gt;1000,G219="NPN05"),H219,"")</f>
        <v/>
      </c>
      <c r="AX219" s="44" t="str">
        <f>IF(AND(C219=Master!$H$4,B219="2012-2013",E219="",G219="NPN05"),H219,"")</f>
        <v/>
      </c>
      <c r="AY219" s="44" t="str">
        <f>IF(AND(C219=Master!$H$5,B219="2012-2013",E219&gt;1000,G219="NPN05"),H219,"")</f>
        <v/>
      </c>
      <c r="AZ219" s="44" t="str">
        <f>IF(AND(C219=Master!$H$5,B219="2012-2013",E219="",G219="NPN05"),H219,"")</f>
        <v/>
      </c>
      <c r="BA219" s="44" t="str">
        <f>IF(AND(C219=Master!$H$6,B219="2012-2013",E219&gt;1000,G219="NPN05"),H219,"")</f>
        <v/>
      </c>
      <c r="BB219" s="44" t="str">
        <f>IF(AND(C219=Master!$H$6,B219="2012-2013",E219="",G219="NPN05"),H219,"")</f>
        <v/>
      </c>
      <c r="BC219" s="44" t="str">
        <f>IF(AND(C219=Master!$H$7,B219="2012-2013",E219&gt;1000,G219="NPN05"),H219,"")</f>
        <v/>
      </c>
      <c r="BD219" s="44" t="str">
        <f>IF(AND(C219=Master!$H$7,B219="2012-2013",E219="",G219="NPN05"),H219,"")</f>
        <v/>
      </c>
      <c r="BE219" s="44" t="str">
        <f>IF(AND(C219=Master!$H$8,B219="2012-2013",E219&gt;1000,G219="NPN05"),H219,"")</f>
        <v/>
      </c>
      <c r="BF219" s="44" t="str">
        <f>IF(AND(C219=Master!$H$8,B219="2012-2013",E219="",G219="NPN05"),H219,"")</f>
        <v/>
      </c>
      <c r="BG219" s="44" t="str">
        <f>IF(AND(C219=Master!$H$9,B219="2012-2013",E219&gt;1000,G219="NPN05"),H219,"")</f>
        <v/>
      </c>
      <c r="BH219" s="44" t="str">
        <f>IF(AND(C219=Master!$H$9,B219="2012-2013",E219="",G219="NPN05"),H219,"")</f>
        <v/>
      </c>
    </row>
    <row r="220" spans="1:60" x14ac:dyDescent="0.25">
      <c r="A220" s="5">
        <v>218</v>
      </c>
      <c r="B220" s="12"/>
      <c r="C220" s="12"/>
      <c r="D220" s="31"/>
      <c r="E220" s="4"/>
      <c r="F220" s="13"/>
      <c r="G220" s="21"/>
      <c r="H220" s="35"/>
      <c r="I220" s="21"/>
      <c r="J220" s="25" t="str">
        <f>IF(NOT(I220=""),INDEX(Master!$B$1:$B$46,MATCH(I220,Master!$A$1:$A$46,0)),"")</f>
        <v/>
      </c>
      <c r="K220" s="18"/>
      <c r="L220" s="86"/>
      <c r="M220" s="13"/>
      <c r="N220" s="13"/>
      <c r="O220" s="18"/>
      <c r="P220" s="35"/>
      <c r="Q220" s="21"/>
      <c r="R220" s="21"/>
      <c r="S220" s="13"/>
      <c r="T220" s="12"/>
      <c r="U220" s="12"/>
      <c r="V220" s="12"/>
      <c r="W220" s="14"/>
      <c r="Y220" s="42" t="str">
        <f>IF(AND(C220=Master!$H$1,B220="2012-2013",E220&gt;1000,G220="PLN03"),H220,"")</f>
        <v/>
      </c>
      <c r="Z220" s="42" t="str">
        <f>IF(AND(C220=Master!$H$1,B220="2012-2013",E220="",G220="PLN03"),H220,"")</f>
        <v/>
      </c>
      <c r="AA220" s="42" t="str">
        <f>IF(AND(C220=Master!$H$2,B220="2012-2013",E220&gt;1000,G220="PLN03"),H220,"")</f>
        <v/>
      </c>
      <c r="AB220" s="42" t="str">
        <f>IF(AND(C220=Master!$H$2,B220="2012-2013",E220="",G220="PLN03"),H220,"")</f>
        <v/>
      </c>
      <c r="AC220" s="42" t="str">
        <f>IF(AND(C220=Master!$H$3,B220="2012-2013",E220&gt;1000,G220="PLN03"),H220,"")</f>
        <v/>
      </c>
      <c r="AD220" s="42" t="str">
        <f>IF(AND(C220=Master!$H$3,B220="2012-2013",E220="",G220="PLN03"),H220,"")</f>
        <v/>
      </c>
      <c r="AE220" s="42" t="str">
        <f>IF(AND(C220=Master!$H$4,B220="2012-2013",E220&gt;1000,G220="PLN03"),H220,"")</f>
        <v/>
      </c>
      <c r="AF220" s="42" t="str">
        <f>IF(AND(C220=Master!$H$4,B220="2012-2013",E220="",G220="PLN03"),H220,"")</f>
        <v/>
      </c>
      <c r="AG220" s="42" t="str">
        <f>IF(AND(C220=Master!$H$5,B220="2012-2013",E220&gt;1000,G220="PLN03"),H220,"")</f>
        <v/>
      </c>
      <c r="AH220" s="42" t="str">
        <f>IF(AND(C220=Master!$H$5,B220="2012-2013",E220="",G220="PLN03"),H220,"")</f>
        <v/>
      </c>
      <c r="AI220" s="42" t="str">
        <f>IF(AND(C220=Master!$H$6,B220="2012-2013",E220&gt;1000,G220="PLN03"),H220,"")</f>
        <v/>
      </c>
      <c r="AJ220" s="42" t="str">
        <f>IF(AND(C220=Master!$H$6,B220="2012-2013",E220="",G220="PLN03"),H220,"")</f>
        <v/>
      </c>
      <c r="AK220" s="42" t="str">
        <f>IF(AND(C220=Master!$H$7,B220="2012-2013",E220&gt;1000,G220="PLN03"),H220,"")</f>
        <v/>
      </c>
      <c r="AL220" s="42" t="str">
        <f>IF(AND(C220=Master!$H$7,B220="2012-2013",E220="",G220="PLN03"),H220,"")</f>
        <v/>
      </c>
      <c r="AM220" s="42" t="str">
        <f>IF(AND(C220=Master!$H$8,B220="2012-2013",E220&gt;1000,G220="PLN03"),H220,"")</f>
        <v/>
      </c>
      <c r="AN220" s="42" t="str">
        <f>IF(AND(C220=Master!$H$8,B220="2012-2013",E220="",G220="PLN03"),H220,"")</f>
        <v/>
      </c>
      <c r="AO220" s="42" t="str">
        <f>IF(AND(C220=Master!$H$9,B220="2012-2013",E220&gt;1000,G220="PLN03"),H220,"")</f>
        <v/>
      </c>
      <c r="AP220" s="42" t="str">
        <f>IF(AND(C220=Master!$H$9,B220="2012-2013",E220="",G220="PLN03"),H220,"")</f>
        <v/>
      </c>
      <c r="AQ220" s="44" t="str">
        <f>IF(AND(C220=Master!$H$1,B220="2012-2013",E220&gt;1000,G220="NPN05"),H220,"")</f>
        <v/>
      </c>
      <c r="AR220" s="44" t="str">
        <f>IF(AND(C220=Master!$H$1,B220="2012-2013",E220="",G220="NPN05"),H220,"")</f>
        <v/>
      </c>
      <c r="AS220" s="44" t="str">
        <f>IF(AND(C220=Master!$H$2,B220="2012-2013",E220&gt;1000,G220="NPN05"),H220,"")</f>
        <v/>
      </c>
      <c r="AT220" s="44" t="str">
        <f>IF(AND(C220=Master!$H$2,B220="2012-2013",E220="",G220="NPN05"),H220,"")</f>
        <v/>
      </c>
      <c r="AU220" s="44" t="str">
        <f>IF(AND(C220=Master!$H$3,B220="2012-2013",E220&gt;1000,G220="NPN05"),H220,"")</f>
        <v/>
      </c>
      <c r="AV220" s="44" t="str">
        <f>IF(AND(C220=Master!$H$3,B220="2012-2013",E220="",G220="NPN05"),H220,"")</f>
        <v/>
      </c>
      <c r="AW220" s="44" t="str">
        <f>IF(AND(C220=Master!$H$4,B220="2012-2013",E220&gt;1000,G220="NPN05"),H220,"")</f>
        <v/>
      </c>
      <c r="AX220" s="44" t="str">
        <f>IF(AND(C220=Master!$H$4,B220="2012-2013",E220="",G220="NPN05"),H220,"")</f>
        <v/>
      </c>
      <c r="AY220" s="44" t="str">
        <f>IF(AND(C220=Master!$H$5,B220="2012-2013",E220&gt;1000,G220="NPN05"),H220,"")</f>
        <v/>
      </c>
      <c r="AZ220" s="44" t="str">
        <f>IF(AND(C220=Master!$H$5,B220="2012-2013",E220="",G220="NPN05"),H220,"")</f>
        <v/>
      </c>
      <c r="BA220" s="44" t="str">
        <f>IF(AND(C220=Master!$H$6,B220="2012-2013",E220&gt;1000,G220="NPN05"),H220,"")</f>
        <v/>
      </c>
      <c r="BB220" s="44" t="str">
        <f>IF(AND(C220=Master!$H$6,B220="2012-2013",E220="",G220="NPN05"),H220,"")</f>
        <v/>
      </c>
      <c r="BC220" s="44" t="str">
        <f>IF(AND(C220=Master!$H$7,B220="2012-2013",E220&gt;1000,G220="NPN05"),H220,"")</f>
        <v/>
      </c>
      <c r="BD220" s="44" t="str">
        <f>IF(AND(C220=Master!$H$7,B220="2012-2013",E220="",G220="NPN05"),H220,"")</f>
        <v/>
      </c>
      <c r="BE220" s="44" t="str">
        <f>IF(AND(C220=Master!$H$8,B220="2012-2013",E220&gt;1000,G220="NPN05"),H220,"")</f>
        <v/>
      </c>
      <c r="BF220" s="44" t="str">
        <f>IF(AND(C220=Master!$H$8,B220="2012-2013",E220="",G220="NPN05"),H220,"")</f>
        <v/>
      </c>
      <c r="BG220" s="44" t="str">
        <f>IF(AND(C220=Master!$H$9,B220="2012-2013",E220&gt;1000,G220="NPN05"),H220,"")</f>
        <v/>
      </c>
      <c r="BH220" s="44" t="str">
        <f>IF(AND(C220=Master!$H$9,B220="2012-2013",E220="",G220="NPN05"),H220,"")</f>
        <v/>
      </c>
    </row>
    <row r="221" spans="1:60" x14ac:dyDescent="0.25">
      <c r="A221" s="3">
        <v>219</v>
      </c>
      <c r="B221" s="12"/>
      <c r="C221" s="12"/>
      <c r="D221" s="31"/>
      <c r="E221" s="4"/>
      <c r="F221" s="13"/>
      <c r="G221" s="21"/>
      <c r="H221" s="35"/>
      <c r="I221" s="21"/>
      <c r="J221" s="25" t="str">
        <f>IF(NOT(I221=""),INDEX(Master!$B$1:$B$46,MATCH(I221,Master!$A$1:$A$46,0)),"")</f>
        <v/>
      </c>
      <c r="K221" s="18"/>
      <c r="L221" s="86"/>
      <c r="M221" s="13"/>
      <c r="N221" s="13"/>
      <c r="O221" s="18"/>
      <c r="P221" s="35"/>
      <c r="Q221" s="21"/>
      <c r="R221" s="21"/>
      <c r="S221" s="13"/>
      <c r="T221" s="12"/>
      <c r="U221" s="12"/>
      <c r="V221" s="12"/>
      <c r="W221" s="14"/>
      <c r="Y221" s="42" t="str">
        <f>IF(AND(C221=Master!$H$1,B221="2012-2013",E221&gt;1000,G221="PLN03"),H221,"")</f>
        <v/>
      </c>
      <c r="Z221" s="42" t="str">
        <f>IF(AND(C221=Master!$H$1,B221="2012-2013",E221="",G221="PLN03"),H221,"")</f>
        <v/>
      </c>
      <c r="AA221" s="42" t="str">
        <f>IF(AND(C221=Master!$H$2,B221="2012-2013",E221&gt;1000,G221="PLN03"),H221,"")</f>
        <v/>
      </c>
      <c r="AB221" s="42" t="str">
        <f>IF(AND(C221=Master!$H$2,B221="2012-2013",E221="",G221="PLN03"),H221,"")</f>
        <v/>
      </c>
      <c r="AC221" s="42" t="str">
        <f>IF(AND(C221=Master!$H$3,B221="2012-2013",E221&gt;1000,G221="PLN03"),H221,"")</f>
        <v/>
      </c>
      <c r="AD221" s="42" t="str">
        <f>IF(AND(C221=Master!$H$3,B221="2012-2013",E221="",G221="PLN03"),H221,"")</f>
        <v/>
      </c>
      <c r="AE221" s="42" t="str">
        <f>IF(AND(C221=Master!$H$4,B221="2012-2013",E221&gt;1000,G221="PLN03"),H221,"")</f>
        <v/>
      </c>
      <c r="AF221" s="42" t="str">
        <f>IF(AND(C221=Master!$H$4,B221="2012-2013",E221="",G221="PLN03"),H221,"")</f>
        <v/>
      </c>
      <c r="AG221" s="42" t="str">
        <f>IF(AND(C221=Master!$H$5,B221="2012-2013",E221&gt;1000,G221="PLN03"),H221,"")</f>
        <v/>
      </c>
      <c r="AH221" s="42" t="str">
        <f>IF(AND(C221=Master!$H$5,B221="2012-2013",E221="",G221="PLN03"),H221,"")</f>
        <v/>
      </c>
      <c r="AI221" s="42" t="str">
        <f>IF(AND(C221=Master!$H$6,B221="2012-2013",E221&gt;1000,G221="PLN03"),H221,"")</f>
        <v/>
      </c>
      <c r="AJ221" s="42" t="str">
        <f>IF(AND(C221=Master!$H$6,B221="2012-2013",E221="",G221="PLN03"),H221,"")</f>
        <v/>
      </c>
      <c r="AK221" s="42" t="str">
        <f>IF(AND(C221=Master!$H$7,B221="2012-2013",E221&gt;1000,G221="PLN03"),H221,"")</f>
        <v/>
      </c>
      <c r="AL221" s="42" t="str">
        <f>IF(AND(C221=Master!$H$7,B221="2012-2013",E221="",G221="PLN03"),H221,"")</f>
        <v/>
      </c>
      <c r="AM221" s="42" t="str">
        <f>IF(AND(C221=Master!$H$8,B221="2012-2013",E221&gt;1000,G221="PLN03"),H221,"")</f>
        <v/>
      </c>
      <c r="AN221" s="42" t="str">
        <f>IF(AND(C221=Master!$H$8,B221="2012-2013",E221="",G221="PLN03"),H221,"")</f>
        <v/>
      </c>
      <c r="AO221" s="42" t="str">
        <f>IF(AND(C221=Master!$H$9,B221="2012-2013",E221&gt;1000,G221="PLN03"),H221,"")</f>
        <v/>
      </c>
      <c r="AP221" s="42" t="str">
        <f>IF(AND(C221=Master!$H$9,B221="2012-2013",E221="",G221="PLN03"),H221,"")</f>
        <v/>
      </c>
      <c r="AQ221" s="44" t="str">
        <f>IF(AND(C221=Master!$H$1,B221="2012-2013",E221&gt;1000,G221="NPN05"),H221,"")</f>
        <v/>
      </c>
      <c r="AR221" s="44" t="str">
        <f>IF(AND(C221=Master!$H$1,B221="2012-2013",E221="",G221="NPN05"),H221,"")</f>
        <v/>
      </c>
      <c r="AS221" s="44" t="str">
        <f>IF(AND(C221=Master!$H$2,B221="2012-2013",E221&gt;1000,G221="NPN05"),H221,"")</f>
        <v/>
      </c>
      <c r="AT221" s="44" t="str">
        <f>IF(AND(C221=Master!$H$2,B221="2012-2013",E221="",G221="NPN05"),H221,"")</f>
        <v/>
      </c>
      <c r="AU221" s="44" t="str">
        <f>IF(AND(C221=Master!$H$3,B221="2012-2013",E221&gt;1000,G221="NPN05"),H221,"")</f>
        <v/>
      </c>
      <c r="AV221" s="44" t="str">
        <f>IF(AND(C221=Master!$H$3,B221="2012-2013",E221="",G221="NPN05"),H221,"")</f>
        <v/>
      </c>
      <c r="AW221" s="44" t="str">
        <f>IF(AND(C221=Master!$H$4,B221="2012-2013",E221&gt;1000,G221="NPN05"),H221,"")</f>
        <v/>
      </c>
      <c r="AX221" s="44" t="str">
        <f>IF(AND(C221=Master!$H$4,B221="2012-2013",E221="",G221="NPN05"),H221,"")</f>
        <v/>
      </c>
      <c r="AY221" s="44" t="str">
        <f>IF(AND(C221=Master!$H$5,B221="2012-2013",E221&gt;1000,G221="NPN05"),H221,"")</f>
        <v/>
      </c>
      <c r="AZ221" s="44" t="str">
        <f>IF(AND(C221=Master!$H$5,B221="2012-2013",E221="",G221="NPN05"),H221,"")</f>
        <v/>
      </c>
      <c r="BA221" s="44" t="str">
        <f>IF(AND(C221=Master!$H$6,B221="2012-2013",E221&gt;1000,G221="NPN05"),H221,"")</f>
        <v/>
      </c>
      <c r="BB221" s="44" t="str">
        <f>IF(AND(C221=Master!$H$6,B221="2012-2013",E221="",G221="NPN05"),H221,"")</f>
        <v/>
      </c>
      <c r="BC221" s="44" t="str">
        <f>IF(AND(C221=Master!$H$7,B221="2012-2013",E221&gt;1000,G221="NPN05"),H221,"")</f>
        <v/>
      </c>
      <c r="BD221" s="44" t="str">
        <f>IF(AND(C221=Master!$H$7,B221="2012-2013",E221="",G221="NPN05"),H221,"")</f>
        <v/>
      </c>
      <c r="BE221" s="44" t="str">
        <f>IF(AND(C221=Master!$H$8,B221="2012-2013",E221&gt;1000,G221="NPN05"),H221,"")</f>
        <v/>
      </c>
      <c r="BF221" s="44" t="str">
        <f>IF(AND(C221=Master!$H$8,B221="2012-2013",E221="",G221="NPN05"),H221,"")</f>
        <v/>
      </c>
      <c r="BG221" s="44" t="str">
        <f>IF(AND(C221=Master!$H$9,B221="2012-2013",E221&gt;1000,G221="NPN05"),H221,"")</f>
        <v/>
      </c>
      <c r="BH221" s="44" t="str">
        <f>IF(AND(C221=Master!$H$9,B221="2012-2013",E221="",G221="NPN05"),H221,"")</f>
        <v/>
      </c>
    </row>
    <row r="222" spans="1:60" x14ac:dyDescent="0.25">
      <c r="A222" s="3">
        <v>220</v>
      </c>
      <c r="B222" s="12"/>
      <c r="C222" s="12"/>
      <c r="D222" s="31"/>
      <c r="E222" s="4"/>
      <c r="F222" s="13"/>
      <c r="G222" s="21"/>
      <c r="H222" s="35"/>
      <c r="I222" s="21"/>
      <c r="J222" s="25" t="str">
        <f>IF(NOT(I222=""),INDEX(Master!$B$1:$B$46,MATCH(I222,Master!$A$1:$A$46,0)),"")</f>
        <v/>
      </c>
      <c r="K222" s="18"/>
      <c r="L222" s="86"/>
      <c r="M222" s="13"/>
      <c r="N222" s="13"/>
      <c r="O222" s="18"/>
      <c r="P222" s="35"/>
      <c r="Q222" s="21"/>
      <c r="R222" s="21"/>
      <c r="S222" s="13"/>
      <c r="T222" s="12"/>
      <c r="U222" s="12"/>
      <c r="V222" s="12"/>
      <c r="W222" s="14"/>
      <c r="Y222" s="42" t="str">
        <f>IF(AND(C222=Master!$H$1,B222="2012-2013",E222&gt;1000,G222="PLN03"),H222,"")</f>
        <v/>
      </c>
      <c r="Z222" s="42" t="str">
        <f>IF(AND(C222=Master!$H$1,B222="2012-2013",E222="",G222="PLN03"),H222,"")</f>
        <v/>
      </c>
      <c r="AA222" s="42" t="str">
        <f>IF(AND(C222=Master!$H$2,B222="2012-2013",E222&gt;1000,G222="PLN03"),H222,"")</f>
        <v/>
      </c>
      <c r="AB222" s="42" t="str">
        <f>IF(AND(C222=Master!$H$2,B222="2012-2013",E222="",G222="PLN03"),H222,"")</f>
        <v/>
      </c>
      <c r="AC222" s="42" t="str">
        <f>IF(AND(C222=Master!$H$3,B222="2012-2013",E222&gt;1000,G222="PLN03"),H222,"")</f>
        <v/>
      </c>
      <c r="AD222" s="42" t="str">
        <f>IF(AND(C222=Master!$H$3,B222="2012-2013",E222="",G222="PLN03"),H222,"")</f>
        <v/>
      </c>
      <c r="AE222" s="42" t="str">
        <f>IF(AND(C222=Master!$H$4,B222="2012-2013",E222&gt;1000,G222="PLN03"),H222,"")</f>
        <v/>
      </c>
      <c r="AF222" s="42" t="str">
        <f>IF(AND(C222=Master!$H$4,B222="2012-2013",E222="",G222="PLN03"),H222,"")</f>
        <v/>
      </c>
      <c r="AG222" s="42" t="str">
        <f>IF(AND(C222=Master!$H$5,B222="2012-2013",E222&gt;1000,G222="PLN03"),H222,"")</f>
        <v/>
      </c>
      <c r="AH222" s="42" t="str">
        <f>IF(AND(C222=Master!$H$5,B222="2012-2013",E222="",G222="PLN03"),H222,"")</f>
        <v/>
      </c>
      <c r="AI222" s="42" t="str">
        <f>IF(AND(C222=Master!$H$6,B222="2012-2013",E222&gt;1000,G222="PLN03"),H222,"")</f>
        <v/>
      </c>
      <c r="AJ222" s="42" t="str">
        <f>IF(AND(C222=Master!$H$6,B222="2012-2013",E222="",G222="PLN03"),H222,"")</f>
        <v/>
      </c>
      <c r="AK222" s="42" t="str">
        <f>IF(AND(C222=Master!$H$7,B222="2012-2013",E222&gt;1000,G222="PLN03"),H222,"")</f>
        <v/>
      </c>
      <c r="AL222" s="42" t="str">
        <f>IF(AND(C222=Master!$H$7,B222="2012-2013",E222="",G222="PLN03"),H222,"")</f>
        <v/>
      </c>
      <c r="AM222" s="42" t="str">
        <f>IF(AND(C222=Master!$H$8,B222="2012-2013",E222&gt;1000,G222="PLN03"),H222,"")</f>
        <v/>
      </c>
      <c r="AN222" s="42" t="str">
        <f>IF(AND(C222=Master!$H$8,B222="2012-2013",E222="",G222="PLN03"),H222,"")</f>
        <v/>
      </c>
      <c r="AO222" s="42" t="str">
        <f>IF(AND(C222=Master!$H$9,B222="2012-2013",E222&gt;1000,G222="PLN03"),H222,"")</f>
        <v/>
      </c>
      <c r="AP222" s="42" t="str">
        <f>IF(AND(C222=Master!$H$9,B222="2012-2013",E222="",G222="PLN03"),H222,"")</f>
        <v/>
      </c>
      <c r="AQ222" s="44" t="str">
        <f>IF(AND(C222=Master!$H$1,B222="2012-2013",E222&gt;1000,G222="NPN05"),H222,"")</f>
        <v/>
      </c>
      <c r="AR222" s="44" t="str">
        <f>IF(AND(C222=Master!$H$1,B222="2012-2013",E222="",G222="NPN05"),H222,"")</f>
        <v/>
      </c>
      <c r="AS222" s="44" t="str">
        <f>IF(AND(C222=Master!$H$2,B222="2012-2013",E222&gt;1000,G222="NPN05"),H222,"")</f>
        <v/>
      </c>
      <c r="AT222" s="44" t="str">
        <f>IF(AND(C222=Master!$H$2,B222="2012-2013",E222="",G222="NPN05"),H222,"")</f>
        <v/>
      </c>
      <c r="AU222" s="44" t="str">
        <f>IF(AND(C222=Master!$H$3,B222="2012-2013",E222&gt;1000,G222="NPN05"),H222,"")</f>
        <v/>
      </c>
      <c r="AV222" s="44" t="str">
        <f>IF(AND(C222=Master!$H$3,B222="2012-2013",E222="",G222="NPN05"),H222,"")</f>
        <v/>
      </c>
      <c r="AW222" s="44" t="str">
        <f>IF(AND(C222=Master!$H$4,B222="2012-2013",E222&gt;1000,G222="NPN05"),H222,"")</f>
        <v/>
      </c>
      <c r="AX222" s="44" t="str">
        <f>IF(AND(C222=Master!$H$4,B222="2012-2013",E222="",G222="NPN05"),H222,"")</f>
        <v/>
      </c>
      <c r="AY222" s="44" t="str">
        <f>IF(AND(C222=Master!$H$5,B222="2012-2013",E222&gt;1000,G222="NPN05"),H222,"")</f>
        <v/>
      </c>
      <c r="AZ222" s="44" t="str">
        <f>IF(AND(C222=Master!$H$5,B222="2012-2013",E222="",G222="NPN05"),H222,"")</f>
        <v/>
      </c>
      <c r="BA222" s="44" t="str">
        <f>IF(AND(C222=Master!$H$6,B222="2012-2013",E222&gt;1000,G222="NPN05"),H222,"")</f>
        <v/>
      </c>
      <c r="BB222" s="44" t="str">
        <f>IF(AND(C222=Master!$H$6,B222="2012-2013",E222="",G222="NPN05"),H222,"")</f>
        <v/>
      </c>
      <c r="BC222" s="44" t="str">
        <f>IF(AND(C222=Master!$H$7,B222="2012-2013",E222&gt;1000,G222="NPN05"),H222,"")</f>
        <v/>
      </c>
      <c r="BD222" s="44" t="str">
        <f>IF(AND(C222=Master!$H$7,B222="2012-2013",E222="",G222="NPN05"),H222,"")</f>
        <v/>
      </c>
      <c r="BE222" s="44" t="str">
        <f>IF(AND(C222=Master!$H$8,B222="2012-2013",E222&gt;1000,G222="NPN05"),H222,"")</f>
        <v/>
      </c>
      <c r="BF222" s="44" t="str">
        <f>IF(AND(C222=Master!$H$8,B222="2012-2013",E222="",G222="NPN05"),H222,"")</f>
        <v/>
      </c>
      <c r="BG222" s="44" t="str">
        <f>IF(AND(C222=Master!$H$9,B222="2012-2013",E222&gt;1000,G222="NPN05"),H222,"")</f>
        <v/>
      </c>
      <c r="BH222" s="44" t="str">
        <f>IF(AND(C222=Master!$H$9,B222="2012-2013",E222="",G222="NPN05"),H222,"")</f>
        <v/>
      </c>
    </row>
    <row r="223" spans="1:60" x14ac:dyDescent="0.25">
      <c r="A223" s="3">
        <v>221</v>
      </c>
      <c r="B223" s="12"/>
      <c r="C223" s="12"/>
      <c r="D223" s="31"/>
      <c r="E223" s="4"/>
      <c r="F223" s="13"/>
      <c r="G223" s="21"/>
      <c r="H223" s="35"/>
      <c r="I223" s="21"/>
      <c r="J223" s="25" t="str">
        <f>IF(NOT(I223=""),INDEX(Master!$B$1:$B$46,MATCH(I223,Master!$A$1:$A$46,0)),"")</f>
        <v/>
      </c>
      <c r="K223" s="18"/>
      <c r="L223" s="86"/>
      <c r="M223" s="13"/>
      <c r="N223" s="13"/>
      <c r="O223" s="18"/>
      <c r="P223" s="35"/>
      <c r="Q223" s="21"/>
      <c r="R223" s="21"/>
      <c r="S223" s="13"/>
      <c r="T223" s="12"/>
      <c r="U223" s="12"/>
      <c r="V223" s="12"/>
      <c r="W223" s="14"/>
      <c r="Y223" s="42" t="str">
        <f>IF(AND(C223=Master!$H$1,B223="2012-2013",E223&gt;1000,G223="PLN03"),H223,"")</f>
        <v/>
      </c>
      <c r="Z223" s="42" t="str">
        <f>IF(AND(C223=Master!$H$1,B223="2012-2013",E223="",G223="PLN03"),H223,"")</f>
        <v/>
      </c>
      <c r="AA223" s="42" t="str">
        <f>IF(AND(C223=Master!$H$2,B223="2012-2013",E223&gt;1000,G223="PLN03"),H223,"")</f>
        <v/>
      </c>
      <c r="AB223" s="42" t="str">
        <f>IF(AND(C223=Master!$H$2,B223="2012-2013",E223="",G223="PLN03"),H223,"")</f>
        <v/>
      </c>
      <c r="AC223" s="42" t="str">
        <f>IF(AND(C223=Master!$H$3,B223="2012-2013",E223&gt;1000,G223="PLN03"),H223,"")</f>
        <v/>
      </c>
      <c r="AD223" s="42" t="str">
        <f>IF(AND(C223=Master!$H$3,B223="2012-2013",E223="",G223="PLN03"),H223,"")</f>
        <v/>
      </c>
      <c r="AE223" s="42" t="str">
        <f>IF(AND(C223=Master!$H$4,B223="2012-2013",E223&gt;1000,G223="PLN03"),H223,"")</f>
        <v/>
      </c>
      <c r="AF223" s="42" t="str">
        <f>IF(AND(C223=Master!$H$4,B223="2012-2013",E223="",G223="PLN03"),H223,"")</f>
        <v/>
      </c>
      <c r="AG223" s="42" t="str">
        <f>IF(AND(C223=Master!$H$5,B223="2012-2013",E223&gt;1000,G223="PLN03"),H223,"")</f>
        <v/>
      </c>
      <c r="AH223" s="42" t="str">
        <f>IF(AND(C223=Master!$H$5,B223="2012-2013",E223="",G223="PLN03"),H223,"")</f>
        <v/>
      </c>
      <c r="AI223" s="42" t="str">
        <f>IF(AND(C223=Master!$H$6,B223="2012-2013",E223&gt;1000,G223="PLN03"),H223,"")</f>
        <v/>
      </c>
      <c r="AJ223" s="42" t="str">
        <f>IF(AND(C223=Master!$H$6,B223="2012-2013",E223="",G223="PLN03"),H223,"")</f>
        <v/>
      </c>
      <c r="AK223" s="42" t="str">
        <f>IF(AND(C223=Master!$H$7,B223="2012-2013",E223&gt;1000,G223="PLN03"),H223,"")</f>
        <v/>
      </c>
      <c r="AL223" s="42" t="str">
        <f>IF(AND(C223=Master!$H$7,B223="2012-2013",E223="",G223="PLN03"),H223,"")</f>
        <v/>
      </c>
      <c r="AM223" s="42" t="str">
        <f>IF(AND(C223=Master!$H$8,B223="2012-2013",E223&gt;1000,G223="PLN03"),H223,"")</f>
        <v/>
      </c>
      <c r="AN223" s="42" t="str">
        <f>IF(AND(C223=Master!$H$8,B223="2012-2013",E223="",G223="PLN03"),H223,"")</f>
        <v/>
      </c>
      <c r="AO223" s="42" t="str">
        <f>IF(AND(C223=Master!$H$9,B223="2012-2013",E223&gt;1000,G223="PLN03"),H223,"")</f>
        <v/>
      </c>
      <c r="AP223" s="42" t="str">
        <f>IF(AND(C223=Master!$H$9,B223="2012-2013",E223="",G223="PLN03"),H223,"")</f>
        <v/>
      </c>
      <c r="AQ223" s="44" t="str">
        <f>IF(AND(C223=Master!$H$1,B223="2012-2013",E223&gt;1000,G223="NPN05"),H223,"")</f>
        <v/>
      </c>
      <c r="AR223" s="44" t="str">
        <f>IF(AND(C223=Master!$H$1,B223="2012-2013",E223="",G223="NPN05"),H223,"")</f>
        <v/>
      </c>
      <c r="AS223" s="44" t="str">
        <f>IF(AND(C223=Master!$H$2,B223="2012-2013",E223&gt;1000,G223="NPN05"),H223,"")</f>
        <v/>
      </c>
      <c r="AT223" s="44" t="str">
        <f>IF(AND(C223=Master!$H$2,B223="2012-2013",E223="",G223="NPN05"),H223,"")</f>
        <v/>
      </c>
      <c r="AU223" s="44" t="str">
        <f>IF(AND(C223=Master!$H$3,B223="2012-2013",E223&gt;1000,G223="NPN05"),H223,"")</f>
        <v/>
      </c>
      <c r="AV223" s="44" t="str">
        <f>IF(AND(C223=Master!$H$3,B223="2012-2013",E223="",G223="NPN05"),H223,"")</f>
        <v/>
      </c>
      <c r="AW223" s="44" t="str">
        <f>IF(AND(C223=Master!$H$4,B223="2012-2013",E223&gt;1000,G223="NPN05"),H223,"")</f>
        <v/>
      </c>
      <c r="AX223" s="44" t="str">
        <f>IF(AND(C223=Master!$H$4,B223="2012-2013",E223="",G223="NPN05"),H223,"")</f>
        <v/>
      </c>
      <c r="AY223" s="44" t="str">
        <f>IF(AND(C223=Master!$H$5,B223="2012-2013",E223&gt;1000,G223="NPN05"),H223,"")</f>
        <v/>
      </c>
      <c r="AZ223" s="44" t="str">
        <f>IF(AND(C223=Master!$H$5,B223="2012-2013",E223="",G223="NPN05"),H223,"")</f>
        <v/>
      </c>
      <c r="BA223" s="44" t="str">
        <f>IF(AND(C223=Master!$H$6,B223="2012-2013",E223&gt;1000,G223="NPN05"),H223,"")</f>
        <v/>
      </c>
      <c r="BB223" s="44" t="str">
        <f>IF(AND(C223=Master!$H$6,B223="2012-2013",E223="",G223="NPN05"),H223,"")</f>
        <v/>
      </c>
      <c r="BC223" s="44" t="str">
        <f>IF(AND(C223=Master!$H$7,B223="2012-2013",E223&gt;1000,G223="NPN05"),H223,"")</f>
        <v/>
      </c>
      <c r="BD223" s="44" t="str">
        <f>IF(AND(C223=Master!$H$7,B223="2012-2013",E223="",G223="NPN05"),H223,"")</f>
        <v/>
      </c>
      <c r="BE223" s="44" t="str">
        <f>IF(AND(C223=Master!$H$8,B223="2012-2013",E223&gt;1000,G223="NPN05"),H223,"")</f>
        <v/>
      </c>
      <c r="BF223" s="44" t="str">
        <f>IF(AND(C223=Master!$H$8,B223="2012-2013",E223="",G223="NPN05"),H223,"")</f>
        <v/>
      </c>
      <c r="BG223" s="44" t="str">
        <f>IF(AND(C223=Master!$H$9,B223="2012-2013",E223&gt;1000,G223="NPN05"),H223,"")</f>
        <v/>
      </c>
      <c r="BH223" s="44" t="str">
        <f>IF(AND(C223=Master!$H$9,B223="2012-2013",E223="",G223="NPN05"),H223,"")</f>
        <v/>
      </c>
    </row>
    <row r="224" spans="1:60" x14ac:dyDescent="0.25">
      <c r="A224" s="3">
        <v>222</v>
      </c>
      <c r="B224" s="12"/>
      <c r="C224" s="12"/>
      <c r="D224" s="31"/>
      <c r="E224" s="4"/>
      <c r="F224" s="13"/>
      <c r="G224" s="21"/>
      <c r="H224" s="35"/>
      <c r="I224" s="21"/>
      <c r="J224" s="25" t="str">
        <f>IF(NOT(I224=""),INDEX(Master!$B$1:$B$46,MATCH(I224,Master!$A$1:$A$46,0)),"")</f>
        <v/>
      </c>
      <c r="K224" s="18"/>
      <c r="L224" s="86"/>
      <c r="M224" s="13"/>
      <c r="N224" s="13"/>
      <c r="O224" s="18"/>
      <c r="P224" s="35"/>
      <c r="Q224" s="21"/>
      <c r="R224" s="21"/>
      <c r="S224" s="13"/>
      <c r="T224" s="12"/>
      <c r="U224" s="12"/>
      <c r="V224" s="12"/>
      <c r="W224" s="14"/>
      <c r="Y224" s="42" t="str">
        <f>IF(AND(C224=Master!$H$1,B224="2012-2013",E224&gt;1000,G224="PLN03"),H224,"")</f>
        <v/>
      </c>
      <c r="Z224" s="42" t="str">
        <f>IF(AND(C224=Master!$H$1,B224="2012-2013",E224="",G224="PLN03"),H224,"")</f>
        <v/>
      </c>
      <c r="AA224" s="42" t="str">
        <f>IF(AND(C224=Master!$H$2,B224="2012-2013",E224&gt;1000,G224="PLN03"),H224,"")</f>
        <v/>
      </c>
      <c r="AB224" s="42" t="str">
        <f>IF(AND(C224=Master!$H$2,B224="2012-2013",E224="",G224="PLN03"),H224,"")</f>
        <v/>
      </c>
      <c r="AC224" s="42" t="str">
        <f>IF(AND(C224=Master!$H$3,B224="2012-2013",E224&gt;1000,G224="PLN03"),H224,"")</f>
        <v/>
      </c>
      <c r="AD224" s="42" t="str">
        <f>IF(AND(C224=Master!$H$3,B224="2012-2013",E224="",G224="PLN03"),H224,"")</f>
        <v/>
      </c>
      <c r="AE224" s="42" t="str">
        <f>IF(AND(C224=Master!$H$4,B224="2012-2013",E224&gt;1000,G224="PLN03"),H224,"")</f>
        <v/>
      </c>
      <c r="AF224" s="42" t="str">
        <f>IF(AND(C224=Master!$H$4,B224="2012-2013",E224="",G224="PLN03"),H224,"")</f>
        <v/>
      </c>
      <c r="AG224" s="42" t="str">
        <f>IF(AND(C224=Master!$H$5,B224="2012-2013",E224&gt;1000,G224="PLN03"),H224,"")</f>
        <v/>
      </c>
      <c r="AH224" s="42" t="str">
        <f>IF(AND(C224=Master!$H$5,B224="2012-2013",E224="",G224="PLN03"),H224,"")</f>
        <v/>
      </c>
      <c r="AI224" s="42" t="str">
        <f>IF(AND(C224=Master!$H$6,B224="2012-2013",E224&gt;1000,G224="PLN03"),H224,"")</f>
        <v/>
      </c>
      <c r="AJ224" s="42" t="str">
        <f>IF(AND(C224=Master!$H$6,B224="2012-2013",E224="",G224="PLN03"),H224,"")</f>
        <v/>
      </c>
      <c r="AK224" s="42" t="str">
        <f>IF(AND(C224=Master!$H$7,B224="2012-2013",E224&gt;1000,G224="PLN03"),H224,"")</f>
        <v/>
      </c>
      <c r="AL224" s="42" t="str">
        <f>IF(AND(C224=Master!$H$7,B224="2012-2013",E224="",G224="PLN03"),H224,"")</f>
        <v/>
      </c>
      <c r="AM224" s="42" t="str">
        <f>IF(AND(C224=Master!$H$8,B224="2012-2013",E224&gt;1000,G224="PLN03"),H224,"")</f>
        <v/>
      </c>
      <c r="AN224" s="42" t="str">
        <f>IF(AND(C224=Master!$H$8,B224="2012-2013",E224="",G224="PLN03"),H224,"")</f>
        <v/>
      </c>
      <c r="AO224" s="42" t="str">
        <f>IF(AND(C224=Master!$H$9,B224="2012-2013",E224&gt;1000,G224="PLN03"),H224,"")</f>
        <v/>
      </c>
      <c r="AP224" s="42" t="str">
        <f>IF(AND(C224=Master!$H$9,B224="2012-2013",E224="",G224="PLN03"),H224,"")</f>
        <v/>
      </c>
      <c r="AQ224" s="44" t="str">
        <f>IF(AND(C224=Master!$H$1,B224="2012-2013",E224&gt;1000,G224="NPN05"),H224,"")</f>
        <v/>
      </c>
      <c r="AR224" s="44" t="str">
        <f>IF(AND(C224=Master!$H$1,B224="2012-2013",E224="",G224="NPN05"),H224,"")</f>
        <v/>
      </c>
      <c r="AS224" s="44" t="str">
        <f>IF(AND(C224=Master!$H$2,B224="2012-2013",E224&gt;1000,G224="NPN05"),H224,"")</f>
        <v/>
      </c>
      <c r="AT224" s="44" t="str">
        <f>IF(AND(C224=Master!$H$2,B224="2012-2013",E224="",G224="NPN05"),H224,"")</f>
        <v/>
      </c>
      <c r="AU224" s="44" t="str">
        <f>IF(AND(C224=Master!$H$3,B224="2012-2013",E224&gt;1000,G224="NPN05"),H224,"")</f>
        <v/>
      </c>
      <c r="AV224" s="44" t="str">
        <f>IF(AND(C224=Master!$H$3,B224="2012-2013",E224="",G224="NPN05"),H224,"")</f>
        <v/>
      </c>
      <c r="AW224" s="44" t="str">
        <f>IF(AND(C224=Master!$H$4,B224="2012-2013",E224&gt;1000,G224="NPN05"),H224,"")</f>
        <v/>
      </c>
      <c r="AX224" s="44" t="str">
        <f>IF(AND(C224=Master!$H$4,B224="2012-2013",E224="",G224="NPN05"),H224,"")</f>
        <v/>
      </c>
      <c r="AY224" s="44" t="str">
        <f>IF(AND(C224=Master!$H$5,B224="2012-2013",E224&gt;1000,G224="NPN05"),H224,"")</f>
        <v/>
      </c>
      <c r="AZ224" s="44" t="str">
        <f>IF(AND(C224=Master!$H$5,B224="2012-2013",E224="",G224="NPN05"),H224,"")</f>
        <v/>
      </c>
      <c r="BA224" s="44" t="str">
        <f>IF(AND(C224=Master!$H$6,B224="2012-2013",E224&gt;1000,G224="NPN05"),H224,"")</f>
        <v/>
      </c>
      <c r="BB224" s="44" t="str">
        <f>IF(AND(C224=Master!$H$6,B224="2012-2013",E224="",G224="NPN05"),H224,"")</f>
        <v/>
      </c>
      <c r="BC224" s="44" t="str">
        <f>IF(AND(C224=Master!$H$7,B224="2012-2013",E224&gt;1000,G224="NPN05"),H224,"")</f>
        <v/>
      </c>
      <c r="BD224" s="44" t="str">
        <f>IF(AND(C224=Master!$H$7,B224="2012-2013",E224="",G224="NPN05"),H224,"")</f>
        <v/>
      </c>
      <c r="BE224" s="44" t="str">
        <f>IF(AND(C224=Master!$H$8,B224="2012-2013",E224&gt;1000,G224="NPN05"),H224,"")</f>
        <v/>
      </c>
      <c r="BF224" s="44" t="str">
        <f>IF(AND(C224=Master!$H$8,B224="2012-2013",E224="",G224="NPN05"),H224,"")</f>
        <v/>
      </c>
      <c r="BG224" s="44" t="str">
        <f>IF(AND(C224=Master!$H$9,B224="2012-2013",E224&gt;1000,G224="NPN05"),H224,"")</f>
        <v/>
      </c>
      <c r="BH224" s="44" t="str">
        <f>IF(AND(C224=Master!$H$9,B224="2012-2013",E224="",G224="NPN05"),H224,"")</f>
        <v/>
      </c>
    </row>
    <row r="225" spans="1:60" x14ac:dyDescent="0.25">
      <c r="A225" s="3">
        <v>223</v>
      </c>
      <c r="B225" s="12"/>
      <c r="C225" s="12"/>
      <c r="D225" s="31"/>
      <c r="E225" s="4"/>
      <c r="F225" s="13"/>
      <c r="G225" s="21"/>
      <c r="H225" s="35"/>
      <c r="I225" s="21"/>
      <c r="J225" s="25" t="str">
        <f>IF(NOT(I225=""),INDEX(Master!$B$1:$B$46,MATCH(I225,Master!$A$1:$A$46,0)),"")</f>
        <v/>
      </c>
      <c r="K225" s="18"/>
      <c r="L225" s="86"/>
      <c r="M225" s="13"/>
      <c r="N225" s="13"/>
      <c r="O225" s="18"/>
      <c r="P225" s="35"/>
      <c r="Q225" s="21"/>
      <c r="R225" s="21"/>
      <c r="S225" s="13"/>
      <c r="T225" s="12"/>
      <c r="U225" s="12"/>
      <c r="V225" s="12"/>
      <c r="W225" s="14"/>
      <c r="Y225" s="42" t="str">
        <f>IF(AND(C225=Master!$H$1,B225="2012-2013",E225&gt;1000,G225="PLN03"),H225,"")</f>
        <v/>
      </c>
      <c r="Z225" s="42" t="str">
        <f>IF(AND(C225=Master!$H$1,B225="2012-2013",E225="",G225="PLN03"),H225,"")</f>
        <v/>
      </c>
      <c r="AA225" s="42" t="str">
        <f>IF(AND(C225=Master!$H$2,B225="2012-2013",E225&gt;1000,G225="PLN03"),H225,"")</f>
        <v/>
      </c>
      <c r="AB225" s="42" t="str">
        <f>IF(AND(C225=Master!$H$2,B225="2012-2013",E225="",G225="PLN03"),H225,"")</f>
        <v/>
      </c>
      <c r="AC225" s="42" t="str">
        <f>IF(AND(C225=Master!$H$3,B225="2012-2013",E225&gt;1000,G225="PLN03"),H225,"")</f>
        <v/>
      </c>
      <c r="AD225" s="42" t="str">
        <f>IF(AND(C225=Master!$H$3,B225="2012-2013",E225="",G225="PLN03"),H225,"")</f>
        <v/>
      </c>
      <c r="AE225" s="42" t="str">
        <f>IF(AND(C225=Master!$H$4,B225="2012-2013",E225&gt;1000,G225="PLN03"),H225,"")</f>
        <v/>
      </c>
      <c r="AF225" s="42" t="str">
        <f>IF(AND(C225=Master!$H$4,B225="2012-2013",E225="",G225="PLN03"),H225,"")</f>
        <v/>
      </c>
      <c r="AG225" s="42" t="str">
        <f>IF(AND(C225=Master!$H$5,B225="2012-2013",E225&gt;1000,G225="PLN03"),H225,"")</f>
        <v/>
      </c>
      <c r="AH225" s="42" t="str">
        <f>IF(AND(C225=Master!$H$5,B225="2012-2013",E225="",G225="PLN03"),H225,"")</f>
        <v/>
      </c>
      <c r="AI225" s="42" t="str">
        <f>IF(AND(C225=Master!$H$6,B225="2012-2013",E225&gt;1000,G225="PLN03"),H225,"")</f>
        <v/>
      </c>
      <c r="AJ225" s="42" t="str">
        <f>IF(AND(C225=Master!$H$6,B225="2012-2013",E225="",G225="PLN03"),H225,"")</f>
        <v/>
      </c>
      <c r="AK225" s="42" t="str">
        <f>IF(AND(C225=Master!$H$7,B225="2012-2013",E225&gt;1000,G225="PLN03"),H225,"")</f>
        <v/>
      </c>
      <c r="AL225" s="42" t="str">
        <f>IF(AND(C225=Master!$H$7,B225="2012-2013",E225="",G225="PLN03"),H225,"")</f>
        <v/>
      </c>
      <c r="AM225" s="42" t="str">
        <f>IF(AND(C225=Master!$H$8,B225="2012-2013",E225&gt;1000,G225="PLN03"),H225,"")</f>
        <v/>
      </c>
      <c r="AN225" s="42" t="str">
        <f>IF(AND(C225=Master!$H$8,B225="2012-2013",E225="",G225="PLN03"),H225,"")</f>
        <v/>
      </c>
      <c r="AO225" s="42" t="str">
        <f>IF(AND(C225=Master!$H$9,B225="2012-2013",E225&gt;1000,G225="PLN03"),H225,"")</f>
        <v/>
      </c>
      <c r="AP225" s="42" t="str">
        <f>IF(AND(C225=Master!$H$9,B225="2012-2013",E225="",G225="PLN03"),H225,"")</f>
        <v/>
      </c>
      <c r="AQ225" s="44" t="str">
        <f>IF(AND(C225=Master!$H$1,B225="2012-2013",E225&gt;1000,G225="NPN05"),H225,"")</f>
        <v/>
      </c>
      <c r="AR225" s="44" t="str">
        <f>IF(AND(C225=Master!$H$1,B225="2012-2013",E225="",G225="NPN05"),H225,"")</f>
        <v/>
      </c>
      <c r="AS225" s="44" t="str">
        <f>IF(AND(C225=Master!$H$2,B225="2012-2013",E225&gt;1000,G225="NPN05"),H225,"")</f>
        <v/>
      </c>
      <c r="AT225" s="44" t="str">
        <f>IF(AND(C225=Master!$H$2,B225="2012-2013",E225="",G225="NPN05"),H225,"")</f>
        <v/>
      </c>
      <c r="AU225" s="44" t="str">
        <f>IF(AND(C225=Master!$H$3,B225="2012-2013",E225&gt;1000,G225="NPN05"),H225,"")</f>
        <v/>
      </c>
      <c r="AV225" s="44" t="str">
        <f>IF(AND(C225=Master!$H$3,B225="2012-2013",E225="",G225="NPN05"),H225,"")</f>
        <v/>
      </c>
      <c r="AW225" s="44" t="str">
        <f>IF(AND(C225=Master!$H$4,B225="2012-2013",E225&gt;1000,G225="NPN05"),H225,"")</f>
        <v/>
      </c>
      <c r="AX225" s="44" t="str">
        <f>IF(AND(C225=Master!$H$4,B225="2012-2013",E225="",G225="NPN05"),H225,"")</f>
        <v/>
      </c>
      <c r="AY225" s="44" t="str">
        <f>IF(AND(C225=Master!$H$5,B225="2012-2013",E225&gt;1000,G225="NPN05"),H225,"")</f>
        <v/>
      </c>
      <c r="AZ225" s="44" t="str">
        <f>IF(AND(C225=Master!$H$5,B225="2012-2013",E225="",G225="NPN05"),H225,"")</f>
        <v/>
      </c>
      <c r="BA225" s="44" t="str">
        <f>IF(AND(C225=Master!$H$6,B225="2012-2013",E225&gt;1000,G225="NPN05"),H225,"")</f>
        <v/>
      </c>
      <c r="BB225" s="44" t="str">
        <f>IF(AND(C225=Master!$H$6,B225="2012-2013",E225="",G225="NPN05"),H225,"")</f>
        <v/>
      </c>
      <c r="BC225" s="44" t="str">
        <f>IF(AND(C225=Master!$H$7,B225="2012-2013",E225&gt;1000,G225="NPN05"),H225,"")</f>
        <v/>
      </c>
      <c r="BD225" s="44" t="str">
        <f>IF(AND(C225=Master!$H$7,B225="2012-2013",E225="",G225="NPN05"),H225,"")</f>
        <v/>
      </c>
      <c r="BE225" s="44" t="str">
        <f>IF(AND(C225=Master!$H$8,B225="2012-2013",E225&gt;1000,G225="NPN05"),H225,"")</f>
        <v/>
      </c>
      <c r="BF225" s="44" t="str">
        <f>IF(AND(C225=Master!$H$8,B225="2012-2013",E225="",G225="NPN05"),H225,"")</f>
        <v/>
      </c>
      <c r="BG225" s="44" t="str">
        <f>IF(AND(C225=Master!$H$9,B225="2012-2013",E225&gt;1000,G225="NPN05"),H225,"")</f>
        <v/>
      </c>
      <c r="BH225" s="44" t="str">
        <f>IF(AND(C225=Master!$H$9,B225="2012-2013",E225="",G225="NPN05"),H225,"")</f>
        <v/>
      </c>
    </row>
    <row r="226" spans="1:60" x14ac:dyDescent="0.25">
      <c r="A226" s="3">
        <v>224</v>
      </c>
      <c r="B226" s="12"/>
      <c r="C226" s="12"/>
      <c r="D226" s="31"/>
      <c r="E226" s="4"/>
      <c r="F226" s="13"/>
      <c r="G226" s="21"/>
      <c r="H226" s="35"/>
      <c r="I226" s="21"/>
      <c r="J226" s="25" t="str">
        <f>IF(NOT(I226=""),INDEX(Master!$B$1:$B$46,MATCH(I226,Master!$A$1:$A$46,0)),"")</f>
        <v/>
      </c>
      <c r="K226" s="18"/>
      <c r="L226" s="86"/>
      <c r="M226" s="13"/>
      <c r="N226" s="13"/>
      <c r="O226" s="18"/>
      <c r="P226" s="35"/>
      <c r="Q226" s="21"/>
      <c r="R226" s="21"/>
      <c r="S226" s="13"/>
      <c r="T226" s="12"/>
      <c r="U226" s="12"/>
      <c r="V226" s="12"/>
      <c r="W226" s="14"/>
      <c r="Y226" s="42" t="str">
        <f>IF(AND(C226=Master!$H$1,B226="2012-2013",E226&gt;1000,G226="PLN03"),H226,"")</f>
        <v/>
      </c>
      <c r="Z226" s="42" t="str">
        <f>IF(AND(C226=Master!$H$1,B226="2012-2013",E226="",G226="PLN03"),H226,"")</f>
        <v/>
      </c>
      <c r="AA226" s="42" t="str">
        <f>IF(AND(C226=Master!$H$2,B226="2012-2013",E226&gt;1000,G226="PLN03"),H226,"")</f>
        <v/>
      </c>
      <c r="AB226" s="42" t="str">
        <f>IF(AND(C226=Master!$H$2,B226="2012-2013",E226="",G226="PLN03"),H226,"")</f>
        <v/>
      </c>
      <c r="AC226" s="42" t="str">
        <f>IF(AND(C226=Master!$H$3,B226="2012-2013",E226&gt;1000,G226="PLN03"),H226,"")</f>
        <v/>
      </c>
      <c r="AD226" s="42" t="str">
        <f>IF(AND(C226=Master!$H$3,B226="2012-2013",E226="",G226="PLN03"),H226,"")</f>
        <v/>
      </c>
      <c r="AE226" s="42" t="str">
        <f>IF(AND(C226=Master!$H$4,B226="2012-2013",E226&gt;1000,G226="PLN03"),H226,"")</f>
        <v/>
      </c>
      <c r="AF226" s="42" t="str">
        <f>IF(AND(C226=Master!$H$4,B226="2012-2013",E226="",G226="PLN03"),H226,"")</f>
        <v/>
      </c>
      <c r="AG226" s="42" t="str">
        <f>IF(AND(C226=Master!$H$5,B226="2012-2013",E226&gt;1000,G226="PLN03"),H226,"")</f>
        <v/>
      </c>
      <c r="AH226" s="42" t="str">
        <f>IF(AND(C226=Master!$H$5,B226="2012-2013",E226="",G226="PLN03"),H226,"")</f>
        <v/>
      </c>
      <c r="AI226" s="42" t="str">
        <f>IF(AND(C226=Master!$H$6,B226="2012-2013",E226&gt;1000,G226="PLN03"),H226,"")</f>
        <v/>
      </c>
      <c r="AJ226" s="42" t="str">
        <f>IF(AND(C226=Master!$H$6,B226="2012-2013",E226="",G226="PLN03"),H226,"")</f>
        <v/>
      </c>
      <c r="AK226" s="42" t="str">
        <f>IF(AND(C226=Master!$H$7,B226="2012-2013",E226&gt;1000,G226="PLN03"),H226,"")</f>
        <v/>
      </c>
      <c r="AL226" s="42" t="str">
        <f>IF(AND(C226=Master!$H$7,B226="2012-2013",E226="",G226="PLN03"),H226,"")</f>
        <v/>
      </c>
      <c r="AM226" s="42" t="str">
        <f>IF(AND(C226=Master!$H$8,B226="2012-2013",E226&gt;1000,G226="PLN03"),H226,"")</f>
        <v/>
      </c>
      <c r="AN226" s="42" t="str">
        <f>IF(AND(C226=Master!$H$8,B226="2012-2013",E226="",G226="PLN03"),H226,"")</f>
        <v/>
      </c>
      <c r="AO226" s="42" t="str">
        <f>IF(AND(C226=Master!$H$9,B226="2012-2013",E226&gt;1000,G226="PLN03"),H226,"")</f>
        <v/>
      </c>
      <c r="AP226" s="42" t="str">
        <f>IF(AND(C226=Master!$H$9,B226="2012-2013",E226="",G226="PLN03"),H226,"")</f>
        <v/>
      </c>
      <c r="AQ226" s="44" t="str">
        <f>IF(AND(C226=Master!$H$1,B226="2012-2013",E226&gt;1000,G226="NPN05"),H226,"")</f>
        <v/>
      </c>
      <c r="AR226" s="44" t="str">
        <f>IF(AND(C226=Master!$H$1,B226="2012-2013",E226="",G226="NPN05"),H226,"")</f>
        <v/>
      </c>
      <c r="AS226" s="44" t="str">
        <f>IF(AND(C226=Master!$H$2,B226="2012-2013",E226&gt;1000,G226="NPN05"),H226,"")</f>
        <v/>
      </c>
      <c r="AT226" s="44" t="str">
        <f>IF(AND(C226=Master!$H$2,B226="2012-2013",E226="",G226="NPN05"),H226,"")</f>
        <v/>
      </c>
      <c r="AU226" s="44" t="str">
        <f>IF(AND(C226=Master!$H$3,B226="2012-2013",E226&gt;1000,G226="NPN05"),H226,"")</f>
        <v/>
      </c>
      <c r="AV226" s="44" t="str">
        <f>IF(AND(C226=Master!$H$3,B226="2012-2013",E226="",G226="NPN05"),H226,"")</f>
        <v/>
      </c>
      <c r="AW226" s="44" t="str">
        <f>IF(AND(C226=Master!$H$4,B226="2012-2013",E226&gt;1000,G226="NPN05"),H226,"")</f>
        <v/>
      </c>
      <c r="AX226" s="44" t="str">
        <f>IF(AND(C226=Master!$H$4,B226="2012-2013",E226="",G226="NPN05"),H226,"")</f>
        <v/>
      </c>
      <c r="AY226" s="44" t="str">
        <f>IF(AND(C226=Master!$H$5,B226="2012-2013",E226&gt;1000,G226="NPN05"),H226,"")</f>
        <v/>
      </c>
      <c r="AZ226" s="44" t="str">
        <f>IF(AND(C226=Master!$H$5,B226="2012-2013",E226="",G226="NPN05"),H226,"")</f>
        <v/>
      </c>
      <c r="BA226" s="44" t="str">
        <f>IF(AND(C226=Master!$H$6,B226="2012-2013",E226&gt;1000,G226="NPN05"),H226,"")</f>
        <v/>
      </c>
      <c r="BB226" s="44" t="str">
        <f>IF(AND(C226=Master!$H$6,B226="2012-2013",E226="",G226="NPN05"),H226,"")</f>
        <v/>
      </c>
      <c r="BC226" s="44" t="str">
        <f>IF(AND(C226=Master!$H$7,B226="2012-2013",E226&gt;1000,G226="NPN05"),H226,"")</f>
        <v/>
      </c>
      <c r="BD226" s="44" t="str">
        <f>IF(AND(C226=Master!$H$7,B226="2012-2013",E226="",G226="NPN05"),H226,"")</f>
        <v/>
      </c>
      <c r="BE226" s="44" t="str">
        <f>IF(AND(C226=Master!$H$8,B226="2012-2013",E226&gt;1000,G226="NPN05"),H226,"")</f>
        <v/>
      </c>
      <c r="BF226" s="44" t="str">
        <f>IF(AND(C226=Master!$H$8,B226="2012-2013",E226="",G226="NPN05"),H226,"")</f>
        <v/>
      </c>
      <c r="BG226" s="44" t="str">
        <f>IF(AND(C226=Master!$H$9,B226="2012-2013",E226&gt;1000,G226="NPN05"),H226,"")</f>
        <v/>
      </c>
      <c r="BH226" s="44" t="str">
        <f>IF(AND(C226=Master!$H$9,B226="2012-2013",E226="",G226="NPN05"),H226,"")</f>
        <v/>
      </c>
    </row>
    <row r="227" spans="1:60" x14ac:dyDescent="0.25">
      <c r="A227" s="3">
        <v>225</v>
      </c>
      <c r="B227" s="12"/>
      <c r="C227" s="12"/>
      <c r="D227" s="31"/>
      <c r="E227" s="4"/>
      <c r="F227" s="13"/>
      <c r="G227" s="21"/>
      <c r="H227" s="35"/>
      <c r="I227" s="21"/>
      <c r="J227" s="25" t="str">
        <f>IF(NOT(I227=""),INDEX(Master!$B$1:$B$46,MATCH(I227,Master!$A$1:$A$46,0)),"")</f>
        <v/>
      </c>
      <c r="K227" s="18"/>
      <c r="L227" s="86"/>
      <c r="M227" s="13"/>
      <c r="N227" s="13"/>
      <c r="O227" s="18"/>
      <c r="P227" s="35"/>
      <c r="Q227" s="21"/>
      <c r="R227" s="21"/>
      <c r="S227" s="13"/>
      <c r="T227" s="12"/>
      <c r="U227" s="12"/>
      <c r="V227" s="12"/>
      <c r="W227" s="14"/>
      <c r="Y227" s="42" t="str">
        <f>IF(AND(C227=Master!$H$1,B227="2012-2013",E227&gt;1000,G227="PLN03"),H227,"")</f>
        <v/>
      </c>
      <c r="Z227" s="42" t="str">
        <f>IF(AND(C227=Master!$H$1,B227="2012-2013",E227="",G227="PLN03"),H227,"")</f>
        <v/>
      </c>
      <c r="AA227" s="42" t="str">
        <f>IF(AND(C227=Master!$H$2,B227="2012-2013",E227&gt;1000,G227="PLN03"),H227,"")</f>
        <v/>
      </c>
      <c r="AB227" s="42" t="str">
        <f>IF(AND(C227=Master!$H$2,B227="2012-2013",E227="",G227="PLN03"),H227,"")</f>
        <v/>
      </c>
      <c r="AC227" s="42" t="str">
        <f>IF(AND(C227=Master!$H$3,B227="2012-2013",E227&gt;1000,G227="PLN03"),H227,"")</f>
        <v/>
      </c>
      <c r="AD227" s="42" t="str">
        <f>IF(AND(C227=Master!$H$3,B227="2012-2013",E227="",G227="PLN03"),H227,"")</f>
        <v/>
      </c>
      <c r="AE227" s="42" t="str">
        <f>IF(AND(C227=Master!$H$4,B227="2012-2013",E227&gt;1000,G227="PLN03"),H227,"")</f>
        <v/>
      </c>
      <c r="AF227" s="42" t="str">
        <f>IF(AND(C227=Master!$H$4,B227="2012-2013",E227="",G227="PLN03"),H227,"")</f>
        <v/>
      </c>
      <c r="AG227" s="42" t="str">
        <f>IF(AND(C227=Master!$H$5,B227="2012-2013",E227&gt;1000,G227="PLN03"),H227,"")</f>
        <v/>
      </c>
      <c r="AH227" s="42" t="str">
        <f>IF(AND(C227=Master!$H$5,B227="2012-2013",E227="",G227="PLN03"),H227,"")</f>
        <v/>
      </c>
      <c r="AI227" s="42" t="str">
        <f>IF(AND(C227=Master!$H$6,B227="2012-2013",E227&gt;1000,G227="PLN03"),H227,"")</f>
        <v/>
      </c>
      <c r="AJ227" s="42" t="str">
        <f>IF(AND(C227=Master!$H$6,B227="2012-2013",E227="",G227="PLN03"),H227,"")</f>
        <v/>
      </c>
      <c r="AK227" s="42" t="str">
        <f>IF(AND(C227=Master!$H$7,B227="2012-2013",E227&gt;1000,G227="PLN03"),H227,"")</f>
        <v/>
      </c>
      <c r="AL227" s="42" t="str">
        <f>IF(AND(C227=Master!$H$7,B227="2012-2013",E227="",G227="PLN03"),H227,"")</f>
        <v/>
      </c>
      <c r="AM227" s="42" t="str">
        <f>IF(AND(C227=Master!$H$8,B227="2012-2013",E227&gt;1000,G227="PLN03"),H227,"")</f>
        <v/>
      </c>
      <c r="AN227" s="42" t="str">
        <f>IF(AND(C227=Master!$H$8,B227="2012-2013",E227="",G227="PLN03"),H227,"")</f>
        <v/>
      </c>
      <c r="AO227" s="42" t="str">
        <f>IF(AND(C227=Master!$H$9,B227="2012-2013",E227&gt;1000,G227="PLN03"),H227,"")</f>
        <v/>
      </c>
      <c r="AP227" s="42" t="str">
        <f>IF(AND(C227=Master!$H$9,B227="2012-2013",E227="",G227="PLN03"),H227,"")</f>
        <v/>
      </c>
      <c r="AQ227" s="44" t="str">
        <f>IF(AND(C227=Master!$H$1,B227="2012-2013",E227&gt;1000,G227="NPN05"),H227,"")</f>
        <v/>
      </c>
      <c r="AR227" s="44" t="str">
        <f>IF(AND(C227=Master!$H$1,B227="2012-2013",E227="",G227="NPN05"),H227,"")</f>
        <v/>
      </c>
      <c r="AS227" s="44" t="str">
        <f>IF(AND(C227=Master!$H$2,B227="2012-2013",E227&gt;1000,G227="NPN05"),H227,"")</f>
        <v/>
      </c>
      <c r="AT227" s="44" t="str">
        <f>IF(AND(C227=Master!$H$2,B227="2012-2013",E227="",G227="NPN05"),H227,"")</f>
        <v/>
      </c>
      <c r="AU227" s="44" t="str">
        <f>IF(AND(C227=Master!$H$3,B227="2012-2013",E227&gt;1000,G227="NPN05"),H227,"")</f>
        <v/>
      </c>
      <c r="AV227" s="44" t="str">
        <f>IF(AND(C227=Master!$H$3,B227="2012-2013",E227="",G227="NPN05"),H227,"")</f>
        <v/>
      </c>
      <c r="AW227" s="44" t="str">
        <f>IF(AND(C227=Master!$H$4,B227="2012-2013",E227&gt;1000,G227="NPN05"),H227,"")</f>
        <v/>
      </c>
      <c r="AX227" s="44" t="str">
        <f>IF(AND(C227=Master!$H$4,B227="2012-2013",E227="",G227="NPN05"),H227,"")</f>
        <v/>
      </c>
      <c r="AY227" s="44" t="str">
        <f>IF(AND(C227=Master!$H$5,B227="2012-2013",E227&gt;1000,G227="NPN05"),H227,"")</f>
        <v/>
      </c>
      <c r="AZ227" s="44" t="str">
        <f>IF(AND(C227=Master!$H$5,B227="2012-2013",E227="",G227="NPN05"),H227,"")</f>
        <v/>
      </c>
      <c r="BA227" s="44" t="str">
        <f>IF(AND(C227=Master!$H$6,B227="2012-2013",E227&gt;1000,G227="NPN05"),H227,"")</f>
        <v/>
      </c>
      <c r="BB227" s="44" t="str">
        <f>IF(AND(C227=Master!$H$6,B227="2012-2013",E227="",G227="NPN05"),H227,"")</f>
        <v/>
      </c>
      <c r="BC227" s="44" t="str">
        <f>IF(AND(C227=Master!$H$7,B227="2012-2013",E227&gt;1000,G227="NPN05"),H227,"")</f>
        <v/>
      </c>
      <c r="BD227" s="44" t="str">
        <f>IF(AND(C227=Master!$H$7,B227="2012-2013",E227="",G227="NPN05"),H227,"")</f>
        <v/>
      </c>
      <c r="BE227" s="44" t="str">
        <f>IF(AND(C227=Master!$H$8,B227="2012-2013",E227&gt;1000,G227="NPN05"),H227,"")</f>
        <v/>
      </c>
      <c r="BF227" s="44" t="str">
        <f>IF(AND(C227=Master!$H$8,B227="2012-2013",E227="",G227="NPN05"),H227,"")</f>
        <v/>
      </c>
      <c r="BG227" s="44" t="str">
        <f>IF(AND(C227=Master!$H$9,B227="2012-2013",E227&gt;1000,G227="NPN05"),H227,"")</f>
        <v/>
      </c>
      <c r="BH227" s="44" t="str">
        <f>IF(AND(C227=Master!$H$9,B227="2012-2013",E227="",G227="NPN05"),H227,"")</f>
        <v/>
      </c>
    </row>
    <row r="228" spans="1:60" x14ac:dyDescent="0.25">
      <c r="A228" s="3">
        <v>226</v>
      </c>
      <c r="B228" s="12"/>
      <c r="C228" s="12"/>
      <c r="D228" s="31"/>
      <c r="E228" s="4"/>
      <c r="F228" s="13"/>
      <c r="G228" s="21"/>
      <c r="H228" s="35"/>
      <c r="I228" s="21"/>
      <c r="J228" s="25" t="str">
        <f>IF(NOT(I228=""),INDEX(Master!$B$1:$B$46,MATCH(I228,Master!$A$1:$A$46,0)),"")</f>
        <v/>
      </c>
      <c r="K228" s="18"/>
      <c r="L228" s="86"/>
      <c r="M228" s="13"/>
      <c r="N228" s="13"/>
      <c r="O228" s="18"/>
      <c r="P228" s="35"/>
      <c r="Q228" s="21"/>
      <c r="R228" s="21"/>
      <c r="S228" s="13"/>
      <c r="T228" s="12"/>
      <c r="U228" s="12"/>
      <c r="V228" s="12"/>
      <c r="W228" s="14"/>
      <c r="Y228" s="42" t="str">
        <f>IF(AND(C228=Master!$H$1,B228="2012-2013",E228&gt;1000,G228="PLN03"),H228,"")</f>
        <v/>
      </c>
      <c r="Z228" s="42" t="str">
        <f>IF(AND(C228=Master!$H$1,B228="2012-2013",E228="",G228="PLN03"),H228,"")</f>
        <v/>
      </c>
      <c r="AA228" s="42" t="str">
        <f>IF(AND(C228=Master!$H$2,B228="2012-2013",E228&gt;1000,G228="PLN03"),H228,"")</f>
        <v/>
      </c>
      <c r="AB228" s="42" t="str">
        <f>IF(AND(C228=Master!$H$2,B228="2012-2013",E228="",G228="PLN03"),H228,"")</f>
        <v/>
      </c>
      <c r="AC228" s="42" t="str">
        <f>IF(AND(C228=Master!$H$3,B228="2012-2013",E228&gt;1000,G228="PLN03"),H228,"")</f>
        <v/>
      </c>
      <c r="AD228" s="42" t="str">
        <f>IF(AND(C228=Master!$H$3,B228="2012-2013",E228="",G228="PLN03"),H228,"")</f>
        <v/>
      </c>
      <c r="AE228" s="42" t="str">
        <f>IF(AND(C228=Master!$H$4,B228="2012-2013",E228&gt;1000,G228="PLN03"),H228,"")</f>
        <v/>
      </c>
      <c r="AF228" s="42" t="str">
        <f>IF(AND(C228=Master!$H$4,B228="2012-2013",E228="",G228="PLN03"),H228,"")</f>
        <v/>
      </c>
      <c r="AG228" s="42" t="str">
        <f>IF(AND(C228=Master!$H$5,B228="2012-2013",E228&gt;1000,G228="PLN03"),H228,"")</f>
        <v/>
      </c>
      <c r="AH228" s="42" t="str">
        <f>IF(AND(C228=Master!$H$5,B228="2012-2013",E228="",G228="PLN03"),H228,"")</f>
        <v/>
      </c>
      <c r="AI228" s="42" t="str">
        <f>IF(AND(C228=Master!$H$6,B228="2012-2013",E228&gt;1000,G228="PLN03"),H228,"")</f>
        <v/>
      </c>
      <c r="AJ228" s="42" t="str">
        <f>IF(AND(C228=Master!$H$6,B228="2012-2013",E228="",G228="PLN03"),H228,"")</f>
        <v/>
      </c>
      <c r="AK228" s="42" t="str">
        <f>IF(AND(C228=Master!$H$7,B228="2012-2013",E228&gt;1000,G228="PLN03"),H228,"")</f>
        <v/>
      </c>
      <c r="AL228" s="42" t="str">
        <f>IF(AND(C228=Master!$H$7,B228="2012-2013",E228="",G228="PLN03"),H228,"")</f>
        <v/>
      </c>
      <c r="AM228" s="42" t="str">
        <f>IF(AND(C228=Master!$H$8,B228="2012-2013",E228&gt;1000,G228="PLN03"),H228,"")</f>
        <v/>
      </c>
      <c r="AN228" s="42" t="str">
        <f>IF(AND(C228=Master!$H$8,B228="2012-2013",E228="",G228="PLN03"),H228,"")</f>
        <v/>
      </c>
      <c r="AO228" s="42" t="str">
        <f>IF(AND(C228=Master!$H$9,B228="2012-2013",E228&gt;1000,G228="PLN03"),H228,"")</f>
        <v/>
      </c>
      <c r="AP228" s="42" t="str">
        <f>IF(AND(C228=Master!$H$9,B228="2012-2013",E228="",G228="PLN03"),H228,"")</f>
        <v/>
      </c>
      <c r="AQ228" s="44" t="str">
        <f>IF(AND(C228=Master!$H$1,B228="2012-2013",E228&gt;1000,G228="NPN05"),H228,"")</f>
        <v/>
      </c>
      <c r="AR228" s="44" t="str">
        <f>IF(AND(C228=Master!$H$1,B228="2012-2013",E228="",G228="NPN05"),H228,"")</f>
        <v/>
      </c>
      <c r="AS228" s="44" t="str">
        <f>IF(AND(C228=Master!$H$2,B228="2012-2013",E228&gt;1000,G228="NPN05"),H228,"")</f>
        <v/>
      </c>
      <c r="AT228" s="44" t="str">
        <f>IF(AND(C228=Master!$H$2,B228="2012-2013",E228="",G228="NPN05"),H228,"")</f>
        <v/>
      </c>
      <c r="AU228" s="44" t="str">
        <f>IF(AND(C228=Master!$H$3,B228="2012-2013",E228&gt;1000,G228="NPN05"),H228,"")</f>
        <v/>
      </c>
      <c r="AV228" s="44" t="str">
        <f>IF(AND(C228=Master!$H$3,B228="2012-2013",E228="",G228="NPN05"),H228,"")</f>
        <v/>
      </c>
      <c r="AW228" s="44" t="str">
        <f>IF(AND(C228=Master!$H$4,B228="2012-2013",E228&gt;1000,G228="NPN05"),H228,"")</f>
        <v/>
      </c>
      <c r="AX228" s="44" t="str">
        <f>IF(AND(C228=Master!$H$4,B228="2012-2013",E228="",G228="NPN05"),H228,"")</f>
        <v/>
      </c>
      <c r="AY228" s="44" t="str">
        <f>IF(AND(C228=Master!$H$5,B228="2012-2013",E228&gt;1000,G228="NPN05"),H228,"")</f>
        <v/>
      </c>
      <c r="AZ228" s="44" t="str">
        <f>IF(AND(C228=Master!$H$5,B228="2012-2013",E228="",G228="NPN05"),H228,"")</f>
        <v/>
      </c>
      <c r="BA228" s="44" t="str">
        <f>IF(AND(C228=Master!$H$6,B228="2012-2013",E228&gt;1000,G228="NPN05"),H228,"")</f>
        <v/>
      </c>
      <c r="BB228" s="44" t="str">
        <f>IF(AND(C228=Master!$H$6,B228="2012-2013",E228="",G228="NPN05"),H228,"")</f>
        <v/>
      </c>
      <c r="BC228" s="44" t="str">
        <f>IF(AND(C228=Master!$H$7,B228="2012-2013",E228&gt;1000,G228="NPN05"),H228,"")</f>
        <v/>
      </c>
      <c r="BD228" s="44" t="str">
        <f>IF(AND(C228=Master!$H$7,B228="2012-2013",E228="",G228="NPN05"),H228,"")</f>
        <v/>
      </c>
      <c r="BE228" s="44" t="str">
        <f>IF(AND(C228=Master!$H$8,B228="2012-2013",E228&gt;1000,G228="NPN05"),H228,"")</f>
        <v/>
      </c>
      <c r="BF228" s="44" t="str">
        <f>IF(AND(C228=Master!$H$8,B228="2012-2013",E228="",G228="NPN05"),H228,"")</f>
        <v/>
      </c>
      <c r="BG228" s="44" t="str">
        <f>IF(AND(C228=Master!$H$9,B228="2012-2013",E228&gt;1000,G228="NPN05"),H228,"")</f>
        <v/>
      </c>
      <c r="BH228" s="44" t="str">
        <f>IF(AND(C228=Master!$H$9,B228="2012-2013",E228="",G228="NPN05"),H228,"")</f>
        <v/>
      </c>
    </row>
    <row r="229" spans="1:60" x14ac:dyDescent="0.25">
      <c r="A229" s="5">
        <v>227</v>
      </c>
      <c r="B229" s="12"/>
      <c r="C229" s="12"/>
      <c r="D229" s="31"/>
      <c r="E229" s="4"/>
      <c r="F229" s="13"/>
      <c r="G229" s="21"/>
      <c r="H229" s="35"/>
      <c r="I229" s="21"/>
      <c r="J229" s="25" t="str">
        <f>IF(NOT(I229=""),INDEX(Master!$B$1:$B$46,MATCH(I229,Master!$A$1:$A$46,0)),"")</f>
        <v/>
      </c>
      <c r="K229" s="18"/>
      <c r="L229" s="86"/>
      <c r="M229" s="13"/>
      <c r="N229" s="13"/>
      <c r="O229" s="18"/>
      <c r="P229" s="35"/>
      <c r="Q229" s="21"/>
      <c r="R229" s="21"/>
      <c r="S229" s="13"/>
      <c r="T229" s="12"/>
      <c r="U229" s="12"/>
      <c r="V229" s="12"/>
      <c r="W229" s="14"/>
      <c r="Y229" s="42" t="str">
        <f>IF(AND(C229=Master!$H$1,B229="2012-2013",E229&gt;1000,G229="PLN03"),H229,"")</f>
        <v/>
      </c>
      <c r="Z229" s="42" t="str">
        <f>IF(AND(C229=Master!$H$1,B229="2012-2013",E229="",G229="PLN03"),H229,"")</f>
        <v/>
      </c>
      <c r="AA229" s="42" t="str">
        <f>IF(AND(C229=Master!$H$2,B229="2012-2013",E229&gt;1000,G229="PLN03"),H229,"")</f>
        <v/>
      </c>
      <c r="AB229" s="42" t="str">
        <f>IF(AND(C229=Master!$H$2,B229="2012-2013",E229="",G229="PLN03"),H229,"")</f>
        <v/>
      </c>
      <c r="AC229" s="42" t="str">
        <f>IF(AND(C229=Master!$H$3,B229="2012-2013",E229&gt;1000,G229="PLN03"),H229,"")</f>
        <v/>
      </c>
      <c r="AD229" s="42" t="str">
        <f>IF(AND(C229=Master!$H$3,B229="2012-2013",E229="",G229="PLN03"),H229,"")</f>
        <v/>
      </c>
      <c r="AE229" s="42" t="str">
        <f>IF(AND(C229=Master!$H$4,B229="2012-2013",E229&gt;1000,G229="PLN03"),H229,"")</f>
        <v/>
      </c>
      <c r="AF229" s="42" t="str">
        <f>IF(AND(C229=Master!$H$4,B229="2012-2013",E229="",G229="PLN03"),H229,"")</f>
        <v/>
      </c>
      <c r="AG229" s="42" t="str">
        <f>IF(AND(C229=Master!$H$5,B229="2012-2013",E229&gt;1000,G229="PLN03"),H229,"")</f>
        <v/>
      </c>
      <c r="AH229" s="42" t="str">
        <f>IF(AND(C229=Master!$H$5,B229="2012-2013",E229="",G229="PLN03"),H229,"")</f>
        <v/>
      </c>
      <c r="AI229" s="42" t="str">
        <f>IF(AND(C229=Master!$H$6,B229="2012-2013",E229&gt;1000,G229="PLN03"),H229,"")</f>
        <v/>
      </c>
      <c r="AJ229" s="42" t="str">
        <f>IF(AND(C229=Master!$H$6,B229="2012-2013",E229="",G229="PLN03"),H229,"")</f>
        <v/>
      </c>
      <c r="AK229" s="42" t="str">
        <f>IF(AND(C229=Master!$H$7,B229="2012-2013",E229&gt;1000,G229="PLN03"),H229,"")</f>
        <v/>
      </c>
      <c r="AL229" s="42" t="str">
        <f>IF(AND(C229=Master!$H$7,B229="2012-2013",E229="",G229="PLN03"),H229,"")</f>
        <v/>
      </c>
      <c r="AM229" s="42" t="str">
        <f>IF(AND(C229=Master!$H$8,B229="2012-2013",E229&gt;1000,G229="PLN03"),H229,"")</f>
        <v/>
      </c>
      <c r="AN229" s="42" t="str">
        <f>IF(AND(C229=Master!$H$8,B229="2012-2013",E229="",G229="PLN03"),H229,"")</f>
        <v/>
      </c>
      <c r="AO229" s="42" t="str">
        <f>IF(AND(C229=Master!$H$9,B229="2012-2013",E229&gt;1000,G229="PLN03"),H229,"")</f>
        <v/>
      </c>
      <c r="AP229" s="42" t="str">
        <f>IF(AND(C229=Master!$H$9,B229="2012-2013",E229="",G229="PLN03"),H229,"")</f>
        <v/>
      </c>
      <c r="AQ229" s="44" t="str">
        <f>IF(AND(C229=Master!$H$1,B229="2012-2013",E229&gt;1000,G229="NPN05"),H229,"")</f>
        <v/>
      </c>
      <c r="AR229" s="44" t="str">
        <f>IF(AND(C229=Master!$H$1,B229="2012-2013",E229="",G229="NPN05"),H229,"")</f>
        <v/>
      </c>
      <c r="AS229" s="44" t="str">
        <f>IF(AND(C229=Master!$H$2,B229="2012-2013",E229&gt;1000,G229="NPN05"),H229,"")</f>
        <v/>
      </c>
      <c r="AT229" s="44" t="str">
        <f>IF(AND(C229=Master!$H$2,B229="2012-2013",E229="",G229="NPN05"),H229,"")</f>
        <v/>
      </c>
      <c r="AU229" s="44" t="str">
        <f>IF(AND(C229=Master!$H$3,B229="2012-2013",E229&gt;1000,G229="NPN05"),H229,"")</f>
        <v/>
      </c>
      <c r="AV229" s="44" t="str">
        <f>IF(AND(C229=Master!$H$3,B229="2012-2013",E229="",G229="NPN05"),H229,"")</f>
        <v/>
      </c>
      <c r="AW229" s="44" t="str">
        <f>IF(AND(C229=Master!$H$4,B229="2012-2013",E229&gt;1000,G229="NPN05"),H229,"")</f>
        <v/>
      </c>
      <c r="AX229" s="44" t="str">
        <f>IF(AND(C229=Master!$H$4,B229="2012-2013",E229="",G229="NPN05"),H229,"")</f>
        <v/>
      </c>
      <c r="AY229" s="44" t="str">
        <f>IF(AND(C229=Master!$H$5,B229="2012-2013",E229&gt;1000,G229="NPN05"),H229,"")</f>
        <v/>
      </c>
      <c r="AZ229" s="44" t="str">
        <f>IF(AND(C229=Master!$H$5,B229="2012-2013",E229="",G229="NPN05"),H229,"")</f>
        <v/>
      </c>
      <c r="BA229" s="44" t="str">
        <f>IF(AND(C229=Master!$H$6,B229="2012-2013",E229&gt;1000,G229="NPN05"),H229,"")</f>
        <v/>
      </c>
      <c r="BB229" s="44" t="str">
        <f>IF(AND(C229=Master!$H$6,B229="2012-2013",E229="",G229="NPN05"),H229,"")</f>
        <v/>
      </c>
      <c r="BC229" s="44" t="str">
        <f>IF(AND(C229=Master!$H$7,B229="2012-2013",E229&gt;1000,G229="NPN05"),H229,"")</f>
        <v/>
      </c>
      <c r="BD229" s="44" t="str">
        <f>IF(AND(C229=Master!$H$7,B229="2012-2013",E229="",G229="NPN05"),H229,"")</f>
        <v/>
      </c>
      <c r="BE229" s="44" t="str">
        <f>IF(AND(C229=Master!$H$8,B229="2012-2013",E229&gt;1000,G229="NPN05"),H229,"")</f>
        <v/>
      </c>
      <c r="BF229" s="44" t="str">
        <f>IF(AND(C229=Master!$H$8,B229="2012-2013",E229="",G229="NPN05"),H229,"")</f>
        <v/>
      </c>
      <c r="BG229" s="44" t="str">
        <f>IF(AND(C229=Master!$H$9,B229="2012-2013",E229&gt;1000,G229="NPN05"),H229,"")</f>
        <v/>
      </c>
      <c r="BH229" s="44" t="str">
        <f>IF(AND(C229=Master!$H$9,B229="2012-2013",E229="",G229="NPN05"),H229,"")</f>
        <v/>
      </c>
    </row>
    <row r="230" spans="1:60" x14ac:dyDescent="0.25">
      <c r="A230" s="3">
        <v>228</v>
      </c>
      <c r="B230" s="12"/>
      <c r="C230" s="12"/>
      <c r="D230" s="31"/>
      <c r="E230" s="4"/>
      <c r="F230" s="13"/>
      <c r="G230" s="21"/>
      <c r="H230" s="35"/>
      <c r="I230" s="21"/>
      <c r="J230" s="25" t="str">
        <f>IF(NOT(I230=""),INDEX(Master!$B$1:$B$46,MATCH(I230,Master!$A$1:$A$46,0)),"")</f>
        <v/>
      </c>
      <c r="K230" s="18"/>
      <c r="L230" s="86"/>
      <c r="M230" s="13"/>
      <c r="N230" s="13"/>
      <c r="O230" s="18"/>
      <c r="P230" s="35"/>
      <c r="Q230" s="21"/>
      <c r="R230" s="21"/>
      <c r="S230" s="13"/>
      <c r="T230" s="12"/>
      <c r="U230" s="12"/>
      <c r="V230" s="12"/>
      <c r="W230" s="14"/>
      <c r="Y230" s="42" t="str">
        <f>IF(AND(C230=Master!$H$1,B230="2012-2013",E230&gt;1000,G230="PLN03"),H230,"")</f>
        <v/>
      </c>
      <c r="Z230" s="42" t="str">
        <f>IF(AND(C230=Master!$H$1,B230="2012-2013",E230="",G230="PLN03"),H230,"")</f>
        <v/>
      </c>
      <c r="AA230" s="42" t="str">
        <f>IF(AND(C230=Master!$H$2,B230="2012-2013",E230&gt;1000,G230="PLN03"),H230,"")</f>
        <v/>
      </c>
      <c r="AB230" s="42" t="str">
        <f>IF(AND(C230=Master!$H$2,B230="2012-2013",E230="",G230="PLN03"),H230,"")</f>
        <v/>
      </c>
      <c r="AC230" s="42" t="str">
        <f>IF(AND(C230=Master!$H$3,B230="2012-2013",E230&gt;1000,G230="PLN03"),H230,"")</f>
        <v/>
      </c>
      <c r="AD230" s="42" t="str">
        <f>IF(AND(C230=Master!$H$3,B230="2012-2013",E230="",G230="PLN03"),H230,"")</f>
        <v/>
      </c>
      <c r="AE230" s="42" t="str">
        <f>IF(AND(C230=Master!$H$4,B230="2012-2013",E230&gt;1000,G230="PLN03"),H230,"")</f>
        <v/>
      </c>
      <c r="AF230" s="42" t="str">
        <f>IF(AND(C230=Master!$H$4,B230="2012-2013",E230="",G230="PLN03"),H230,"")</f>
        <v/>
      </c>
      <c r="AG230" s="42" t="str">
        <f>IF(AND(C230=Master!$H$5,B230="2012-2013",E230&gt;1000,G230="PLN03"),H230,"")</f>
        <v/>
      </c>
      <c r="AH230" s="42" t="str">
        <f>IF(AND(C230=Master!$H$5,B230="2012-2013",E230="",G230="PLN03"),H230,"")</f>
        <v/>
      </c>
      <c r="AI230" s="42" t="str">
        <f>IF(AND(C230=Master!$H$6,B230="2012-2013",E230&gt;1000,G230="PLN03"),H230,"")</f>
        <v/>
      </c>
      <c r="AJ230" s="42" t="str">
        <f>IF(AND(C230=Master!$H$6,B230="2012-2013",E230="",G230="PLN03"),H230,"")</f>
        <v/>
      </c>
      <c r="AK230" s="42" t="str">
        <f>IF(AND(C230=Master!$H$7,B230="2012-2013",E230&gt;1000,G230="PLN03"),H230,"")</f>
        <v/>
      </c>
      <c r="AL230" s="42" t="str">
        <f>IF(AND(C230=Master!$H$7,B230="2012-2013",E230="",G230="PLN03"),H230,"")</f>
        <v/>
      </c>
      <c r="AM230" s="42" t="str">
        <f>IF(AND(C230=Master!$H$8,B230="2012-2013",E230&gt;1000,G230="PLN03"),H230,"")</f>
        <v/>
      </c>
      <c r="AN230" s="42" t="str">
        <f>IF(AND(C230=Master!$H$8,B230="2012-2013",E230="",G230="PLN03"),H230,"")</f>
        <v/>
      </c>
      <c r="AO230" s="42" t="str">
        <f>IF(AND(C230=Master!$H$9,B230="2012-2013",E230&gt;1000,G230="PLN03"),H230,"")</f>
        <v/>
      </c>
      <c r="AP230" s="42" t="str">
        <f>IF(AND(C230=Master!$H$9,B230="2012-2013",E230="",G230="PLN03"),H230,"")</f>
        <v/>
      </c>
      <c r="AQ230" s="44" t="str">
        <f>IF(AND(C230=Master!$H$1,B230="2012-2013",E230&gt;1000,G230="NPN05"),H230,"")</f>
        <v/>
      </c>
      <c r="AR230" s="44" t="str">
        <f>IF(AND(C230=Master!$H$1,B230="2012-2013",E230="",G230="NPN05"),H230,"")</f>
        <v/>
      </c>
      <c r="AS230" s="44" t="str">
        <f>IF(AND(C230=Master!$H$2,B230="2012-2013",E230&gt;1000,G230="NPN05"),H230,"")</f>
        <v/>
      </c>
      <c r="AT230" s="44" t="str">
        <f>IF(AND(C230=Master!$H$2,B230="2012-2013",E230="",G230="NPN05"),H230,"")</f>
        <v/>
      </c>
      <c r="AU230" s="44" t="str">
        <f>IF(AND(C230=Master!$H$3,B230="2012-2013",E230&gt;1000,G230="NPN05"),H230,"")</f>
        <v/>
      </c>
      <c r="AV230" s="44" t="str">
        <f>IF(AND(C230=Master!$H$3,B230="2012-2013",E230="",G230="NPN05"),H230,"")</f>
        <v/>
      </c>
      <c r="AW230" s="44" t="str">
        <f>IF(AND(C230=Master!$H$4,B230="2012-2013",E230&gt;1000,G230="NPN05"),H230,"")</f>
        <v/>
      </c>
      <c r="AX230" s="44" t="str">
        <f>IF(AND(C230=Master!$H$4,B230="2012-2013",E230="",G230="NPN05"),H230,"")</f>
        <v/>
      </c>
      <c r="AY230" s="44" t="str">
        <f>IF(AND(C230=Master!$H$5,B230="2012-2013",E230&gt;1000,G230="NPN05"),H230,"")</f>
        <v/>
      </c>
      <c r="AZ230" s="44" t="str">
        <f>IF(AND(C230=Master!$H$5,B230="2012-2013",E230="",G230="NPN05"),H230,"")</f>
        <v/>
      </c>
      <c r="BA230" s="44" t="str">
        <f>IF(AND(C230=Master!$H$6,B230="2012-2013",E230&gt;1000,G230="NPN05"),H230,"")</f>
        <v/>
      </c>
      <c r="BB230" s="44" t="str">
        <f>IF(AND(C230=Master!$H$6,B230="2012-2013",E230="",G230="NPN05"),H230,"")</f>
        <v/>
      </c>
      <c r="BC230" s="44" t="str">
        <f>IF(AND(C230=Master!$H$7,B230="2012-2013",E230&gt;1000,G230="NPN05"),H230,"")</f>
        <v/>
      </c>
      <c r="BD230" s="44" t="str">
        <f>IF(AND(C230=Master!$H$7,B230="2012-2013",E230="",G230="NPN05"),H230,"")</f>
        <v/>
      </c>
      <c r="BE230" s="44" t="str">
        <f>IF(AND(C230=Master!$H$8,B230="2012-2013",E230&gt;1000,G230="NPN05"),H230,"")</f>
        <v/>
      </c>
      <c r="BF230" s="44" t="str">
        <f>IF(AND(C230=Master!$H$8,B230="2012-2013",E230="",G230="NPN05"),H230,"")</f>
        <v/>
      </c>
      <c r="BG230" s="44" t="str">
        <f>IF(AND(C230=Master!$H$9,B230="2012-2013",E230&gt;1000,G230="NPN05"),H230,"")</f>
        <v/>
      </c>
      <c r="BH230" s="44" t="str">
        <f>IF(AND(C230=Master!$H$9,B230="2012-2013",E230="",G230="NPN05"),H230,"")</f>
        <v/>
      </c>
    </row>
    <row r="231" spans="1:60" x14ac:dyDescent="0.25">
      <c r="A231" s="3">
        <v>229</v>
      </c>
      <c r="B231" s="12"/>
      <c r="C231" s="12"/>
      <c r="D231" s="31"/>
      <c r="E231" s="4"/>
      <c r="F231" s="13"/>
      <c r="G231" s="21"/>
      <c r="H231" s="35"/>
      <c r="I231" s="21"/>
      <c r="J231" s="25" t="str">
        <f>IF(NOT(I231=""),INDEX(Master!$B$1:$B$46,MATCH(I231,Master!$A$1:$A$46,0)),"")</f>
        <v/>
      </c>
      <c r="K231" s="18"/>
      <c r="L231" s="86"/>
      <c r="M231" s="13"/>
      <c r="N231" s="13"/>
      <c r="O231" s="18"/>
      <c r="P231" s="35"/>
      <c r="Q231" s="21"/>
      <c r="R231" s="21"/>
      <c r="S231" s="13"/>
      <c r="T231" s="12"/>
      <c r="U231" s="12"/>
      <c r="V231" s="12"/>
      <c r="W231" s="14"/>
      <c r="Y231" s="42" t="str">
        <f>IF(AND(C231=Master!$H$1,B231="2012-2013",E231&gt;1000,G231="PLN03"),H231,"")</f>
        <v/>
      </c>
      <c r="Z231" s="42" t="str">
        <f>IF(AND(C231=Master!$H$1,B231="2012-2013",E231="",G231="PLN03"),H231,"")</f>
        <v/>
      </c>
      <c r="AA231" s="42" t="str">
        <f>IF(AND(C231=Master!$H$2,B231="2012-2013",E231&gt;1000,G231="PLN03"),H231,"")</f>
        <v/>
      </c>
      <c r="AB231" s="42" t="str">
        <f>IF(AND(C231=Master!$H$2,B231="2012-2013",E231="",G231="PLN03"),H231,"")</f>
        <v/>
      </c>
      <c r="AC231" s="42" t="str">
        <f>IF(AND(C231=Master!$H$3,B231="2012-2013",E231&gt;1000,G231="PLN03"),H231,"")</f>
        <v/>
      </c>
      <c r="AD231" s="42" t="str">
        <f>IF(AND(C231=Master!$H$3,B231="2012-2013",E231="",G231="PLN03"),H231,"")</f>
        <v/>
      </c>
      <c r="AE231" s="42" t="str">
        <f>IF(AND(C231=Master!$H$4,B231="2012-2013",E231&gt;1000,G231="PLN03"),H231,"")</f>
        <v/>
      </c>
      <c r="AF231" s="42" t="str">
        <f>IF(AND(C231=Master!$H$4,B231="2012-2013",E231="",G231="PLN03"),H231,"")</f>
        <v/>
      </c>
      <c r="AG231" s="42" t="str">
        <f>IF(AND(C231=Master!$H$5,B231="2012-2013",E231&gt;1000,G231="PLN03"),H231,"")</f>
        <v/>
      </c>
      <c r="AH231" s="42" t="str">
        <f>IF(AND(C231=Master!$H$5,B231="2012-2013",E231="",G231="PLN03"),H231,"")</f>
        <v/>
      </c>
      <c r="AI231" s="42" t="str">
        <f>IF(AND(C231=Master!$H$6,B231="2012-2013",E231&gt;1000,G231="PLN03"),H231,"")</f>
        <v/>
      </c>
      <c r="AJ231" s="42" t="str">
        <f>IF(AND(C231=Master!$H$6,B231="2012-2013",E231="",G231="PLN03"),H231,"")</f>
        <v/>
      </c>
      <c r="AK231" s="42" t="str">
        <f>IF(AND(C231=Master!$H$7,B231="2012-2013",E231&gt;1000,G231="PLN03"),H231,"")</f>
        <v/>
      </c>
      <c r="AL231" s="42" t="str">
        <f>IF(AND(C231=Master!$H$7,B231="2012-2013",E231="",G231="PLN03"),H231,"")</f>
        <v/>
      </c>
      <c r="AM231" s="42" t="str">
        <f>IF(AND(C231=Master!$H$8,B231="2012-2013",E231&gt;1000,G231="PLN03"),H231,"")</f>
        <v/>
      </c>
      <c r="AN231" s="42" t="str">
        <f>IF(AND(C231=Master!$H$8,B231="2012-2013",E231="",G231="PLN03"),H231,"")</f>
        <v/>
      </c>
      <c r="AO231" s="42" t="str">
        <f>IF(AND(C231=Master!$H$9,B231="2012-2013",E231&gt;1000,G231="PLN03"),H231,"")</f>
        <v/>
      </c>
      <c r="AP231" s="42" t="str">
        <f>IF(AND(C231=Master!$H$9,B231="2012-2013",E231="",G231="PLN03"),H231,"")</f>
        <v/>
      </c>
      <c r="AQ231" s="44" t="str">
        <f>IF(AND(C231=Master!$H$1,B231="2012-2013",E231&gt;1000,G231="NPN05"),H231,"")</f>
        <v/>
      </c>
      <c r="AR231" s="44" t="str">
        <f>IF(AND(C231=Master!$H$1,B231="2012-2013",E231="",G231="NPN05"),H231,"")</f>
        <v/>
      </c>
      <c r="AS231" s="44" t="str">
        <f>IF(AND(C231=Master!$H$2,B231="2012-2013",E231&gt;1000,G231="NPN05"),H231,"")</f>
        <v/>
      </c>
      <c r="AT231" s="44" t="str">
        <f>IF(AND(C231=Master!$H$2,B231="2012-2013",E231="",G231="NPN05"),H231,"")</f>
        <v/>
      </c>
      <c r="AU231" s="44" t="str">
        <f>IF(AND(C231=Master!$H$3,B231="2012-2013",E231&gt;1000,G231="NPN05"),H231,"")</f>
        <v/>
      </c>
      <c r="AV231" s="44" t="str">
        <f>IF(AND(C231=Master!$H$3,B231="2012-2013",E231="",G231="NPN05"),H231,"")</f>
        <v/>
      </c>
      <c r="AW231" s="44" t="str">
        <f>IF(AND(C231=Master!$H$4,B231="2012-2013",E231&gt;1000,G231="NPN05"),H231,"")</f>
        <v/>
      </c>
      <c r="AX231" s="44" t="str">
        <f>IF(AND(C231=Master!$H$4,B231="2012-2013",E231="",G231="NPN05"),H231,"")</f>
        <v/>
      </c>
      <c r="AY231" s="44" t="str">
        <f>IF(AND(C231=Master!$H$5,B231="2012-2013",E231&gt;1000,G231="NPN05"),H231,"")</f>
        <v/>
      </c>
      <c r="AZ231" s="44" t="str">
        <f>IF(AND(C231=Master!$H$5,B231="2012-2013",E231="",G231="NPN05"),H231,"")</f>
        <v/>
      </c>
      <c r="BA231" s="44" t="str">
        <f>IF(AND(C231=Master!$H$6,B231="2012-2013",E231&gt;1000,G231="NPN05"),H231,"")</f>
        <v/>
      </c>
      <c r="BB231" s="44" t="str">
        <f>IF(AND(C231=Master!$H$6,B231="2012-2013",E231="",G231="NPN05"),H231,"")</f>
        <v/>
      </c>
      <c r="BC231" s="44" t="str">
        <f>IF(AND(C231=Master!$H$7,B231="2012-2013",E231&gt;1000,G231="NPN05"),H231,"")</f>
        <v/>
      </c>
      <c r="BD231" s="44" t="str">
        <f>IF(AND(C231=Master!$H$7,B231="2012-2013",E231="",G231="NPN05"),H231,"")</f>
        <v/>
      </c>
      <c r="BE231" s="44" t="str">
        <f>IF(AND(C231=Master!$H$8,B231="2012-2013",E231&gt;1000,G231="NPN05"),H231,"")</f>
        <v/>
      </c>
      <c r="BF231" s="44" t="str">
        <f>IF(AND(C231=Master!$H$8,B231="2012-2013",E231="",G231="NPN05"),H231,"")</f>
        <v/>
      </c>
      <c r="BG231" s="44" t="str">
        <f>IF(AND(C231=Master!$H$9,B231="2012-2013",E231&gt;1000,G231="NPN05"),H231,"")</f>
        <v/>
      </c>
      <c r="BH231" s="44" t="str">
        <f>IF(AND(C231=Master!$H$9,B231="2012-2013",E231="",G231="NPN05"),H231,"")</f>
        <v/>
      </c>
    </row>
    <row r="232" spans="1:60" x14ac:dyDescent="0.25">
      <c r="A232" s="3">
        <v>230</v>
      </c>
      <c r="B232" s="12"/>
      <c r="C232" s="12"/>
      <c r="D232" s="31"/>
      <c r="E232" s="4"/>
      <c r="F232" s="13"/>
      <c r="G232" s="21"/>
      <c r="H232" s="35"/>
      <c r="I232" s="21"/>
      <c r="J232" s="25" t="str">
        <f>IF(NOT(I232=""),INDEX(Master!$B$1:$B$46,MATCH(I232,Master!$A$1:$A$46,0)),"")</f>
        <v/>
      </c>
      <c r="K232" s="18"/>
      <c r="L232" s="86"/>
      <c r="M232" s="13"/>
      <c r="N232" s="13"/>
      <c r="O232" s="18"/>
      <c r="P232" s="35"/>
      <c r="Q232" s="21"/>
      <c r="R232" s="21"/>
      <c r="S232" s="13"/>
      <c r="T232" s="12"/>
      <c r="U232" s="12"/>
      <c r="V232" s="12"/>
      <c r="W232" s="14"/>
      <c r="Y232" s="42" t="str">
        <f>IF(AND(C232=Master!$H$1,B232="2012-2013",E232&gt;1000,G232="PLN03"),H232,"")</f>
        <v/>
      </c>
      <c r="Z232" s="42" t="str">
        <f>IF(AND(C232=Master!$H$1,B232="2012-2013",E232="",G232="PLN03"),H232,"")</f>
        <v/>
      </c>
      <c r="AA232" s="42" t="str">
        <f>IF(AND(C232=Master!$H$2,B232="2012-2013",E232&gt;1000,G232="PLN03"),H232,"")</f>
        <v/>
      </c>
      <c r="AB232" s="42" t="str">
        <f>IF(AND(C232=Master!$H$2,B232="2012-2013",E232="",G232="PLN03"),H232,"")</f>
        <v/>
      </c>
      <c r="AC232" s="42" t="str">
        <f>IF(AND(C232=Master!$H$3,B232="2012-2013",E232&gt;1000,G232="PLN03"),H232,"")</f>
        <v/>
      </c>
      <c r="AD232" s="42" t="str">
        <f>IF(AND(C232=Master!$H$3,B232="2012-2013",E232="",G232="PLN03"),H232,"")</f>
        <v/>
      </c>
      <c r="AE232" s="42" t="str">
        <f>IF(AND(C232=Master!$H$4,B232="2012-2013",E232&gt;1000,G232="PLN03"),H232,"")</f>
        <v/>
      </c>
      <c r="AF232" s="42" t="str">
        <f>IF(AND(C232=Master!$H$4,B232="2012-2013",E232="",G232="PLN03"),H232,"")</f>
        <v/>
      </c>
      <c r="AG232" s="42" t="str">
        <f>IF(AND(C232=Master!$H$5,B232="2012-2013",E232&gt;1000,G232="PLN03"),H232,"")</f>
        <v/>
      </c>
      <c r="AH232" s="42" t="str">
        <f>IF(AND(C232=Master!$H$5,B232="2012-2013",E232="",G232="PLN03"),H232,"")</f>
        <v/>
      </c>
      <c r="AI232" s="42" t="str">
        <f>IF(AND(C232=Master!$H$6,B232="2012-2013",E232&gt;1000,G232="PLN03"),H232,"")</f>
        <v/>
      </c>
      <c r="AJ232" s="42" t="str">
        <f>IF(AND(C232=Master!$H$6,B232="2012-2013",E232="",G232="PLN03"),H232,"")</f>
        <v/>
      </c>
      <c r="AK232" s="42" t="str">
        <f>IF(AND(C232=Master!$H$7,B232="2012-2013",E232&gt;1000,G232="PLN03"),H232,"")</f>
        <v/>
      </c>
      <c r="AL232" s="42" t="str">
        <f>IF(AND(C232=Master!$H$7,B232="2012-2013",E232="",G232="PLN03"),H232,"")</f>
        <v/>
      </c>
      <c r="AM232" s="42" t="str">
        <f>IF(AND(C232=Master!$H$8,B232="2012-2013",E232&gt;1000,G232="PLN03"),H232,"")</f>
        <v/>
      </c>
      <c r="AN232" s="42" t="str">
        <f>IF(AND(C232=Master!$H$8,B232="2012-2013",E232="",G232="PLN03"),H232,"")</f>
        <v/>
      </c>
      <c r="AO232" s="42" t="str">
        <f>IF(AND(C232=Master!$H$9,B232="2012-2013",E232&gt;1000,G232="PLN03"),H232,"")</f>
        <v/>
      </c>
      <c r="AP232" s="42" t="str">
        <f>IF(AND(C232=Master!$H$9,B232="2012-2013",E232="",G232="PLN03"),H232,"")</f>
        <v/>
      </c>
      <c r="AQ232" s="44" t="str">
        <f>IF(AND(C232=Master!$H$1,B232="2012-2013",E232&gt;1000,G232="NPN05"),H232,"")</f>
        <v/>
      </c>
      <c r="AR232" s="44" t="str">
        <f>IF(AND(C232=Master!$H$1,B232="2012-2013",E232="",G232="NPN05"),H232,"")</f>
        <v/>
      </c>
      <c r="AS232" s="44" t="str">
        <f>IF(AND(C232=Master!$H$2,B232="2012-2013",E232&gt;1000,G232="NPN05"),H232,"")</f>
        <v/>
      </c>
      <c r="AT232" s="44" t="str">
        <f>IF(AND(C232=Master!$H$2,B232="2012-2013",E232="",G232="NPN05"),H232,"")</f>
        <v/>
      </c>
      <c r="AU232" s="44" t="str">
        <f>IF(AND(C232=Master!$H$3,B232="2012-2013",E232&gt;1000,G232="NPN05"),H232,"")</f>
        <v/>
      </c>
      <c r="AV232" s="44" t="str">
        <f>IF(AND(C232=Master!$H$3,B232="2012-2013",E232="",G232="NPN05"),H232,"")</f>
        <v/>
      </c>
      <c r="AW232" s="44" t="str">
        <f>IF(AND(C232=Master!$H$4,B232="2012-2013",E232&gt;1000,G232="NPN05"),H232,"")</f>
        <v/>
      </c>
      <c r="AX232" s="44" t="str">
        <f>IF(AND(C232=Master!$H$4,B232="2012-2013",E232="",G232="NPN05"),H232,"")</f>
        <v/>
      </c>
      <c r="AY232" s="44" t="str">
        <f>IF(AND(C232=Master!$H$5,B232="2012-2013",E232&gt;1000,G232="NPN05"),H232,"")</f>
        <v/>
      </c>
      <c r="AZ232" s="44" t="str">
        <f>IF(AND(C232=Master!$H$5,B232="2012-2013",E232="",G232="NPN05"),H232,"")</f>
        <v/>
      </c>
      <c r="BA232" s="44" t="str">
        <f>IF(AND(C232=Master!$H$6,B232="2012-2013",E232&gt;1000,G232="NPN05"),H232,"")</f>
        <v/>
      </c>
      <c r="BB232" s="44" t="str">
        <f>IF(AND(C232=Master!$H$6,B232="2012-2013",E232="",G232="NPN05"),H232,"")</f>
        <v/>
      </c>
      <c r="BC232" s="44" t="str">
        <f>IF(AND(C232=Master!$H$7,B232="2012-2013",E232&gt;1000,G232="NPN05"),H232,"")</f>
        <v/>
      </c>
      <c r="BD232" s="44" t="str">
        <f>IF(AND(C232=Master!$H$7,B232="2012-2013",E232="",G232="NPN05"),H232,"")</f>
        <v/>
      </c>
      <c r="BE232" s="44" t="str">
        <f>IF(AND(C232=Master!$H$8,B232="2012-2013",E232&gt;1000,G232="NPN05"),H232,"")</f>
        <v/>
      </c>
      <c r="BF232" s="44" t="str">
        <f>IF(AND(C232=Master!$H$8,B232="2012-2013",E232="",G232="NPN05"),H232,"")</f>
        <v/>
      </c>
      <c r="BG232" s="44" t="str">
        <f>IF(AND(C232=Master!$H$9,B232="2012-2013",E232&gt;1000,G232="NPN05"),H232,"")</f>
        <v/>
      </c>
      <c r="BH232" s="44" t="str">
        <f>IF(AND(C232=Master!$H$9,B232="2012-2013",E232="",G232="NPN05"),H232,"")</f>
        <v/>
      </c>
    </row>
    <row r="233" spans="1:60" x14ac:dyDescent="0.25">
      <c r="A233" s="3">
        <v>231</v>
      </c>
      <c r="B233" s="12"/>
      <c r="C233" s="12"/>
      <c r="D233" s="31"/>
      <c r="E233" s="4"/>
      <c r="F233" s="13"/>
      <c r="G233" s="21"/>
      <c r="H233" s="35"/>
      <c r="I233" s="21"/>
      <c r="J233" s="25" t="str">
        <f>IF(NOT(I233=""),INDEX(Master!$B$1:$B$46,MATCH(I233,Master!$A$1:$A$46,0)),"")</f>
        <v/>
      </c>
      <c r="K233" s="18"/>
      <c r="L233" s="86"/>
      <c r="M233" s="13"/>
      <c r="N233" s="13"/>
      <c r="O233" s="18"/>
      <c r="P233" s="35"/>
      <c r="Q233" s="21"/>
      <c r="R233" s="21"/>
      <c r="S233" s="13"/>
      <c r="T233" s="12"/>
      <c r="U233" s="12"/>
      <c r="V233" s="12"/>
      <c r="W233" s="14"/>
      <c r="Y233" s="42" t="str">
        <f>IF(AND(C233=Master!$H$1,B233="2012-2013",E233&gt;1000,G233="PLN03"),H233,"")</f>
        <v/>
      </c>
      <c r="Z233" s="42" t="str">
        <f>IF(AND(C233=Master!$H$1,B233="2012-2013",E233="",G233="PLN03"),H233,"")</f>
        <v/>
      </c>
      <c r="AA233" s="42" t="str">
        <f>IF(AND(C233=Master!$H$2,B233="2012-2013",E233&gt;1000,G233="PLN03"),H233,"")</f>
        <v/>
      </c>
      <c r="AB233" s="42" t="str">
        <f>IF(AND(C233=Master!$H$2,B233="2012-2013",E233="",G233="PLN03"),H233,"")</f>
        <v/>
      </c>
      <c r="AC233" s="42" t="str">
        <f>IF(AND(C233=Master!$H$3,B233="2012-2013",E233&gt;1000,G233="PLN03"),H233,"")</f>
        <v/>
      </c>
      <c r="AD233" s="42" t="str">
        <f>IF(AND(C233=Master!$H$3,B233="2012-2013",E233="",G233="PLN03"),H233,"")</f>
        <v/>
      </c>
      <c r="AE233" s="42" t="str">
        <f>IF(AND(C233=Master!$H$4,B233="2012-2013",E233&gt;1000,G233="PLN03"),H233,"")</f>
        <v/>
      </c>
      <c r="AF233" s="42" t="str">
        <f>IF(AND(C233=Master!$H$4,B233="2012-2013",E233="",G233="PLN03"),H233,"")</f>
        <v/>
      </c>
      <c r="AG233" s="42" t="str">
        <f>IF(AND(C233=Master!$H$5,B233="2012-2013",E233&gt;1000,G233="PLN03"),H233,"")</f>
        <v/>
      </c>
      <c r="AH233" s="42" t="str">
        <f>IF(AND(C233=Master!$H$5,B233="2012-2013",E233="",G233="PLN03"),H233,"")</f>
        <v/>
      </c>
      <c r="AI233" s="42" t="str">
        <f>IF(AND(C233=Master!$H$6,B233="2012-2013",E233&gt;1000,G233="PLN03"),H233,"")</f>
        <v/>
      </c>
      <c r="AJ233" s="42" t="str">
        <f>IF(AND(C233=Master!$H$6,B233="2012-2013",E233="",G233="PLN03"),H233,"")</f>
        <v/>
      </c>
      <c r="AK233" s="42" t="str">
        <f>IF(AND(C233=Master!$H$7,B233="2012-2013",E233&gt;1000,G233="PLN03"),H233,"")</f>
        <v/>
      </c>
      <c r="AL233" s="42" t="str">
        <f>IF(AND(C233=Master!$H$7,B233="2012-2013",E233="",G233="PLN03"),H233,"")</f>
        <v/>
      </c>
      <c r="AM233" s="42" t="str">
        <f>IF(AND(C233=Master!$H$8,B233="2012-2013",E233&gt;1000,G233="PLN03"),H233,"")</f>
        <v/>
      </c>
      <c r="AN233" s="42" t="str">
        <f>IF(AND(C233=Master!$H$8,B233="2012-2013",E233="",G233="PLN03"),H233,"")</f>
        <v/>
      </c>
      <c r="AO233" s="42" t="str">
        <f>IF(AND(C233=Master!$H$9,B233="2012-2013",E233&gt;1000,G233="PLN03"),H233,"")</f>
        <v/>
      </c>
      <c r="AP233" s="42" t="str">
        <f>IF(AND(C233=Master!$H$9,B233="2012-2013",E233="",G233="PLN03"),H233,"")</f>
        <v/>
      </c>
      <c r="AQ233" s="44" t="str">
        <f>IF(AND(C233=Master!$H$1,B233="2012-2013",E233&gt;1000,G233="NPN05"),H233,"")</f>
        <v/>
      </c>
      <c r="AR233" s="44" t="str">
        <f>IF(AND(C233=Master!$H$1,B233="2012-2013",E233="",G233="NPN05"),H233,"")</f>
        <v/>
      </c>
      <c r="AS233" s="44" t="str">
        <f>IF(AND(C233=Master!$H$2,B233="2012-2013",E233&gt;1000,G233="NPN05"),H233,"")</f>
        <v/>
      </c>
      <c r="AT233" s="44" t="str">
        <f>IF(AND(C233=Master!$H$2,B233="2012-2013",E233="",G233="NPN05"),H233,"")</f>
        <v/>
      </c>
      <c r="AU233" s="44" t="str">
        <f>IF(AND(C233=Master!$H$3,B233="2012-2013",E233&gt;1000,G233="NPN05"),H233,"")</f>
        <v/>
      </c>
      <c r="AV233" s="44" t="str">
        <f>IF(AND(C233=Master!$H$3,B233="2012-2013",E233="",G233="NPN05"),H233,"")</f>
        <v/>
      </c>
      <c r="AW233" s="44" t="str">
        <f>IF(AND(C233=Master!$H$4,B233="2012-2013",E233&gt;1000,G233="NPN05"),H233,"")</f>
        <v/>
      </c>
      <c r="AX233" s="44" t="str">
        <f>IF(AND(C233=Master!$H$4,B233="2012-2013",E233="",G233="NPN05"),H233,"")</f>
        <v/>
      </c>
      <c r="AY233" s="44" t="str">
        <f>IF(AND(C233=Master!$H$5,B233="2012-2013",E233&gt;1000,G233="NPN05"),H233,"")</f>
        <v/>
      </c>
      <c r="AZ233" s="44" t="str">
        <f>IF(AND(C233=Master!$H$5,B233="2012-2013",E233="",G233="NPN05"),H233,"")</f>
        <v/>
      </c>
      <c r="BA233" s="44" t="str">
        <f>IF(AND(C233=Master!$H$6,B233="2012-2013",E233&gt;1000,G233="NPN05"),H233,"")</f>
        <v/>
      </c>
      <c r="BB233" s="44" t="str">
        <f>IF(AND(C233=Master!$H$6,B233="2012-2013",E233="",G233="NPN05"),H233,"")</f>
        <v/>
      </c>
      <c r="BC233" s="44" t="str">
        <f>IF(AND(C233=Master!$H$7,B233="2012-2013",E233&gt;1000,G233="NPN05"),H233,"")</f>
        <v/>
      </c>
      <c r="BD233" s="44" t="str">
        <f>IF(AND(C233=Master!$H$7,B233="2012-2013",E233="",G233="NPN05"),H233,"")</f>
        <v/>
      </c>
      <c r="BE233" s="44" t="str">
        <f>IF(AND(C233=Master!$H$8,B233="2012-2013",E233&gt;1000,G233="NPN05"),H233,"")</f>
        <v/>
      </c>
      <c r="BF233" s="44" t="str">
        <f>IF(AND(C233=Master!$H$8,B233="2012-2013",E233="",G233="NPN05"),H233,"")</f>
        <v/>
      </c>
      <c r="BG233" s="44" t="str">
        <f>IF(AND(C233=Master!$H$9,B233="2012-2013",E233&gt;1000,G233="NPN05"),H233,"")</f>
        <v/>
      </c>
      <c r="BH233" s="44" t="str">
        <f>IF(AND(C233=Master!$H$9,B233="2012-2013",E233="",G233="NPN05"),H233,"")</f>
        <v/>
      </c>
    </row>
    <row r="234" spans="1:60" x14ac:dyDescent="0.25">
      <c r="A234" s="3">
        <v>232</v>
      </c>
      <c r="B234" s="12"/>
      <c r="C234" s="12"/>
      <c r="D234" s="31"/>
      <c r="E234" s="4"/>
      <c r="F234" s="13"/>
      <c r="G234" s="21"/>
      <c r="H234" s="35"/>
      <c r="I234" s="21"/>
      <c r="J234" s="25" t="str">
        <f>IF(NOT(I234=""),INDEX(Master!$B$1:$B$46,MATCH(I234,Master!$A$1:$A$46,0)),"")</f>
        <v/>
      </c>
      <c r="K234" s="18"/>
      <c r="L234" s="86"/>
      <c r="M234" s="13"/>
      <c r="N234" s="13"/>
      <c r="O234" s="18"/>
      <c r="P234" s="35"/>
      <c r="Q234" s="21"/>
      <c r="R234" s="21"/>
      <c r="S234" s="13"/>
      <c r="T234" s="12"/>
      <c r="U234" s="12"/>
      <c r="V234" s="12"/>
      <c r="W234" s="14"/>
      <c r="Y234" s="42" t="str">
        <f>IF(AND(C234=Master!$H$1,B234="2012-2013",E234&gt;1000,G234="PLN03"),H234,"")</f>
        <v/>
      </c>
      <c r="Z234" s="42" t="str">
        <f>IF(AND(C234=Master!$H$1,B234="2012-2013",E234="",G234="PLN03"),H234,"")</f>
        <v/>
      </c>
      <c r="AA234" s="42" t="str">
        <f>IF(AND(C234=Master!$H$2,B234="2012-2013",E234&gt;1000,G234="PLN03"),H234,"")</f>
        <v/>
      </c>
      <c r="AB234" s="42" t="str">
        <f>IF(AND(C234=Master!$H$2,B234="2012-2013",E234="",G234="PLN03"),H234,"")</f>
        <v/>
      </c>
      <c r="AC234" s="42" t="str">
        <f>IF(AND(C234=Master!$H$3,B234="2012-2013",E234&gt;1000,G234="PLN03"),H234,"")</f>
        <v/>
      </c>
      <c r="AD234" s="42" t="str">
        <f>IF(AND(C234=Master!$H$3,B234="2012-2013",E234="",G234="PLN03"),H234,"")</f>
        <v/>
      </c>
      <c r="AE234" s="42" t="str">
        <f>IF(AND(C234=Master!$H$4,B234="2012-2013",E234&gt;1000,G234="PLN03"),H234,"")</f>
        <v/>
      </c>
      <c r="AF234" s="42" t="str">
        <f>IF(AND(C234=Master!$H$4,B234="2012-2013",E234="",G234="PLN03"),H234,"")</f>
        <v/>
      </c>
      <c r="AG234" s="42" t="str">
        <f>IF(AND(C234=Master!$H$5,B234="2012-2013",E234&gt;1000,G234="PLN03"),H234,"")</f>
        <v/>
      </c>
      <c r="AH234" s="42" t="str">
        <f>IF(AND(C234=Master!$H$5,B234="2012-2013",E234="",G234="PLN03"),H234,"")</f>
        <v/>
      </c>
      <c r="AI234" s="42" t="str">
        <f>IF(AND(C234=Master!$H$6,B234="2012-2013",E234&gt;1000,G234="PLN03"),H234,"")</f>
        <v/>
      </c>
      <c r="AJ234" s="42" t="str">
        <f>IF(AND(C234=Master!$H$6,B234="2012-2013",E234="",G234="PLN03"),H234,"")</f>
        <v/>
      </c>
      <c r="AK234" s="42" t="str">
        <f>IF(AND(C234=Master!$H$7,B234="2012-2013",E234&gt;1000,G234="PLN03"),H234,"")</f>
        <v/>
      </c>
      <c r="AL234" s="42" t="str">
        <f>IF(AND(C234=Master!$H$7,B234="2012-2013",E234="",G234="PLN03"),H234,"")</f>
        <v/>
      </c>
      <c r="AM234" s="42" t="str">
        <f>IF(AND(C234=Master!$H$8,B234="2012-2013",E234&gt;1000,G234="PLN03"),H234,"")</f>
        <v/>
      </c>
      <c r="AN234" s="42" t="str">
        <f>IF(AND(C234=Master!$H$8,B234="2012-2013",E234="",G234="PLN03"),H234,"")</f>
        <v/>
      </c>
      <c r="AO234" s="42" t="str">
        <f>IF(AND(C234=Master!$H$9,B234="2012-2013",E234&gt;1000,G234="PLN03"),H234,"")</f>
        <v/>
      </c>
      <c r="AP234" s="42" t="str">
        <f>IF(AND(C234=Master!$H$9,B234="2012-2013",E234="",G234="PLN03"),H234,"")</f>
        <v/>
      </c>
      <c r="AQ234" s="44" t="str">
        <f>IF(AND(C234=Master!$H$1,B234="2012-2013",E234&gt;1000,G234="NPN05"),H234,"")</f>
        <v/>
      </c>
      <c r="AR234" s="44" t="str">
        <f>IF(AND(C234=Master!$H$1,B234="2012-2013",E234="",G234="NPN05"),H234,"")</f>
        <v/>
      </c>
      <c r="AS234" s="44" t="str">
        <f>IF(AND(C234=Master!$H$2,B234="2012-2013",E234&gt;1000,G234="NPN05"),H234,"")</f>
        <v/>
      </c>
      <c r="AT234" s="44" t="str">
        <f>IF(AND(C234=Master!$H$2,B234="2012-2013",E234="",G234="NPN05"),H234,"")</f>
        <v/>
      </c>
      <c r="AU234" s="44" t="str">
        <f>IF(AND(C234=Master!$H$3,B234="2012-2013",E234&gt;1000,G234="NPN05"),H234,"")</f>
        <v/>
      </c>
      <c r="AV234" s="44" t="str">
        <f>IF(AND(C234=Master!$H$3,B234="2012-2013",E234="",G234="NPN05"),H234,"")</f>
        <v/>
      </c>
      <c r="AW234" s="44" t="str">
        <f>IF(AND(C234=Master!$H$4,B234="2012-2013",E234&gt;1000,G234="NPN05"),H234,"")</f>
        <v/>
      </c>
      <c r="AX234" s="44" t="str">
        <f>IF(AND(C234=Master!$H$4,B234="2012-2013",E234="",G234="NPN05"),H234,"")</f>
        <v/>
      </c>
      <c r="AY234" s="44" t="str">
        <f>IF(AND(C234=Master!$H$5,B234="2012-2013",E234&gt;1000,G234="NPN05"),H234,"")</f>
        <v/>
      </c>
      <c r="AZ234" s="44" t="str">
        <f>IF(AND(C234=Master!$H$5,B234="2012-2013",E234="",G234="NPN05"),H234,"")</f>
        <v/>
      </c>
      <c r="BA234" s="44" t="str">
        <f>IF(AND(C234=Master!$H$6,B234="2012-2013",E234&gt;1000,G234="NPN05"),H234,"")</f>
        <v/>
      </c>
      <c r="BB234" s="44" t="str">
        <f>IF(AND(C234=Master!$H$6,B234="2012-2013",E234="",G234="NPN05"),H234,"")</f>
        <v/>
      </c>
      <c r="BC234" s="44" t="str">
        <f>IF(AND(C234=Master!$H$7,B234="2012-2013",E234&gt;1000,G234="NPN05"),H234,"")</f>
        <v/>
      </c>
      <c r="BD234" s="44" t="str">
        <f>IF(AND(C234=Master!$H$7,B234="2012-2013",E234="",G234="NPN05"),H234,"")</f>
        <v/>
      </c>
      <c r="BE234" s="44" t="str">
        <f>IF(AND(C234=Master!$H$8,B234="2012-2013",E234&gt;1000,G234="NPN05"),H234,"")</f>
        <v/>
      </c>
      <c r="BF234" s="44" t="str">
        <f>IF(AND(C234=Master!$H$8,B234="2012-2013",E234="",G234="NPN05"),H234,"")</f>
        <v/>
      </c>
      <c r="BG234" s="44" t="str">
        <f>IF(AND(C234=Master!$H$9,B234="2012-2013",E234&gt;1000,G234="NPN05"),H234,"")</f>
        <v/>
      </c>
      <c r="BH234" s="44" t="str">
        <f>IF(AND(C234=Master!$H$9,B234="2012-2013",E234="",G234="NPN05"),H234,"")</f>
        <v/>
      </c>
    </row>
    <row r="235" spans="1:60" x14ac:dyDescent="0.25">
      <c r="A235" s="3">
        <v>233</v>
      </c>
      <c r="B235" s="12"/>
      <c r="C235" s="12"/>
      <c r="D235" s="31"/>
      <c r="E235" s="4"/>
      <c r="F235" s="13"/>
      <c r="G235" s="21"/>
      <c r="H235" s="35"/>
      <c r="I235" s="21"/>
      <c r="J235" s="25" t="str">
        <f>IF(NOT(I235=""),INDEX(Master!$B$1:$B$46,MATCH(I235,Master!$A$1:$A$46,0)),"")</f>
        <v/>
      </c>
      <c r="K235" s="18"/>
      <c r="L235" s="86"/>
      <c r="M235" s="13"/>
      <c r="N235" s="13"/>
      <c r="O235" s="18"/>
      <c r="P235" s="35"/>
      <c r="Q235" s="21"/>
      <c r="R235" s="21"/>
      <c r="S235" s="13"/>
      <c r="T235" s="12"/>
      <c r="U235" s="12"/>
      <c r="V235" s="12"/>
      <c r="W235" s="14"/>
      <c r="Y235" s="42" t="str">
        <f>IF(AND(C235=Master!$H$1,B235="2012-2013",E235&gt;1000,G235="PLN03"),H235,"")</f>
        <v/>
      </c>
      <c r="Z235" s="42" t="str">
        <f>IF(AND(C235=Master!$H$1,B235="2012-2013",E235="",G235="PLN03"),H235,"")</f>
        <v/>
      </c>
      <c r="AA235" s="42" t="str">
        <f>IF(AND(C235=Master!$H$2,B235="2012-2013",E235&gt;1000,G235="PLN03"),H235,"")</f>
        <v/>
      </c>
      <c r="AB235" s="42" t="str">
        <f>IF(AND(C235=Master!$H$2,B235="2012-2013",E235="",G235="PLN03"),H235,"")</f>
        <v/>
      </c>
      <c r="AC235" s="42" t="str">
        <f>IF(AND(C235=Master!$H$3,B235="2012-2013",E235&gt;1000,G235="PLN03"),H235,"")</f>
        <v/>
      </c>
      <c r="AD235" s="42" t="str">
        <f>IF(AND(C235=Master!$H$3,B235="2012-2013",E235="",G235="PLN03"),H235,"")</f>
        <v/>
      </c>
      <c r="AE235" s="42" t="str">
        <f>IF(AND(C235=Master!$H$4,B235="2012-2013",E235&gt;1000,G235="PLN03"),H235,"")</f>
        <v/>
      </c>
      <c r="AF235" s="42" t="str">
        <f>IF(AND(C235=Master!$H$4,B235="2012-2013",E235="",G235="PLN03"),H235,"")</f>
        <v/>
      </c>
      <c r="AG235" s="42" t="str">
        <f>IF(AND(C235=Master!$H$5,B235="2012-2013",E235&gt;1000,G235="PLN03"),H235,"")</f>
        <v/>
      </c>
      <c r="AH235" s="42" t="str">
        <f>IF(AND(C235=Master!$H$5,B235="2012-2013",E235="",G235="PLN03"),H235,"")</f>
        <v/>
      </c>
      <c r="AI235" s="42" t="str">
        <f>IF(AND(C235=Master!$H$6,B235="2012-2013",E235&gt;1000,G235="PLN03"),H235,"")</f>
        <v/>
      </c>
      <c r="AJ235" s="42" t="str">
        <f>IF(AND(C235=Master!$H$6,B235="2012-2013",E235="",G235="PLN03"),H235,"")</f>
        <v/>
      </c>
      <c r="AK235" s="42" t="str">
        <f>IF(AND(C235=Master!$H$7,B235="2012-2013",E235&gt;1000,G235="PLN03"),H235,"")</f>
        <v/>
      </c>
      <c r="AL235" s="42" t="str">
        <f>IF(AND(C235=Master!$H$7,B235="2012-2013",E235="",G235="PLN03"),H235,"")</f>
        <v/>
      </c>
      <c r="AM235" s="42" t="str">
        <f>IF(AND(C235=Master!$H$8,B235="2012-2013",E235&gt;1000,G235="PLN03"),H235,"")</f>
        <v/>
      </c>
      <c r="AN235" s="42" t="str">
        <f>IF(AND(C235=Master!$H$8,B235="2012-2013",E235="",G235="PLN03"),H235,"")</f>
        <v/>
      </c>
      <c r="AO235" s="42" t="str">
        <f>IF(AND(C235=Master!$H$9,B235="2012-2013",E235&gt;1000,G235="PLN03"),H235,"")</f>
        <v/>
      </c>
      <c r="AP235" s="42" t="str">
        <f>IF(AND(C235=Master!$H$9,B235="2012-2013",E235="",G235="PLN03"),H235,"")</f>
        <v/>
      </c>
      <c r="AQ235" s="44" t="str">
        <f>IF(AND(C235=Master!$H$1,B235="2012-2013",E235&gt;1000,G235="NPN05"),H235,"")</f>
        <v/>
      </c>
      <c r="AR235" s="44" t="str">
        <f>IF(AND(C235=Master!$H$1,B235="2012-2013",E235="",G235="NPN05"),H235,"")</f>
        <v/>
      </c>
      <c r="AS235" s="44" t="str">
        <f>IF(AND(C235=Master!$H$2,B235="2012-2013",E235&gt;1000,G235="NPN05"),H235,"")</f>
        <v/>
      </c>
      <c r="AT235" s="44" t="str">
        <f>IF(AND(C235=Master!$H$2,B235="2012-2013",E235="",G235="NPN05"),H235,"")</f>
        <v/>
      </c>
      <c r="AU235" s="44" t="str">
        <f>IF(AND(C235=Master!$H$3,B235="2012-2013",E235&gt;1000,G235="NPN05"),H235,"")</f>
        <v/>
      </c>
      <c r="AV235" s="44" t="str">
        <f>IF(AND(C235=Master!$H$3,B235="2012-2013",E235="",G235="NPN05"),H235,"")</f>
        <v/>
      </c>
      <c r="AW235" s="44" t="str">
        <f>IF(AND(C235=Master!$H$4,B235="2012-2013",E235&gt;1000,G235="NPN05"),H235,"")</f>
        <v/>
      </c>
      <c r="AX235" s="44" t="str">
        <f>IF(AND(C235=Master!$H$4,B235="2012-2013",E235="",G235="NPN05"),H235,"")</f>
        <v/>
      </c>
      <c r="AY235" s="44" t="str">
        <f>IF(AND(C235=Master!$H$5,B235="2012-2013",E235&gt;1000,G235="NPN05"),H235,"")</f>
        <v/>
      </c>
      <c r="AZ235" s="44" t="str">
        <f>IF(AND(C235=Master!$H$5,B235="2012-2013",E235="",G235="NPN05"),H235,"")</f>
        <v/>
      </c>
      <c r="BA235" s="44" t="str">
        <f>IF(AND(C235=Master!$H$6,B235="2012-2013",E235&gt;1000,G235="NPN05"),H235,"")</f>
        <v/>
      </c>
      <c r="BB235" s="44" t="str">
        <f>IF(AND(C235=Master!$H$6,B235="2012-2013",E235="",G235="NPN05"),H235,"")</f>
        <v/>
      </c>
      <c r="BC235" s="44" t="str">
        <f>IF(AND(C235=Master!$H$7,B235="2012-2013",E235&gt;1000,G235="NPN05"),H235,"")</f>
        <v/>
      </c>
      <c r="BD235" s="44" t="str">
        <f>IF(AND(C235=Master!$H$7,B235="2012-2013",E235="",G235="NPN05"),H235,"")</f>
        <v/>
      </c>
      <c r="BE235" s="44" t="str">
        <f>IF(AND(C235=Master!$H$8,B235="2012-2013",E235&gt;1000,G235="NPN05"),H235,"")</f>
        <v/>
      </c>
      <c r="BF235" s="44" t="str">
        <f>IF(AND(C235=Master!$H$8,B235="2012-2013",E235="",G235="NPN05"),H235,"")</f>
        <v/>
      </c>
      <c r="BG235" s="44" t="str">
        <f>IF(AND(C235=Master!$H$9,B235="2012-2013",E235&gt;1000,G235="NPN05"),H235,"")</f>
        <v/>
      </c>
      <c r="BH235" s="44" t="str">
        <f>IF(AND(C235=Master!$H$9,B235="2012-2013",E235="",G235="NPN05"),H235,"")</f>
        <v/>
      </c>
    </row>
    <row r="236" spans="1:60" x14ac:dyDescent="0.25">
      <c r="A236" s="3">
        <v>234</v>
      </c>
      <c r="B236" s="12"/>
      <c r="C236" s="12"/>
      <c r="D236" s="31"/>
      <c r="E236" s="4"/>
      <c r="F236" s="13"/>
      <c r="G236" s="21"/>
      <c r="H236" s="35"/>
      <c r="I236" s="21"/>
      <c r="J236" s="25" t="str">
        <f>IF(NOT(I236=""),INDEX(Master!$B$1:$B$46,MATCH(I236,Master!$A$1:$A$46,0)),"")</f>
        <v/>
      </c>
      <c r="K236" s="18"/>
      <c r="L236" s="86"/>
      <c r="M236" s="13"/>
      <c r="N236" s="13"/>
      <c r="O236" s="18"/>
      <c r="P236" s="35"/>
      <c r="Q236" s="21"/>
      <c r="R236" s="21"/>
      <c r="S236" s="13"/>
      <c r="T236" s="12"/>
      <c r="U236" s="12"/>
      <c r="V236" s="12"/>
      <c r="W236" s="14"/>
      <c r="Y236" s="42" t="str">
        <f>IF(AND(C236=Master!$H$1,B236="2012-2013",E236&gt;1000,G236="PLN03"),H236,"")</f>
        <v/>
      </c>
      <c r="Z236" s="42" t="str">
        <f>IF(AND(C236=Master!$H$1,B236="2012-2013",E236="",G236="PLN03"),H236,"")</f>
        <v/>
      </c>
      <c r="AA236" s="42" t="str">
        <f>IF(AND(C236=Master!$H$2,B236="2012-2013",E236&gt;1000,G236="PLN03"),H236,"")</f>
        <v/>
      </c>
      <c r="AB236" s="42" t="str">
        <f>IF(AND(C236=Master!$H$2,B236="2012-2013",E236="",G236="PLN03"),H236,"")</f>
        <v/>
      </c>
      <c r="AC236" s="42" t="str">
        <f>IF(AND(C236=Master!$H$3,B236="2012-2013",E236&gt;1000,G236="PLN03"),H236,"")</f>
        <v/>
      </c>
      <c r="AD236" s="42" t="str">
        <f>IF(AND(C236=Master!$H$3,B236="2012-2013",E236="",G236="PLN03"),H236,"")</f>
        <v/>
      </c>
      <c r="AE236" s="42" t="str">
        <f>IF(AND(C236=Master!$H$4,B236="2012-2013",E236&gt;1000,G236="PLN03"),H236,"")</f>
        <v/>
      </c>
      <c r="AF236" s="42" t="str">
        <f>IF(AND(C236=Master!$H$4,B236="2012-2013",E236="",G236="PLN03"),H236,"")</f>
        <v/>
      </c>
      <c r="AG236" s="42" t="str">
        <f>IF(AND(C236=Master!$H$5,B236="2012-2013",E236&gt;1000,G236="PLN03"),H236,"")</f>
        <v/>
      </c>
      <c r="AH236" s="42" t="str">
        <f>IF(AND(C236=Master!$H$5,B236="2012-2013",E236="",G236="PLN03"),H236,"")</f>
        <v/>
      </c>
      <c r="AI236" s="42" t="str">
        <f>IF(AND(C236=Master!$H$6,B236="2012-2013",E236&gt;1000,G236="PLN03"),H236,"")</f>
        <v/>
      </c>
      <c r="AJ236" s="42" t="str">
        <f>IF(AND(C236=Master!$H$6,B236="2012-2013",E236="",G236="PLN03"),H236,"")</f>
        <v/>
      </c>
      <c r="AK236" s="42" t="str">
        <f>IF(AND(C236=Master!$H$7,B236="2012-2013",E236&gt;1000,G236="PLN03"),H236,"")</f>
        <v/>
      </c>
      <c r="AL236" s="42" t="str">
        <f>IF(AND(C236=Master!$H$7,B236="2012-2013",E236="",G236="PLN03"),H236,"")</f>
        <v/>
      </c>
      <c r="AM236" s="42" t="str">
        <f>IF(AND(C236=Master!$H$8,B236="2012-2013",E236&gt;1000,G236="PLN03"),H236,"")</f>
        <v/>
      </c>
      <c r="AN236" s="42" t="str">
        <f>IF(AND(C236=Master!$H$8,B236="2012-2013",E236="",G236="PLN03"),H236,"")</f>
        <v/>
      </c>
      <c r="AO236" s="42" t="str">
        <f>IF(AND(C236=Master!$H$9,B236="2012-2013",E236&gt;1000,G236="PLN03"),H236,"")</f>
        <v/>
      </c>
      <c r="AP236" s="42" t="str">
        <f>IF(AND(C236=Master!$H$9,B236="2012-2013",E236="",G236="PLN03"),H236,"")</f>
        <v/>
      </c>
      <c r="AQ236" s="44" t="str">
        <f>IF(AND(C236=Master!$H$1,B236="2012-2013",E236&gt;1000,G236="NPN05"),H236,"")</f>
        <v/>
      </c>
      <c r="AR236" s="44" t="str">
        <f>IF(AND(C236=Master!$H$1,B236="2012-2013",E236="",G236="NPN05"),H236,"")</f>
        <v/>
      </c>
      <c r="AS236" s="44" t="str">
        <f>IF(AND(C236=Master!$H$2,B236="2012-2013",E236&gt;1000,G236="NPN05"),H236,"")</f>
        <v/>
      </c>
      <c r="AT236" s="44" t="str">
        <f>IF(AND(C236=Master!$H$2,B236="2012-2013",E236="",G236="NPN05"),H236,"")</f>
        <v/>
      </c>
      <c r="AU236" s="44" t="str">
        <f>IF(AND(C236=Master!$H$3,B236="2012-2013",E236&gt;1000,G236="NPN05"),H236,"")</f>
        <v/>
      </c>
      <c r="AV236" s="44" t="str">
        <f>IF(AND(C236=Master!$H$3,B236="2012-2013",E236="",G236="NPN05"),H236,"")</f>
        <v/>
      </c>
      <c r="AW236" s="44" t="str">
        <f>IF(AND(C236=Master!$H$4,B236="2012-2013",E236&gt;1000,G236="NPN05"),H236,"")</f>
        <v/>
      </c>
      <c r="AX236" s="44" t="str">
        <f>IF(AND(C236=Master!$H$4,B236="2012-2013",E236="",G236="NPN05"),H236,"")</f>
        <v/>
      </c>
      <c r="AY236" s="44" t="str">
        <f>IF(AND(C236=Master!$H$5,B236="2012-2013",E236&gt;1000,G236="NPN05"),H236,"")</f>
        <v/>
      </c>
      <c r="AZ236" s="44" t="str">
        <f>IF(AND(C236=Master!$H$5,B236="2012-2013",E236="",G236="NPN05"),H236,"")</f>
        <v/>
      </c>
      <c r="BA236" s="44" t="str">
        <f>IF(AND(C236=Master!$H$6,B236="2012-2013",E236&gt;1000,G236="NPN05"),H236,"")</f>
        <v/>
      </c>
      <c r="BB236" s="44" t="str">
        <f>IF(AND(C236=Master!$H$6,B236="2012-2013",E236="",G236="NPN05"),H236,"")</f>
        <v/>
      </c>
      <c r="BC236" s="44" t="str">
        <f>IF(AND(C236=Master!$H$7,B236="2012-2013",E236&gt;1000,G236="NPN05"),H236,"")</f>
        <v/>
      </c>
      <c r="BD236" s="44" t="str">
        <f>IF(AND(C236=Master!$H$7,B236="2012-2013",E236="",G236="NPN05"),H236,"")</f>
        <v/>
      </c>
      <c r="BE236" s="44" t="str">
        <f>IF(AND(C236=Master!$H$8,B236="2012-2013",E236&gt;1000,G236="NPN05"),H236,"")</f>
        <v/>
      </c>
      <c r="BF236" s="44" t="str">
        <f>IF(AND(C236=Master!$H$8,B236="2012-2013",E236="",G236="NPN05"),H236,"")</f>
        <v/>
      </c>
      <c r="BG236" s="44" t="str">
        <f>IF(AND(C236=Master!$H$9,B236="2012-2013",E236&gt;1000,G236="NPN05"),H236,"")</f>
        <v/>
      </c>
      <c r="BH236" s="44" t="str">
        <f>IF(AND(C236=Master!$H$9,B236="2012-2013",E236="",G236="NPN05"),H236,"")</f>
        <v/>
      </c>
    </row>
    <row r="237" spans="1:60" x14ac:dyDescent="0.25">
      <c r="A237" s="3">
        <v>235</v>
      </c>
      <c r="B237" s="12"/>
      <c r="C237" s="12"/>
      <c r="D237" s="31"/>
      <c r="E237" s="4"/>
      <c r="F237" s="13"/>
      <c r="G237" s="21"/>
      <c r="H237" s="35"/>
      <c r="I237" s="21"/>
      <c r="J237" s="25" t="str">
        <f>IF(NOT(I237=""),INDEX(Master!$B$1:$B$46,MATCH(I237,Master!$A$1:$A$46,0)),"")</f>
        <v/>
      </c>
      <c r="K237" s="18"/>
      <c r="L237" s="86"/>
      <c r="M237" s="13"/>
      <c r="N237" s="13"/>
      <c r="O237" s="18"/>
      <c r="P237" s="35"/>
      <c r="Q237" s="21"/>
      <c r="R237" s="21"/>
      <c r="S237" s="13"/>
      <c r="T237" s="12"/>
      <c r="U237" s="12"/>
      <c r="V237" s="12"/>
      <c r="W237" s="14"/>
      <c r="Y237" s="42" t="str">
        <f>IF(AND(C237=Master!$H$1,B237="2012-2013",E237&gt;1000,G237="PLN03"),H237,"")</f>
        <v/>
      </c>
      <c r="Z237" s="42" t="str">
        <f>IF(AND(C237=Master!$H$1,B237="2012-2013",E237="",G237="PLN03"),H237,"")</f>
        <v/>
      </c>
      <c r="AA237" s="42" t="str">
        <f>IF(AND(C237=Master!$H$2,B237="2012-2013",E237&gt;1000,G237="PLN03"),H237,"")</f>
        <v/>
      </c>
      <c r="AB237" s="42" t="str">
        <f>IF(AND(C237=Master!$H$2,B237="2012-2013",E237="",G237="PLN03"),H237,"")</f>
        <v/>
      </c>
      <c r="AC237" s="42" t="str">
        <f>IF(AND(C237=Master!$H$3,B237="2012-2013",E237&gt;1000,G237="PLN03"),H237,"")</f>
        <v/>
      </c>
      <c r="AD237" s="42" t="str">
        <f>IF(AND(C237=Master!$H$3,B237="2012-2013",E237="",G237="PLN03"),H237,"")</f>
        <v/>
      </c>
      <c r="AE237" s="42" t="str">
        <f>IF(AND(C237=Master!$H$4,B237="2012-2013",E237&gt;1000,G237="PLN03"),H237,"")</f>
        <v/>
      </c>
      <c r="AF237" s="42" t="str">
        <f>IF(AND(C237=Master!$H$4,B237="2012-2013",E237="",G237="PLN03"),H237,"")</f>
        <v/>
      </c>
      <c r="AG237" s="42" t="str">
        <f>IF(AND(C237=Master!$H$5,B237="2012-2013",E237&gt;1000,G237="PLN03"),H237,"")</f>
        <v/>
      </c>
      <c r="AH237" s="42" t="str">
        <f>IF(AND(C237=Master!$H$5,B237="2012-2013",E237="",G237="PLN03"),H237,"")</f>
        <v/>
      </c>
      <c r="AI237" s="42" t="str">
        <f>IF(AND(C237=Master!$H$6,B237="2012-2013",E237&gt;1000,G237="PLN03"),H237,"")</f>
        <v/>
      </c>
      <c r="AJ237" s="42" t="str">
        <f>IF(AND(C237=Master!$H$6,B237="2012-2013",E237="",G237="PLN03"),H237,"")</f>
        <v/>
      </c>
      <c r="AK237" s="42" t="str">
        <f>IF(AND(C237=Master!$H$7,B237="2012-2013",E237&gt;1000,G237="PLN03"),H237,"")</f>
        <v/>
      </c>
      <c r="AL237" s="42" t="str">
        <f>IF(AND(C237=Master!$H$7,B237="2012-2013",E237="",G237="PLN03"),H237,"")</f>
        <v/>
      </c>
      <c r="AM237" s="42" t="str">
        <f>IF(AND(C237=Master!$H$8,B237="2012-2013",E237&gt;1000,G237="PLN03"),H237,"")</f>
        <v/>
      </c>
      <c r="AN237" s="42" t="str">
        <f>IF(AND(C237=Master!$H$8,B237="2012-2013",E237="",G237="PLN03"),H237,"")</f>
        <v/>
      </c>
      <c r="AO237" s="42" t="str">
        <f>IF(AND(C237=Master!$H$9,B237="2012-2013",E237&gt;1000,G237="PLN03"),H237,"")</f>
        <v/>
      </c>
      <c r="AP237" s="42" t="str">
        <f>IF(AND(C237=Master!$H$9,B237="2012-2013",E237="",G237="PLN03"),H237,"")</f>
        <v/>
      </c>
      <c r="AQ237" s="44" t="str">
        <f>IF(AND(C237=Master!$H$1,B237="2012-2013",E237&gt;1000,G237="NPN05"),H237,"")</f>
        <v/>
      </c>
      <c r="AR237" s="44" t="str">
        <f>IF(AND(C237=Master!$H$1,B237="2012-2013",E237="",G237="NPN05"),H237,"")</f>
        <v/>
      </c>
      <c r="AS237" s="44" t="str">
        <f>IF(AND(C237=Master!$H$2,B237="2012-2013",E237&gt;1000,G237="NPN05"),H237,"")</f>
        <v/>
      </c>
      <c r="AT237" s="44" t="str">
        <f>IF(AND(C237=Master!$H$2,B237="2012-2013",E237="",G237="NPN05"),H237,"")</f>
        <v/>
      </c>
      <c r="AU237" s="44" t="str">
        <f>IF(AND(C237=Master!$H$3,B237="2012-2013",E237&gt;1000,G237="NPN05"),H237,"")</f>
        <v/>
      </c>
      <c r="AV237" s="44" t="str">
        <f>IF(AND(C237=Master!$H$3,B237="2012-2013",E237="",G237="NPN05"),H237,"")</f>
        <v/>
      </c>
      <c r="AW237" s="44" t="str">
        <f>IF(AND(C237=Master!$H$4,B237="2012-2013",E237&gt;1000,G237="NPN05"),H237,"")</f>
        <v/>
      </c>
      <c r="AX237" s="44" t="str">
        <f>IF(AND(C237=Master!$H$4,B237="2012-2013",E237="",G237="NPN05"),H237,"")</f>
        <v/>
      </c>
      <c r="AY237" s="44" t="str">
        <f>IF(AND(C237=Master!$H$5,B237="2012-2013",E237&gt;1000,G237="NPN05"),H237,"")</f>
        <v/>
      </c>
      <c r="AZ237" s="44" t="str">
        <f>IF(AND(C237=Master!$H$5,B237="2012-2013",E237="",G237="NPN05"),H237,"")</f>
        <v/>
      </c>
      <c r="BA237" s="44" t="str">
        <f>IF(AND(C237=Master!$H$6,B237="2012-2013",E237&gt;1000,G237="NPN05"),H237,"")</f>
        <v/>
      </c>
      <c r="BB237" s="44" t="str">
        <f>IF(AND(C237=Master!$H$6,B237="2012-2013",E237="",G237="NPN05"),H237,"")</f>
        <v/>
      </c>
      <c r="BC237" s="44" t="str">
        <f>IF(AND(C237=Master!$H$7,B237="2012-2013",E237&gt;1000,G237="NPN05"),H237,"")</f>
        <v/>
      </c>
      <c r="BD237" s="44" t="str">
        <f>IF(AND(C237=Master!$H$7,B237="2012-2013",E237="",G237="NPN05"),H237,"")</f>
        <v/>
      </c>
      <c r="BE237" s="44" t="str">
        <f>IF(AND(C237=Master!$H$8,B237="2012-2013",E237&gt;1000,G237="NPN05"),H237,"")</f>
        <v/>
      </c>
      <c r="BF237" s="44" t="str">
        <f>IF(AND(C237=Master!$H$8,B237="2012-2013",E237="",G237="NPN05"),H237,"")</f>
        <v/>
      </c>
      <c r="BG237" s="44" t="str">
        <f>IF(AND(C237=Master!$H$9,B237="2012-2013",E237&gt;1000,G237="NPN05"),H237,"")</f>
        <v/>
      </c>
      <c r="BH237" s="44" t="str">
        <f>IF(AND(C237=Master!$H$9,B237="2012-2013",E237="",G237="NPN05"),H237,"")</f>
        <v/>
      </c>
    </row>
    <row r="238" spans="1:60" x14ac:dyDescent="0.25">
      <c r="A238" s="5">
        <v>236</v>
      </c>
      <c r="B238" s="12"/>
      <c r="C238" s="12"/>
      <c r="D238" s="31"/>
      <c r="E238" s="4"/>
      <c r="F238" s="13"/>
      <c r="G238" s="21"/>
      <c r="H238" s="35"/>
      <c r="I238" s="21"/>
      <c r="J238" s="25" t="str">
        <f>IF(NOT(I238=""),INDEX(Master!$B$1:$B$46,MATCH(I238,Master!$A$1:$A$46,0)),"")</f>
        <v/>
      </c>
      <c r="K238" s="18"/>
      <c r="L238" s="86"/>
      <c r="M238" s="13"/>
      <c r="N238" s="13"/>
      <c r="O238" s="18"/>
      <c r="P238" s="35"/>
      <c r="Q238" s="21"/>
      <c r="R238" s="21"/>
      <c r="S238" s="13"/>
      <c r="T238" s="12"/>
      <c r="U238" s="12"/>
      <c r="V238" s="12"/>
      <c r="W238" s="14"/>
      <c r="Y238" s="42" t="str">
        <f>IF(AND(C238=Master!$H$1,B238="2012-2013",E238&gt;1000,G238="PLN03"),H238,"")</f>
        <v/>
      </c>
      <c r="Z238" s="42" t="str">
        <f>IF(AND(C238=Master!$H$1,B238="2012-2013",E238="",G238="PLN03"),H238,"")</f>
        <v/>
      </c>
      <c r="AA238" s="42" t="str">
        <f>IF(AND(C238=Master!$H$2,B238="2012-2013",E238&gt;1000,G238="PLN03"),H238,"")</f>
        <v/>
      </c>
      <c r="AB238" s="42" t="str">
        <f>IF(AND(C238=Master!$H$2,B238="2012-2013",E238="",G238="PLN03"),H238,"")</f>
        <v/>
      </c>
      <c r="AC238" s="42" t="str">
        <f>IF(AND(C238=Master!$H$3,B238="2012-2013",E238&gt;1000,G238="PLN03"),H238,"")</f>
        <v/>
      </c>
      <c r="AD238" s="42" t="str">
        <f>IF(AND(C238=Master!$H$3,B238="2012-2013",E238="",G238="PLN03"),H238,"")</f>
        <v/>
      </c>
      <c r="AE238" s="42" t="str">
        <f>IF(AND(C238=Master!$H$4,B238="2012-2013",E238&gt;1000,G238="PLN03"),H238,"")</f>
        <v/>
      </c>
      <c r="AF238" s="42" t="str">
        <f>IF(AND(C238=Master!$H$4,B238="2012-2013",E238="",G238="PLN03"),H238,"")</f>
        <v/>
      </c>
      <c r="AG238" s="42" t="str">
        <f>IF(AND(C238=Master!$H$5,B238="2012-2013",E238&gt;1000,G238="PLN03"),H238,"")</f>
        <v/>
      </c>
      <c r="AH238" s="42" t="str">
        <f>IF(AND(C238=Master!$H$5,B238="2012-2013",E238="",G238="PLN03"),H238,"")</f>
        <v/>
      </c>
      <c r="AI238" s="42" t="str">
        <f>IF(AND(C238=Master!$H$6,B238="2012-2013",E238&gt;1000,G238="PLN03"),H238,"")</f>
        <v/>
      </c>
      <c r="AJ238" s="42" t="str">
        <f>IF(AND(C238=Master!$H$6,B238="2012-2013",E238="",G238="PLN03"),H238,"")</f>
        <v/>
      </c>
      <c r="AK238" s="42" t="str">
        <f>IF(AND(C238=Master!$H$7,B238="2012-2013",E238&gt;1000,G238="PLN03"),H238,"")</f>
        <v/>
      </c>
      <c r="AL238" s="42" t="str">
        <f>IF(AND(C238=Master!$H$7,B238="2012-2013",E238="",G238="PLN03"),H238,"")</f>
        <v/>
      </c>
      <c r="AM238" s="42" t="str">
        <f>IF(AND(C238=Master!$H$8,B238="2012-2013",E238&gt;1000,G238="PLN03"),H238,"")</f>
        <v/>
      </c>
      <c r="AN238" s="42" t="str">
        <f>IF(AND(C238=Master!$H$8,B238="2012-2013",E238="",G238="PLN03"),H238,"")</f>
        <v/>
      </c>
      <c r="AO238" s="42" t="str">
        <f>IF(AND(C238=Master!$H$9,B238="2012-2013",E238&gt;1000,G238="PLN03"),H238,"")</f>
        <v/>
      </c>
      <c r="AP238" s="42" t="str">
        <f>IF(AND(C238=Master!$H$9,B238="2012-2013",E238="",G238="PLN03"),H238,"")</f>
        <v/>
      </c>
      <c r="AQ238" s="44" t="str">
        <f>IF(AND(C238=Master!$H$1,B238="2012-2013",E238&gt;1000,G238="NPN05"),H238,"")</f>
        <v/>
      </c>
      <c r="AR238" s="44" t="str">
        <f>IF(AND(C238=Master!$H$1,B238="2012-2013",E238="",G238="NPN05"),H238,"")</f>
        <v/>
      </c>
      <c r="AS238" s="44" t="str">
        <f>IF(AND(C238=Master!$H$2,B238="2012-2013",E238&gt;1000,G238="NPN05"),H238,"")</f>
        <v/>
      </c>
      <c r="AT238" s="44" t="str">
        <f>IF(AND(C238=Master!$H$2,B238="2012-2013",E238="",G238="NPN05"),H238,"")</f>
        <v/>
      </c>
      <c r="AU238" s="44" t="str">
        <f>IF(AND(C238=Master!$H$3,B238="2012-2013",E238&gt;1000,G238="NPN05"),H238,"")</f>
        <v/>
      </c>
      <c r="AV238" s="44" t="str">
        <f>IF(AND(C238=Master!$H$3,B238="2012-2013",E238="",G238="NPN05"),H238,"")</f>
        <v/>
      </c>
      <c r="AW238" s="44" t="str">
        <f>IF(AND(C238=Master!$H$4,B238="2012-2013",E238&gt;1000,G238="NPN05"),H238,"")</f>
        <v/>
      </c>
      <c r="AX238" s="44" t="str">
        <f>IF(AND(C238=Master!$H$4,B238="2012-2013",E238="",G238="NPN05"),H238,"")</f>
        <v/>
      </c>
      <c r="AY238" s="44" t="str">
        <f>IF(AND(C238=Master!$H$5,B238="2012-2013",E238&gt;1000,G238="NPN05"),H238,"")</f>
        <v/>
      </c>
      <c r="AZ238" s="44" t="str">
        <f>IF(AND(C238=Master!$H$5,B238="2012-2013",E238="",G238="NPN05"),H238,"")</f>
        <v/>
      </c>
      <c r="BA238" s="44" t="str">
        <f>IF(AND(C238=Master!$H$6,B238="2012-2013",E238&gt;1000,G238="NPN05"),H238,"")</f>
        <v/>
      </c>
      <c r="BB238" s="44" t="str">
        <f>IF(AND(C238=Master!$H$6,B238="2012-2013",E238="",G238="NPN05"),H238,"")</f>
        <v/>
      </c>
      <c r="BC238" s="44" t="str">
        <f>IF(AND(C238=Master!$H$7,B238="2012-2013",E238&gt;1000,G238="NPN05"),H238,"")</f>
        <v/>
      </c>
      <c r="BD238" s="44" t="str">
        <f>IF(AND(C238=Master!$H$7,B238="2012-2013",E238="",G238="NPN05"),H238,"")</f>
        <v/>
      </c>
      <c r="BE238" s="44" t="str">
        <f>IF(AND(C238=Master!$H$8,B238="2012-2013",E238&gt;1000,G238="NPN05"),H238,"")</f>
        <v/>
      </c>
      <c r="BF238" s="44" t="str">
        <f>IF(AND(C238=Master!$H$8,B238="2012-2013",E238="",G238="NPN05"),H238,"")</f>
        <v/>
      </c>
      <c r="BG238" s="44" t="str">
        <f>IF(AND(C238=Master!$H$9,B238="2012-2013",E238&gt;1000,G238="NPN05"),H238,"")</f>
        <v/>
      </c>
      <c r="BH238" s="44" t="str">
        <f>IF(AND(C238=Master!$H$9,B238="2012-2013",E238="",G238="NPN05"),H238,"")</f>
        <v/>
      </c>
    </row>
    <row r="239" spans="1:60" x14ac:dyDescent="0.25">
      <c r="A239" s="3">
        <v>237</v>
      </c>
      <c r="B239" s="12"/>
      <c r="C239" s="12"/>
      <c r="D239" s="31"/>
      <c r="E239" s="4"/>
      <c r="F239" s="13"/>
      <c r="G239" s="21"/>
      <c r="H239" s="35"/>
      <c r="I239" s="21"/>
      <c r="J239" s="25" t="str">
        <f>IF(NOT(I239=""),INDEX(Master!$B$1:$B$46,MATCH(I239,Master!$A$1:$A$46,0)),"")</f>
        <v/>
      </c>
      <c r="K239" s="18"/>
      <c r="L239" s="86"/>
      <c r="M239" s="13"/>
      <c r="N239" s="13"/>
      <c r="O239" s="18"/>
      <c r="P239" s="35"/>
      <c r="Q239" s="21"/>
      <c r="R239" s="21"/>
      <c r="S239" s="13"/>
      <c r="T239" s="12"/>
      <c r="U239" s="12"/>
      <c r="V239" s="12"/>
      <c r="W239" s="14"/>
      <c r="Y239" s="42" t="str">
        <f>IF(AND(C239=Master!$H$1,B239="2012-2013",E239&gt;1000,G239="PLN03"),H239,"")</f>
        <v/>
      </c>
      <c r="Z239" s="42" t="str">
        <f>IF(AND(C239=Master!$H$1,B239="2012-2013",E239="",G239="PLN03"),H239,"")</f>
        <v/>
      </c>
      <c r="AA239" s="42" t="str">
        <f>IF(AND(C239=Master!$H$2,B239="2012-2013",E239&gt;1000,G239="PLN03"),H239,"")</f>
        <v/>
      </c>
      <c r="AB239" s="42" t="str">
        <f>IF(AND(C239=Master!$H$2,B239="2012-2013",E239="",G239="PLN03"),H239,"")</f>
        <v/>
      </c>
      <c r="AC239" s="42" t="str">
        <f>IF(AND(C239=Master!$H$3,B239="2012-2013",E239&gt;1000,G239="PLN03"),H239,"")</f>
        <v/>
      </c>
      <c r="AD239" s="42" t="str">
        <f>IF(AND(C239=Master!$H$3,B239="2012-2013",E239="",G239="PLN03"),H239,"")</f>
        <v/>
      </c>
      <c r="AE239" s="42" t="str">
        <f>IF(AND(C239=Master!$H$4,B239="2012-2013",E239&gt;1000,G239="PLN03"),H239,"")</f>
        <v/>
      </c>
      <c r="AF239" s="42" t="str">
        <f>IF(AND(C239=Master!$H$4,B239="2012-2013",E239="",G239="PLN03"),H239,"")</f>
        <v/>
      </c>
      <c r="AG239" s="42" t="str">
        <f>IF(AND(C239=Master!$H$5,B239="2012-2013",E239&gt;1000,G239="PLN03"),H239,"")</f>
        <v/>
      </c>
      <c r="AH239" s="42" t="str">
        <f>IF(AND(C239=Master!$H$5,B239="2012-2013",E239="",G239="PLN03"),H239,"")</f>
        <v/>
      </c>
      <c r="AI239" s="42" t="str">
        <f>IF(AND(C239=Master!$H$6,B239="2012-2013",E239&gt;1000,G239="PLN03"),H239,"")</f>
        <v/>
      </c>
      <c r="AJ239" s="42" t="str">
        <f>IF(AND(C239=Master!$H$6,B239="2012-2013",E239="",G239="PLN03"),H239,"")</f>
        <v/>
      </c>
      <c r="AK239" s="42" t="str">
        <f>IF(AND(C239=Master!$H$7,B239="2012-2013",E239&gt;1000,G239="PLN03"),H239,"")</f>
        <v/>
      </c>
      <c r="AL239" s="42" t="str">
        <f>IF(AND(C239=Master!$H$7,B239="2012-2013",E239="",G239="PLN03"),H239,"")</f>
        <v/>
      </c>
      <c r="AM239" s="42" t="str">
        <f>IF(AND(C239=Master!$H$8,B239="2012-2013",E239&gt;1000,G239="PLN03"),H239,"")</f>
        <v/>
      </c>
      <c r="AN239" s="42" t="str">
        <f>IF(AND(C239=Master!$H$8,B239="2012-2013",E239="",G239="PLN03"),H239,"")</f>
        <v/>
      </c>
      <c r="AO239" s="42" t="str">
        <f>IF(AND(C239=Master!$H$9,B239="2012-2013",E239&gt;1000,G239="PLN03"),H239,"")</f>
        <v/>
      </c>
      <c r="AP239" s="42" t="str">
        <f>IF(AND(C239=Master!$H$9,B239="2012-2013",E239="",G239="PLN03"),H239,"")</f>
        <v/>
      </c>
      <c r="AQ239" s="44" t="str">
        <f>IF(AND(C239=Master!$H$1,B239="2012-2013",E239&gt;1000,G239="NPN05"),H239,"")</f>
        <v/>
      </c>
      <c r="AR239" s="44" t="str">
        <f>IF(AND(C239=Master!$H$1,B239="2012-2013",E239="",G239="NPN05"),H239,"")</f>
        <v/>
      </c>
      <c r="AS239" s="44" t="str">
        <f>IF(AND(C239=Master!$H$2,B239="2012-2013",E239&gt;1000,G239="NPN05"),H239,"")</f>
        <v/>
      </c>
      <c r="AT239" s="44" t="str">
        <f>IF(AND(C239=Master!$H$2,B239="2012-2013",E239="",G239="NPN05"),H239,"")</f>
        <v/>
      </c>
      <c r="AU239" s="44" t="str">
        <f>IF(AND(C239=Master!$H$3,B239="2012-2013",E239&gt;1000,G239="NPN05"),H239,"")</f>
        <v/>
      </c>
      <c r="AV239" s="44" t="str">
        <f>IF(AND(C239=Master!$H$3,B239="2012-2013",E239="",G239="NPN05"),H239,"")</f>
        <v/>
      </c>
      <c r="AW239" s="44" t="str">
        <f>IF(AND(C239=Master!$H$4,B239="2012-2013",E239&gt;1000,G239="NPN05"),H239,"")</f>
        <v/>
      </c>
      <c r="AX239" s="44" t="str">
        <f>IF(AND(C239=Master!$H$4,B239="2012-2013",E239="",G239="NPN05"),H239,"")</f>
        <v/>
      </c>
      <c r="AY239" s="44" t="str">
        <f>IF(AND(C239=Master!$H$5,B239="2012-2013",E239&gt;1000,G239="NPN05"),H239,"")</f>
        <v/>
      </c>
      <c r="AZ239" s="44" t="str">
        <f>IF(AND(C239=Master!$H$5,B239="2012-2013",E239="",G239="NPN05"),H239,"")</f>
        <v/>
      </c>
      <c r="BA239" s="44" t="str">
        <f>IF(AND(C239=Master!$H$6,B239="2012-2013",E239&gt;1000,G239="NPN05"),H239,"")</f>
        <v/>
      </c>
      <c r="BB239" s="44" t="str">
        <f>IF(AND(C239=Master!$H$6,B239="2012-2013",E239="",G239="NPN05"),H239,"")</f>
        <v/>
      </c>
      <c r="BC239" s="44" t="str">
        <f>IF(AND(C239=Master!$H$7,B239="2012-2013",E239&gt;1000,G239="NPN05"),H239,"")</f>
        <v/>
      </c>
      <c r="BD239" s="44" t="str">
        <f>IF(AND(C239=Master!$H$7,B239="2012-2013",E239="",G239="NPN05"),H239,"")</f>
        <v/>
      </c>
      <c r="BE239" s="44" t="str">
        <f>IF(AND(C239=Master!$H$8,B239="2012-2013",E239&gt;1000,G239="NPN05"),H239,"")</f>
        <v/>
      </c>
      <c r="BF239" s="44" t="str">
        <f>IF(AND(C239=Master!$H$8,B239="2012-2013",E239="",G239="NPN05"),H239,"")</f>
        <v/>
      </c>
      <c r="BG239" s="44" t="str">
        <f>IF(AND(C239=Master!$H$9,B239="2012-2013",E239&gt;1000,G239="NPN05"),H239,"")</f>
        <v/>
      </c>
      <c r="BH239" s="44" t="str">
        <f>IF(AND(C239=Master!$H$9,B239="2012-2013",E239="",G239="NPN05"),H239,"")</f>
        <v/>
      </c>
    </row>
    <row r="240" spans="1:60" x14ac:dyDescent="0.25">
      <c r="A240" s="3">
        <v>238</v>
      </c>
      <c r="B240" s="12"/>
      <c r="C240" s="12"/>
      <c r="D240" s="31"/>
      <c r="E240" s="4"/>
      <c r="F240" s="13"/>
      <c r="G240" s="21"/>
      <c r="H240" s="35"/>
      <c r="I240" s="21"/>
      <c r="J240" s="25" t="str">
        <f>IF(NOT(I240=""),INDEX(Master!$B$1:$B$46,MATCH(I240,Master!$A$1:$A$46,0)),"")</f>
        <v/>
      </c>
      <c r="K240" s="18"/>
      <c r="L240" s="86"/>
      <c r="M240" s="13"/>
      <c r="N240" s="13"/>
      <c r="O240" s="18"/>
      <c r="P240" s="35"/>
      <c r="Q240" s="21"/>
      <c r="R240" s="21"/>
      <c r="S240" s="13"/>
      <c r="T240" s="12"/>
      <c r="U240" s="12"/>
      <c r="V240" s="12"/>
      <c r="W240" s="14"/>
      <c r="Y240" s="42" t="str">
        <f>IF(AND(C240=Master!$H$1,B240="2012-2013",E240&gt;1000,G240="PLN03"),H240,"")</f>
        <v/>
      </c>
      <c r="Z240" s="42" t="str">
        <f>IF(AND(C240=Master!$H$1,B240="2012-2013",E240="",G240="PLN03"),H240,"")</f>
        <v/>
      </c>
      <c r="AA240" s="42" t="str">
        <f>IF(AND(C240=Master!$H$2,B240="2012-2013",E240&gt;1000,G240="PLN03"),H240,"")</f>
        <v/>
      </c>
      <c r="AB240" s="42" t="str">
        <f>IF(AND(C240=Master!$H$2,B240="2012-2013",E240="",G240="PLN03"),H240,"")</f>
        <v/>
      </c>
      <c r="AC240" s="42" t="str">
        <f>IF(AND(C240=Master!$H$3,B240="2012-2013",E240&gt;1000,G240="PLN03"),H240,"")</f>
        <v/>
      </c>
      <c r="AD240" s="42" t="str">
        <f>IF(AND(C240=Master!$H$3,B240="2012-2013",E240="",G240="PLN03"),H240,"")</f>
        <v/>
      </c>
      <c r="AE240" s="42" t="str">
        <f>IF(AND(C240=Master!$H$4,B240="2012-2013",E240&gt;1000,G240="PLN03"),H240,"")</f>
        <v/>
      </c>
      <c r="AF240" s="42" t="str">
        <f>IF(AND(C240=Master!$H$4,B240="2012-2013",E240="",G240="PLN03"),H240,"")</f>
        <v/>
      </c>
      <c r="AG240" s="42" t="str">
        <f>IF(AND(C240=Master!$H$5,B240="2012-2013",E240&gt;1000,G240="PLN03"),H240,"")</f>
        <v/>
      </c>
      <c r="AH240" s="42" t="str">
        <f>IF(AND(C240=Master!$H$5,B240="2012-2013",E240="",G240="PLN03"),H240,"")</f>
        <v/>
      </c>
      <c r="AI240" s="42" t="str">
        <f>IF(AND(C240=Master!$H$6,B240="2012-2013",E240&gt;1000,G240="PLN03"),H240,"")</f>
        <v/>
      </c>
      <c r="AJ240" s="42" t="str">
        <f>IF(AND(C240=Master!$H$6,B240="2012-2013",E240="",G240="PLN03"),H240,"")</f>
        <v/>
      </c>
      <c r="AK240" s="42" t="str">
        <f>IF(AND(C240=Master!$H$7,B240="2012-2013",E240&gt;1000,G240="PLN03"),H240,"")</f>
        <v/>
      </c>
      <c r="AL240" s="42" t="str">
        <f>IF(AND(C240=Master!$H$7,B240="2012-2013",E240="",G240="PLN03"),H240,"")</f>
        <v/>
      </c>
      <c r="AM240" s="42" t="str">
        <f>IF(AND(C240=Master!$H$8,B240="2012-2013",E240&gt;1000,G240="PLN03"),H240,"")</f>
        <v/>
      </c>
      <c r="AN240" s="42" t="str">
        <f>IF(AND(C240=Master!$H$8,B240="2012-2013",E240="",G240="PLN03"),H240,"")</f>
        <v/>
      </c>
      <c r="AO240" s="42" t="str">
        <f>IF(AND(C240=Master!$H$9,B240="2012-2013",E240&gt;1000,G240="PLN03"),H240,"")</f>
        <v/>
      </c>
      <c r="AP240" s="42" t="str">
        <f>IF(AND(C240=Master!$H$9,B240="2012-2013",E240="",G240="PLN03"),H240,"")</f>
        <v/>
      </c>
      <c r="AQ240" s="44" t="str">
        <f>IF(AND(C240=Master!$H$1,B240="2012-2013",E240&gt;1000,G240="NPN05"),H240,"")</f>
        <v/>
      </c>
      <c r="AR240" s="44" t="str">
        <f>IF(AND(C240=Master!$H$1,B240="2012-2013",E240="",G240="NPN05"),H240,"")</f>
        <v/>
      </c>
      <c r="AS240" s="44" t="str">
        <f>IF(AND(C240=Master!$H$2,B240="2012-2013",E240&gt;1000,G240="NPN05"),H240,"")</f>
        <v/>
      </c>
      <c r="AT240" s="44" t="str">
        <f>IF(AND(C240=Master!$H$2,B240="2012-2013",E240="",G240="NPN05"),H240,"")</f>
        <v/>
      </c>
      <c r="AU240" s="44" t="str">
        <f>IF(AND(C240=Master!$H$3,B240="2012-2013",E240&gt;1000,G240="NPN05"),H240,"")</f>
        <v/>
      </c>
      <c r="AV240" s="44" t="str">
        <f>IF(AND(C240=Master!$H$3,B240="2012-2013",E240="",G240="NPN05"),H240,"")</f>
        <v/>
      </c>
      <c r="AW240" s="44" t="str">
        <f>IF(AND(C240=Master!$H$4,B240="2012-2013",E240&gt;1000,G240="NPN05"),H240,"")</f>
        <v/>
      </c>
      <c r="AX240" s="44" t="str">
        <f>IF(AND(C240=Master!$H$4,B240="2012-2013",E240="",G240="NPN05"),H240,"")</f>
        <v/>
      </c>
      <c r="AY240" s="44" t="str">
        <f>IF(AND(C240=Master!$H$5,B240="2012-2013",E240&gt;1000,G240="NPN05"),H240,"")</f>
        <v/>
      </c>
      <c r="AZ240" s="44" t="str">
        <f>IF(AND(C240=Master!$H$5,B240="2012-2013",E240="",G240="NPN05"),H240,"")</f>
        <v/>
      </c>
      <c r="BA240" s="44" t="str">
        <f>IF(AND(C240=Master!$H$6,B240="2012-2013",E240&gt;1000,G240="NPN05"),H240,"")</f>
        <v/>
      </c>
      <c r="BB240" s="44" t="str">
        <f>IF(AND(C240=Master!$H$6,B240="2012-2013",E240="",G240="NPN05"),H240,"")</f>
        <v/>
      </c>
      <c r="BC240" s="44" t="str">
        <f>IF(AND(C240=Master!$H$7,B240="2012-2013",E240&gt;1000,G240="NPN05"),H240,"")</f>
        <v/>
      </c>
      <c r="BD240" s="44" t="str">
        <f>IF(AND(C240=Master!$H$7,B240="2012-2013",E240="",G240="NPN05"),H240,"")</f>
        <v/>
      </c>
      <c r="BE240" s="44" t="str">
        <f>IF(AND(C240=Master!$H$8,B240="2012-2013",E240&gt;1000,G240="NPN05"),H240,"")</f>
        <v/>
      </c>
      <c r="BF240" s="44" t="str">
        <f>IF(AND(C240=Master!$H$8,B240="2012-2013",E240="",G240="NPN05"),H240,"")</f>
        <v/>
      </c>
      <c r="BG240" s="44" t="str">
        <f>IF(AND(C240=Master!$H$9,B240="2012-2013",E240&gt;1000,G240="NPN05"),H240,"")</f>
        <v/>
      </c>
      <c r="BH240" s="44" t="str">
        <f>IF(AND(C240=Master!$H$9,B240="2012-2013",E240="",G240="NPN05"),H240,"")</f>
        <v/>
      </c>
    </row>
    <row r="241" spans="1:60" x14ac:dyDescent="0.25">
      <c r="A241" s="3">
        <v>239</v>
      </c>
      <c r="B241" s="12"/>
      <c r="C241" s="12"/>
      <c r="D241" s="31"/>
      <c r="E241" s="4"/>
      <c r="F241" s="13"/>
      <c r="G241" s="21"/>
      <c r="H241" s="35"/>
      <c r="I241" s="21"/>
      <c r="J241" s="25" t="str">
        <f>IF(NOT(I241=""),INDEX(Master!$B$1:$B$46,MATCH(I241,Master!$A$1:$A$46,0)),"")</f>
        <v/>
      </c>
      <c r="K241" s="18"/>
      <c r="L241" s="86"/>
      <c r="M241" s="13"/>
      <c r="N241" s="13"/>
      <c r="O241" s="18"/>
      <c r="P241" s="35"/>
      <c r="Q241" s="21"/>
      <c r="R241" s="21"/>
      <c r="S241" s="13"/>
      <c r="T241" s="12"/>
      <c r="U241" s="12"/>
      <c r="V241" s="12"/>
      <c r="W241" s="14"/>
      <c r="Y241" s="42" t="str">
        <f>IF(AND(C241=Master!$H$1,B241="2012-2013",E241&gt;1000,G241="PLN03"),H241,"")</f>
        <v/>
      </c>
      <c r="Z241" s="42" t="str">
        <f>IF(AND(C241=Master!$H$1,B241="2012-2013",E241="",G241="PLN03"),H241,"")</f>
        <v/>
      </c>
      <c r="AA241" s="42" t="str">
        <f>IF(AND(C241=Master!$H$2,B241="2012-2013",E241&gt;1000,G241="PLN03"),H241,"")</f>
        <v/>
      </c>
      <c r="AB241" s="42" t="str">
        <f>IF(AND(C241=Master!$H$2,B241="2012-2013",E241="",G241="PLN03"),H241,"")</f>
        <v/>
      </c>
      <c r="AC241" s="42" t="str">
        <f>IF(AND(C241=Master!$H$3,B241="2012-2013",E241&gt;1000,G241="PLN03"),H241,"")</f>
        <v/>
      </c>
      <c r="AD241" s="42" t="str">
        <f>IF(AND(C241=Master!$H$3,B241="2012-2013",E241="",G241="PLN03"),H241,"")</f>
        <v/>
      </c>
      <c r="AE241" s="42" t="str">
        <f>IF(AND(C241=Master!$H$4,B241="2012-2013",E241&gt;1000,G241="PLN03"),H241,"")</f>
        <v/>
      </c>
      <c r="AF241" s="42" t="str">
        <f>IF(AND(C241=Master!$H$4,B241="2012-2013",E241="",G241="PLN03"),H241,"")</f>
        <v/>
      </c>
      <c r="AG241" s="42" t="str">
        <f>IF(AND(C241=Master!$H$5,B241="2012-2013",E241&gt;1000,G241="PLN03"),H241,"")</f>
        <v/>
      </c>
      <c r="AH241" s="42" t="str">
        <f>IF(AND(C241=Master!$H$5,B241="2012-2013",E241="",G241="PLN03"),H241,"")</f>
        <v/>
      </c>
      <c r="AI241" s="42" t="str">
        <f>IF(AND(C241=Master!$H$6,B241="2012-2013",E241&gt;1000,G241="PLN03"),H241,"")</f>
        <v/>
      </c>
      <c r="AJ241" s="42" t="str">
        <f>IF(AND(C241=Master!$H$6,B241="2012-2013",E241="",G241="PLN03"),H241,"")</f>
        <v/>
      </c>
      <c r="AK241" s="42" t="str">
        <f>IF(AND(C241=Master!$H$7,B241="2012-2013",E241&gt;1000,G241="PLN03"),H241,"")</f>
        <v/>
      </c>
      <c r="AL241" s="42" t="str">
        <f>IF(AND(C241=Master!$H$7,B241="2012-2013",E241="",G241="PLN03"),H241,"")</f>
        <v/>
      </c>
      <c r="AM241" s="42" t="str">
        <f>IF(AND(C241=Master!$H$8,B241="2012-2013",E241&gt;1000,G241="PLN03"),H241,"")</f>
        <v/>
      </c>
      <c r="AN241" s="42" t="str">
        <f>IF(AND(C241=Master!$H$8,B241="2012-2013",E241="",G241="PLN03"),H241,"")</f>
        <v/>
      </c>
      <c r="AO241" s="42" t="str">
        <f>IF(AND(C241=Master!$H$9,B241="2012-2013",E241&gt;1000,G241="PLN03"),H241,"")</f>
        <v/>
      </c>
      <c r="AP241" s="42" t="str">
        <f>IF(AND(C241=Master!$H$9,B241="2012-2013",E241="",G241="PLN03"),H241,"")</f>
        <v/>
      </c>
      <c r="AQ241" s="44" t="str">
        <f>IF(AND(C241=Master!$H$1,B241="2012-2013",E241&gt;1000,G241="NPN05"),H241,"")</f>
        <v/>
      </c>
      <c r="AR241" s="44" t="str">
        <f>IF(AND(C241=Master!$H$1,B241="2012-2013",E241="",G241="NPN05"),H241,"")</f>
        <v/>
      </c>
      <c r="AS241" s="44" t="str">
        <f>IF(AND(C241=Master!$H$2,B241="2012-2013",E241&gt;1000,G241="NPN05"),H241,"")</f>
        <v/>
      </c>
      <c r="AT241" s="44" t="str">
        <f>IF(AND(C241=Master!$H$2,B241="2012-2013",E241="",G241="NPN05"),H241,"")</f>
        <v/>
      </c>
      <c r="AU241" s="44" t="str">
        <f>IF(AND(C241=Master!$H$3,B241="2012-2013",E241&gt;1000,G241="NPN05"),H241,"")</f>
        <v/>
      </c>
      <c r="AV241" s="44" t="str">
        <f>IF(AND(C241=Master!$H$3,B241="2012-2013",E241="",G241="NPN05"),H241,"")</f>
        <v/>
      </c>
      <c r="AW241" s="44" t="str">
        <f>IF(AND(C241=Master!$H$4,B241="2012-2013",E241&gt;1000,G241="NPN05"),H241,"")</f>
        <v/>
      </c>
      <c r="AX241" s="44" t="str">
        <f>IF(AND(C241=Master!$H$4,B241="2012-2013",E241="",G241="NPN05"),H241,"")</f>
        <v/>
      </c>
      <c r="AY241" s="44" t="str">
        <f>IF(AND(C241=Master!$H$5,B241="2012-2013",E241&gt;1000,G241="NPN05"),H241,"")</f>
        <v/>
      </c>
      <c r="AZ241" s="44" t="str">
        <f>IF(AND(C241=Master!$H$5,B241="2012-2013",E241="",G241="NPN05"),H241,"")</f>
        <v/>
      </c>
      <c r="BA241" s="44" t="str">
        <f>IF(AND(C241=Master!$H$6,B241="2012-2013",E241&gt;1000,G241="NPN05"),H241,"")</f>
        <v/>
      </c>
      <c r="BB241" s="44" t="str">
        <f>IF(AND(C241=Master!$H$6,B241="2012-2013",E241="",G241="NPN05"),H241,"")</f>
        <v/>
      </c>
      <c r="BC241" s="44" t="str">
        <f>IF(AND(C241=Master!$H$7,B241="2012-2013",E241&gt;1000,G241="NPN05"),H241,"")</f>
        <v/>
      </c>
      <c r="BD241" s="44" t="str">
        <f>IF(AND(C241=Master!$H$7,B241="2012-2013",E241="",G241="NPN05"),H241,"")</f>
        <v/>
      </c>
      <c r="BE241" s="44" t="str">
        <f>IF(AND(C241=Master!$H$8,B241="2012-2013",E241&gt;1000,G241="NPN05"),H241,"")</f>
        <v/>
      </c>
      <c r="BF241" s="44" t="str">
        <f>IF(AND(C241=Master!$H$8,B241="2012-2013",E241="",G241="NPN05"),H241,"")</f>
        <v/>
      </c>
      <c r="BG241" s="44" t="str">
        <f>IF(AND(C241=Master!$H$9,B241="2012-2013",E241&gt;1000,G241="NPN05"),H241,"")</f>
        <v/>
      </c>
      <c r="BH241" s="44" t="str">
        <f>IF(AND(C241=Master!$H$9,B241="2012-2013",E241="",G241="NPN05"),H241,"")</f>
        <v/>
      </c>
    </row>
    <row r="242" spans="1:60" x14ac:dyDescent="0.25">
      <c r="A242" s="3">
        <v>240</v>
      </c>
      <c r="B242" s="12"/>
      <c r="C242" s="12"/>
      <c r="D242" s="31"/>
      <c r="E242" s="4"/>
      <c r="F242" s="13"/>
      <c r="G242" s="21"/>
      <c r="H242" s="35"/>
      <c r="I242" s="21"/>
      <c r="J242" s="25" t="str">
        <f>IF(NOT(I242=""),INDEX(Master!$B$1:$B$46,MATCH(I242,Master!$A$1:$A$46,0)),"")</f>
        <v/>
      </c>
      <c r="K242" s="18"/>
      <c r="L242" s="86"/>
      <c r="M242" s="13"/>
      <c r="N242" s="13"/>
      <c r="O242" s="18"/>
      <c r="P242" s="35"/>
      <c r="Q242" s="21"/>
      <c r="R242" s="21"/>
      <c r="S242" s="13"/>
      <c r="T242" s="12"/>
      <c r="U242" s="12"/>
      <c r="V242" s="12"/>
      <c r="W242" s="14"/>
      <c r="Y242" s="42" t="str">
        <f>IF(AND(C242=Master!$H$1,B242="2012-2013",E242&gt;1000,G242="PLN03"),H242,"")</f>
        <v/>
      </c>
      <c r="Z242" s="42" t="str">
        <f>IF(AND(C242=Master!$H$1,B242="2012-2013",E242="",G242="PLN03"),H242,"")</f>
        <v/>
      </c>
      <c r="AA242" s="42" t="str">
        <f>IF(AND(C242=Master!$H$2,B242="2012-2013",E242&gt;1000,G242="PLN03"),H242,"")</f>
        <v/>
      </c>
      <c r="AB242" s="42" t="str">
        <f>IF(AND(C242=Master!$H$2,B242="2012-2013",E242="",G242="PLN03"),H242,"")</f>
        <v/>
      </c>
      <c r="AC242" s="42" t="str">
        <f>IF(AND(C242=Master!$H$3,B242="2012-2013",E242&gt;1000,G242="PLN03"),H242,"")</f>
        <v/>
      </c>
      <c r="AD242" s="42" t="str">
        <f>IF(AND(C242=Master!$H$3,B242="2012-2013",E242="",G242="PLN03"),H242,"")</f>
        <v/>
      </c>
      <c r="AE242" s="42" t="str">
        <f>IF(AND(C242=Master!$H$4,B242="2012-2013",E242&gt;1000,G242="PLN03"),H242,"")</f>
        <v/>
      </c>
      <c r="AF242" s="42" t="str">
        <f>IF(AND(C242=Master!$H$4,B242="2012-2013",E242="",G242="PLN03"),H242,"")</f>
        <v/>
      </c>
      <c r="AG242" s="42" t="str">
        <f>IF(AND(C242=Master!$H$5,B242="2012-2013",E242&gt;1000,G242="PLN03"),H242,"")</f>
        <v/>
      </c>
      <c r="AH242" s="42" t="str">
        <f>IF(AND(C242=Master!$H$5,B242="2012-2013",E242="",G242="PLN03"),H242,"")</f>
        <v/>
      </c>
      <c r="AI242" s="42" t="str">
        <f>IF(AND(C242=Master!$H$6,B242="2012-2013",E242&gt;1000,G242="PLN03"),H242,"")</f>
        <v/>
      </c>
      <c r="AJ242" s="42" t="str">
        <f>IF(AND(C242=Master!$H$6,B242="2012-2013",E242="",G242="PLN03"),H242,"")</f>
        <v/>
      </c>
      <c r="AK242" s="42" t="str">
        <f>IF(AND(C242=Master!$H$7,B242="2012-2013",E242&gt;1000,G242="PLN03"),H242,"")</f>
        <v/>
      </c>
      <c r="AL242" s="42" t="str">
        <f>IF(AND(C242=Master!$H$7,B242="2012-2013",E242="",G242="PLN03"),H242,"")</f>
        <v/>
      </c>
      <c r="AM242" s="42" t="str">
        <f>IF(AND(C242=Master!$H$8,B242="2012-2013",E242&gt;1000,G242="PLN03"),H242,"")</f>
        <v/>
      </c>
      <c r="AN242" s="42" t="str">
        <f>IF(AND(C242=Master!$H$8,B242="2012-2013",E242="",G242="PLN03"),H242,"")</f>
        <v/>
      </c>
      <c r="AO242" s="42" t="str">
        <f>IF(AND(C242=Master!$H$9,B242="2012-2013",E242&gt;1000,G242="PLN03"),H242,"")</f>
        <v/>
      </c>
      <c r="AP242" s="42" t="str">
        <f>IF(AND(C242=Master!$H$9,B242="2012-2013",E242="",G242="PLN03"),H242,"")</f>
        <v/>
      </c>
      <c r="AQ242" s="44" t="str">
        <f>IF(AND(C242=Master!$H$1,B242="2012-2013",E242&gt;1000,G242="NPN05"),H242,"")</f>
        <v/>
      </c>
      <c r="AR242" s="44" t="str">
        <f>IF(AND(C242=Master!$H$1,B242="2012-2013",E242="",G242="NPN05"),H242,"")</f>
        <v/>
      </c>
      <c r="AS242" s="44" t="str">
        <f>IF(AND(C242=Master!$H$2,B242="2012-2013",E242&gt;1000,G242="NPN05"),H242,"")</f>
        <v/>
      </c>
      <c r="AT242" s="44" t="str">
        <f>IF(AND(C242=Master!$H$2,B242="2012-2013",E242="",G242="NPN05"),H242,"")</f>
        <v/>
      </c>
      <c r="AU242" s="44" t="str">
        <f>IF(AND(C242=Master!$H$3,B242="2012-2013",E242&gt;1000,G242="NPN05"),H242,"")</f>
        <v/>
      </c>
      <c r="AV242" s="44" t="str">
        <f>IF(AND(C242=Master!$H$3,B242="2012-2013",E242="",G242="NPN05"),H242,"")</f>
        <v/>
      </c>
      <c r="AW242" s="44" t="str">
        <f>IF(AND(C242=Master!$H$4,B242="2012-2013",E242&gt;1000,G242="NPN05"),H242,"")</f>
        <v/>
      </c>
      <c r="AX242" s="44" t="str">
        <f>IF(AND(C242=Master!$H$4,B242="2012-2013",E242="",G242="NPN05"),H242,"")</f>
        <v/>
      </c>
      <c r="AY242" s="44" t="str">
        <f>IF(AND(C242=Master!$H$5,B242="2012-2013",E242&gt;1000,G242="NPN05"),H242,"")</f>
        <v/>
      </c>
      <c r="AZ242" s="44" t="str">
        <f>IF(AND(C242=Master!$H$5,B242="2012-2013",E242="",G242="NPN05"),H242,"")</f>
        <v/>
      </c>
      <c r="BA242" s="44" t="str">
        <f>IF(AND(C242=Master!$H$6,B242="2012-2013",E242&gt;1000,G242="NPN05"),H242,"")</f>
        <v/>
      </c>
      <c r="BB242" s="44" t="str">
        <f>IF(AND(C242=Master!$H$6,B242="2012-2013",E242="",G242="NPN05"),H242,"")</f>
        <v/>
      </c>
      <c r="BC242" s="44" t="str">
        <f>IF(AND(C242=Master!$H$7,B242="2012-2013",E242&gt;1000,G242="NPN05"),H242,"")</f>
        <v/>
      </c>
      <c r="BD242" s="44" t="str">
        <f>IF(AND(C242=Master!$H$7,B242="2012-2013",E242="",G242="NPN05"),H242,"")</f>
        <v/>
      </c>
      <c r="BE242" s="44" t="str">
        <f>IF(AND(C242=Master!$H$8,B242="2012-2013",E242&gt;1000,G242="NPN05"),H242,"")</f>
        <v/>
      </c>
      <c r="BF242" s="44" t="str">
        <f>IF(AND(C242=Master!$H$8,B242="2012-2013",E242="",G242="NPN05"),H242,"")</f>
        <v/>
      </c>
      <c r="BG242" s="44" t="str">
        <f>IF(AND(C242=Master!$H$9,B242="2012-2013",E242&gt;1000,G242="NPN05"),H242,"")</f>
        <v/>
      </c>
      <c r="BH242" s="44" t="str">
        <f>IF(AND(C242=Master!$H$9,B242="2012-2013",E242="",G242="NPN05"),H242,"")</f>
        <v/>
      </c>
    </row>
    <row r="243" spans="1:60" x14ac:dyDescent="0.25">
      <c r="A243" s="3">
        <v>241</v>
      </c>
      <c r="B243" s="12"/>
      <c r="C243" s="12"/>
      <c r="D243" s="31"/>
      <c r="E243" s="4"/>
      <c r="F243" s="13"/>
      <c r="G243" s="21"/>
      <c r="H243" s="35"/>
      <c r="I243" s="21"/>
      <c r="J243" s="25" t="str">
        <f>IF(NOT(I243=""),INDEX(Master!$B$1:$B$46,MATCH(I243,Master!$A$1:$A$46,0)),"")</f>
        <v/>
      </c>
      <c r="K243" s="18"/>
      <c r="L243" s="86"/>
      <c r="M243" s="13"/>
      <c r="N243" s="13"/>
      <c r="O243" s="18"/>
      <c r="P243" s="35"/>
      <c r="Q243" s="21"/>
      <c r="R243" s="21"/>
      <c r="S243" s="13"/>
      <c r="T243" s="12"/>
      <c r="U243" s="12"/>
      <c r="V243" s="12"/>
      <c r="W243" s="14"/>
      <c r="Y243" s="42" t="str">
        <f>IF(AND(C243=Master!$H$1,B243="2012-2013",E243&gt;1000,G243="PLN03"),H243,"")</f>
        <v/>
      </c>
      <c r="Z243" s="42" t="str">
        <f>IF(AND(C243=Master!$H$1,B243="2012-2013",E243="",G243="PLN03"),H243,"")</f>
        <v/>
      </c>
      <c r="AA243" s="42" t="str">
        <f>IF(AND(C243=Master!$H$2,B243="2012-2013",E243&gt;1000,G243="PLN03"),H243,"")</f>
        <v/>
      </c>
      <c r="AB243" s="42" t="str">
        <f>IF(AND(C243=Master!$H$2,B243="2012-2013",E243="",G243="PLN03"),H243,"")</f>
        <v/>
      </c>
      <c r="AC243" s="42" t="str">
        <f>IF(AND(C243=Master!$H$3,B243="2012-2013",E243&gt;1000,G243="PLN03"),H243,"")</f>
        <v/>
      </c>
      <c r="AD243" s="42" t="str">
        <f>IF(AND(C243=Master!$H$3,B243="2012-2013",E243="",G243="PLN03"),H243,"")</f>
        <v/>
      </c>
      <c r="AE243" s="42" t="str">
        <f>IF(AND(C243=Master!$H$4,B243="2012-2013",E243&gt;1000,G243="PLN03"),H243,"")</f>
        <v/>
      </c>
      <c r="AF243" s="42" t="str">
        <f>IF(AND(C243=Master!$H$4,B243="2012-2013",E243="",G243="PLN03"),H243,"")</f>
        <v/>
      </c>
      <c r="AG243" s="42" t="str">
        <f>IF(AND(C243=Master!$H$5,B243="2012-2013",E243&gt;1000,G243="PLN03"),H243,"")</f>
        <v/>
      </c>
      <c r="AH243" s="42" t="str">
        <f>IF(AND(C243=Master!$H$5,B243="2012-2013",E243="",G243="PLN03"),H243,"")</f>
        <v/>
      </c>
      <c r="AI243" s="42" t="str">
        <f>IF(AND(C243=Master!$H$6,B243="2012-2013",E243&gt;1000,G243="PLN03"),H243,"")</f>
        <v/>
      </c>
      <c r="AJ243" s="42" t="str">
        <f>IF(AND(C243=Master!$H$6,B243="2012-2013",E243="",G243="PLN03"),H243,"")</f>
        <v/>
      </c>
      <c r="AK243" s="42" t="str">
        <f>IF(AND(C243=Master!$H$7,B243="2012-2013",E243&gt;1000,G243="PLN03"),H243,"")</f>
        <v/>
      </c>
      <c r="AL243" s="42" t="str">
        <f>IF(AND(C243=Master!$H$7,B243="2012-2013",E243="",G243="PLN03"),H243,"")</f>
        <v/>
      </c>
      <c r="AM243" s="42" t="str">
        <f>IF(AND(C243=Master!$H$8,B243="2012-2013",E243&gt;1000,G243="PLN03"),H243,"")</f>
        <v/>
      </c>
      <c r="AN243" s="42" t="str">
        <f>IF(AND(C243=Master!$H$8,B243="2012-2013",E243="",G243="PLN03"),H243,"")</f>
        <v/>
      </c>
      <c r="AO243" s="42" t="str">
        <f>IF(AND(C243=Master!$H$9,B243="2012-2013",E243&gt;1000,G243="PLN03"),H243,"")</f>
        <v/>
      </c>
      <c r="AP243" s="42" t="str">
        <f>IF(AND(C243=Master!$H$9,B243="2012-2013",E243="",G243="PLN03"),H243,"")</f>
        <v/>
      </c>
      <c r="AQ243" s="44" t="str">
        <f>IF(AND(C243=Master!$H$1,B243="2012-2013",E243&gt;1000,G243="NPN05"),H243,"")</f>
        <v/>
      </c>
      <c r="AR243" s="44" t="str">
        <f>IF(AND(C243=Master!$H$1,B243="2012-2013",E243="",G243="NPN05"),H243,"")</f>
        <v/>
      </c>
      <c r="AS243" s="44" t="str">
        <f>IF(AND(C243=Master!$H$2,B243="2012-2013",E243&gt;1000,G243="NPN05"),H243,"")</f>
        <v/>
      </c>
      <c r="AT243" s="44" t="str">
        <f>IF(AND(C243=Master!$H$2,B243="2012-2013",E243="",G243="NPN05"),H243,"")</f>
        <v/>
      </c>
      <c r="AU243" s="44" t="str">
        <f>IF(AND(C243=Master!$H$3,B243="2012-2013",E243&gt;1000,G243="NPN05"),H243,"")</f>
        <v/>
      </c>
      <c r="AV243" s="44" t="str">
        <f>IF(AND(C243=Master!$H$3,B243="2012-2013",E243="",G243="NPN05"),H243,"")</f>
        <v/>
      </c>
      <c r="AW243" s="44" t="str">
        <f>IF(AND(C243=Master!$H$4,B243="2012-2013",E243&gt;1000,G243="NPN05"),H243,"")</f>
        <v/>
      </c>
      <c r="AX243" s="44" t="str">
        <f>IF(AND(C243=Master!$H$4,B243="2012-2013",E243="",G243="NPN05"),H243,"")</f>
        <v/>
      </c>
      <c r="AY243" s="44" t="str">
        <f>IF(AND(C243=Master!$H$5,B243="2012-2013",E243&gt;1000,G243="NPN05"),H243,"")</f>
        <v/>
      </c>
      <c r="AZ243" s="44" t="str">
        <f>IF(AND(C243=Master!$H$5,B243="2012-2013",E243="",G243="NPN05"),H243,"")</f>
        <v/>
      </c>
      <c r="BA243" s="44" t="str">
        <f>IF(AND(C243=Master!$H$6,B243="2012-2013",E243&gt;1000,G243="NPN05"),H243,"")</f>
        <v/>
      </c>
      <c r="BB243" s="44" t="str">
        <f>IF(AND(C243=Master!$H$6,B243="2012-2013",E243="",G243="NPN05"),H243,"")</f>
        <v/>
      </c>
      <c r="BC243" s="44" t="str">
        <f>IF(AND(C243=Master!$H$7,B243="2012-2013",E243&gt;1000,G243="NPN05"),H243,"")</f>
        <v/>
      </c>
      <c r="BD243" s="44" t="str">
        <f>IF(AND(C243=Master!$H$7,B243="2012-2013",E243="",G243="NPN05"),H243,"")</f>
        <v/>
      </c>
      <c r="BE243" s="44" t="str">
        <f>IF(AND(C243=Master!$H$8,B243="2012-2013",E243&gt;1000,G243="NPN05"),H243,"")</f>
        <v/>
      </c>
      <c r="BF243" s="44" t="str">
        <f>IF(AND(C243=Master!$H$8,B243="2012-2013",E243="",G243="NPN05"),H243,"")</f>
        <v/>
      </c>
      <c r="BG243" s="44" t="str">
        <f>IF(AND(C243=Master!$H$9,B243="2012-2013",E243&gt;1000,G243="NPN05"),H243,"")</f>
        <v/>
      </c>
      <c r="BH243" s="44" t="str">
        <f>IF(AND(C243=Master!$H$9,B243="2012-2013",E243="",G243="NPN05"),H243,"")</f>
        <v/>
      </c>
    </row>
    <row r="244" spans="1:60" x14ac:dyDescent="0.25">
      <c r="A244" s="3">
        <v>242</v>
      </c>
      <c r="B244" s="12"/>
      <c r="C244" s="12"/>
      <c r="D244" s="31"/>
      <c r="E244" s="4"/>
      <c r="F244" s="13"/>
      <c r="G244" s="21"/>
      <c r="H244" s="35"/>
      <c r="I244" s="21"/>
      <c r="J244" s="25" t="str">
        <f>IF(NOT(I244=""),INDEX(Master!$B$1:$B$46,MATCH(I244,Master!$A$1:$A$46,0)),"")</f>
        <v/>
      </c>
      <c r="K244" s="18"/>
      <c r="L244" s="86"/>
      <c r="M244" s="13"/>
      <c r="N244" s="13"/>
      <c r="O244" s="18"/>
      <c r="P244" s="35"/>
      <c r="Q244" s="21"/>
      <c r="R244" s="21"/>
      <c r="S244" s="13"/>
      <c r="T244" s="12"/>
      <c r="U244" s="12"/>
      <c r="V244" s="12"/>
      <c r="W244" s="14"/>
      <c r="Y244" s="42" t="str">
        <f>IF(AND(C244=Master!$H$1,B244="2012-2013",E244&gt;1000,G244="PLN03"),H244,"")</f>
        <v/>
      </c>
      <c r="Z244" s="42" t="str">
        <f>IF(AND(C244=Master!$H$1,B244="2012-2013",E244="",G244="PLN03"),H244,"")</f>
        <v/>
      </c>
      <c r="AA244" s="42" t="str">
        <f>IF(AND(C244=Master!$H$2,B244="2012-2013",E244&gt;1000,G244="PLN03"),H244,"")</f>
        <v/>
      </c>
      <c r="AB244" s="42" t="str">
        <f>IF(AND(C244=Master!$H$2,B244="2012-2013",E244="",G244="PLN03"),H244,"")</f>
        <v/>
      </c>
      <c r="AC244" s="42" t="str">
        <f>IF(AND(C244=Master!$H$3,B244="2012-2013",E244&gt;1000,G244="PLN03"),H244,"")</f>
        <v/>
      </c>
      <c r="AD244" s="42" t="str">
        <f>IF(AND(C244=Master!$H$3,B244="2012-2013",E244="",G244="PLN03"),H244,"")</f>
        <v/>
      </c>
      <c r="AE244" s="42" t="str">
        <f>IF(AND(C244=Master!$H$4,B244="2012-2013",E244&gt;1000,G244="PLN03"),H244,"")</f>
        <v/>
      </c>
      <c r="AF244" s="42" t="str">
        <f>IF(AND(C244=Master!$H$4,B244="2012-2013",E244="",G244="PLN03"),H244,"")</f>
        <v/>
      </c>
      <c r="AG244" s="42" t="str">
        <f>IF(AND(C244=Master!$H$5,B244="2012-2013",E244&gt;1000,G244="PLN03"),H244,"")</f>
        <v/>
      </c>
      <c r="AH244" s="42" t="str">
        <f>IF(AND(C244=Master!$H$5,B244="2012-2013",E244="",G244="PLN03"),H244,"")</f>
        <v/>
      </c>
      <c r="AI244" s="42" t="str">
        <f>IF(AND(C244=Master!$H$6,B244="2012-2013",E244&gt;1000,G244="PLN03"),H244,"")</f>
        <v/>
      </c>
      <c r="AJ244" s="42" t="str">
        <f>IF(AND(C244=Master!$H$6,B244="2012-2013",E244="",G244="PLN03"),H244,"")</f>
        <v/>
      </c>
      <c r="AK244" s="42" t="str">
        <f>IF(AND(C244=Master!$H$7,B244="2012-2013",E244&gt;1000,G244="PLN03"),H244,"")</f>
        <v/>
      </c>
      <c r="AL244" s="42" t="str">
        <f>IF(AND(C244=Master!$H$7,B244="2012-2013",E244="",G244="PLN03"),H244,"")</f>
        <v/>
      </c>
      <c r="AM244" s="42" t="str">
        <f>IF(AND(C244=Master!$H$8,B244="2012-2013",E244&gt;1000,G244="PLN03"),H244,"")</f>
        <v/>
      </c>
      <c r="AN244" s="42" t="str">
        <f>IF(AND(C244=Master!$H$8,B244="2012-2013",E244="",G244="PLN03"),H244,"")</f>
        <v/>
      </c>
      <c r="AO244" s="42" t="str">
        <f>IF(AND(C244=Master!$H$9,B244="2012-2013",E244&gt;1000,G244="PLN03"),H244,"")</f>
        <v/>
      </c>
      <c r="AP244" s="42" t="str">
        <f>IF(AND(C244=Master!$H$9,B244="2012-2013",E244="",G244="PLN03"),H244,"")</f>
        <v/>
      </c>
      <c r="AQ244" s="44" t="str">
        <f>IF(AND(C244=Master!$H$1,B244="2012-2013",E244&gt;1000,G244="NPN05"),H244,"")</f>
        <v/>
      </c>
      <c r="AR244" s="44" t="str">
        <f>IF(AND(C244=Master!$H$1,B244="2012-2013",E244="",G244="NPN05"),H244,"")</f>
        <v/>
      </c>
      <c r="AS244" s="44" t="str">
        <f>IF(AND(C244=Master!$H$2,B244="2012-2013",E244&gt;1000,G244="NPN05"),H244,"")</f>
        <v/>
      </c>
      <c r="AT244" s="44" t="str">
        <f>IF(AND(C244=Master!$H$2,B244="2012-2013",E244="",G244="NPN05"),H244,"")</f>
        <v/>
      </c>
      <c r="AU244" s="44" t="str">
        <f>IF(AND(C244=Master!$H$3,B244="2012-2013",E244&gt;1000,G244="NPN05"),H244,"")</f>
        <v/>
      </c>
      <c r="AV244" s="44" t="str">
        <f>IF(AND(C244=Master!$H$3,B244="2012-2013",E244="",G244="NPN05"),H244,"")</f>
        <v/>
      </c>
      <c r="AW244" s="44" t="str">
        <f>IF(AND(C244=Master!$H$4,B244="2012-2013",E244&gt;1000,G244="NPN05"),H244,"")</f>
        <v/>
      </c>
      <c r="AX244" s="44" t="str">
        <f>IF(AND(C244=Master!$H$4,B244="2012-2013",E244="",G244="NPN05"),H244,"")</f>
        <v/>
      </c>
      <c r="AY244" s="44" t="str">
        <f>IF(AND(C244=Master!$H$5,B244="2012-2013",E244&gt;1000,G244="NPN05"),H244,"")</f>
        <v/>
      </c>
      <c r="AZ244" s="44" t="str">
        <f>IF(AND(C244=Master!$H$5,B244="2012-2013",E244="",G244="NPN05"),H244,"")</f>
        <v/>
      </c>
      <c r="BA244" s="44" t="str">
        <f>IF(AND(C244=Master!$H$6,B244="2012-2013",E244&gt;1000,G244="NPN05"),H244,"")</f>
        <v/>
      </c>
      <c r="BB244" s="44" t="str">
        <f>IF(AND(C244=Master!$H$6,B244="2012-2013",E244="",G244="NPN05"),H244,"")</f>
        <v/>
      </c>
      <c r="BC244" s="44" t="str">
        <f>IF(AND(C244=Master!$H$7,B244="2012-2013",E244&gt;1000,G244="NPN05"),H244,"")</f>
        <v/>
      </c>
      <c r="BD244" s="44" t="str">
        <f>IF(AND(C244=Master!$H$7,B244="2012-2013",E244="",G244="NPN05"),H244,"")</f>
        <v/>
      </c>
      <c r="BE244" s="44" t="str">
        <f>IF(AND(C244=Master!$H$8,B244="2012-2013",E244&gt;1000,G244="NPN05"),H244,"")</f>
        <v/>
      </c>
      <c r="BF244" s="44" t="str">
        <f>IF(AND(C244=Master!$H$8,B244="2012-2013",E244="",G244="NPN05"),H244,"")</f>
        <v/>
      </c>
      <c r="BG244" s="44" t="str">
        <f>IF(AND(C244=Master!$H$9,B244="2012-2013",E244&gt;1000,G244="NPN05"),H244,"")</f>
        <v/>
      </c>
      <c r="BH244" s="44" t="str">
        <f>IF(AND(C244=Master!$H$9,B244="2012-2013",E244="",G244="NPN05"),H244,"")</f>
        <v/>
      </c>
    </row>
    <row r="245" spans="1:60" x14ac:dyDescent="0.25">
      <c r="A245" s="3">
        <v>243</v>
      </c>
      <c r="B245" s="12"/>
      <c r="C245" s="12"/>
      <c r="D245" s="31"/>
      <c r="E245" s="4"/>
      <c r="F245" s="13"/>
      <c r="G245" s="21"/>
      <c r="H245" s="35"/>
      <c r="I245" s="21"/>
      <c r="J245" s="25" t="str">
        <f>IF(NOT(I245=""),INDEX(Master!$B$1:$B$46,MATCH(I245,Master!$A$1:$A$46,0)),"")</f>
        <v/>
      </c>
      <c r="K245" s="18"/>
      <c r="L245" s="86"/>
      <c r="M245" s="13"/>
      <c r="N245" s="13"/>
      <c r="O245" s="18"/>
      <c r="P245" s="35"/>
      <c r="Q245" s="21"/>
      <c r="R245" s="21"/>
      <c r="S245" s="13"/>
      <c r="T245" s="12"/>
      <c r="U245" s="12"/>
      <c r="V245" s="12"/>
      <c r="W245" s="14"/>
      <c r="Y245" s="42" t="str">
        <f>IF(AND(C245=Master!$H$1,B245="2012-2013",E245&gt;1000,G245="PLN03"),H245,"")</f>
        <v/>
      </c>
      <c r="Z245" s="42" t="str">
        <f>IF(AND(C245=Master!$H$1,B245="2012-2013",E245="",G245="PLN03"),H245,"")</f>
        <v/>
      </c>
      <c r="AA245" s="42" t="str">
        <f>IF(AND(C245=Master!$H$2,B245="2012-2013",E245&gt;1000,G245="PLN03"),H245,"")</f>
        <v/>
      </c>
      <c r="AB245" s="42" t="str">
        <f>IF(AND(C245=Master!$H$2,B245="2012-2013",E245="",G245="PLN03"),H245,"")</f>
        <v/>
      </c>
      <c r="AC245" s="42" t="str">
        <f>IF(AND(C245=Master!$H$3,B245="2012-2013",E245&gt;1000,G245="PLN03"),H245,"")</f>
        <v/>
      </c>
      <c r="AD245" s="42" t="str">
        <f>IF(AND(C245=Master!$H$3,B245="2012-2013",E245="",G245="PLN03"),H245,"")</f>
        <v/>
      </c>
      <c r="AE245" s="42" t="str">
        <f>IF(AND(C245=Master!$H$4,B245="2012-2013",E245&gt;1000,G245="PLN03"),H245,"")</f>
        <v/>
      </c>
      <c r="AF245" s="42" t="str">
        <f>IF(AND(C245=Master!$H$4,B245="2012-2013",E245="",G245="PLN03"),H245,"")</f>
        <v/>
      </c>
      <c r="AG245" s="42" t="str">
        <f>IF(AND(C245=Master!$H$5,B245="2012-2013",E245&gt;1000,G245="PLN03"),H245,"")</f>
        <v/>
      </c>
      <c r="AH245" s="42" t="str">
        <f>IF(AND(C245=Master!$H$5,B245="2012-2013",E245="",G245="PLN03"),H245,"")</f>
        <v/>
      </c>
      <c r="AI245" s="42" t="str">
        <f>IF(AND(C245=Master!$H$6,B245="2012-2013",E245&gt;1000,G245="PLN03"),H245,"")</f>
        <v/>
      </c>
      <c r="AJ245" s="42" t="str">
        <f>IF(AND(C245=Master!$H$6,B245="2012-2013",E245="",G245="PLN03"),H245,"")</f>
        <v/>
      </c>
      <c r="AK245" s="42" t="str">
        <f>IF(AND(C245=Master!$H$7,B245="2012-2013",E245&gt;1000,G245="PLN03"),H245,"")</f>
        <v/>
      </c>
      <c r="AL245" s="42" t="str">
        <f>IF(AND(C245=Master!$H$7,B245="2012-2013",E245="",G245="PLN03"),H245,"")</f>
        <v/>
      </c>
      <c r="AM245" s="42" t="str">
        <f>IF(AND(C245=Master!$H$8,B245="2012-2013",E245&gt;1000,G245="PLN03"),H245,"")</f>
        <v/>
      </c>
      <c r="AN245" s="42" t="str">
        <f>IF(AND(C245=Master!$H$8,B245="2012-2013",E245="",G245="PLN03"),H245,"")</f>
        <v/>
      </c>
      <c r="AO245" s="42" t="str">
        <f>IF(AND(C245=Master!$H$9,B245="2012-2013",E245&gt;1000,G245="PLN03"),H245,"")</f>
        <v/>
      </c>
      <c r="AP245" s="42" t="str">
        <f>IF(AND(C245=Master!$H$9,B245="2012-2013",E245="",G245="PLN03"),H245,"")</f>
        <v/>
      </c>
      <c r="AQ245" s="44" t="str">
        <f>IF(AND(C245=Master!$H$1,B245="2012-2013",E245&gt;1000,G245="NPN05"),H245,"")</f>
        <v/>
      </c>
      <c r="AR245" s="44" t="str">
        <f>IF(AND(C245=Master!$H$1,B245="2012-2013",E245="",G245="NPN05"),H245,"")</f>
        <v/>
      </c>
      <c r="AS245" s="44" t="str">
        <f>IF(AND(C245=Master!$H$2,B245="2012-2013",E245&gt;1000,G245="NPN05"),H245,"")</f>
        <v/>
      </c>
      <c r="AT245" s="44" t="str">
        <f>IF(AND(C245=Master!$H$2,B245="2012-2013",E245="",G245="NPN05"),H245,"")</f>
        <v/>
      </c>
      <c r="AU245" s="44" t="str">
        <f>IF(AND(C245=Master!$H$3,B245="2012-2013",E245&gt;1000,G245="NPN05"),H245,"")</f>
        <v/>
      </c>
      <c r="AV245" s="44" t="str">
        <f>IF(AND(C245=Master!$H$3,B245="2012-2013",E245="",G245="NPN05"),H245,"")</f>
        <v/>
      </c>
      <c r="AW245" s="44" t="str">
        <f>IF(AND(C245=Master!$H$4,B245="2012-2013",E245&gt;1000,G245="NPN05"),H245,"")</f>
        <v/>
      </c>
      <c r="AX245" s="44" t="str">
        <f>IF(AND(C245=Master!$H$4,B245="2012-2013",E245="",G245="NPN05"),H245,"")</f>
        <v/>
      </c>
      <c r="AY245" s="44" t="str">
        <f>IF(AND(C245=Master!$H$5,B245="2012-2013",E245&gt;1000,G245="NPN05"),H245,"")</f>
        <v/>
      </c>
      <c r="AZ245" s="44" t="str">
        <f>IF(AND(C245=Master!$H$5,B245="2012-2013",E245="",G245="NPN05"),H245,"")</f>
        <v/>
      </c>
      <c r="BA245" s="44" t="str">
        <f>IF(AND(C245=Master!$H$6,B245="2012-2013",E245&gt;1000,G245="NPN05"),H245,"")</f>
        <v/>
      </c>
      <c r="BB245" s="44" t="str">
        <f>IF(AND(C245=Master!$H$6,B245="2012-2013",E245="",G245="NPN05"),H245,"")</f>
        <v/>
      </c>
      <c r="BC245" s="44" t="str">
        <f>IF(AND(C245=Master!$H$7,B245="2012-2013",E245&gt;1000,G245="NPN05"),H245,"")</f>
        <v/>
      </c>
      <c r="BD245" s="44" t="str">
        <f>IF(AND(C245=Master!$H$7,B245="2012-2013",E245="",G245="NPN05"),H245,"")</f>
        <v/>
      </c>
      <c r="BE245" s="44" t="str">
        <f>IF(AND(C245=Master!$H$8,B245="2012-2013",E245&gt;1000,G245="NPN05"),H245,"")</f>
        <v/>
      </c>
      <c r="BF245" s="44" t="str">
        <f>IF(AND(C245=Master!$H$8,B245="2012-2013",E245="",G245="NPN05"),H245,"")</f>
        <v/>
      </c>
      <c r="BG245" s="44" t="str">
        <f>IF(AND(C245=Master!$H$9,B245="2012-2013",E245&gt;1000,G245="NPN05"),H245,"")</f>
        <v/>
      </c>
      <c r="BH245" s="44" t="str">
        <f>IF(AND(C245=Master!$H$9,B245="2012-2013",E245="",G245="NPN05"),H245,"")</f>
        <v/>
      </c>
    </row>
    <row r="246" spans="1:60" x14ac:dyDescent="0.25">
      <c r="A246" s="3">
        <v>244</v>
      </c>
      <c r="B246" s="12"/>
      <c r="C246" s="12"/>
      <c r="D246" s="31"/>
      <c r="E246" s="4"/>
      <c r="F246" s="13"/>
      <c r="G246" s="21"/>
      <c r="H246" s="35"/>
      <c r="I246" s="21"/>
      <c r="J246" s="25" t="str">
        <f>IF(NOT(I246=""),INDEX(Master!$B$1:$B$46,MATCH(I246,Master!$A$1:$A$46,0)),"")</f>
        <v/>
      </c>
      <c r="K246" s="18"/>
      <c r="L246" s="86"/>
      <c r="M246" s="13"/>
      <c r="N246" s="13"/>
      <c r="O246" s="18"/>
      <c r="P246" s="35"/>
      <c r="Q246" s="21"/>
      <c r="R246" s="21"/>
      <c r="S246" s="13"/>
      <c r="T246" s="12"/>
      <c r="U246" s="12"/>
      <c r="V246" s="12"/>
      <c r="W246" s="14"/>
      <c r="Y246" s="42" t="str">
        <f>IF(AND(C246=Master!$H$1,B246="2012-2013",E246&gt;1000,G246="PLN03"),H246,"")</f>
        <v/>
      </c>
      <c r="Z246" s="42" t="str">
        <f>IF(AND(C246=Master!$H$1,B246="2012-2013",E246="",G246="PLN03"),H246,"")</f>
        <v/>
      </c>
      <c r="AA246" s="42" t="str">
        <f>IF(AND(C246=Master!$H$2,B246="2012-2013",E246&gt;1000,G246="PLN03"),H246,"")</f>
        <v/>
      </c>
      <c r="AB246" s="42" t="str">
        <f>IF(AND(C246=Master!$H$2,B246="2012-2013",E246="",G246="PLN03"),H246,"")</f>
        <v/>
      </c>
      <c r="AC246" s="42" t="str">
        <f>IF(AND(C246=Master!$H$3,B246="2012-2013",E246&gt;1000,G246="PLN03"),H246,"")</f>
        <v/>
      </c>
      <c r="AD246" s="42" t="str">
        <f>IF(AND(C246=Master!$H$3,B246="2012-2013",E246="",G246="PLN03"),H246,"")</f>
        <v/>
      </c>
      <c r="AE246" s="42" t="str">
        <f>IF(AND(C246=Master!$H$4,B246="2012-2013",E246&gt;1000,G246="PLN03"),H246,"")</f>
        <v/>
      </c>
      <c r="AF246" s="42" t="str">
        <f>IF(AND(C246=Master!$H$4,B246="2012-2013",E246="",G246="PLN03"),H246,"")</f>
        <v/>
      </c>
      <c r="AG246" s="42" t="str">
        <f>IF(AND(C246=Master!$H$5,B246="2012-2013",E246&gt;1000,G246="PLN03"),H246,"")</f>
        <v/>
      </c>
      <c r="AH246" s="42" t="str">
        <f>IF(AND(C246=Master!$H$5,B246="2012-2013",E246="",G246="PLN03"),H246,"")</f>
        <v/>
      </c>
      <c r="AI246" s="42" t="str">
        <f>IF(AND(C246=Master!$H$6,B246="2012-2013",E246&gt;1000,G246="PLN03"),H246,"")</f>
        <v/>
      </c>
      <c r="AJ246" s="42" t="str">
        <f>IF(AND(C246=Master!$H$6,B246="2012-2013",E246="",G246="PLN03"),H246,"")</f>
        <v/>
      </c>
      <c r="AK246" s="42" t="str">
        <f>IF(AND(C246=Master!$H$7,B246="2012-2013",E246&gt;1000,G246="PLN03"),H246,"")</f>
        <v/>
      </c>
      <c r="AL246" s="42" t="str">
        <f>IF(AND(C246=Master!$H$7,B246="2012-2013",E246="",G246="PLN03"),H246,"")</f>
        <v/>
      </c>
      <c r="AM246" s="42" t="str">
        <f>IF(AND(C246=Master!$H$8,B246="2012-2013",E246&gt;1000,G246="PLN03"),H246,"")</f>
        <v/>
      </c>
      <c r="AN246" s="42" t="str">
        <f>IF(AND(C246=Master!$H$8,B246="2012-2013",E246="",G246="PLN03"),H246,"")</f>
        <v/>
      </c>
      <c r="AO246" s="42" t="str">
        <f>IF(AND(C246=Master!$H$9,B246="2012-2013",E246&gt;1000,G246="PLN03"),H246,"")</f>
        <v/>
      </c>
      <c r="AP246" s="42" t="str">
        <f>IF(AND(C246=Master!$H$9,B246="2012-2013",E246="",G246="PLN03"),H246,"")</f>
        <v/>
      </c>
      <c r="AQ246" s="44" t="str">
        <f>IF(AND(C246=Master!$H$1,B246="2012-2013",E246&gt;1000,G246="NPN05"),H246,"")</f>
        <v/>
      </c>
      <c r="AR246" s="44" t="str">
        <f>IF(AND(C246=Master!$H$1,B246="2012-2013",E246="",G246="NPN05"),H246,"")</f>
        <v/>
      </c>
      <c r="AS246" s="44" t="str">
        <f>IF(AND(C246=Master!$H$2,B246="2012-2013",E246&gt;1000,G246="NPN05"),H246,"")</f>
        <v/>
      </c>
      <c r="AT246" s="44" t="str">
        <f>IF(AND(C246=Master!$H$2,B246="2012-2013",E246="",G246="NPN05"),H246,"")</f>
        <v/>
      </c>
      <c r="AU246" s="44" t="str">
        <f>IF(AND(C246=Master!$H$3,B246="2012-2013",E246&gt;1000,G246="NPN05"),H246,"")</f>
        <v/>
      </c>
      <c r="AV246" s="44" t="str">
        <f>IF(AND(C246=Master!$H$3,B246="2012-2013",E246="",G246="NPN05"),H246,"")</f>
        <v/>
      </c>
      <c r="AW246" s="44" t="str">
        <f>IF(AND(C246=Master!$H$4,B246="2012-2013",E246&gt;1000,G246="NPN05"),H246,"")</f>
        <v/>
      </c>
      <c r="AX246" s="44" t="str">
        <f>IF(AND(C246=Master!$H$4,B246="2012-2013",E246="",G246="NPN05"),H246,"")</f>
        <v/>
      </c>
      <c r="AY246" s="44" t="str">
        <f>IF(AND(C246=Master!$H$5,B246="2012-2013",E246&gt;1000,G246="NPN05"),H246,"")</f>
        <v/>
      </c>
      <c r="AZ246" s="44" t="str">
        <f>IF(AND(C246=Master!$H$5,B246="2012-2013",E246="",G246="NPN05"),H246,"")</f>
        <v/>
      </c>
      <c r="BA246" s="44" t="str">
        <f>IF(AND(C246=Master!$H$6,B246="2012-2013",E246&gt;1000,G246="NPN05"),H246,"")</f>
        <v/>
      </c>
      <c r="BB246" s="44" t="str">
        <f>IF(AND(C246=Master!$H$6,B246="2012-2013",E246="",G246="NPN05"),H246,"")</f>
        <v/>
      </c>
      <c r="BC246" s="44" t="str">
        <f>IF(AND(C246=Master!$H$7,B246="2012-2013",E246&gt;1000,G246="NPN05"),H246,"")</f>
        <v/>
      </c>
      <c r="BD246" s="44" t="str">
        <f>IF(AND(C246=Master!$H$7,B246="2012-2013",E246="",G246="NPN05"),H246,"")</f>
        <v/>
      </c>
      <c r="BE246" s="44" t="str">
        <f>IF(AND(C246=Master!$H$8,B246="2012-2013",E246&gt;1000,G246="NPN05"),H246,"")</f>
        <v/>
      </c>
      <c r="BF246" s="44" t="str">
        <f>IF(AND(C246=Master!$H$8,B246="2012-2013",E246="",G246="NPN05"),H246,"")</f>
        <v/>
      </c>
      <c r="BG246" s="44" t="str">
        <f>IF(AND(C246=Master!$H$9,B246="2012-2013",E246&gt;1000,G246="NPN05"),H246,"")</f>
        <v/>
      </c>
      <c r="BH246" s="44" t="str">
        <f>IF(AND(C246=Master!$H$9,B246="2012-2013",E246="",G246="NPN05"),H246,"")</f>
        <v/>
      </c>
    </row>
    <row r="247" spans="1:60" x14ac:dyDescent="0.25">
      <c r="A247" s="5">
        <v>245</v>
      </c>
      <c r="B247" s="12"/>
      <c r="C247" s="12"/>
      <c r="D247" s="31"/>
      <c r="E247" s="4"/>
      <c r="F247" s="13"/>
      <c r="G247" s="21"/>
      <c r="H247" s="35"/>
      <c r="I247" s="21"/>
      <c r="J247" s="25" t="str">
        <f>IF(NOT(I247=""),INDEX(Master!$B$1:$B$46,MATCH(I247,Master!$A$1:$A$46,0)),"")</f>
        <v/>
      </c>
      <c r="K247" s="18"/>
      <c r="L247" s="86"/>
      <c r="M247" s="13"/>
      <c r="N247" s="13"/>
      <c r="O247" s="18"/>
      <c r="P247" s="35"/>
      <c r="Q247" s="21"/>
      <c r="R247" s="21"/>
      <c r="S247" s="13"/>
      <c r="T247" s="12"/>
      <c r="U247" s="12"/>
      <c r="V247" s="12"/>
      <c r="W247" s="14"/>
      <c r="Y247" s="42" t="str">
        <f>IF(AND(C247=Master!$H$1,B247="2012-2013",E247&gt;1000,G247="PLN03"),H247,"")</f>
        <v/>
      </c>
      <c r="Z247" s="42" t="str">
        <f>IF(AND(C247=Master!$H$1,B247="2012-2013",E247="",G247="PLN03"),H247,"")</f>
        <v/>
      </c>
      <c r="AA247" s="42" t="str">
        <f>IF(AND(C247=Master!$H$2,B247="2012-2013",E247&gt;1000,G247="PLN03"),H247,"")</f>
        <v/>
      </c>
      <c r="AB247" s="42" t="str">
        <f>IF(AND(C247=Master!$H$2,B247="2012-2013",E247="",G247="PLN03"),H247,"")</f>
        <v/>
      </c>
      <c r="AC247" s="42" t="str">
        <f>IF(AND(C247=Master!$H$3,B247="2012-2013",E247&gt;1000,G247="PLN03"),H247,"")</f>
        <v/>
      </c>
      <c r="AD247" s="42" t="str">
        <f>IF(AND(C247=Master!$H$3,B247="2012-2013",E247="",G247="PLN03"),H247,"")</f>
        <v/>
      </c>
      <c r="AE247" s="42" t="str">
        <f>IF(AND(C247=Master!$H$4,B247="2012-2013",E247&gt;1000,G247="PLN03"),H247,"")</f>
        <v/>
      </c>
      <c r="AF247" s="42" t="str">
        <f>IF(AND(C247=Master!$H$4,B247="2012-2013",E247="",G247="PLN03"),H247,"")</f>
        <v/>
      </c>
      <c r="AG247" s="42" t="str">
        <f>IF(AND(C247=Master!$H$5,B247="2012-2013",E247&gt;1000,G247="PLN03"),H247,"")</f>
        <v/>
      </c>
      <c r="AH247" s="42" t="str">
        <f>IF(AND(C247=Master!$H$5,B247="2012-2013",E247="",G247="PLN03"),H247,"")</f>
        <v/>
      </c>
      <c r="AI247" s="42" t="str">
        <f>IF(AND(C247=Master!$H$6,B247="2012-2013",E247&gt;1000,G247="PLN03"),H247,"")</f>
        <v/>
      </c>
      <c r="AJ247" s="42" t="str">
        <f>IF(AND(C247=Master!$H$6,B247="2012-2013",E247="",G247="PLN03"),H247,"")</f>
        <v/>
      </c>
      <c r="AK247" s="42" t="str">
        <f>IF(AND(C247=Master!$H$7,B247="2012-2013",E247&gt;1000,G247="PLN03"),H247,"")</f>
        <v/>
      </c>
      <c r="AL247" s="42" t="str">
        <f>IF(AND(C247=Master!$H$7,B247="2012-2013",E247="",G247="PLN03"),H247,"")</f>
        <v/>
      </c>
      <c r="AM247" s="42" t="str">
        <f>IF(AND(C247=Master!$H$8,B247="2012-2013",E247&gt;1000,G247="PLN03"),H247,"")</f>
        <v/>
      </c>
      <c r="AN247" s="42" t="str">
        <f>IF(AND(C247=Master!$H$8,B247="2012-2013",E247="",G247="PLN03"),H247,"")</f>
        <v/>
      </c>
      <c r="AO247" s="42" t="str">
        <f>IF(AND(C247=Master!$H$9,B247="2012-2013",E247&gt;1000,G247="PLN03"),H247,"")</f>
        <v/>
      </c>
      <c r="AP247" s="42" t="str">
        <f>IF(AND(C247=Master!$H$9,B247="2012-2013",E247="",G247="PLN03"),H247,"")</f>
        <v/>
      </c>
      <c r="AQ247" s="44" t="str">
        <f>IF(AND(C247=Master!$H$1,B247="2012-2013",E247&gt;1000,G247="NPN05"),H247,"")</f>
        <v/>
      </c>
      <c r="AR247" s="44" t="str">
        <f>IF(AND(C247=Master!$H$1,B247="2012-2013",E247="",G247="NPN05"),H247,"")</f>
        <v/>
      </c>
      <c r="AS247" s="44" t="str">
        <f>IF(AND(C247=Master!$H$2,B247="2012-2013",E247&gt;1000,G247="NPN05"),H247,"")</f>
        <v/>
      </c>
      <c r="AT247" s="44" t="str">
        <f>IF(AND(C247=Master!$H$2,B247="2012-2013",E247="",G247="NPN05"),H247,"")</f>
        <v/>
      </c>
      <c r="AU247" s="44" t="str">
        <f>IF(AND(C247=Master!$H$3,B247="2012-2013",E247&gt;1000,G247="NPN05"),H247,"")</f>
        <v/>
      </c>
      <c r="AV247" s="44" t="str">
        <f>IF(AND(C247=Master!$H$3,B247="2012-2013",E247="",G247="NPN05"),H247,"")</f>
        <v/>
      </c>
      <c r="AW247" s="44" t="str">
        <f>IF(AND(C247=Master!$H$4,B247="2012-2013",E247&gt;1000,G247="NPN05"),H247,"")</f>
        <v/>
      </c>
      <c r="AX247" s="44" t="str">
        <f>IF(AND(C247=Master!$H$4,B247="2012-2013",E247="",G247="NPN05"),H247,"")</f>
        <v/>
      </c>
      <c r="AY247" s="44" t="str">
        <f>IF(AND(C247=Master!$H$5,B247="2012-2013",E247&gt;1000,G247="NPN05"),H247,"")</f>
        <v/>
      </c>
      <c r="AZ247" s="44" t="str">
        <f>IF(AND(C247=Master!$H$5,B247="2012-2013",E247="",G247="NPN05"),H247,"")</f>
        <v/>
      </c>
      <c r="BA247" s="44" t="str">
        <f>IF(AND(C247=Master!$H$6,B247="2012-2013",E247&gt;1000,G247="NPN05"),H247,"")</f>
        <v/>
      </c>
      <c r="BB247" s="44" t="str">
        <f>IF(AND(C247=Master!$H$6,B247="2012-2013",E247="",G247="NPN05"),H247,"")</f>
        <v/>
      </c>
      <c r="BC247" s="44" t="str">
        <f>IF(AND(C247=Master!$H$7,B247="2012-2013",E247&gt;1000,G247="NPN05"),H247,"")</f>
        <v/>
      </c>
      <c r="BD247" s="44" t="str">
        <f>IF(AND(C247=Master!$H$7,B247="2012-2013",E247="",G247="NPN05"),H247,"")</f>
        <v/>
      </c>
      <c r="BE247" s="44" t="str">
        <f>IF(AND(C247=Master!$H$8,B247="2012-2013",E247&gt;1000,G247="NPN05"),H247,"")</f>
        <v/>
      </c>
      <c r="BF247" s="44" t="str">
        <f>IF(AND(C247=Master!$H$8,B247="2012-2013",E247="",G247="NPN05"),H247,"")</f>
        <v/>
      </c>
      <c r="BG247" s="44" t="str">
        <f>IF(AND(C247=Master!$H$9,B247="2012-2013",E247&gt;1000,G247="NPN05"),H247,"")</f>
        <v/>
      </c>
      <c r="BH247" s="44" t="str">
        <f>IF(AND(C247=Master!$H$9,B247="2012-2013",E247="",G247="NPN05"),H247,"")</f>
        <v/>
      </c>
    </row>
    <row r="248" spans="1:60" x14ac:dyDescent="0.25">
      <c r="A248" s="3">
        <v>246</v>
      </c>
      <c r="B248" s="12"/>
      <c r="C248" s="12"/>
      <c r="D248" s="31"/>
      <c r="E248" s="4"/>
      <c r="F248" s="13"/>
      <c r="G248" s="21"/>
      <c r="H248" s="35"/>
      <c r="I248" s="21"/>
      <c r="J248" s="25" t="str">
        <f>IF(NOT(I248=""),INDEX(Master!$B$1:$B$46,MATCH(I248,Master!$A$1:$A$46,0)),"")</f>
        <v/>
      </c>
      <c r="K248" s="18"/>
      <c r="L248" s="86"/>
      <c r="M248" s="13"/>
      <c r="N248" s="13"/>
      <c r="O248" s="18"/>
      <c r="P248" s="35"/>
      <c r="Q248" s="21"/>
      <c r="R248" s="21"/>
      <c r="S248" s="13"/>
      <c r="T248" s="12"/>
      <c r="U248" s="12"/>
      <c r="V248" s="12"/>
      <c r="W248" s="14"/>
      <c r="Y248" s="42" t="str">
        <f>IF(AND(C248=Master!$H$1,B248="2012-2013",E248&gt;1000,G248="PLN03"),H248,"")</f>
        <v/>
      </c>
      <c r="Z248" s="42" t="str">
        <f>IF(AND(C248=Master!$H$1,B248="2012-2013",E248="",G248="PLN03"),H248,"")</f>
        <v/>
      </c>
      <c r="AA248" s="42" t="str">
        <f>IF(AND(C248=Master!$H$2,B248="2012-2013",E248&gt;1000,G248="PLN03"),H248,"")</f>
        <v/>
      </c>
      <c r="AB248" s="42" t="str">
        <f>IF(AND(C248=Master!$H$2,B248="2012-2013",E248="",G248="PLN03"),H248,"")</f>
        <v/>
      </c>
      <c r="AC248" s="42" t="str">
        <f>IF(AND(C248=Master!$H$3,B248="2012-2013",E248&gt;1000,G248="PLN03"),H248,"")</f>
        <v/>
      </c>
      <c r="AD248" s="42" t="str">
        <f>IF(AND(C248=Master!$H$3,B248="2012-2013",E248="",G248="PLN03"),H248,"")</f>
        <v/>
      </c>
      <c r="AE248" s="42" t="str">
        <f>IF(AND(C248=Master!$H$4,B248="2012-2013",E248&gt;1000,G248="PLN03"),H248,"")</f>
        <v/>
      </c>
      <c r="AF248" s="42" t="str">
        <f>IF(AND(C248=Master!$H$4,B248="2012-2013",E248="",G248="PLN03"),H248,"")</f>
        <v/>
      </c>
      <c r="AG248" s="42" t="str">
        <f>IF(AND(C248=Master!$H$5,B248="2012-2013",E248&gt;1000,G248="PLN03"),H248,"")</f>
        <v/>
      </c>
      <c r="AH248" s="42" t="str">
        <f>IF(AND(C248=Master!$H$5,B248="2012-2013",E248="",G248="PLN03"),H248,"")</f>
        <v/>
      </c>
      <c r="AI248" s="42" t="str">
        <f>IF(AND(C248=Master!$H$6,B248="2012-2013",E248&gt;1000,G248="PLN03"),H248,"")</f>
        <v/>
      </c>
      <c r="AJ248" s="42" t="str">
        <f>IF(AND(C248=Master!$H$6,B248="2012-2013",E248="",G248="PLN03"),H248,"")</f>
        <v/>
      </c>
      <c r="AK248" s="42" t="str">
        <f>IF(AND(C248=Master!$H$7,B248="2012-2013",E248&gt;1000,G248="PLN03"),H248,"")</f>
        <v/>
      </c>
      <c r="AL248" s="42" t="str">
        <f>IF(AND(C248=Master!$H$7,B248="2012-2013",E248="",G248="PLN03"),H248,"")</f>
        <v/>
      </c>
      <c r="AM248" s="42" t="str">
        <f>IF(AND(C248=Master!$H$8,B248="2012-2013",E248&gt;1000,G248="PLN03"),H248,"")</f>
        <v/>
      </c>
      <c r="AN248" s="42" t="str">
        <f>IF(AND(C248=Master!$H$8,B248="2012-2013",E248="",G248="PLN03"),H248,"")</f>
        <v/>
      </c>
      <c r="AO248" s="42" t="str">
        <f>IF(AND(C248=Master!$H$9,B248="2012-2013",E248&gt;1000,G248="PLN03"),H248,"")</f>
        <v/>
      </c>
      <c r="AP248" s="42" t="str">
        <f>IF(AND(C248=Master!$H$9,B248="2012-2013",E248="",G248="PLN03"),H248,"")</f>
        <v/>
      </c>
      <c r="AQ248" s="44" t="str">
        <f>IF(AND(C248=Master!$H$1,B248="2012-2013",E248&gt;1000,G248="NPN05"),H248,"")</f>
        <v/>
      </c>
      <c r="AR248" s="44" t="str">
        <f>IF(AND(C248=Master!$H$1,B248="2012-2013",E248="",G248="NPN05"),H248,"")</f>
        <v/>
      </c>
      <c r="AS248" s="44" t="str">
        <f>IF(AND(C248=Master!$H$2,B248="2012-2013",E248&gt;1000,G248="NPN05"),H248,"")</f>
        <v/>
      </c>
      <c r="AT248" s="44" t="str">
        <f>IF(AND(C248=Master!$H$2,B248="2012-2013",E248="",G248="NPN05"),H248,"")</f>
        <v/>
      </c>
      <c r="AU248" s="44" t="str">
        <f>IF(AND(C248=Master!$H$3,B248="2012-2013",E248&gt;1000,G248="NPN05"),H248,"")</f>
        <v/>
      </c>
      <c r="AV248" s="44" t="str">
        <f>IF(AND(C248=Master!$H$3,B248="2012-2013",E248="",G248="NPN05"),H248,"")</f>
        <v/>
      </c>
      <c r="AW248" s="44" t="str">
        <f>IF(AND(C248=Master!$H$4,B248="2012-2013",E248&gt;1000,G248="NPN05"),H248,"")</f>
        <v/>
      </c>
      <c r="AX248" s="44" t="str">
        <f>IF(AND(C248=Master!$H$4,B248="2012-2013",E248="",G248="NPN05"),H248,"")</f>
        <v/>
      </c>
      <c r="AY248" s="44" t="str">
        <f>IF(AND(C248=Master!$H$5,B248="2012-2013",E248&gt;1000,G248="NPN05"),H248,"")</f>
        <v/>
      </c>
      <c r="AZ248" s="44" t="str">
        <f>IF(AND(C248=Master!$H$5,B248="2012-2013",E248="",G248="NPN05"),H248,"")</f>
        <v/>
      </c>
      <c r="BA248" s="44" t="str">
        <f>IF(AND(C248=Master!$H$6,B248="2012-2013",E248&gt;1000,G248="NPN05"),H248,"")</f>
        <v/>
      </c>
      <c r="BB248" s="44" t="str">
        <f>IF(AND(C248=Master!$H$6,B248="2012-2013",E248="",G248="NPN05"),H248,"")</f>
        <v/>
      </c>
      <c r="BC248" s="44" t="str">
        <f>IF(AND(C248=Master!$H$7,B248="2012-2013",E248&gt;1000,G248="NPN05"),H248,"")</f>
        <v/>
      </c>
      <c r="BD248" s="44" t="str">
        <f>IF(AND(C248=Master!$H$7,B248="2012-2013",E248="",G248="NPN05"),H248,"")</f>
        <v/>
      </c>
      <c r="BE248" s="44" t="str">
        <f>IF(AND(C248=Master!$H$8,B248="2012-2013",E248&gt;1000,G248="NPN05"),H248,"")</f>
        <v/>
      </c>
      <c r="BF248" s="44" t="str">
        <f>IF(AND(C248=Master!$H$8,B248="2012-2013",E248="",G248="NPN05"),H248,"")</f>
        <v/>
      </c>
      <c r="BG248" s="44" t="str">
        <f>IF(AND(C248=Master!$H$9,B248="2012-2013",E248&gt;1000,G248="NPN05"),H248,"")</f>
        <v/>
      </c>
      <c r="BH248" s="44" t="str">
        <f>IF(AND(C248=Master!$H$9,B248="2012-2013",E248="",G248="NPN05"),H248,"")</f>
        <v/>
      </c>
    </row>
    <row r="249" spans="1:60" x14ac:dyDescent="0.25">
      <c r="A249" s="3">
        <v>247</v>
      </c>
      <c r="B249" s="12"/>
      <c r="C249" s="12"/>
      <c r="D249" s="31"/>
      <c r="E249" s="4"/>
      <c r="F249" s="13"/>
      <c r="G249" s="21"/>
      <c r="H249" s="35"/>
      <c r="I249" s="21"/>
      <c r="J249" s="25" t="str">
        <f>IF(NOT(I249=""),INDEX(Master!$B$1:$B$46,MATCH(I249,Master!$A$1:$A$46,0)),"")</f>
        <v/>
      </c>
      <c r="K249" s="18"/>
      <c r="L249" s="86"/>
      <c r="M249" s="13"/>
      <c r="N249" s="13"/>
      <c r="O249" s="18"/>
      <c r="P249" s="35"/>
      <c r="Q249" s="21"/>
      <c r="R249" s="21"/>
      <c r="S249" s="13"/>
      <c r="T249" s="12"/>
      <c r="U249" s="12"/>
      <c r="V249" s="12"/>
      <c r="W249" s="14"/>
      <c r="Y249" s="42" t="str">
        <f>IF(AND(C249=Master!$H$1,B249="2012-2013",E249&gt;1000,G249="PLN03"),H249,"")</f>
        <v/>
      </c>
      <c r="Z249" s="42" t="str">
        <f>IF(AND(C249=Master!$H$1,B249="2012-2013",E249="",G249="PLN03"),H249,"")</f>
        <v/>
      </c>
      <c r="AA249" s="42" t="str">
        <f>IF(AND(C249=Master!$H$2,B249="2012-2013",E249&gt;1000,G249="PLN03"),H249,"")</f>
        <v/>
      </c>
      <c r="AB249" s="42" t="str">
        <f>IF(AND(C249=Master!$H$2,B249="2012-2013",E249="",G249="PLN03"),H249,"")</f>
        <v/>
      </c>
      <c r="AC249" s="42" t="str">
        <f>IF(AND(C249=Master!$H$3,B249="2012-2013",E249&gt;1000,G249="PLN03"),H249,"")</f>
        <v/>
      </c>
      <c r="AD249" s="42" t="str">
        <f>IF(AND(C249=Master!$H$3,B249="2012-2013",E249="",G249="PLN03"),H249,"")</f>
        <v/>
      </c>
      <c r="AE249" s="42" t="str">
        <f>IF(AND(C249=Master!$H$4,B249="2012-2013",E249&gt;1000,G249="PLN03"),H249,"")</f>
        <v/>
      </c>
      <c r="AF249" s="42" t="str">
        <f>IF(AND(C249=Master!$H$4,B249="2012-2013",E249="",G249="PLN03"),H249,"")</f>
        <v/>
      </c>
      <c r="AG249" s="42" t="str">
        <f>IF(AND(C249=Master!$H$5,B249="2012-2013",E249&gt;1000,G249="PLN03"),H249,"")</f>
        <v/>
      </c>
      <c r="AH249" s="42" t="str">
        <f>IF(AND(C249=Master!$H$5,B249="2012-2013",E249="",G249="PLN03"),H249,"")</f>
        <v/>
      </c>
      <c r="AI249" s="42" t="str">
        <f>IF(AND(C249=Master!$H$6,B249="2012-2013",E249&gt;1000,G249="PLN03"),H249,"")</f>
        <v/>
      </c>
      <c r="AJ249" s="42" t="str">
        <f>IF(AND(C249=Master!$H$6,B249="2012-2013",E249="",G249="PLN03"),H249,"")</f>
        <v/>
      </c>
      <c r="AK249" s="42" t="str">
        <f>IF(AND(C249=Master!$H$7,B249="2012-2013",E249&gt;1000,G249="PLN03"),H249,"")</f>
        <v/>
      </c>
      <c r="AL249" s="42" t="str">
        <f>IF(AND(C249=Master!$H$7,B249="2012-2013",E249="",G249="PLN03"),H249,"")</f>
        <v/>
      </c>
      <c r="AM249" s="42" t="str">
        <f>IF(AND(C249=Master!$H$8,B249="2012-2013",E249&gt;1000,G249="PLN03"),H249,"")</f>
        <v/>
      </c>
      <c r="AN249" s="42" t="str">
        <f>IF(AND(C249=Master!$H$8,B249="2012-2013",E249="",G249="PLN03"),H249,"")</f>
        <v/>
      </c>
      <c r="AO249" s="42" t="str">
        <f>IF(AND(C249=Master!$H$9,B249="2012-2013",E249&gt;1000,G249="PLN03"),H249,"")</f>
        <v/>
      </c>
      <c r="AP249" s="42" t="str">
        <f>IF(AND(C249=Master!$H$9,B249="2012-2013",E249="",G249="PLN03"),H249,"")</f>
        <v/>
      </c>
      <c r="AQ249" s="44" t="str">
        <f>IF(AND(C249=Master!$H$1,B249="2012-2013",E249&gt;1000,G249="NPN05"),H249,"")</f>
        <v/>
      </c>
      <c r="AR249" s="44" t="str">
        <f>IF(AND(C249=Master!$H$1,B249="2012-2013",E249="",G249="NPN05"),H249,"")</f>
        <v/>
      </c>
      <c r="AS249" s="44" t="str">
        <f>IF(AND(C249=Master!$H$2,B249="2012-2013",E249&gt;1000,G249="NPN05"),H249,"")</f>
        <v/>
      </c>
      <c r="AT249" s="44" t="str">
        <f>IF(AND(C249=Master!$H$2,B249="2012-2013",E249="",G249="NPN05"),H249,"")</f>
        <v/>
      </c>
      <c r="AU249" s="44" t="str">
        <f>IF(AND(C249=Master!$H$3,B249="2012-2013",E249&gt;1000,G249="NPN05"),H249,"")</f>
        <v/>
      </c>
      <c r="AV249" s="44" t="str">
        <f>IF(AND(C249=Master!$H$3,B249="2012-2013",E249="",G249="NPN05"),H249,"")</f>
        <v/>
      </c>
      <c r="AW249" s="44" t="str">
        <f>IF(AND(C249=Master!$H$4,B249="2012-2013",E249&gt;1000,G249="NPN05"),H249,"")</f>
        <v/>
      </c>
      <c r="AX249" s="44" t="str">
        <f>IF(AND(C249=Master!$H$4,B249="2012-2013",E249="",G249="NPN05"),H249,"")</f>
        <v/>
      </c>
      <c r="AY249" s="44" t="str">
        <f>IF(AND(C249=Master!$H$5,B249="2012-2013",E249&gt;1000,G249="NPN05"),H249,"")</f>
        <v/>
      </c>
      <c r="AZ249" s="44" t="str">
        <f>IF(AND(C249=Master!$H$5,B249="2012-2013",E249="",G249="NPN05"),H249,"")</f>
        <v/>
      </c>
      <c r="BA249" s="44" t="str">
        <f>IF(AND(C249=Master!$H$6,B249="2012-2013",E249&gt;1000,G249="NPN05"),H249,"")</f>
        <v/>
      </c>
      <c r="BB249" s="44" t="str">
        <f>IF(AND(C249=Master!$H$6,B249="2012-2013",E249="",G249="NPN05"),H249,"")</f>
        <v/>
      </c>
      <c r="BC249" s="44" t="str">
        <f>IF(AND(C249=Master!$H$7,B249="2012-2013",E249&gt;1000,G249="NPN05"),H249,"")</f>
        <v/>
      </c>
      <c r="BD249" s="44" t="str">
        <f>IF(AND(C249=Master!$H$7,B249="2012-2013",E249="",G249="NPN05"),H249,"")</f>
        <v/>
      </c>
      <c r="BE249" s="44" t="str">
        <f>IF(AND(C249=Master!$H$8,B249="2012-2013",E249&gt;1000,G249="NPN05"),H249,"")</f>
        <v/>
      </c>
      <c r="BF249" s="44" t="str">
        <f>IF(AND(C249=Master!$H$8,B249="2012-2013",E249="",G249="NPN05"),H249,"")</f>
        <v/>
      </c>
      <c r="BG249" s="44" t="str">
        <f>IF(AND(C249=Master!$H$9,B249="2012-2013",E249&gt;1000,G249="NPN05"),H249,"")</f>
        <v/>
      </c>
      <c r="BH249" s="44" t="str">
        <f>IF(AND(C249=Master!$H$9,B249="2012-2013",E249="",G249="NPN05"),H249,"")</f>
        <v/>
      </c>
    </row>
    <row r="250" spans="1:60" x14ac:dyDescent="0.25">
      <c r="A250" s="3">
        <v>248</v>
      </c>
      <c r="B250" s="12"/>
      <c r="C250" s="12"/>
      <c r="D250" s="31"/>
      <c r="E250" s="4"/>
      <c r="F250" s="13"/>
      <c r="G250" s="21"/>
      <c r="H250" s="35"/>
      <c r="I250" s="21"/>
      <c r="J250" s="25" t="str">
        <f>IF(NOT(I250=""),INDEX(Master!$B$1:$B$46,MATCH(I250,Master!$A$1:$A$46,0)),"")</f>
        <v/>
      </c>
      <c r="K250" s="18"/>
      <c r="L250" s="86"/>
      <c r="M250" s="13"/>
      <c r="N250" s="13"/>
      <c r="O250" s="18"/>
      <c r="P250" s="35"/>
      <c r="Q250" s="21"/>
      <c r="R250" s="21"/>
      <c r="S250" s="13"/>
      <c r="T250" s="12"/>
      <c r="U250" s="12"/>
      <c r="V250" s="12"/>
      <c r="W250" s="14"/>
      <c r="Y250" s="42" t="str">
        <f>IF(AND(C250=Master!$H$1,B250="2012-2013",E250&gt;1000,G250="PLN03"),H250,"")</f>
        <v/>
      </c>
      <c r="Z250" s="42" t="str">
        <f>IF(AND(C250=Master!$H$1,B250="2012-2013",E250="",G250="PLN03"),H250,"")</f>
        <v/>
      </c>
      <c r="AA250" s="42" t="str">
        <f>IF(AND(C250=Master!$H$2,B250="2012-2013",E250&gt;1000,G250="PLN03"),H250,"")</f>
        <v/>
      </c>
      <c r="AB250" s="42" t="str">
        <f>IF(AND(C250=Master!$H$2,B250="2012-2013",E250="",G250="PLN03"),H250,"")</f>
        <v/>
      </c>
      <c r="AC250" s="42" t="str">
        <f>IF(AND(C250=Master!$H$3,B250="2012-2013",E250&gt;1000,G250="PLN03"),H250,"")</f>
        <v/>
      </c>
      <c r="AD250" s="42" t="str">
        <f>IF(AND(C250=Master!$H$3,B250="2012-2013",E250="",G250="PLN03"),H250,"")</f>
        <v/>
      </c>
      <c r="AE250" s="42" t="str">
        <f>IF(AND(C250=Master!$H$4,B250="2012-2013",E250&gt;1000,G250="PLN03"),H250,"")</f>
        <v/>
      </c>
      <c r="AF250" s="42" t="str">
        <f>IF(AND(C250=Master!$H$4,B250="2012-2013",E250="",G250="PLN03"),H250,"")</f>
        <v/>
      </c>
      <c r="AG250" s="42" t="str">
        <f>IF(AND(C250=Master!$H$5,B250="2012-2013",E250&gt;1000,G250="PLN03"),H250,"")</f>
        <v/>
      </c>
      <c r="AH250" s="42" t="str">
        <f>IF(AND(C250=Master!$H$5,B250="2012-2013",E250="",G250="PLN03"),H250,"")</f>
        <v/>
      </c>
      <c r="AI250" s="42" t="str">
        <f>IF(AND(C250=Master!$H$6,B250="2012-2013",E250&gt;1000,G250="PLN03"),H250,"")</f>
        <v/>
      </c>
      <c r="AJ250" s="42" t="str">
        <f>IF(AND(C250=Master!$H$6,B250="2012-2013",E250="",G250="PLN03"),H250,"")</f>
        <v/>
      </c>
      <c r="AK250" s="42" t="str">
        <f>IF(AND(C250=Master!$H$7,B250="2012-2013",E250&gt;1000,G250="PLN03"),H250,"")</f>
        <v/>
      </c>
      <c r="AL250" s="42" t="str">
        <f>IF(AND(C250=Master!$H$7,B250="2012-2013",E250="",G250="PLN03"),H250,"")</f>
        <v/>
      </c>
      <c r="AM250" s="42" t="str">
        <f>IF(AND(C250=Master!$H$8,B250="2012-2013",E250&gt;1000,G250="PLN03"),H250,"")</f>
        <v/>
      </c>
      <c r="AN250" s="42" t="str">
        <f>IF(AND(C250=Master!$H$8,B250="2012-2013",E250="",G250="PLN03"),H250,"")</f>
        <v/>
      </c>
      <c r="AO250" s="42" t="str">
        <f>IF(AND(C250=Master!$H$9,B250="2012-2013",E250&gt;1000,G250="PLN03"),H250,"")</f>
        <v/>
      </c>
      <c r="AP250" s="42" t="str">
        <f>IF(AND(C250=Master!$H$9,B250="2012-2013",E250="",G250="PLN03"),H250,"")</f>
        <v/>
      </c>
      <c r="AQ250" s="44" t="str">
        <f>IF(AND(C250=Master!$H$1,B250="2012-2013",E250&gt;1000,G250="NPN05"),H250,"")</f>
        <v/>
      </c>
      <c r="AR250" s="44" t="str">
        <f>IF(AND(C250=Master!$H$1,B250="2012-2013",E250="",G250="NPN05"),H250,"")</f>
        <v/>
      </c>
      <c r="AS250" s="44" t="str">
        <f>IF(AND(C250=Master!$H$2,B250="2012-2013",E250&gt;1000,G250="NPN05"),H250,"")</f>
        <v/>
      </c>
      <c r="AT250" s="44" t="str">
        <f>IF(AND(C250=Master!$H$2,B250="2012-2013",E250="",G250="NPN05"),H250,"")</f>
        <v/>
      </c>
      <c r="AU250" s="44" t="str">
        <f>IF(AND(C250=Master!$H$3,B250="2012-2013",E250&gt;1000,G250="NPN05"),H250,"")</f>
        <v/>
      </c>
      <c r="AV250" s="44" t="str">
        <f>IF(AND(C250=Master!$H$3,B250="2012-2013",E250="",G250="NPN05"),H250,"")</f>
        <v/>
      </c>
      <c r="AW250" s="44" t="str">
        <f>IF(AND(C250=Master!$H$4,B250="2012-2013",E250&gt;1000,G250="NPN05"),H250,"")</f>
        <v/>
      </c>
      <c r="AX250" s="44" t="str">
        <f>IF(AND(C250=Master!$H$4,B250="2012-2013",E250="",G250="NPN05"),H250,"")</f>
        <v/>
      </c>
      <c r="AY250" s="44" t="str">
        <f>IF(AND(C250=Master!$H$5,B250="2012-2013",E250&gt;1000,G250="NPN05"),H250,"")</f>
        <v/>
      </c>
      <c r="AZ250" s="44" t="str">
        <f>IF(AND(C250=Master!$H$5,B250="2012-2013",E250="",G250="NPN05"),H250,"")</f>
        <v/>
      </c>
      <c r="BA250" s="44" t="str">
        <f>IF(AND(C250=Master!$H$6,B250="2012-2013",E250&gt;1000,G250="NPN05"),H250,"")</f>
        <v/>
      </c>
      <c r="BB250" s="44" t="str">
        <f>IF(AND(C250=Master!$H$6,B250="2012-2013",E250="",G250="NPN05"),H250,"")</f>
        <v/>
      </c>
      <c r="BC250" s="44" t="str">
        <f>IF(AND(C250=Master!$H$7,B250="2012-2013",E250&gt;1000,G250="NPN05"),H250,"")</f>
        <v/>
      </c>
      <c r="BD250" s="44" t="str">
        <f>IF(AND(C250=Master!$H$7,B250="2012-2013",E250="",G250="NPN05"),H250,"")</f>
        <v/>
      </c>
      <c r="BE250" s="44" t="str">
        <f>IF(AND(C250=Master!$H$8,B250="2012-2013",E250&gt;1000,G250="NPN05"),H250,"")</f>
        <v/>
      </c>
      <c r="BF250" s="44" t="str">
        <f>IF(AND(C250=Master!$H$8,B250="2012-2013",E250="",G250="NPN05"),H250,"")</f>
        <v/>
      </c>
      <c r="BG250" s="44" t="str">
        <f>IF(AND(C250=Master!$H$9,B250="2012-2013",E250&gt;1000,G250="NPN05"),H250,"")</f>
        <v/>
      </c>
      <c r="BH250" s="44" t="str">
        <f>IF(AND(C250=Master!$H$9,B250="2012-2013",E250="",G250="NPN05"),H250,"")</f>
        <v/>
      </c>
    </row>
    <row r="251" spans="1:60" x14ac:dyDescent="0.25">
      <c r="A251" s="3">
        <v>249</v>
      </c>
      <c r="B251" s="12"/>
      <c r="C251" s="12"/>
      <c r="D251" s="31"/>
      <c r="E251" s="4"/>
      <c r="F251" s="13"/>
      <c r="G251" s="21"/>
      <c r="H251" s="35"/>
      <c r="I251" s="21"/>
      <c r="J251" s="25" t="str">
        <f>IF(NOT(I251=""),INDEX(Master!$B$1:$B$46,MATCH(I251,Master!$A$1:$A$46,0)),"")</f>
        <v/>
      </c>
      <c r="K251" s="18"/>
      <c r="L251" s="86"/>
      <c r="M251" s="13"/>
      <c r="N251" s="13"/>
      <c r="O251" s="18"/>
      <c r="P251" s="35"/>
      <c r="Q251" s="21"/>
      <c r="R251" s="21"/>
      <c r="S251" s="13"/>
      <c r="T251" s="12"/>
      <c r="U251" s="12"/>
      <c r="V251" s="12"/>
      <c r="W251" s="14"/>
      <c r="Y251" s="42" t="str">
        <f>IF(AND(C251=Master!$H$1,B251="2012-2013",E251&gt;1000,G251="PLN03"),H251,"")</f>
        <v/>
      </c>
      <c r="Z251" s="42" t="str">
        <f>IF(AND(C251=Master!$H$1,B251="2012-2013",E251="",G251="PLN03"),H251,"")</f>
        <v/>
      </c>
      <c r="AA251" s="42" t="str">
        <f>IF(AND(C251=Master!$H$2,B251="2012-2013",E251&gt;1000,G251="PLN03"),H251,"")</f>
        <v/>
      </c>
      <c r="AB251" s="42" t="str">
        <f>IF(AND(C251=Master!$H$2,B251="2012-2013",E251="",G251="PLN03"),H251,"")</f>
        <v/>
      </c>
      <c r="AC251" s="42" t="str">
        <f>IF(AND(C251=Master!$H$3,B251="2012-2013",E251&gt;1000,G251="PLN03"),H251,"")</f>
        <v/>
      </c>
      <c r="AD251" s="42" t="str">
        <f>IF(AND(C251=Master!$H$3,B251="2012-2013",E251="",G251="PLN03"),H251,"")</f>
        <v/>
      </c>
      <c r="AE251" s="42" t="str">
        <f>IF(AND(C251=Master!$H$4,B251="2012-2013",E251&gt;1000,G251="PLN03"),H251,"")</f>
        <v/>
      </c>
      <c r="AF251" s="42" t="str">
        <f>IF(AND(C251=Master!$H$4,B251="2012-2013",E251="",G251="PLN03"),H251,"")</f>
        <v/>
      </c>
      <c r="AG251" s="42" t="str">
        <f>IF(AND(C251=Master!$H$5,B251="2012-2013",E251&gt;1000,G251="PLN03"),H251,"")</f>
        <v/>
      </c>
      <c r="AH251" s="42" t="str">
        <f>IF(AND(C251=Master!$H$5,B251="2012-2013",E251="",G251="PLN03"),H251,"")</f>
        <v/>
      </c>
      <c r="AI251" s="42" t="str">
        <f>IF(AND(C251=Master!$H$6,B251="2012-2013",E251&gt;1000,G251="PLN03"),H251,"")</f>
        <v/>
      </c>
      <c r="AJ251" s="42" t="str">
        <f>IF(AND(C251=Master!$H$6,B251="2012-2013",E251="",G251="PLN03"),H251,"")</f>
        <v/>
      </c>
      <c r="AK251" s="42" t="str">
        <f>IF(AND(C251=Master!$H$7,B251="2012-2013",E251&gt;1000,G251="PLN03"),H251,"")</f>
        <v/>
      </c>
      <c r="AL251" s="42" t="str">
        <f>IF(AND(C251=Master!$H$7,B251="2012-2013",E251="",G251="PLN03"),H251,"")</f>
        <v/>
      </c>
      <c r="AM251" s="42" t="str">
        <f>IF(AND(C251=Master!$H$8,B251="2012-2013",E251&gt;1000,G251="PLN03"),H251,"")</f>
        <v/>
      </c>
      <c r="AN251" s="42" t="str">
        <f>IF(AND(C251=Master!$H$8,B251="2012-2013",E251="",G251="PLN03"),H251,"")</f>
        <v/>
      </c>
      <c r="AO251" s="42" t="str">
        <f>IF(AND(C251=Master!$H$9,B251="2012-2013",E251&gt;1000,G251="PLN03"),H251,"")</f>
        <v/>
      </c>
      <c r="AP251" s="42" t="str">
        <f>IF(AND(C251=Master!$H$9,B251="2012-2013",E251="",G251="PLN03"),H251,"")</f>
        <v/>
      </c>
      <c r="AQ251" s="44" t="str">
        <f>IF(AND(C251=Master!$H$1,B251="2012-2013",E251&gt;1000,G251="NPN05"),H251,"")</f>
        <v/>
      </c>
      <c r="AR251" s="44" t="str">
        <f>IF(AND(C251=Master!$H$1,B251="2012-2013",E251="",G251="NPN05"),H251,"")</f>
        <v/>
      </c>
      <c r="AS251" s="44" t="str">
        <f>IF(AND(C251=Master!$H$2,B251="2012-2013",E251&gt;1000,G251="NPN05"),H251,"")</f>
        <v/>
      </c>
      <c r="AT251" s="44" t="str">
        <f>IF(AND(C251=Master!$H$2,B251="2012-2013",E251="",G251="NPN05"),H251,"")</f>
        <v/>
      </c>
      <c r="AU251" s="44" t="str">
        <f>IF(AND(C251=Master!$H$3,B251="2012-2013",E251&gt;1000,G251="NPN05"),H251,"")</f>
        <v/>
      </c>
      <c r="AV251" s="44" t="str">
        <f>IF(AND(C251=Master!$H$3,B251="2012-2013",E251="",G251="NPN05"),H251,"")</f>
        <v/>
      </c>
      <c r="AW251" s="44" t="str">
        <f>IF(AND(C251=Master!$H$4,B251="2012-2013",E251&gt;1000,G251="NPN05"),H251,"")</f>
        <v/>
      </c>
      <c r="AX251" s="44" t="str">
        <f>IF(AND(C251=Master!$H$4,B251="2012-2013",E251="",G251="NPN05"),H251,"")</f>
        <v/>
      </c>
      <c r="AY251" s="44" t="str">
        <f>IF(AND(C251=Master!$H$5,B251="2012-2013",E251&gt;1000,G251="NPN05"),H251,"")</f>
        <v/>
      </c>
      <c r="AZ251" s="44" t="str">
        <f>IF(AND(C251=Master!$H$5,B251="2012-2013",E251="",G251="NPN05"),H251,"")</f>
        <v/>
      </c>
      <c r="BA251" s="44" t="str">
        <f>IF(AND(C251=Master!$H$6,B251="2012-2013",E251&gt;1000,G251="NPN05"),H251,"")</f>
        <v/>
      </c>
      <c r="BB251" s="44" t="str">
        <f>IF(AND(C251=Master!$H$6,B251="2012-2013",E251="",G251="NPN05"),H251,"")</f>
        <v/>
      </c>
      <c r="BC251" s="44" t="str">
        <f>IF(AND(C251=Master!$H$7,B251="2012-2013",E251&gt;1000,G251="NPN05"),H251,"")</f>
        <v/>
      </c>
      <c r="BD251" s="44" t="str">
        <f>IF(AND(C251=Master!$H$7,B251="2012-2013",E251="",G251="NPN05"),H251,"")</f>
        <v/>
      </c>
      <c r="BE251" s="44" t="str">
        <f>IF(AND(C251=Master!$H$8,B251="2012-2013",E251&gt;1000,G251="NPN05"),H251,"")</f>
        <v/>
      </c>
      <c r="BF251" s="44" t="str">
        <f>IF(AND(C251=Master!$H$8,B251="2012-2013",E251="",G251="NPN05"),H251,"")</f>
        <v/>
      </c>
      <c r="BG251" s="44" t="str">
        <f>IF(AND(C251=Master!$H$9,B251="2012-2013",E251&gt;1000,G251="NPN05"),H251,"")</f>
        <v/>
      </c>
      <c r="BH251" s="44" t="str">
        <f>IF(AND(C251=Master!$H$9,B251="2012-2013",E251="",G251="NPN05"),H251,"")</f>
        <v/>
      </c>
    </row>
    <row r="252" spans="1:60" x14ac:dyDescent="0.25">
      <c r="A252" s="3">
        <v>250</v>
      </c>
      <c r="B252" s="12"/>
      <c r="C252" s="12"/>
      <c r="D252" s="31"/>
      <c r="E252" s="4"/>
      <c r="F252" s="13"/>
      <c r="G252" s="21"/>
      <c r="H252" s="35"/>
      <c r="I252" s="21"/>
      <c r="J252" s="25" t="str">
        <f>IF(NOT(I252=""),INDEX(Master!$B$1:$B$46,MATCH(I252,Master!$A$1:$A$46,0)),"")</f>
        <v/>
      </c>
      <c r="K252" s="18"/>
      <c r="L252" s="86"/>
      <c r="M252" s="13"/>
      <c r="N252" s="13"/>
      <c r="O252" s="18"/>
      <c r="P252" s="35"/>
      <c r="Q252" s="21"/>
      <c r="R252" s="21"/>
      <c r="S252" s="13"/>
      <c r="T252" s="12"/>
      <c r="U252" s="12"/>
      <c r="V252" s="12"/>
      <c r="W252" s="14"/>
      <c r="Y252" s="42" t="str">
        <f>IF(AND(C252=Master!$H$1,B252="2012-2013",E252&gt;1000,G252="PLN03"),H252,"")</f>
        <v/>
      </c>
      <c r="Z252" s="42" t="str">
        <f>IF(AND(C252=Master!$H$1,B252="2012-2013",E252="",G252="PLN03"),H252,"")</f>
        <v/>
      </c>
      <c r="AA252" s="42" t="str">
        <f>IF(AND(C252=Master!$H$2,B252="2012-2013",E252&gt;1000,G252="PLN03"),H252,"")</f>
        <v/>
      </c>
      <c r="AB252" s="42" t="str">
        <f>IF(AND(C252=Master!$H$2,B252="2012-2013",E252="",G252="PLN03"),H252,"")</f>
        <v/>
      </c>
      <c r="AC252" s="42" t="str">
        <f>IF(AND(C252=Master!$H$3,B252="2012-2013",E252&gt;1000,G252="PLN03"),H252,"")</f>
        <v/>
      </c>
      <c r="AD252" s="42" t="str">
        <f>IF(AND(C252=Master!$H$3,B252="2012-2013",E252="",G252="PLN03"),H252,"")</f>
        <v/>
      </c>
      <c r="AE252" s="42" t="str">
        <f>IF(AND(C252=Master!$H$4,B252="2012-2013",E252&gt;1000,G252="PLN03"),H252,"")</f>
        <v/>
      </c>
      <c r="AF252" s="42" t="str">
        <f>IF(AND(C252=Master!$H$4,B252="2012-2013",E252="",G252="PLN03"),H252,"")</f>
        <v/>
      </c>
      <c r="AG252" s="42" t="str">
        <f>IF(AND(C252=Master!$H$5,B252="2012-2013",E252&gt;1000,G252="PLN03"),H252,"")</f>
        <v/>
      </c>
      <c r="AH252" s="42" t="str">
        <f>IF(AND(C252=Master!$H$5,B252="2012-2013",E252="",G252="PLN03"),H252,"")</f>
        <v/>
      </c>
      <c r="AI252" s="42" t="str">
        <f>IF(AND(C252=Master!$H$6,B252="2012-2013",E252&gt;1000,G252="PLN03"),H252,"")</f>
        <v/>
      </c>
      <c r="AJ252" s="42" t="str">
        <f>IF(AND(C252=Master!$H$6,B252="2012-2013",E252="",G252="PLN03"),H252,"")</f>
        <v/>
      </c>
      <c r="AK252" s="42" t="str">
        <f>IF(AND(C252=Master!$H$7,B252="2012-2013",E252&gt;1000,G252="PLN03"),H252,"")</f>
        <v/>
      </c>
      <c r="AL252" s="42" t="str">
        <f>IF(AND(C252=Master!$H$7,B252="2012-2013",E252="",G252="PLN03"),H252,"")</f>
        <v/>
      </c>
      <c r="AM252" s="42" t="str">
        <f>IF(AND(C252=Master!$H$8,B252="2012-2013",E252&gt;1000,G252="PLN03"),H252,"")</f>
        <v/>
      </c>
      <c r="AN252" s="42" t="str">
        <f>IF(AND(C252=Master!$H$8,B252="2012-2013",E252="",G252="PLN03"),H252,"")</f>
        <v/>
      </c>
      <c r="AO252" s="42" t="str">
        <f>IF(AND(C252=Master!$H$9,B252="2012-2013",E252&gt;1000,G252="PLN03"),H252,"")</f>
        <v/>
      </c>
      <c r="AP252" s="42" t="str">
        <f>IF(AND(C252=Master!$H$9,B252="2012-2013",E252="",G252="PLN03"),H252,"")</f>
        <v/>
      </c>
      <c r="AQ252" s="44" t="str">
        <f>IF(AND(C252=Master!$H$1,B252="2012-2013",E252&gt;1000,G252="NPN05"),H252,"")</f>
        <v/>
      </c>
      <c r="AR252" s="44" t="str">
        <f>IF(AND(C252=Master!$H$1,B252="2012-2013",E252="",G252="NPN05"),H252,"")</f>
        <v/>
      </c>
      <c r="AS252" s="44" t="str">
        <f>IF(AND(C252=Master!$H$2,B252="2012-2013",E252&gt;1000,G252="NPN05"),H252,"")</f>
        <v/>
      </c>
      <c r="AT252" s="44" t="str">
        <f>IF(AND(C252=Master!$H$2,B252="2012-2013",E252="",G252="NPN05"),H252,"")</f>
        <v/>
      </c>
      <c r="AU252" s="44" t="str">
        <f>IF(AND(C252=Master!$H$3,B252="2012-2013",E252&gt;1000,G252="NPN05"),H252,"")</f>
        <v/>
      </c>
      <c r="AV252" s="44" t="str">
        <f>IF(AND(C252=Master!$H$3,B252="2012-2013",E252="",G252="NPN05"),H252,"")</f>
        <v/>
      </c>
      <c r="AW252" s="44" t="str">
        <f>IF(AND(C252=Master!$H$4,B252="2012-2013",E252&gt;1000,G252="NPN05"),H252,"")</f>
        <v/>
      </c>
      <c r="AX252" s="44" t="str">
        <f>IF(AND(C252=Master!$H$4,B252="2012-2013",E252="",G252="NPN05"),H252,"")</f>
        <v/>
      </c>
      <c r="AY252" s="44" t="str">
        <f>IF(AND(C252=Master!$H$5,B252="2012-2013",E252&gt;1000,G252="NPN05"),H252,"")</f>
        <v/>
      </c>
      <c r="AZ252" s="44" t="str">
        <f>IF(AND(C252=Master!$H$5,B252="2012-2013",E252="",G252="NPN05"),H252,"")</f>
        <v/>
      </c>
      <c r="BA252" s="44" t="str">
        <f>IF(AND(C252=Master!$H$6,B252="2012-2013",E252&gt;1000,G252="NPN05"),H252,"")</f>
        <v/>
      </c>
      <c r="BB252" s="44" t="str">
        <f>IF(AND(C252=Master!$H$6,B252="2012-2013",E252="",G252="NPN05"),H252,"")</f>
        <v/>
      </c>
      <c r="BC252" s="44" t="str">
        <f>IF(AND(C252=Master!$H$7,B252="2012-2013",E252&gt;1000,G252="NPN05"),H252,"")</f>
        <v/>
      </c>
      <c r="BD252" s="44" t="str">
        <f>IF(AND(C252=Master!$H$7,B252="2012-2013",E252="",G252="NPN05"),H252,"")</f>
        <v/>
      </c>
      <c r="BE252" s="44" t="str">
        <f>IF(AND(C252=Master!$H$8,B252="2012-2013",E252&gt;1000,G252="NPN05"),H252,"")</f>
        <v/>
      </c>
      <c r="BF252" s="44" t="str">
        <f>IF(AND(C252=Master!$H$8,B252="2012-2013",E252="",G252="NPN05"),H252,"")</f>
        <v/>
      </c>
      <c r="BG252" s="44" t="str">
        <f>IF(AND(C252=Master!$H$9,B252="2012-2013",E252&gt;1000,G252="NPN05"),H252,"")</f>
        <v/>
      </c>
      <c r="BH252" s="44" t="str">
        <f>IF(AND(C252=Master!$H$9,B252="2012-2013",E252="",G252="NPN05"),H252,"")</f>
        <v/>
      </c>
    </row>
    <row r="253" spans="1:60" x14ac:dyDescent="0.25">
      <c r="A253" s="3">
        <v>251</v>
      </c>
      <c r="B253" s="12"/>
      <c r="C253" s="12"/>
      <c r="D253" s="31"/>
      <c r="E253" s="4"/>
      <c r="F253" s="13"/>
      <c r="G253" s="21"/>
      <c r="H253" s="35"/>
      <c r="I253" s="21"/>
      <c r="J253" s="25" t="str">
        <f>IF(NOT(I253=""),INDEX(Master!$B$1:$B$46,MATCH(I253,Master!$A$1:$A$46,0)),"")</f>
        <v/>
      </c>
      <c r="K253" s="18"/>
      <c r="L253" s="86"/>
      <c r="M253" s="13"/>
      <c r="N253" s="13"/>
      <c r="O253" s="18"/>
      <c r="P253" s="35"/>
      <c r="Q253" s="21"/>
      <c r="R253" s="21"/>
      <c r="S253" s="13"/>
      <c r="T253" s="12"/>
      <c r="U253" s="12"/>
      <c r="V253" s="12"/>
      <c r="W253" s="14"/>
      <c r="Y253" s="42" t="str">
        <f>IF(AND(C253=Master!$H$1,B253="2012-2013",E253&gt;1000,G253="PLN03"),H253,"")</f>
        <v/>
      </c>
      <c r="Z253" s="42" t="str">
        <f>IF(AND(C253=Master!$H$1,B253="2012-2013",E253="",G253="PLN03"),H253,"")</f>
        <v/>
      </c>
      <c r="AA253" s="42" t="str">
        <f>IF(AND(C253=Master!$H$2,B253="2012-2013",E253&gt;1000,G253="PLN03"),H253,"")</f>
        <v/>
      </c>
      <c r="AB253" s="42" t="str">
        <f>IF(AND(C253=Master!$H$2,B253="2012-2013",E253="",G253="PLN03"),H253,"")</f>
        <v/>
      </c>
      <c r="AC253" s="42" t="str">
        <f>IF(AND(C253=Master!$H$3,B253="2012-2013",E253&gt;1000,G253="PLN03"),H253,"")</f>
        <v/>
      </c>
      <c r="AD253" s="42" t="str">
        <f>IF(AND(C253=Master!$H$3,B253="2012-2013",E253="",G253="PLN03"),H253,"")</f>
        <v/>
      </c>
      <c r="AE253" s="42" t="str">
        <f>IF(AND(C253=Master!$H$4,B253="2012-2013",E253&gt;1000,G253="PLN03"),H253,"")</f>
        <v/>
      </c>
      <c r="AF253" s="42" t="str">
        <f>IF(AND(C253=Master!$H$4,B253="2012-2013",E253="",G253="PLN03"),H253,"")</f>
        <v/>
      </c>
      <c r="AG253" s="42" t="str">
        <f>IF(AND(C253=Master!$H$5,B253="2012-2013",E253&gt;1000,G253="PLN03"),H253,"")</f>
        <v/>
      </c>
      <c r="AH253" s="42" t="str">
        <f>IF(AND(C253=Master!$H$5,B253="2012-2013",E253="",G253="PLN03"),H253,"")</f>
        <v/>
      </c>
      <c r="AI253" s="42" t="str">
        <f>IF(AND(C253=Master!$H$6,B253="2012-2013",E253&gt;1000,G253="PLN03"),H253,"")</f>
        <v/>
      </c>
      <c r="AJ253" s="42" t="str">
        <f>IF(AND(C253=Master!$H$6,B253="2012-2013",E253="",G253="PLN03"),H253,"")</f>
        <v/>
      </c>
      <c r="AK253" s="42" t="str">
        <f>IF(AND(C253=Master!$H$7,B253="2012-2013",E253&gt;1000,G253="PLN03"),H253,"")</f>
        <v/>
      </c>
      <c r="AL253" s="42" t="str">
        <f>IF(AND(C253=Master!$H$7,B253="2012-2013",E253="",G253="PLN03"),H253,"")</f>
        <v/>
      </c>
      <c r="AM253" s="42" t="str">
        <f>IF(AND(C253=Master!$H$8,B253="2012-2013",E253&gt;1000,G253="PLN03"),H253,"")</f>
        <v/>
      </c>
      <c r="AN253" s="42" t="str">
        <f>IF(AND(C253=Master!$H$8,B253="2012-2013",E253="",G253="PLN03"),H253,"")</f>
        <v/>
      </c>
      <c r="AO253" s="42" t="str">
        <f>IF(AND(C253=Master!$H$9,B253="2012-2013",E253&gt;1000,G253="PLN03"),H253,"")</f>
        <v/>
      </c>
      <c r="AP253" s="42" t="str">
        <f>IF(AND(C253=Master!$H$9,B253="2012-2013",E253="",G253="PLN03"),H253,"")</f>
        <v/>
      </c>
      <c r="AQ253" s="44" t="str">
        <f>IF(AND(C253=Master!$H$1,B253="2012-2013",E253&gt;1000,G253="NPN05"),H253,"")</f>
        <v/>
      </c>
      <c r="AR253" s="44" t="str">
        <f>IF(AND(C253=Master!$H$1,B253="2012-2013",E253="",G253="NPN05"),H253,"")</f>
        <v/>
      </c>
      <c r="AS253" s="44" t="str">
        <f>IF(AND(C253=Master!$H$2,B253="2012-2013",E253&gt;1000,G253="NPN05"),H253,"")</f>
        <v/>
      </c>
      <c r="AT253" s="44" t="str">
        <f>IF(AND(C253=Master!$H$2,B253="2012-2013",E253="",G253="NPN05"),H253,"")</f>
        <v/>
      </c>
      <c r="AU253" s="44" t="str">
        <f>IF(AND(C253=Master!$H$3,B253="2012-2013",E253&gt;1000,G253="NPN05"),H253,"")</f>
        <v/>
      </c>
      <c r="AV253" s="44" t="str">
        <f>IF(AND(C253=Master!$H$3,B253="2012-2013",E253="",G253="NPN05"),H253,"")</f>
        <v/>
      </c>
      <c r="AW253" s="44" t="str">
        <f>IF(AND(C253=Master!$H$4,B253="2012-2013",E253&gt;1000,G253="NPN05"),H253,"")</f>
        <v/>
      </c>
      <c r="AX253" s="44" t="str">
        <f>IF(AND(C253=Master!$H$4,B253="2012-2013",E253="",G253="NPN05"),H253,"")</f>
        <v/>
      </c>
      <c r="AY253" s="44" t="str">
        <f>IF(AND(C253=Master!$H$5,B253="2012-2013",E253&gt;1000,G253="NPN05"),H253,"")</f>
        <v/>
      </c>
      <c r="AZ253" s="44" t="str">
        <f>IF(AND(C253=Master!$H$5,B253="2012-2013",E253="",G253="NPN05"),H253,"")</f>
        <v/>
      </c>
      <c r="BA253" s="44" t="str">
        <f>IF(AND(C253=Master!$H$6,B253="2012-2013",E253&gt;1000,G253="NPN05"),H253,"")</f>
        <v/>
      </c>
      <c r="BB253" s="44" t="str">
        <f>IF(AND(C253=Master!$H$6,B253="2012-2013",E253="",G253="NPN05"),H253,"")</f>
        <v/>
      </c>
      <c r="BC253" s="44" t="str">
        <f>IF(AND(C253=Master!$H$7,B253="2012-2013",E253&gt;1000,G253="NPN05"),H253,"")</f>
        <v/>
      </c>
      <c r="BD253" s="44" t="str">
        <f>IF(AND(C253=Master!$H$7,B253="2012-2013",E253="",G253="NPN05"),H253,"")</f>
        <v/>
      </c>
      <c r="BE253" s="44" t="str">
        <f>IF(AND(C253=Master!$H$8,B253="2012-2013",E253&gt;1000,G253="NPN05"),H253,"")</f>
        <v/>
      </c>
      <c r="BF253" s="44" t="str">
        <f>IF(AND(C253=Master!$H$8,B253="2012-2013",E253="",G253="NPN05"),H253,"")</f>
        <v/>
      </c>
      <c r="BG253" s="44" t="str">
        <f>IF(AND(C253=Master!$H$9,B253="2012-2013",E253&gt;1000,G253="NPN05"),H253,"")</f>
        <v/>
      </c>
      <c r="BH253" s="44" t="str">
        <f>IF(AND(C253=Master!$H$9,B253="2012-2013",E253="",G253="NPN05"),H253,"")</f>
        <v/>
      </c>
    </row>
    <row r="254" spans="1:60" x14ac:dyDescent="0.25">
      <c r="A254" s="3">
        <v>252</v>
      </c>
      <c r="B254" s="12"/>
      <c r="C254" s="12"/>
      <c r="D254" s="31"/>
      <c r="E254" s="4"/>
      <c r="F254" s="13"/>
      <c r="G254" s="21"/>
      <c r="H254" s="35"/>
      <c r="I254" s="21"/>
      <c r="J254" s="25" t="str">
        <f>IF(NOT(I254=""),INDEX(Master!$B$1:$B$46,MATCH(I254,Master!$A$1:$A$46,0)),"")</f>
        <v/>
      </c>
      <c r="K254" s="18"/>
      <c r="L254" s="86"/>
      <c r="M254" s="13"/>
      <c r="N254" s="13"/>
      <c r="O254" s="18"/>
      <c r="P254" s="35"/>
      <c r="Q254" s="21"/>
      <c r="R254" s="21"/>
      <c r="S254" s="13"/>
      <c r="T254" s="12"/>
      <c r="U254" s="12"/>
      <c r="V254" s="12"/>
      <c r="W254" s="14"/>
      <c r="Y254" s="42" t="str">
        <f>IF(AND(C254=Master!$H$1,B254="2012-2013",E254&gt;1000,G254="PLN03"),H254,"")</f>
        <v/>
      </c>
      <c r="Z254" s="42" t="str">
        <f>IF(AND(C254=Master!$H$1,B254="2012-2013",E254="",G254="PLN03"),H254,"")</f>
        <v/>
      </c>
      <c r="AA254" s="42" t="str">
        <f>IF(AND(C254=Master!$H$2,B254="2012-2013",E254&gt;1000,G254="PLN03"),H254,"")</f>
        <v/>
      </c>
      <c r="AB254" s="42" t="str">
        <f>IF(AND(C254=Master!$H$2,B254="2012-2013",E254="",G254="PLN03"),H254,"")</f>
        <v/>
      </c>
      <c r="AC254" s="42" t="str">
        <f>IF(AND(C254=Master!$H$3,B254="2012-2013",E254&gt;1000,G254="PLN03"),H254,"")</f>
        <v/>
      </c>
      <c r="AD254" s="42" t="str">
        <f>IF(AND(C254=Master!$H$3,B254="2012-2013",E254="",G254="PLN03"),H254,"")</f>
        <v/>
      </c>
      <c r="AE254" s="42" t="str">
        <f>IF(AND(C254=Master!$H$4,B254="2012-2013",E254&gt;1000,G254="PLN03"),H254,"")</f>
        <v/>
      </c>
      <c r="AF254" s="42" t="str">
        <f>IF(AND(C254=Master!$H$4,B254="2012-2013",E254="",G254="PLN03"),H254,"")</f>
        <v/>
      </c>
      <c r="AG254" s="42" t="str">
        <f>IF(AND(C254=Master!$H$5,B254="2012-2013",E254&gt;1000,G254="PLN03"),H254,"")</f>
        <v/>
      </c>
      <c r="AH254" s="42" t="str">
        <f>IF(AND(C254=Master!$H$5,B254="2012-2013",E254="",G254="PLN03"),H254,"")</f>
        <v/>
      </c>
      <c r="AI254" s="42" t="str">
        <f>IF(AND(C254=Master!$H$6,B254="2012-2013",E254&gt;1000,G254="PLN03"),H254,"")</f>
        <v/>
      </c>
      <c r="AJ254" s="42" t="str">
        <f>IF(AND(C254=Master!$H$6,B254="2012-2013",E254="",G254="PLN03"),H254,"")</f>
        <v/>
      </c>
      <c r="AK254" s="42" t="str">
        <f>IF(AND(C254=Master!$H$7,B254="2012-2013",E254&gt;1000,G254="PLN03"),H254,"")</f>
        <v/>
      </c>
      <c r="AL254" s="42" t="str">
        <f>IF(AND(C254=Master!$H$7,B254="2012-2013",E254="",G254="PLN03"),H254,"")</f>
        <v/>
      </c>
      <c r="AM254" s="42" t="str">
        <f>IF(AND(C254=Master!$H$8,B254="2012-2013",E254&gt;1000,G254="PLN03"),H254,"")</f>
        <v/>
      </c>
      <c r="AN254" s="42" t="str">
        <f>IF(AND(C254=Master!$H$8,B254="2012-2013",E254="",G254="PLN03"),H254,"")</f>
        <v/>
      </c>
      <c r="AO254" s="42" t="str">
        <f>IF(AND(C254=Master!$H$9,B254="2012-2013",E254&gt;1000,G254="PLN03"),H254,"")</f>
        <v/>
      </c>
      <c r="AP254" s="42" t="str">
        <f>IF(AND(C254=Master!$H$9,B254="2012-2013",E254="",G254="PLN03"),H254,"")</f>
        <v/>
      </c>
      <c r="AQ254" s="44" t="str">
        <f>IF(AND(C254=Master!$H$1,B254="2012-2013",E254&gt;1000,G254="NPN05"),H254,"")</f>
        <v/>
      </c>
      <c r="AR254" s="44" t="str">
        <f>IF(AND(C254=Master!$H$1,B254="2012-2013",E254="",G254="NPN05"),H254,"")</f>
        <v/>
      </c>
      <c r="AS254" s="44" t="str">
        <f>IF(AND(C254=Master!$H$2,B254="2012-2013",E254&gt;1000,G254="NPN05"),H254,"")</f>
        <v/>
      </c>
      <c r="AT254" s="44" t="str">
        <f>IF(AND(C254=Master!$H$2,B254="2012-2013",E254="",G254="NPN05"),H254,"")</f>
        <v/>
      </c>
      <c r="AU254" s="44" t="str">
        <f>IF(AND(C254=Master!$H$3,B254="2012-2013",E254&gt;1000,G254="NPN05"),H254,"")</f>
        <v/>
      </c>
      <c r="AV254" s="44" t="str">
        <f>IF(AND(C254=Master!$H$3,B254="2012-2013",E254="",G254="NPN05"),H254,"")</f>
        <v/>
      </c>
      <c r="AW254" s="44" t="str">
        <f>IF(AND(C254=Master!$H$4,B254="2012-2013",E254&gt;1000,G254="NPN05"),H254,"")</f>
        <v/>
      </c>
      <c r="AX254" s="44" t="str">
        <f>IF(AND(C254=Master!$H$4,B254="2012-2013",E254="",G254="NPN05"),H254,"")</f>
        <v/>
      </c>
      <c r="AY254" s="44" t="str">
        <f>IF(AND(C254=Master!$H$5,B254="2012-2013",E254&gt;1000,G254="NPN05"),H254,"")</f>
        <v/>
      </c>
      <c r="AZ254" s="44" t="str">
        <f>IF(AND(C254=Master!$H$5,B254="2012-2013",E254="",G254="NPN05"),H254,"")</f>
        <v/>
      </c>
      <c r="BA254" s="44" t="str">
        <f>IF(AND(C254=Master!$H$6,B254="2012-2013",E254&gt;1000,G254="NPN05"),H254,"")</f>
        <v/>
      </c>
      <c r="BB254" s="44" t="str">
        <f>IF(AND(C254=Master!$H$6,B254="2012-2013",E254="",G254="NPN05"),H254,"")</f>
        <v/>
      </c>
      <c r="BC254" s="44" t="str">
        <f>IF(AND(C254=Master!$H$7,B254="2012-2013",E254&gt;1000,G254="NPN05"),H254,"")</f>
        <v/>
      </c>
      <c r="BD254" s="44" t="str">
        <f>IF(AND(C254=Master!$H$7,B254="2012-2013",E254="",G254="NPN05"),H254,"")</f>
        <v/>
      </c>
      <c r="BE254" s="44" t="str">
        <f>IF(AND(C254=Master!$H$8,B254="2012-2013",E254&gt;1000,G254="NPN05"),H254,"")</f>
        <v/>
      </c>
      <c r="BF254" s="44" t="str">
        <f>IF(AND(C254=Master!$H$8,B254="2012-2013",E254="",G254="NPN05"),H254,"")</f>
        <v/>
      </c>
      <c r="BG254" s="44" t="str">
        <f>IF(AND(C254=Master!$H$9,B254="2012-2013",E254&gt;1000,G254="NPN05"),H254,"")</f>
        <v/>
      </c>
      <c r="BH254" s="44" t="str">
        <f>IF(AND(C254=Master!$H$9,B254="2012-2013",E254="",G254="NPN05"),H254,"")</f>
        <v/>
      </c>
    </row>
    <row r="255" spans="1:60" x14ac:dyDescent="0.25">
      <c r="A255" s="3">
        <v>253</v>
      </c>
      <c r="B255" s="12"/>
      <c r="C255" s="12"/>
      <c r="D255" s="31"/>
      <c r="E255" s="4"/>
      <c r="F255" s="13"/>
      <c r="G255" s="21"/>
      <c r="H255" s="35"/>
      <c r="I255" s="21"/>
      <c r="J255" s="25" t="str">
        <f>IF(NOT(I255=""),INDEX(Master!$B$1:$B$46,MATCH(I255,Master!$A$1:$A$46,0)),"")</f>
        <v/>
      </c>
      <c r="K255" s="18"/>
      <c r="L255" s="86"/>
      <c r="M255" s="13"/>
      <c r="N255" s="13"/>
      <c r="O255" s="18"/>
      <c r="P255" s="35"/>
      <c r="Q255" s="21"/>
      <c r="R255" s="21"/>
      <c r="S255" s="13"/>
      <c r="T255" s="12"/>
      <c r="U255" s="12"/>
      <c r="V255" s="12"/>
      <c r="W255" s="14"/>
      <c r="Y255" s="42" t="str">
        <f>IF(AND(C255=Master!$H$1,B255="2012-2013",E255&gt;1000,G255="PLN03"),H255,"")</f>
        <v/>
      </c>
      <c r="Z255" s="42" t="str">
        <f>IF(AND(C255=Master!$H$1,B255="2012-2013",E255="",G255="PLN03"),H255,"")</f>
        <v/>
      </c>
      <c r="AA255" s="42" t="str">
        <f>IF(AND(C255=Master!$H$2,B255="2012-2013",E255&gt;1000,G255="PLN03"),H255,"")</f>
        <v/>
      </c>
      <c r="AB255" s="42" t="str">
        <f>IF(AND(C255=Master!$H$2,B255="2012-2013",E255="",G255="PLN03"),H255,"")</f>
        <v/>
      </c>
      <c r="AC255" s="42" t="str">
        <f>IF(AND(C255=Master!$H$3,B255="2012-2013",E255&gt;1000,G255="PLN03"),H255,"")</f>
        <v/>
      </c>
      <c r="AD255" s="42" t="str">
        <f>IF(AND(C255=Master!$H$3,B255="2012-2013",E255="",G255="PLN03"),H255,"")</f>
        <v/>
      </c>
      <c r="AE255" s="42" t="str">
        <f>IF(AND(C255=Master!$H$4,B255="2012-2013",E255&gt;1000,G255="PLN03"),H255,"")</f>
        <v/>
      </c>
      <c r="AF255" s="42" t="str">
        <f>IF(AND(C255=Master!$H$4,B255="2012-2013",E255="",G255="PLN03"),H255,"")</f>
        <v/>
      </c>
      <c r="AG255" s="42" t="str">
        <f>IF(AND(C255=Master!$H$5,B255="2012-2013",E255&gt;1000,G255="PLN03"),H255,"")</f>
        <v/>
      </c>
      <c r="AH255" s="42" t="str">
        <f>IF(AND(C255=Master!$H$5,B255="2012-2013",E255="",G255="PLN03"),H255,"")</f>
        <v/>
      </c>
      <c r="AI255" s="42" t="str">
        <f>IF(AND(C255=Master!$H$6,B255="2012-2013",E255&gt;1000,G255="PLN03"),H255,"")</f>
        <v/>
      </c>
      <c r="AJ255" s="42" t="str">
        <f>IF(AND(C255=Master!$H$6,B255="2012-2013",E255="",G255="PLN03"),H255,"")</f>
        <v/>
      </c>
      <c r="AK255" s="42" t="str">
        <f>IF(AND(C255=Master!$H$7,B255="2012-2013",E255&gt;1000,G255="PLN03"),H255,"")</f>
        <v/>
      </c>
      <c r="AL255" s="42" t="str">
        <f>IF(AND(C255=Master!$H$7,B255="2012-2013",E255="",G255="PLN03"),H255,"")</f>
        <v/>
      </c>
      <c r="AM255" s="42" t="str">
        <f>IF(AND(C255=Master!$H$8,B255="2012-2013",E255&gt;1000,G255="PLN03"),H255,"")</f>
        <v/>
      </c>
      <c r="AN255" s="42" t="str">
        <f>IF(AND(C255=Master!$H$8,B255="2012-2013",E255="",G255="PLN03"),H255,"")</f>
        <v/>
      </c>
      <c r="AO255" s="42" t="str">
        <f>IF(AND(C255=Master!$H$9,B255="2012-2013",E255&gt;1000,G255="PLN03"),H255,"")</f>
        <v/>
      </c>
      <c r="AP255" s="42" t="str">
        <f>IF(AND(C255=Master!$H$9,B255="2012-2013",E255="",G255="PLN03"),H255,"")</f>
        <v/>
      </c>
      <c r="AQ255" s="44" t="str">
        <f>IF(AND(C255=Master!$H$1,B255="2012-2013",E255&gt;1000,G255="NPN05"),H255,"")</f>
        <v/>
      </c>
      <c r="AR255" s="44" t="str">
        <f>IF(AND(C255=Master!$H$1,B255="2012-2013",E255="",G255="NPN05"),H255,"")</f>
        <v/>
      </c>
      <c r="AS255" s="44" t="str">
        <f>IF(AND(C255=Master!$H$2,B255="2012-2013",E255&gt;1000,G255="NPN05"),H255,"")</f>
        <v/>
      </c>
      <c r="AT255" s="44" t="str">
        <f>IF(AND(C255=Master!$H$2,B255="2012-2013",E255="",G255="NPN05"),H255,"")</f>
        <v/>
      </c>
      <c r="AU255" s="44" t="str">
        <f>IF(AND(C255=Master!$H$3,B255="2012-2013",E255&gt;1000,G255="NPN05"),H255,"")</f>
        <v/>
      </c>
      <c r="AV255" s="44" t="str">
        <f>IF(AND(C255=Master!$H$3,B255="2012-2013",E255="",G255="NPN05"),H255,"")</f>
        <v/>
      </c>
      <c r="AW255" s="44" t="str">
        <f>IF(AND(C255=Master!$H$4,B255="2012-2013",E255&gt;1000,G255="NPN05"),H255,"")</f>
        <v/>
      </c>
      <c r="AX255" s="44" t="str">
        <f>IF(AND(C255=Master!$H$4,B255="2012-2013",E255="",G255="NPN05"),H255,"")</f>
        <v/>
      </c>
      <c r="AY255" s="44" t="str">
        <f>IF(AND(C255=Master!$H$5,B255="2012-2013",E255&gt;1000,G255="NPN05"),H255,"")</f>
        <v/>
      </c>
      <c r="AZ255" s="44" t="str">
        <f>IF(AND(C255=Master!$H$5,B255="2012-2013",E255="",G255="NPN05"),H255,"")</f>
        <v/>
      </c>
      <c r="BA255" s="44" t="str">
        <f>IF(AND(C255=Master!$H$6,B255="2012-2013",E255&gt;1000,G255="NPN05"),H255,"")</f>
        <v/>
      </c>
      <c r="BB255" s="44" t="str">
        <f>IF(AND(C255=Master!$H$6,B255="2012-2013",E255="",G255="NPN05"),H255,"")</f>
        <v/>
      </c>
      <c r="BC255" s="44" t="str">
        <f>IF(AND(C255=Master!$H$7,B255="2012-2013",E255&gt;1000,G255="NPN05"),H255,"")</f>
        <v/>
      </c>
      <c r="BD255" s="44" t="str">
        <f>IF(AND(C255=Master!$H$7,B255="2012-2013",E255="",G255="NPN05"),H255,"")</f>
        <v/>
      </c>
      <c r="BE255" s="44" t="str">
        <f>IF(AND(C255=Master!$H$8,B255="2012-2013",E255&gt;1000,G255="NPN05"),H255,"")</f>
        <v/>
      </c>
      <c r="BF255" s="44" t="str">
        <f>IF(AND(C255=Master!$H$8,B255="2012-2013",E255="",G255="NPN05"),H255,"")</f>
        <v/>
      </c>
      <c r="BG255" s="44" t="str">
        <f>IF(AND(C255=Master!$H$9,B255="2012-2013",E255&gt;1000,G255="NPN05"),H255,"")</f>
        <v/>
      </c>
      <c r="BH255" s="44" t="str">
        <f>IF(AND(C255=Master!$H$9,B255="2012-2013",E255="",G255="NPN05"),H255,"")</f>
        <v/>
      </c>
    </row>
    <row r="256" spans="1:60" x14ac:dyDescent="0.25">
      <c r="A256" s="5">
        <v>254</v>
      </c>
      <c r="B256" s="12"/>
      <c r="C256" s="12"/>
      <c r="D256" s="31"/>
      <c r="E256" s="4"/>
      <c r="F256" s="13"/>
      <c r="G256" s="21"/>
      <c r="H256" s="35"/>
      <c r="I256" s="21"/>
      <c r="J256" s="25" t="str">
        <f>IF(NOT(I256=""),INDEX(Master!$B$1:$B$46,MATCH(I256,Master!$A$1:$A$46,0)),"")</f>
        <v/>
      </c>
      <c r="K256" s="18"/>
      <c r="L256" s="86"/>
      <c r="M256" s="13"/>
      <c r="N256" s="13"/>
      <c r="O256" s="18"/>
      <c r="P256" s="35"/>
      <c r="Q256" s="21"/>
      <c r="R256" s="21"/>
      <c r="S256" s="13"/>
      <c r="T256" s="12"/>
      <c r="U256" s="12"/>
      <c r="V256" s="12"/>
      <c r="W256" s="14"/>
      <c r="Y256" s="42" t="str">
        <f>IF(AND(C256=Master!$H$1,B256="2012-2013",E256&gt;1000,G256="PLN03"),H256,"")</f>
        <v/>
      </c>
      <c r="Z256" s="42" t="str">
        <f>IF(AND(C256=Master!$H$1,B256="2012-2013",E256="",G256="PLN03"),H256,"")</f>
        <v/>
      </c>
      <c r="AA256" s="42" t="str">
        <f>IF(AND(C256=Master!$H$2,B256="2012-2013",E256&gt;1000,G256="PLN03"),H256,"")</f>
        <v/>
      </c>
      <c r="AB256" s="42" t="str">
        <f>IF(AND(C256=Master!$H$2,B256="2012-2013",E256="",G256="PLN03"),H256,"")</f>
        <v/>
      </c>
      <c r="AC256" s="42" t="str">
        <f>IF(AND(C256=Master!$H$3,B256="2012-2013",E256&gt;1000,G256="PLN03"),H256,"")</f>
        <v/>
      </c>
      <c r="AD256" s="42" t="str">
        <f>IF(AND(C256=Master!$H$3,B256="2012-2013",E256="",G256="PLN03"),H256,"")</f>
        <v/>
      </c>
      <c r="AE256" s="42" t="str">
        <f>IF(AND(C256=Master!$H$4,B256="2012-2013",E256&gt;1000,G256="PLN03"),H256,"")</f>
        <v/>
      </c>
      <c r="AF256" s="42" t="str">
        <f>IF(AND(C256=Master!$H$4,B256="2012-2013",E256="",G256="PLN03"),H256,"")</f>
        <v/>
      </c>
      <c r="AG256" s="42" t="str">
        <f>IF(AND(C256=Master!$H$5,B256="2012-2013",E256&gt;1000,G256="PLN03"),H256,"")</f>
        <v/>
      </c>
      <c r="AH256" s="42" t="str">
        <f>IF(AND(C256=Master!$H$5,B256="2012-2013",E256="",G256="PLN03"),H256,"")</f>
        <v/>
      </c>
      <c r="AI256" s="42" t="str">
        <f>IF(AND(C256=Master!$H$6,B256="2012-2013",E256&gt;1000,G256="PLN03"),H256,"")</f>
        <v/>
      </c>
      <c r="AJ256" s="42" t="str">
        <f>IF(AND(C256=Master!$H$6,B256="2012-2013",E256="",G256="PLN03"),H256,"")</f>
        <v/>
      </c>
      <c r="AK256" s="42" t="str">
        <f>IF(AND(C256=Master!$H$7,B256="2012-2013",E256&gt;1000,G256="PLN03"),H256,"")</f>
        <v/>
      </c>
      <c r="AL256" s="42" t="str">
        <f>IF(AND(C256=Master!$H$7,B256="2012-2013",E256="",G256="PLN03"),H256,"")</f>
        <v/>
      </c>
      <c r="AM256" s="42" t="str">
        <f>IF(AND(C256=Master!$H$8,B256="2012-2013",E256&gt;1000,G256="PLN03"),H256,"")</f>
        <v/>
      </c>
      <c r="AN256" s="42" t="str">
        <f>IF(AND(C256=Master!$H$8,B256="2012-2013",E256="",G256="PLN03"),H256,"")</f>
        <v/>
      </c>
      <c r="AO256" s="42" t="str">
        <f>IF(AND(C256=Master!$H$9,B256="2012-2013",E256&gt;1000,G256="PLN03"),H256,"")</f>
        <v/>
      </c>
      <c r="AP256" s="42" t="str">
        <f>IF(AND(C256=Master!$H$9,B256="2012-2013",E256="",G256="PLN03"),H256,"")</f>
        <v/>
      </c>
      <c r="AQ256" s="44" t="str">
        <f>IF(AND(C256=Master!$H$1,B256="2012-2013",E256&gt;1000,G256="NPN05"),H256,"")</f>
        <v/>
      </c>
      <c r="AR256" s="44" t="str">
        <f>IF(AND(C256=Master!$H$1,B256="2012-2013",E256="",G256="NPN05"),H256,"")</f>
        <v/>
      </c>
      <c r="AS256" s="44" t="str">
        <f>IF(AND(C256=Master!$H$2,B256="2012-2013",E256&gt;1000,G256="NPN05"),H256,"")</f>
        <v/>
      </c>
      <c r="AT256" s="44" t="str">
        <f>IF(AND(C256=Master!$H$2,B256="2012-2013",E256="",G256="NPN05"),H256,"")</f>
        <v/>
      </c>
      <c r="AU256" s="44" t="str">
        <f>IF(AND(C256=Master!$H$3,B256="2012-2013",E256&gt;1000,G256="NPN05"),H256,"")</f>
        <v/>
      </c>
      <c r="AV256" s="44" t="str">
        <f>IF(AND(C256=Master!$H$3,B256="2012-2013",E256="",G256="NPN05"),H256,"")</f>
        <v/>
      </c>
      <c r="AW256" s="44" t="str">
        <f>IF(AND(C256=Master!$H$4,B256="2012-2013",E256&gt;1000,G256="NPN05"),H256,"")</f>
        <v/>
      </c>
      <c r="AX256" s="44" t="str">
        <f>IF(AND(C256=Master!$H$4,B256="2012-2013",E256="",G256="NPN05"),H256,"")</f>
        <v/>
      </c>
      <c r="AY256" s="44" t="str">
        <f>IF(AND(C256=Master!$H$5,B256="2012-2013",E256&gt;1000,G256="NPN05"),H256,"")</f>
        <v/>
      </c>
      <c r="AZ256" s="44" t="str">
        <f>IF(AND(C256=Master!$H$5,B256="2012-2013",E256="",G256="NPN05"),H256,"")</f>
        <v/>
      </c>
      <c r="BA256" s="44" t="str">
        <f>IF(AND(C256=Master!$H$6,B256="2012-2013",E256&gt;1000,G256="NPN05"),H256,"")</f>
        <v/>
      </c>
      <c r="BB256" s="44" t="str">
        <f>IF(AND(C256=Master!$H$6,B256="2012-2013",E256="",G256="NPN05"),H256,"")</f>
        <v/>
      </c>
      <c r="BC256" s="44" t="str">
        <f>IF(AND(C256=Master!$H$7,B256="2012-2013",E256&gt;1000,G256="NPN05"),H256,"")</f>
        <v/>
      </c>
      <c r="BD256" s="44" t="str">
        <f>IF(AND(C256=Master!$H$7,B256="2012-2013",E256="",G256="NPN05"),H256,"")</f>
        <v/>
      </c>
      <c r="BE256" s="44" t="str">
        <f>IF(AND(C256=Master!$H$8,B256="2012-2013",E256&gt;1000,G256="NPN05"),H256,"")</f>
        <v/>
      </c>
      <c r="BF256" s="44" t="str">
        <f>IF(AND(C256=Master!$H$8,B256="2012-2013",E256="",G256="NPN05"),H256,"")</f>
        <v/>
      </c>
      <c r="BG256" s="44" t="str">
        <f>IF(AND(C256=Master!$H$9,B256="2012-2013",E256&gt;1000,G256="NPN05"),H256,"")</f>
        <v/>
      </c>
      <c r="BH256" s="44" t="str">
        <f>IF(AND(C256=Master!$H$9,B256="2012-2013",E256="",G256="NPN05"),H256,"")</f>
        <v/>
      </c>
    </row>
    <row r="257" spans="1:60" x14ac:dyDescent="0.25">
      <c r="A257" s="3">
        <v>255</v>
      </c>
      <c r="B257" s="12"/>
      <c r="C257" s="12"/>
      <c r="D257" s="31"/>
      <c r="E257" s="4"/>
      <c r="F257" s="13"/>
      <c r="G257" s="21"/>
      <c r="H257" s="35"/>
      <c r="I257" s="21"/>
      <c r="J257" s="25" t="str">
        <f>IF(NOT(I257=""),INDEX(Master!$B$1:$B$46,MATCH(I257,Master!$A$1:$A$46,0)),"")</f>
        <v/>
      </c>
      <c r="K257" s="18"/>
      <c r="L257" s="86"/>
      <c r="M257" s="13"/>
      <c r="N257" s="13"/>
      <c r="O257" s="18"/>
      <c r="P257" s="35"/>
      <c r="Q257" s="21"/>
      <c r="R257" s="21"/>
      <c r="S257" s="13"/>
      <c r="T257" s="12"/>
      <c r="U257" s="12"/>
      <c r="V257" s="12"/>
      <c r="W257" s="14"/>
      <c r="Y257" s="42" t="str">
        <f>IF(AND(C257=Master!$H$1,B257="2012-2013",E257&gt;1000,G257="PLN03"),H257,"")</f>
        <v/>
      </c>
      <c r="Z257" s="42" t="str">
        <f>IF(AND(C257=Master!$H$1,B257="2012-2013",E257="",G257="PLN03"),H257,"")</f>
        <v/>
      </c>
      <c r="AA257" s="42" t="str">
        <f>IF(AND(C257=Master!$H$2,B257="2012-2013",E257&gt;1000,G257="PLN03"),H257,"")</f>
        <v/>
      </c>
      <c r="AB257" s="42" t="str">
        <f>IF(AND(C257=Master!$H$2,B257="2012-2013",E257="",G257="PLN03"),H257,"")</f>
        <v/>
      </c>
      <c r="AC257" s="42" t="str">
        <f>IF(AND(C257=Master!$H$3,B257="2012-2013",E257&gt;1000,G257="PLN03"),H257,"")</f>
        <v/>
      </c>
      <c r="AD257" s="42" t="str">
        <f>IF(AND(C257=Master!$H$3,B257="2012-2013",E257="",G257="PLN03"),H257,"")</f>
        <v/>
      </c>
      <c r="AE257" s="42" t="str">
        <f>IF(AND(C257=Master!$H$4,B257="2012-2013",E257&gt;1000,G257="PLN03"),H257,"")</f>
        <v/>
      </c>
      <c r="AF257" s="42" t="str">
        <f>IF(AND(C257=Master!$H$4,B257="2012-2013",E257="",G257="PLN03"),H257,"")</f>
        <v/>
      </c>
      <c r="AG257" s="42" t="str">
        <f>IF(AND(C257=Master!$H$5,B257="2012-2013",E257&gt;1000,G257="PLN03"),H257,"")</f>
        <v/>
      </c>
      <c r="AH257" s="42" t="str">
        <f>IF(AND(C257=Master!$H$5,B257="2012-2013",E257="",G257="PLN03"),H257,"")</f>
        <v/>
      </c>
      <c r="AI257" s="42" t="str">
        <f>IF(AND(C257=Master!$H$6,B257="2012-2013",E257&gt;1000,G257="PLN03"),H257,"")</f>
        <v/>
      </c>
      <c r="AJ257" s="42" t="str">
        <f>IF(AND(C257=Master!$H$6,B257="2012-2013",E257="",G257="PLN03"),H257,"")</f>
        <v/>
      </c>
      <c r="AK257" s="42" t="str">
        <f>IF(AND(C257=Master!$H$7,B257="2012-2013",E257&gt;1000,G257="PLN03"),H257,"")</f>
        <v/>
      </c>
      <c r="AL257" s="42" t="str">
        <f>IF(AND(C257=Master!$H$7,B257="2012-2013",E257="",G257="PLN03"),H257,"")</f>
        <v/>
      </c>
      <c r="AM257" s="42" t="str">
        <f>IF(AND(C257=Master!$H$8,B257="2012-2013",E257&gt;1000,G257="PLN03"),H257,"")</f>
        <v/>
      </c>
      <c r="AN257" s="42" t="str">
        <f>IF(AND(C257=Master!$H$8,B257="2012-2013",E257="",G257="PLN03"),H257,"")</f>
        <v/>
      </c>
      <c r="AO257" s="42" t="str">
        <f>IF(AND(C257=Master!$H$9,B257="2012-2013",E257&gt;1000,G257="PLN03"),H257,"")</f>
        <v/>
      </c>
      <c r="AP257" s="42" t="str">
        <f>IF(AND(C257=Master!$H$9,B257="2012-2013",E257="",G257="PLN03"),H257,"")</f>
        <v/>
      </c>
      <c r="AQ257" s="44" t="str">
        <f>IF(AND(C257=Master!$H$1,B257="2012-2013",E257&gt;1000,G257="NPN05"),H257,"")</f>
        <v/>
      </c>
      <c r="AR257" s="44" t="str">
        <f>IF(AND(C257=Master!$H$1,B257="2012-2013",E257="",G257="NPN05"),H257,"")</f>
        <v/>
      </c>
      <c r="AS257" s="44" t="str">
        <f>IF(AND(C257=Master!$H$2,B257="2012-2013",E257&gt;1000,G257="NPN05"),H257,"")</f>
        <v/>
      </c>
      <c r="AT257" s="44" t="str">
        <f>IF(AND(C257=Master!$H$2,B257="2012-2013",E257="",G257="NPN05"),H257,"")</f>
        <v/>
      </c>
      <c r="AU257" s="44" t="str">
        <f>IF(AND(C257=Master!$H$3,B257="2012-2013",E257&gt;1000,G257="NPN05"),H257,"")</f>
        <v/>
      </c>
      <c r="AV257" s="44" t="str">
        <f>IF(AND(C257=Master!$H$3,B257="2012-2013",E257="",G257="NPN05"),H257,"")</f>
        <v/>
      </c>
      <c r="AW257" s="44" t="str">
        <f>IF(AND(C257=Master!$H$4,B257="2012-2013",E257&gt;1000,G257="NPN05"),H257,"")</f>
        <v/>
      </c>
      <c r="AX257" s="44" t="str">
        <f>IF(AND(C257=Master!$H$4,B257="2012-2013",E257="",G257="NPN05"),H257,"")</f>
        <v/>
      </c>
      <c r="AY257" s="44" t="str">
        <f>IF(AND(C257=Master!$H$5,B257="2012-2013",E257&gt;1000,G257="NPN05"),H257,"")</f>
        <v/>
      </c>
      <c r="AZ257" s="44" t="str">
        <f>IF(AND(C257=Master!$H$5,B257="2012-2013",E257="",G257="NPN05"),H257,"")</f>
        <v/>
      </c>
      <c r="BA257" s="44" t="str">
        <f>IF(AND(C257=Master!$H$6,B257="2012-2013",E257&gt;1000,G257="NPN05"),H257,"")</f>
        <v/>
      </c>
      <c r="BB257" s="44" t="str">
        <f>IF(AND(C257=Master!$H$6,B257="2012-2013",E257="",G257="NPN05"),H257,"")</f>
        <v/>
      </c>
      <c r="BC257" s="44" t="str">
        <f>IF(AND(C257=Master!$H$7,B257="2012-2013",E257&gt;1000,G257="NPN05"),H257,"")</f>
        <v/>
      </c>
      <c r="BD257" s="44" t="str">
        <f>IF(AND(C257=Master!$H$7,B257="2012-2013",E257="",G257="NPN05"),H257,"")</f>
        <v/>
      </c>
      <c r="BE257" s="44" t="str">
        <f>IF(AND(C257=Master!$H$8,B257="2012-2013",E257&gt;1000,G257="NPN05"),H257,"")</f>
        <v/>
      </c>
      <c r="BF257" s="44" t="str">
        <f>IF(AND(C257=Master!$H$8,B257="2012-2013",E257="",G257="NPN05"),H257,"")</f>
        <v/>
      </c>
      <c r="BG257" s="44" t="str">
        <f>IF(AND(C257=Master!$H$9,B257="2012-2013",E257&gt;1000,G257="NPN05"),H257,"")</f>
        <v/>
      </c>
      <c r="BH257" s="44" t="str">
        <f>IF(AND(C257=Master!$H$9,B257="2012-2013",E257="",G257="NPN05"),H257,"")</f>
        <v/>
      </c>
    </row>
    <row r="258" spans="1:60" x14ac:dyDescent="0.25">
      <c r="A258" s="3">
        <v>256</v>
      </c>
      <c r="B258" s="12"/>
      <c r="C258" s="12"/>
      <c r="D258" s="31"/>
      <c r="E258" s="4"/>
      <c r="F258" s="13"/>
      <c r="G258" s="21"/>
      <c r="H258" s="35"/>
      <c r="I258" s="21"/>
      <c r="J258" s="25" t="str">
        <f>IF(NOT(I258=""),INDEX(Master!$B$1:$B$46,MATCH(I258,Master!$A$1:$A$46,0)),"")</f>
        <v/>
      </c>
      <c r="K258" s="18"/>
      <c r="L258" s="86"/>
      <c r="M258" s="13"/>
      <c r="N258" s="13"/>
      <c r="O258" s="18"/>
      <c r="P258" s="35"/>
      <c r="Q258" s="21"/>
      <c r="R258" s="21"/>
      <c r="S258" s="13"/>
      <c r="T258" s="12"/>
      <c r="U258" s="12"/>
      <c r="V258" s="12"/>
      <c r="W258" s="14"/>
      <c r="Y258" s="42" t="str">
        <f>IF(AND(C258=Master!$H$1,B258="2012-2013",E258&gt;1000,G258="PLN03"),H258,"")</f>
        <v/>
      </c>
      <c r="Z258" s="42" t="str">
        <f>IF(AND(C258=Master!$H$1,B258="2012-2013",E258="",G258="PLN03"),H258,"")</f>
        <v/>
      </c>
      <c r="AA258" s="42" t="str">
        <f>IF(AND(C258=Master!$H$2,B258="2012-2013",E258&gt;1000,G258="PLN03"),H258,"")</f>
        <v/>
      </c>
      <c r="AB258" s="42" t="str">
        <f>IF(AND(C258=Master!$H$2,B258="2012-2013",E258="",G258="PLN03"),H258,"")</f>
        <v/>
      </c>
      <c r="AC258" s="42" t="str">
        <f>IF(AND(C258=Master!$H$3,B258="2012-2013",E258&gt;1000,G258="PLN03"),H258,"")</f>
        <v/>
      </c>
      <c r="AD258" s="42" t="str">
        <f>IF(AND(C258=Master!$H$3,B258="2012-2013",E258="",G258="PLN03"),H258,"")</f>
        <v/>
      </c>
      <c r="AE258" s="42" t="str">
        <f>IF(AND(C258=Master!$H$4,B258="2012-2013",E258&gt;1000,G258="PLN03"),H258,"")</f>
        <v/>
      </c>
      <c r="AF258" s="42" t="str">
        <f>IF(AND(C258=Master!$H$4,B258="2012-2013",E258="",G258="PLN03"),H258,"")</f>
        <v/>
      </c>
      <c r="AG258" s="42" t="str">
        <f>IF(AND(C258=Master!$H$5,B258="2012-2013",E258&gt;1000,G258="PLN03"),H258,"")</f>
        <v/>
      </c>
      <c r="AH258" s="42" t="str">
        <f>IF(AND(C258=Master!$H$5,B258="2012-2013",E258="",G258="PLN03"),H258,"")</f>
        <v/>
      </c>
      <c r="AI258" s="42" t="str">
        <f>IF(AND(C258=Master!$H$6,B258="2012-2013",E258&gt;1000,G258="PLN03"),H258,"")</f>
        <v/>
      </c>
      <c r="AJ258" s="42" t="str">
        <f>IF(AND(C258=Master!$H$6,B258="2012-2013",E258="",G258="PLN03"),H258,"")</f>
        <v/>
      </c>
      <c r="AK258" s="42" t="str">
        <f>IF(AND(C258=Master!$H$7,B258="2012-2013",E258&gt;1000,G258="PLN03"),H258,"")</f>
        <v/>
      </c>
      <c r="AL258" s="42" t="str">
        <f>IF(AND(C258=Master!$H$7,B258="2012-2013",E258="",G258="PLN03"),H258,"")</f>
        <v/>
      </c>
      <c r="AM258" s="42" t="str">
        <f>IF(AND(C258=Master!$H$8,B258="2012-2013",E258&gt;1000,G258="PLN03"),H258,"")</f>
        <v/>
      </c>
      <c r="AN258" s="42" t="str">
        <f>IF(AND(C258=Master!$H$8,B258="2012-2013",E258="",G258="PLN03"),H258,"")</f>
        <v/>
      </c>
      <c r="AO258" s="42" t="str">
        <f>IF(AND(C258=Master!$H$9,B258="2012-2013",E258&gt;1000,G258="PLN03"),H258,"")</f>
        <v/>
      </c>
      <c r="AP258" s="42" t="str">
        <f>IF(AND(C258=Master!$H$9,B258="2012-2013",E258="",G258="PLN03"),H258,"")</f>
        <v/>
      </c>
      <c r="AQ258" s="44" t="str">
        <f>IF(AND(C258=Master!$H$1,B258="2012-2013",E258&gt;1000,G258="NPN05"),H258,"")</f>
        <v/>
      </c>
      <c r="AR258" s="44" t="str">
        <f>IF(AND(C258=Master!$H$1,B258="2012-2013",E258="",G258="NPN05"),H258,"")</f>
        <v/>
      </c>
      <c r="AS258" s="44" t="str">
        <f>IF(AND(C258=Master!$H$2,B258="2012-2013",E258&gt;1000,G258="NPN05"),H258,"")</f>
        <v/>
      </c>
      <c r="AT258" s="44" t="str">
        <f>IF(AND(C258=Master!$H$2,B258="2012-2013",E258="",G258="NPN05"),H258,"")</f>
        <v/>
      </c>
      <c r="AU258" s="44" t="str">
        <f>IF(AND(C258=Master!$H$3,B258="2012-2013",E258&gt;1000,G258="NPN05"),H258,"")</f>
        <v/>
      </c>
      <c r="AV258" s="44" t="str">
        <f>IF(AND(C258=Master!$H$3,B258="2012-2013",E258="",G258="NPN05"),H258,"")</f>
        <v/>
      </c>
      <c r="AW258" s="44" t="str">
        <f>IF(AND(C258=Master!$H$4,B258="2012-2013",E258&gt;1000,G258="NPN05"),H258,"")</f>
        <v/>
      </c>
      <c r="AX258" s="44" t="str">
        <f>IF(AND(C258=Master!$H$4,B258="2012-2013",E258="",G258="NPN05"),H258,"")</f>
        <v/>
      </c>
      <c r="AY258" s="44" t="str">
        <f>IF(AND(C258=Master!$H$5,B258="2012-2013",E258&gt;1000,G258="NPN05"),H258,"")</f>
        <v/>
      </c>
      <c r="AZ258" s="44" t="str">
        <f>IF(AND(C258=Master!$H$5,B258="2012-2013",E258="",G258="NPN05"),H258,"")</f>
        <v/>
      </c>
      <c r="BA258" s="44" t="str">
        <f>IF(AND(C258=Master!$H$6,B258="2012-2013",E258&gt;1000,G258="NPN05"),H258,"")</f>
        <v/>
      </c>
      <c r="BB258" s="44" t="str">
        <f>IF(AND(C258=Master!$H$6,B258="2012-2013",E258="",G258="NPN05"),H258,"")</f>
        <v/>
      </c>
      <c r="BC258" s="44" t="str">
        <f>IF(AND(C258=Master!$H$7,B258="2012-2013",E258&gt;1000,G258="NPN05"),H258,"")</f>
        <v/>
      </c>
      <c r="BD258" s="44" t="str">
        <f>IF(AND(C258=Master!$H$7,B258="2012-2013",E258="",G258="NPN05"),H258,"")</f>
        <v/>
      </c>
      <c r="BE258" s="44" t="str">
        <f>IF(AND(C258=Master!$H$8,B258="2012-2013",E258&gt;1000,G258="NPN05"),H258,"")</f>
        <v/>
      </c>
      <c r="BF258" s="44" t="str">
        <f>IF(AND(C258=Master!$H$8,B258="2012-2013",E258="",G258="NPN05"),H258,"")</f>
        <v/>
      </c>
      <c r="BG258" s="44" t="str">
        <f>IF(AND(C258=Master!$H$9,B258="2012-2013",E258&gt;1000,G258="NPN05"),H258,"")</f>
        <v/>
      </c>
      <c r="BH258" s="44" t="str">
        <f>IF(AND(C258=Master!$H$9,B258="2012-2013",E258="",G258="NPN05"),H258,"")</f>
        <v/>
      </c>
    </row>
    <row r="259" spans="1:60" x14ac:dyDescent="0.25">
      <c r="A259" s="3">
        <v>257</v>
      </c>
      <c r="B259" s="12"/>
      <c r="C259" s="12"/>
      <c r="D259" s="31"/>
      <c r="E259" s="4"/>
      <c r="F259" s="13"/>
      <c r="G259" s="21"/>
      <c r="H259" s="35"/>
      <c r="I259" s="21"/>
      <c r="J259" s="25" t="str">
        <f>IF(NOT(I259=""),INDEX(Master!$B$1:$B$46,MATCH(I259,Master!$A$1:$A$46,0)),"")</f>
        <v/>
      </c>
      <c r="K259" s="18"/>
      <c r="L259" s="86"/>
      <c r="M259" s="13"/>
      <c r="N259" s="13"/>
      <c r="O259" s="18"/>
      <c r="P259" s="35"/>
      <c r="Q259" s="21"/>
      <c r="R259" s="21"/>
      <c r="S259" s="13"/>
      <c r="T259" s="12"/>
      <c r="U259" s="12"/>
      <c r="V259" s="12"/>
      <c r="W259" s="14"/>
      <c r="Y259" s="42" t="str">
        <f>IF(AND(C259=Master!$H$1,B259="2012-2013",E259&gt;1000,G259="PLN03"),H259,"")</f>
        <v/>
      </c>
      <c r="Z259" s="42" t="str">
        <f>IF(AND(C259=Master!$H$1,B259="2012-2013",E259="",G259="PLN03"),H259,"")</f>
        <v/>
      </c>
      <c r="AA259" s="42" t="str">
        <f>IF(AND(C259=Master!$H$2,B259="2012-2013",E259&gt;1000,G259="PLN03"),H259,"")</f>
        <v/>
      </c>
      <c r="AB259" s="42" t="str">
        <f>IF(AND(C259=Master!$H$2,B259="2012-2013",E259="",G259="PLN03"),H259,"")</f>
        <v/>
      </c>
      <c r="AC259" s="42" t="str">
        <f>IF(AND(C259=Master!$H$3,B259="2012-2013",E259&gt;1000,G259="PLN03"),H259,"")</f>
        <v/>
      </c>
      <c r="AD259" s="42" t="str">
        <f>IF(AND(C259=Master!$H$3,B259="2012-2013",E259="",G259="PLN03"),H259,"")</f>
        <v/>
      </c>
      <c r="AE259" s="42" t="str">
        <f>IF(AND(C259=Master!$H$4,B259="2012-2013",E259&gt;1000,G259="PLN03"),H259,"")</f>
        <v/>
      </c>
      <c r="AF259" s="42" t="str">
        <f>IF(AND(C259=Master!$H$4,B259="2012-2013",E259="",G259="PLN03"),H259,"")</f>
        <v/>
      </c>
      <c r="AG259" s="42" t="str">
        <f>IF(AND(C259=Master!$H$5,B259="2012-2013",E259&gt;1000,G259="PLN03"),H259,"")</f>
        <v/>
      </c>
      <c r="AH259" s="42" t="str">
        <f>IF(AND(C259=Master!$H$5,B259="2012-2013",E259="",G259="PLN03"),H259,"")</f>
        <v/>
      </c>
      <c r="AI259" s="42" t="str">
        <f>IF(AND(C259=Master!$H$6,B259="2012-2013",E259&gt;1000,G259="PLN03"),H259,"")</f>
        <v/>
      </c>
      <c r="AJ259" s="42" t="str">
        <f>IF(AND(C259=Master!$H$6,B259="2012-2013",E259="",G259="PLN03"),H259,"")</f>
        <v/>
      </c>
      <c r="AK259" s="42" t="str">
        <f>IF(AND(C259=Master!$H$7,B259="2012-2013",E259&gt;1000,G259="PLN03"),H259,"")</f>
        <v/>
      </c>
      <c r="AL259" s="42" t="str">
        <f>IF(AND(C259=Master!$H$7,B259="2012-2013",E259="",G259="PLN03"),H259,"")</f>
        <v/>
      </c>
      <c r="AM259" s="42" t="str">
        <f>IF(AND(C259=Master!$H$8,B259="2012-2013",E259&gt;1000,G259="PLN03"),H259,"")</f>
        <v/>
      </c>
      <c r="AN259" s="42" t="str">
        <f>IF(AND(C259=Master!$H$8,B259="2012-2013",E259="",G259="PLN03"),H259,"")</f>
        <v/>
      </c>
      <c r="AO259" s="42" t="str">
        <f>IF(AND(C259=Master!$H$9,B259="2012-2013",E259&gt;1000,G259="PLN03"),H259,"")</f>
        <v/>
      </c>
      <c r="AP259" s="42" t="str">
        <f>IF(AND(C259=Master!$H$9,B259="2012-2013",E259="",G259="PLN03"),H259,"")</f>
        <v/>
      </c>
      <c r="AQ259" s="44" t="str">
        <f>IF(AND(C259=Master!$H$1,B259="2012-2013",E259&gt;1000,G259="NPN05"),H259,"")</f>
        <v/>
      </c>
      <c r="AR259" s="44" t="str">
        <f>IF(AND(C259=Master!$H$1,B259="2012-2013",E259="",G259="NPN05"),H259,"")</f>
        <v/>
      </c>
      <c r="AS259" s="44" t="str">
        <f>IF(AND(C259=Master!$H$2,B259="2012-2013",E259&gt;1000,G259="NPN05"),H259,"")</f>
        <v/>
      </c>
      <c r="AT259" s="44" t="str">
        <f>IF(AND(C259=Master!$H$2,B259="2012-2013",E259="",G259="NPN05"),H259,"")</f>
        <v/>
      </c>
      <c r="AU259" s="44" t="str">
        <f>IF(AND(C259=Master!$H$3,B259="2012-2013",E259&gt;1000,G259="NPN05"),H259,"")</f>
        <v/>
      </c>
      <c r="AV259" s="44" t="str">
        <f>IF(AND(C259=Master!$H$3,B259="2012-2013",E259="",G259="NPN05"),H259,"")</f>
        <v/>
      </c>
      <c r="AW259" s="44" t="str">
        <f>IF(AND(C259=Master!$H$4,B259="2012-2013",E259&gt;1000,G259="NPN05"),H259,"")</f>
        <v/>
      </c>
      <c r="AX259" s="44" t="str">
        <f>IF(AND(C259=Master!$H$4,B259="2012-2013",E259="",G259="NPN05"),H259,"")</f>
        <v/>
      </c>
      <c r="AY259" s="44" t="str">
        <f>IF(AND(C259=Master!$H$5,B259="2012-2013",E259&gt;1000,G259="NPN05"),H259,"")</f>
        <v/>
      </c>
      <c r="AZ259" s="44" t="str">
        <f>IF(AND(C259=Master!$H$5,B259="2012-2013",E259="",G259="NPN05"),H259,"")</f>
        <v/>
      </c>
      <c r="BA259" s="44" t="str">
        <f>IF(AND(C259=Master!$H$6,B259="2012-2013",E259&gt;1000,G259="NPN05"),H259,"")</f>
        <v/>
      </c>
      <c r="BB259" s="44" t="str">
        <f>IF(AND(C259=Master!$H$6,B259="2012-2013",E259="",G259="NPN05"),H259,"")</f>
        <v/>
      </c>
      <c r="BC259" s="44" t="str">
        <f>IF(AND(C259=Master!$H$7,B259="2012-2013",E259&gt;1000,G259="NPN05"),H259,"")</f>
        <v/>
      </c>
      <c r="BD259" s="44" t="str">
        <f>IF(AND(C259=Master!$H$7,B259="2012-2013",E259="",G259="NPN05"),H259,"")</f>
        <v/>
      </c>
      <c r="BE259" s="44" t="str">
        <f>IF(AND(C259=Master!$H$8,B259="2012-2013",E259&gt;1000,G259="NPN05"),H259,"")</f>
        <v/>
      </c>
      <c r="BF259" s="44" t="str">
        <f>IF(AND(C259=Master!$H$8,B259="2012-2013",E259="",G259="NPN05"),H259,"")</f>
        <v/>
      </c>
      <c r="BG259" s="44" t="str">
        <f>IF(AND(C259=Master!$H$9,B259="2012-2013",E259&gt;1000,G259="NPN05"),H259,"")</f>
        <v/>
      </c>
      <c r="BH259" s="44" t="str">
        <f>IF(AND(C259=Master!$H$9,B259="2012-2013",E259="",G259="NPN05"),H259,"")</f>
        <v/>
      </c>
    </row>
    <row r="260" spans="1:60" x14ac:dyDescent="0.25">
      <c r="A260" s="3">
        <v>258</v>
      </c>
      <c r="B260" s="12"/>
      <c r="C260" s="12"/>
      <c r="D260" s="31"/>
      <c r="E260" s="4"/>
      <c r="F260" s="13"/>
      <c r="G260" s="21"/>
      <c r="H260" s="35"/>
      <c r="I260" s="21"/>
      <c r="J260" s="25" t="str">
        <f>IF(NOT(I260=""),INDEX(Master!$B$1:$B$46,MATCH(I260,Master!$A$1:$A$46,0)),"")</f>
        <v/>
      </c>
      <c r="K260" s="18"/>
      <c r="L260" s="86"/>
      <c r="M260" s="13"/>
      <c r="N260" s="13"/>
      <c r="O260" s="18"/>
      <c r="P260" s="35"/>
      <c r="Q260" s="21"/>
      <c r="R260" s="21"/>
      <c r="S260" s="13"/>
      <c r="T260" s="12"/>
      <c r="U260" s="12"/>
      <c r="V260" s="12"/>
      <c r="W260" s="14"/>
      <c r="Y260" s="42" t="str">
        <f>IF(AND(C260=Master!$H$1,B260="2012-2013",E260&gt;1000,G260="PLN03"),H260,"")</f>
        <v/>
      </c>
      <c r="Z260" s="42" t="str">
        <f>IF(AND(C260=Master!$H$1,B260="2012-2013",E260="",G260="PLN03"),H260,"")</f>
        <v/>
      </c>
      <c r="AA260" s="42" t="str">
        <f>IF(AND(C260=Master!$H$2,B260="2012-2013",E260&gt;1000,G260="PLN03"),H260,"")</f>
        <v/>
      </c>
      <c r="AB260" s="42" t="str">
        <f>IF(AND(C260=Master!$H$2,B260="2012-2013",E260="",G260="PLN03"),H260,"")</f>
        <v/>
      </c>
      <c r="AC260" s="42" t="str">
        <f>IF(AND(C260=Master!$H$3,B260="2012-2013",E260&gt;1000,G260="PLN03"),H260,"")</f>
        <v/>
      </c>
      <c r="AD260" s="42" t="str">
        <f>IF(AND(C260=Master!$H$3,B260="2012-2013",E260="",G260="PLN03"),H260,"")</f>
        <v/>
      </c>
      <c r="AE260" s="42" t="str">
        <f>IF(AND(C260=Master!$H$4,B260="2012-2013",E260&gt;1000,G260="PLN03"),H260,"")</f>
        <v/>
      </c>
      <c r="AF260" s="42" t="str">
        <f>IF(AND(C260=Master!$H$4,B260="2012-2013",E260="",G260="PLN03"),H260,"")</f>
        <v/>
      </c>
      <c r="AG260" s="42" t="str">
        <f>IF(AND(C260=Master!$H$5,B260="2012-2013",E260&gt;1000,G260="PLN03"),H260,"")</f>
        <v/>
      </c>
      <c r="AH260" s="42" t="str">
        <f>IF(AND(C260=Master!$H$5,B260="2012-2013",E260="",G260="PLN03"),H260,"")</f>
        <v/>
      </c>
      <c r="AI260" s="42" t="str">
        <f>IF(AND(C260=Master!$H$6,B260="2012-2013",E260&gt;1000,G260="PLN03"),H260,"")</f>
        <v/>
      </c>
      <c r="AJ260" s="42" t="str">
        <f>IF(AND(C260=Master!$H$6,B260="2012-2013",E260="",G260="PLN03"),H260,"")</f>
        <v/>
      </c>
      <c r="AK260" s="42" t="str">
        <f>IF(AND(C260=Master!$H$7,B260="2012-2013",E260&gt;1000,G260="PLN03"),H260,"")</f>
        <v/>
      </c>
      <c r="AL260" s="42" t="str">
        <f>IF(AND(C260=Master!$H$7,B260="2012-2013",E260="",G260="PLN03"),H260,"")</f>
        <v/>
      </c>
      <c r="AM260" s="42" t="str">
        <f>IF(AND(C260=Master!$H$8,B260="2012-2013",E260&gt;1000,G260="PLN03"),H260,"")</f>
        <v/>
      </c>
      <c r="AN260" s="42" t="str">
        <f>IF(AND(C260=Master!$H$8,B260="2012-2013",E260="",G260="PLN03"),H260,"")</f>
        <v/>
      </c>
      <c r="AO260" s="42" t="str">
        <f>IF(AND(C260=Master!$H$9,B260="2012-2013",E260&gt;1000,G260="PLN03"),H260,"")</f>
        <v/>
      </c>
      <c r="AP260" s="42" t="str">
        <f>IF(AND(C260=Master!$H$9,B260="2012-2013",E260="",G260="PLN03"),H260,"")</f>
        <v/>
      </c>
      <c r="AQ260" s="44" t="str">
        <f>IF(AND(C260=Master!$H$1,B260="2012-2013",E260&gt;1000,G260="NPN05"),H260,"")</f>
        <v/>
      </c>
      <c r="AR260" s="44" t="str">
        <f>IF(AND(C260=Master!$H$1,B260="2012-2013",E260="",G260="NPN05"),H260,"")</f>
        <v/>
      </c>
      <c r="AS260" s="44" t="str">
        <f>IF(AND(C260=Master!$H$2,B260="2012-2013",E260&gt;1000,G260="NPN05"),H260,"")</f>
        <v/>
      </c>
      <c r="AT260" s="44" t="str">
        <f>IF(AND(C260=Master!$H$2,B260="2012-2013",E260="",G260="NPN05"),H260,"")</f>
        <v/>
      </c>
      <c r="AU260" s="44" t="str">
        <f>IF(AND(C260=Master!$H$3,B260="2012-2013",E260&gt;1000,G260="NPN05"),H260,"")</f>
        <v/>
      </c>
      <c r="AV260" s="44" t="str">
        <f>IF(AND(C260=Master!$H$3,B260="2012-2013",E260="",G260="NPN05"),H260,"")</f>
        <v/>
      </c>
      <c r="AW260" s="44" t="str">
        <f>IF(AND(C260=Master!$H$4,B260="2012-2013",E260&gt;1000,G260="NPN05"),H260,"")</f>
        <v/>
      </c>
      <c r="AX260" s="44" t="str">
        <f>IF(AND(C260=Master!$H$4,B260="2012-2013",E260="",G260="NPN05"),H260,"")</f>
        <v/>
      </c>
      <c r="AY260" s="44" t="str">
        <f>IF(AND(C260=Master!$H$5,B260="2012-2013",E260&gt;1000,G260="NPN05"),H260,"")</f>
        <v/>
      </c>
      <c r="AZ260" s="44" t="str">
        <f>IF(AND(C260=Master!$H$5,B260="2012-2013",E260="",G260="NPN05"),H260,"")</f>
        <v/>
      </c>
      <c r="BA260" s="44" t="str">
        <f>IF(AND(C260=Master!$H$6,B260="2012-2013",E260&gt;1000,G260="NPN05"),H260,"")</f>
        <v/>
      </c>
      <c r="BB260" s="44" t="str">
        <f>IF(AND(C260=Master!$H$6,B260="2012-2013",E260="",G260="NPN05"),H260,"")</f>
        <v/>
      </c>
      <c r="BC260" s="44" t="str">
        <f>IF(AND(C260=Master!$H$7,B260="2012-2013",E260&gt;1000,G260="NPN05"),H260,"")</f>
        <v/>
      </c>
      <c r="BD260" s="44" t="str">
        <f>IF(AND(C260=Master!$H$7,B260="2012-2013",E260="",G260="NPN05"),H260,"")</f>
        <v/>
      </c>
      <c r="BE260" s="44" t="str">
        <f>IF(AND(C260=Master!$H$8,B260="2012-2013",E260&gt;1000,G260="NPN05"),H260,"")</f>
        <v/>
      </c>
      <c r="BF260" s="44" t="str">
        <f>IF(AND(C260=Master!$H$8,B260="2012-2013",E260="",G260="NPN05"),H260,"")</f>
        <v/>
      </c>
      <c r="BG260" s="44" t="str">
        <f>IF(AND(C260=Master!$H$9,B260="2012-2013",E260&gt;1000,G260="NPN05"),H260,"")</f>
        <v/>
      </c>
      <c r="BH260" s="44" t="str">
        <f>IF(AND(C260=Master!$H$9,B260="2012-2013",E260="",G260="NPN05"),H260,"")</f>
        <v/>
      </c>
    </row>
    <row r="261" spans="1:60" x14ac:dyDescent="0.25">
      <c r="A261" s="3">
        <v>259</v>
      </c>
      <c r="B261" s="12"/>
      <c r="C261" s="12"/>
      <c r="D261" s="31"/>
      <c r="E261" s="4"/>
      <c r="F261" s="13"/>
      <c r="G261" s="21"/>
      <c r="H261" s="35"/>
      <c r="I261" s="21"/>
      <c r="J261" s="25" t="str">
        <f>IF(NOT(I261=""),INDEX(Master!$B$1:$B$46,MATCH(I261,Master!$A$1:$A$46,0)),"")</f>
        <v/>
      </c>
      <c r="K261" s="18"/>
      <c r="L261" s="86"/>
      <c r="M261" s="13"/>
      <c r="N261" s="13"/>
      <c r="O261" s="18"/>
      <c r="P261" s="35"/>
      <c r="Q261" s="21"/>
      <c r="R261" s="21"/>
      <c r="S261" s="13"/>
      <c r="T261" s="12"/>
      <c r="U261" s="12"/>
      <c r="V261" s="12"/>
      <c r="W261" s="14"/>
      <c r="Y261" s="42" t="str">
        <f>IF(AND(C261=Master!$H$1,B261="2012-2013",E261&gt;1000,G261="PLN03"),H261,"")</f>
        <v/>
      </c>
      <c r="Z261" s="42" t="str">
        <f>IF(AND(C261=Master!$H$1,B261="2012-2013",E261="",G261="PLN03"),H261,"")</f>
        <v/>
      </c>
      <c r="AA261" s="42" t="str">
        <f>IF(AND(C261=Master!$H$2,B261="2012-2013",E261&gt;1000,G261="PLN03"),H261,"")</f>
        <v/>
      </c>
      <c r="AB261" s="42" t="str">
        <f>IF(AND(C261=Master!$H$2,B261="2012-2013",E261="",G261="PLN03"),H261,"")</f>
        <v/>
      </c>
      <c r="AC261" s="42" t="str">
        <f>IF(AND(C261=Master!$H$3,B261="2012-2013",E261&gt;1000,G261="PLN03"),H261,"")</f>
        <v/>
      </c>
      <c r="AD261" s="42" t="str">
        <f>IF(AND(C261=Master!$H$3,B261="2012-2013",E261="",G261="PLN03"),H261,"")</f>
        <v/>
      </c>
      <c r="AE261" s="42" t="str">
        <f>IF(AND(C261=Master!$H$4,B261="2012-2013",E261&gt;1000,G261="PLN03"),H261,"")</f>
        <v/>
      </c>
      <c r="AF261" s="42" t="str">
        <f>IF(AND(C261=Master!$H$4,B261="2012-2013",E261="",G261="PLN03"),H261,"")</f>
        <v/>
      </c>
      <c r="AG261" s="42" t="str">
        <f>IF(AND(C261=Master!$H$5,B261="2012-2013",E261&gt;1000,G261="PLN03"),H261,"")</f>
        <v/>
      </c>
      <c r="AH261" s="42" t="str">
        <f>IF(AND(C261=Master!$H$5,B261="2012-2013",E261="",G261="PLN03"),H261,"")</f>
        <v/>
      </c>
      <c r="AI261" s="42" t="str">
        <f>IF(AND(C261=Master!$H$6,B261="2012-2013",E261&gt;1000,G261="PLN03"),H261,"")</f>
        <v/>
      </c>
      <c r="AJ261" s="42" t="str">
        <f>IF(AND(C261=Master!$H$6,B261="2012-2013",E261="",G261="PLN03"),H261,"")</f>
        <v/>
      </c>
      <c r="AK261" s="42" t="str">
        <f>IF(AND(C261=Master!$H$7,B261="2012-2013",E261&gt;1000,G261="PLN03"),H261,"")</f>
        <v/>
      </c>
      <c r="AL261" s="42" t="str">
        <f>IF(AND(C261=Master!$H$7,B261="2012-2013",E261="",G261="PLN03"),H261,"")</f>
        <v/>
      </c>
      <c r="AM261" s="42" t="str">
        <f>IF(AND(C261=Master!$H$8,B261="2012-2013",E261&gt;1000,G261="PLN03"),H261,"")</f>
        <v/>
      </c>
      <c r="AN261" s="42" t="str">
        <f>IF(AND(C261=Master!$H$8,B261="2012-2013",E261="",G261="PLN03"),H261,"")</f>
        <v/>
      </c>
      <c r="AO261" s="42" t="str">
        <f>IF(AND(C261=Master!$H$9,B261="2012-2013",E261&gt;1000,G261="PLN03"),H261,"")</f>
        <v/>
      </c>
      <c r="AP261" s="42" t="str">
        <f>IF(AND(C261=Master!$H$9,B261="2012-2013",E261="",G261="PLN03"),H261,"")</f>
        <v/>
      </c>
      <c r="AQ261" s="44" t="str">
        <f>IF(AND(C261=Master!$H$1,B261="2012-2013",E261&gt;1000,G261="NPN05"),H261,"")</f>
        <v/>
      </c>
      <c r="AR261" s="44" t="str">
        <f>IF(AND(C261=Master!$H$1,B261="2012-2013",E261="",G261="NPN05"),H261,"")</f>
        <v/>
      </c>
      <c r="AS261" s="44" t="str">
        <f>IF(AND(C261=Master!$H$2,B261="2012-2013",E261&gt;1000,G261="NPN05"),H261,"")</f>
        <v/>
      </c>
      <c r="AT261" s="44" t="str">
        <f>IF(AND(C261=Master!$H$2,B261="2012-2013",E261="",G261="NPN05"),H261,"")</f>
        <v/>
      </c>
      <c r="AU261" s="44" t="str">
        <f>IF(AND(C261=Master!$H$3,B261="2012-2013",E261&gt;1000,G261="NPN05"),H261,"")</f>
        <v/>
      </c>
      <c r="AV261" s="44" t="str">
        <f>IF(AND(C261=Master!$H$3,B261="2012-2013",E261="",G261="NPN05"),H261,"")</f>
        <v/>
      </c>
      <c r="AW261" s="44" t="str">
        <f>IF(AND(C261=Master!$H$4,B261="2012-2013",E261&gt;1000,G261="NPN05"),H261,"")</f>
        <v/>
      </c>
      <c r="AX261" s="44" t="str">
        <f>IF(AND(C261=Master!$H$4,B261="2012-2013",E261="",G261="NPN05"),H261,"")</f>
        <v/>
      </c>
      <c r="AY261" s="44" t="str">
        <f>IF(AND(C261=Master!$H$5,B261="2012-2013",E261&gt;1000,G261="NPN05"),H261,"")</f>
        <v/>
      </c>
      <c r="AZ261" s="44" t="str">
        <f>IF(AND(C261=Master!$H$5,B261="2012-2013",E261="",G261="NPN05"),H261,"")</f>
        <v/>
      </c>
      <c r="BA261" s="44" t="str">
        <f>IF(AND(C261=Master!$H$6,B261="2012-2013",E261&gt;1000,G261="NPN05"),H261,"")</f>
        <v/>
      </c>
      <c r="BB261" s="44" t="str">
        <f>IF(AND(C261=Master!$H$6,B261="2012-2013",E261="",G261="NPN05"),H261,"")</f>
        <v/>
      </c>
      <c r="BC261" s="44" t="str">
        <f>IF(AND(C261=Master!$H$7,B261="2012-2013",E261&gt;1000,G261="NPN05"),H261,"")</f>
        <v/>
      </c>
      <c r="BD261" s="44" t="str">
        <f>IF(AND(C261=Master!$H$7,B261="2012-2013",E261="",G261="NPN05"),H261,"")</f>
        <v/>
      </c>
      <c r="BE261" s="44" t="str">
        <f>IF(AND(C261=Master!$H$8,B261="2012-2013",E261&gt;1000,G261="NPN05"),H261,"")</f>
        <v/>
      </c>
      <c r="BF261" s="44" t="str">
        <f>IF(AND(C261=Master!$H$8,B261="2012-2013",E261="",G261="NPN05"),H261,"")</f>
        <v/>
      </c>
      <c r="BG261" s="44" t="str">
        <f>IF(AND(C261=Master!$H$9,B261="2012-2013",E261&gt;1000,G261="NPN05"),H261,"")</f>
        <v/>
      </c>
      <c r="BH261" s="44" t="str">
        <f>IF(AND(C261=Master!$H$9,B261="2012-2013",E261="",G261="NPN05"),H261,"")</f>
        <v/>
      </c>
    </row>
    <row r="262" spans="1:60" x14ac:dyDescent="0.25">
      <c r="A262" s="3">
        <v>260</v>
      </c>
      <c r="B262" s="12"/>
      <c r="C262" s="12"/>
      <c r="D262" s="31"/>
      <c r="E262" s="4"/>
      <c r="F262" s="13"/>
      <c r="G262" s="21"/>
      <c r="H262" s="35"/>
      <c r="I262" s="21"/>
      <c r="J262" s="25" t="str">
        <f>IF(NOT(I262=""),INDEX(Master!$B$1:$B$46,MATCH(I262,Master!$A$1:$A$46,0)),"")</f>
        <v/>
      </c>
      <c r="K262" s="18"/>
      <c r="L262" s="86"/>
      <c r="M262" s="13"/>
      <c r="N262" s="13"/>
      <c r="O262" s="18"/>
      <c r="P262" s="35"/>
      <c r="Q262" s="21"/>
      <c r="R262" s="21"/>
      <c r="S262" s="13"/>
      <c r="T262" s="12"/>
      <c r="U262" s="12"/>
      <c r="V262" s="12"/>
      <c r="W262" s="14"/>
      <c r="Y262" s="42" t="str">
        <f>IF(AND(C262=Master!$H$1,B262="2012-2013",E262&gt;1000,G262="PLN03"),H262,"")</f>
        <v/>
      </c>
      <c r="Z262" s="42" t="str">
        <f>IF(AND(C262=Master!$H$1,B262="2012-2013",E262="",G262="PLN03"),H262,"")</f>
        <v/>
      </c>
      <c r="AA262" s="42" t="str">
        <f>IF(AND(C262=Master!$H$2,B262="2012-2013",E262&gt;1000,G262="PLN03"),H262,"")</f>
        <v/>
      </c>
      <c r="AB262" s="42" t="str">
        <f>IF(AND(C262=Master!$H$2,B262="2012-2013",E262="",G262="PLN03"),H262,"")</f>
        <v/>
      </c>
      <c r="AC262" s="42" t="str">
        <f>IF(AND(C262=Master!$H$3,B262="2012-2013",E262&gt;1000,G262="PLN03"),H262,"")</f>
        <v/>
      </c>
      <c r="AD262" s="42" t="str">
        <f>IF(AND(C262=Master!$H$3,B262="2012-2013",E262="",G262="PLN03"),H262,"")</f>
        <v/>
      </c>
      <c r="AE262" s="42" t="str">
        <f>IF(AND(C262=Master!$H$4,B262="2012-2013",E262&gt;1000,G262="PLN03"),H262,"")</f>
        <v/>
      </c>
      <c r="AF262" s="42" t="str">
        <f>IF(AND(C262=Master!$H$4,B262="2012-2013",E262="",G262="PLN03"),H262,"")</f>
        <v/>
      </c>
      <c r="AG262" s="42" t="str">
        <f>IF(AND(C262=Master!$H$5,B262="2012-2013",E262&gt;1000,G262="PLN03"),H262,"")</f>
        <v/>
      </c>
      <c r="AH262" s="42" t="str">
        <f>IF(AND(C262=Master!$H$5,B262="2012-2013",E262="",G262="PLN03"),H262,"")</f>
        <v/>
      </c>
      <c r="AI262" s="42" t="str">
        <f>IF(AND(C262=Master!$H$6,B262="2012-2013",E262&gt;1000,G262="PLN03"),H262,"")</f>
        <v/>
      </c>
      <c r="AJ262" s="42" t="str">
        <f>IF(AND(C262=Master!$H$6,B262="2012-2013",E262="",G262="PLN03"),H262,"")</f>
        <v/>
      </c>
      <c r="AK262" s="42" t="str">
        <f>IF(AND(C262=Master!$H$7,B262="2012-2013",E262&gt;1000,G262="PLN03"),H262,"")</f>
        <v/>
      </c>
      <c r="AL262" s="42" t="str">
        <f>IF(AND(C262=Master!$H$7,B262="2012-2013",E262="",G262="PLN03"),H262,"")</f>
        <v/>
      </c>
      <c r="AM262" s="42" t="str">
        <f>IF(AND(C262=Master!$H$8,B262="2012-2013",E262&gt;1000,G262="PLN03"),H262,"")</f>
        <v/>
      </c>
      <c r="AN262" s="42" t="str">
        <f>IF(AND(C262=Master!$H$8,B262="2012-2013",E262="",G262="PLN03"),H262,"")</f>
        <v/>
      </c>
      <c r="AO262" s="42" t="str">
        <f>IF(AND(C262=Master!$H$9,B262="2012-2013",E262&gt;1000,G262="PLN03"),H262,"")</f>
        <v/>
      </c>
      <c r="AP262" s="42" t="str">
        <f>IF(AND(C262=Master!$H$9,B262="2012-2013",E262="",G262="PLN03"),H262,"")</f>
        <v/>
      </c>
      <c r="AQ262" s="44" t="str">
        <f>IF(AND(C262=Master!$H$1,B262="2012-2013",E262&gt;1000,G262="NPN05"),H262,"")</f>
        <v/>
      </c>
      <c r="AR262" s="44" t="str">
        <f>IF(AND(C262=Master!$H$1,B262="2012-2013",E262="",G262="NPN05"),H262,"")</f>
        <v/>
      </c>
      <c r="AS262" s="44" t="str">
        <f>IF(AND(C262=Master!$H$2,B262="2012-2013",E262&gt;1000,G262="NPN05"),H262,"")</f>
        <v/>
      </c>
      <c r="AT262" s="44" t="str">
        <f>IF(AND(C262=Master!$H$2,B262="2012-2013",E262="",G262="NPN05"),H262,"")</f>
        <v/>
      </c>
      <c r="AU262" s="44" t="str">
        <f>IF(AND(C262=Master!$H$3,B262="2012-2013",E262&gt;1000,G262="NPN05"),H262,"")</f>
        <v/>
      </c>
      <c r="AV262" s="44" t="str">
        <f>IF(AND(C262=Master!$H$3,B262="2012-2013",E262="",G262="NPN05"),H262,"")</f>
        <v/>
      </c>
      <c r="AW262" s="44" t="str">
        <f>IF(AND(C262=Master!$H$4,B262="2012-2013",E262&gt;1000,G262="NPN05"),H262,"")</f>
        <v/>
      </c>
      <c r="AX262" s="44" t="str">
        <f>IF(AND(C262=Master!$H$4,B262="2012-2013",E262="",G262="NPN05"),H262,"")</f>
        <v/>
      </c>
      <c r="AY262" s="44" t="str">
        <f>IF(AND(C262=Master!$H$5,B262="2012-2013",E262&gt;1000,G262="NPN05"),H262,"")</f>
        <v/>
      </c>
      <c r="AZ262" s="44" t="str">
        <f>IF(AND(C262=Master!$H$5,B262="2012-2013",E262="",G262="NPN05"),H262,"")</f>
        <v/>
      </c>
      <c r="BA262" s="44" t="str">
        <f>IF(AND(C262=Master!$H$6,B262="2012-2013",E262&gt;1000,G262="NPN05"),H262,"")</f>
        <v/>
      </c>
      <c r="BB262" s="44" t="str">
        <f>IF(AND(C262=Master!$H$6,B262="2012-2013",E262="",G262="NPN05"),H262,"")</f>
        <v/>
      </c>
      <c r="BC262" s="44" t="str">
        <f>IF(AND(C262=Master!$H$7,B262="2012-2013",E262&gt;1000,G262="NPN05"),H262,"")</f>
        <v/>
      </c>
      <c r="BD262" s="44" t="str">
        <f>IF(AND(C262=Master!$H$7,B262="2012-2013",E262="",G262="NPN05"),H262,"")</f>
        <v/>
      </c>
      <c r="BE262" s="44" t="str">
        <f>IF(AND(C262=Master!$H$8,B262="2012-2013",E262&gt;1000,G262="NPN05"),H262,"")</f>
        <v/>
      </c>
      <c r="BF262" s="44" t="str">
        <f>IF(AND(C262=Master!$H$8,B262="2012-2013",E262="",G262="NPN05"),H262,"")</f>
        <v/>
      </c>
      <c r="BG262" s="44" t="str">
        <f>IF(AND(C262=Master!$H$9,B262="2012-2013",E262&gt;1000,G262="NPN05"),H262,"")</f>
        <v/>
      </c>
      <c r="BH262" s="44" t="str">
        <f>IF(AND(C262=Master!$H$9,B262="2012-2013",E262="",G262="NPN05"),H262,"")</f>
        <v/>
      </c>
    </row>
    <row r="263" spans="1:60" x14ac:dyDescent="0.25">
      <c r="A263" s="3">
        <v>261</v>
      </c>
      <c r="B263" s="12"/>
      <c r="C263" s="12"/>
      <c r="D263" s="31"/>
      <c r="E263" s="4"/>
      <c r="F263" s="13"/>
      <c r="G263" s="21"/>
      <c r="H263" s="35"/>
      <c r="I263" s="21"/>
      <c r="J263" s="25" t="str">
        <f>IF(NOT(I263=""),INDEX(Master!$B$1:$B$46,MATCH(I263,Master!$A$1:$A$46,0)),"")</f>
        <v/>
      </c>
      <c r="K263" s="18"/>
      <c r="L263" s="86"/>
      <c r="M263" s="13"/>
      <c r="N263" s="13"/>
      <c r="O263" s="18"/>
      <c r="P263" s="35"/>
      <c r="Q263" s="21"/>
      <c r="R263" s="21"/>
      <c r="S263" s="13"/>
      <c r="T263" s="12"/>
      <c r="U263" s="12"/>
      <c r="V263" s="12"/>
      <c r="W263" s="14"/>
      <c r="Y263" s="42" t="str">
        <f>IF(AND(C263=Master!$H$1,B263="2012-2013",E263&gt;1000,G263="PLN03"),H263,"")</f>
        <v/>
      </c>
      <c r="Z263" s="42" t="str">
        <f>IF(AND(C263=Master!$H$1,B263="2012-2013",E263="",G263="PLN03"),H263,"")</f>
        <v/>
      </c>
      <c r="AA263" s="42" t="str">
        <f>IF(AND(C263=Master!$H$2,B263="2012-2013",E263&gt;1000,G263="PLN03"),H263,"")</f>
        <v/>
      </c>
      <c r="AB263" s="42" t="str">
        <f>IF(AND(C263=Master!$H$2,B263="2012-2013",E263="",G263="PLN03"),H263,"")</f>
        <v/>
      </c>
      <c r="AC263" s="42" t="str">
        <f>IF(AND(C263=Master!$H$3,B263="2012-2013",E263&gt;1000,G263="PLN03"),H263,"")</f>
        <v/>
      </c>
      <c r="AD263" s="42" t="str">
        <f>IF(AND(C263=Master!$H$3,B263="2012-2013",E263="",G263="PLN03"),H263,"")</f>
        <v/>
      </c>
      <c r="AE263" s="42" t="str">
        <f>IF(AND(C263=Master!$H$4,B263="2012-2013",E263&gt;1000,G263="PLN03"),H263,"")</f>
        <v/>
      </c>
      <c r="AF263" s="42" t="str">
        <f>IF(AND(C263=Master!$H$4,B263="2012-2013",E263="",G263="PLN03"),H263,"")</f>
        <v/>
      </c>
      <c r="AG263" s="42" t="str">
        <f>IF(AND(C263=Master!$H$5,B263="2012-2013",E263&gt;1000,G263="PLN03"),H263,"")</f>
        <v/>
      </c>
      <c r="AH263" s="42" t="str">
        <f>IF(AND(C263=Master!$H$5,B263="2012-2013",E263="",G263="PLN03"),H263,"")</f>
        <v/>
      </c>
      <c r="AI263" s="42" t="str">
        <f>IF(AND(C263=Master!$H$6,B263="2012-2013",E263&gt;1000,G263="PLN03"),H263,"")</f>
        <v/>
      </c>
      <c r="AJ263" s="42" t="str">
        <f>IF(AND(C263=Master!$H$6,B263="2012-2013",E263="",G263="PLN03"),H263,"")</f>
        <v/>
      </c>
      <c r="AK263" s="42" t="str">
        <f>IF(AND(C263=Master!$H$7,B263="2012-2013",E263&gt;1000,G263="PLN03"),H263,"")</f>
        <v/>
      </c>
      <c r="AL263" s="42" t="str">
        <f>IF(AND(C263=Master!$H$7,B263="2012-2013",E263="",G263="PLN03"),H263,"")</f>
        <v/>
      </c>
      <c r="AM263" s="42" t="str">
        <f>IF(AND(C263=Master!$H$8,B263="2012-2013",E263&gt;1000,G263="PLN03"),H263,"")</f>
        <v/>
      </c>
      <c r="AN263" s="42" t="str">
        <f>IF(AND(C263=Master!$H$8,B263="2012-2013",E263="",G263="PLN03"),H263,"")</f>
        <v/>
      </c>
      <c r="AO263" s="42" t="str">
        <f>IF(AND(C263=Master!$H$9,B263="2012-2013",E263&gt;1000,G263="PLN03"),H263,"")</f>
        <v/>
      </c>
      <c r="AP263" s="42" t="str">
        <f>IF(AND(C263=Master!$H$9,B263="2012-2013",E263="",G263="PLN03"),H263,"")</f>
        <v/>
      </c>
      <c r="AQ263" s="44" t="str">
        <f>IF(AND(C263=Master!$H$1,B263="2012-2013",E263&gt;1000,G263="NPN05"),H263,"")</f>
        <v/>
      </c>
      <c r="AR263" s="44" t="str">
        <f>IF(AND(C263=Master!$H$1,B263="2012-2013",E263="",G263="NPN05"),H263,"")</f>
        <v/>
      </c>
      <c r="AS263" s="44" t="str">
        <f>IF(AND(C263=Master!$H$2,B263="2012-2013",E263&gt;1000,G263="NPN05"),H263,"")</f>
        <v/>
      </c>
      <c r="AT263" s="44" t="str">
        <f>IF(AND(C263=Master!$H$2,B263="2012-2013",E263="",G263="NPN05"),H263,"")</f>
        <v/>
      </c>
      <c r="AU263" s="44" t="str">
        <f>IF(AND(C263=Master!$H$3,B263="2012-2013",E263&gt;1000,G263="NPN05"),H263,"")</f>
        <v/>
      </c>
      <c r="AV263" s="44" t="str">
        <f>IF(AND(C263=Master!$H$3,B263="2012-2013",E263="",G263="NPN05"),H263,"")</f>
        <v/>
      </c>
      <c r="AW263" s="44" t="str">
        <f>IF(AND(C263=Master!$H$4,B263="2012-2013",E263&gt;1000,G263="NPN05"),H263,"")</f>
        <v/>
      </c>
      <c r="AX263" s="44" t="str">
        <f>IF(AND(C263=Master!$H$4,B263="2012-2013",E263="",G263="NPN05"),H263,"")</f>
        <v/>
      </c>
      <c r="AY263" s="44" t="str">
        <f>IF(AND(C263=Master!$H$5,B263="2012-2013",E263&gt;1000,G263="NPN05"),H263,"")</f>
        <v/>
      </c>
      <c r="AZ263" s="44" t="str">
        <f>IF(AND(C263=Master!$H$5,B263="2012-2013",E263="",G263="NPN05"),H263,"")</f>
        <v/>
      </c>
      <c r="BA263" s="44" t="str">
        <f>IF(AND(C263=Master!$H$6,B263="2012-2013",E263&gt;1000,G263="NPN05"),H263,"")</f>
        <v/>
      </c>
      <c r="BB263" s="44" t="str">
        <f>IF(AND(C263=Master!$H$6,B263="2012-2013",E263="",G263="NPN05"),H263,"")</f>
        <v/>
      </c>
      <c r="BC263" s="44" t="str">
        <f>IF(AND(C263=Master!$H$7,B263="2012-2013",E263&gt;1000,G263="NPN05"),H263,"")</f>
        <v/>
      </c>
      <c r="BD263" s="44" t="str">
        <f>IF(AND(C263=Master!$H$7,B263="2012-2013",E263="",G263="NPN05"),H263,"")</f>
        <v/>
      </c>
      <c r="BE263" s="44" t="str">
        <f>IF(AND(C263=Master!$H$8,B263="2012-2013",E263&gt;1000,G263="NPN05"),H263,"")</f>
        <v/>
      </c>
      <c r="BF263" s="44" t="str">
        <f>IF(AND(C263=Master!$H$8,B263="2012-2013",E263="",G263="NPN05"),H263,"")</f>
        <v/>
      </c>
      <c r="BG263" s="44" t="str">
        <f>IF(AND(C263=Master!$H$9,B263="2012-2013",E263&gt;1000,G263="NPN05"),H263,"")</f>
        <v/>
      </c>
      <c r="BH263" s="44" t="str">
        <f>IF(AND(C263=Master!$H$9,B263="2012-2013",E263="",G263="NPN05"),H263,"")</f>
        <v/>
      </c>
    </row>
    <row r="264" spans="1:60" x14ac:dyDescent="0.25">
      <c r="A264" s="3">
        <v>262</v>
      </c>
      <c r="B264" s="12"/>
      <c r="C264" s="12"/>
      <c r="D264" s="31"/>
      <c r="E264" s="4"/>
      <c r="F264" s="13"/>
      <c r="G264" s="21"/>
      <c r="H264" s="35"/>
      <c r="I264" s="21"/>
      <c r="J264" s="25" t="str">
        <f>IF(NOT(I264=""),INDEX(Master!$B$1:$B$46,MATCH(I264,Master!$A$1:$A$46,0)),"")</f>
        <v/>
      </c>
      <c r="K264" s="18"/>
      <c r="L264" s="86"/>
      <c r="M264" s="13"/>
      <c r="N264" s="13"/>
      <c r="O264" s="18"/>
      <c r="P264" s="35"/>
      <c r="Q264" s="21"/>
      <c r="R264" s="21"/>
      <c r="S264" s="13"/>
      <c r="T264" s="12"/>
      <c r="U264" s="12"/>
      <c r="V264" s="12"/>
      <c r="W264" s="14"/>
      <c r="Y264" s="42" t="str">
        <f>IF(AND(C264=Master!$H$1,B264="2012-2013",E264&gt;1000,G264="PLN03"),H264,"")</f>
        <v/>
      </c>
      <c r="Z264" s="42" t="str">
        <f>IF(AND(C264=Master!$H$1,B264="2012-2013",E264="",G264="PLN03"),H264,"")</f>
        <v/>
      </c>
      <c r="AA264" s="42" t="str">
        <f>IF(AND(C264=Master!$H$2,B264="2012-2013",E264&gt;1000,G264="PLN03"),H264,"")</f>
        <v/>
      </c>
      <c r="AB264" s="42" t="str">
        <f>IF(AND(C264=Master!$H$2,B264="2012-2013",E264="",G264="PLN03"),H264,"")</f>
        <v/>
      </c>
      <c r="AC264" s="42" t="str">
        <f>IF(AND(C264=Master!$H$3,B264="2012-2013",E264&gt;1000,G264="PLN03"),H264,"")</f>
        <v/>
      </c>
      <c r="AD264" s="42" t="str">
        <f>IF(AND(C264=Master!$H$3,B264="2012-2013",E264="",G264="PLN03"),H264,"")</f>
        <v/>
      </c>
      <c r="AE264" s="42" t="str">
        <f>IF(AND(C264=Master!$H$4,B264="2012-2013",E264&gt;1000,G264="PLN03"),H264,"")</f>
        <v/>
      </c>
      <c r="AF264" s="42" t="str">
        <f>IF(AND(C264=Master!$H$4,B264="2012-2013",E264="",G264="PLN03"),H264,"")</f>
        <v/>
      </c>
      <c r="AG264" s="42" t="str">
        <f>IF(AND(C264=Master!$H$5,B264="2012-2013",E264&gt;1000,G264="PLN03"),H264,"")</f>
        <v/>
      </c>
      <c r="AH264" s="42" t="str">
        <f>IF(AND(C264=Master!$H$5,B264="2012-2013",E264="",G264="PLN03"),H264,"")</f>
        <v/>
      </c>
      <c r="AI264" s="42" t="str">
        <f>IF(AND(C264=Master!$H$6,B264="2012-2013",E264&gt;1000,G264="PLN03"),H264,"")</f>
        <v/>
      </c>
      <c r="AJ264" s="42" t="str">
        <f>IF(AND(C264=Master!$H$6,B264="2012-2013",E264="",G264="PLN03"),H264,"")</f>
        <v/>
      </c>
      <c r="AK264" s="42" t="str">
        <f>IF(AND(C264=Master!$H$7,B264="2012-2013",E264&gt;1000,G264="PLN03"),H264,"")</f>
        <v/>
      </c>
      <c r="AL264" s="42" t="str">
        <f>IF(AND(C264=Master!$H$7,B264="2012-2013",E264="",G264="PLN03"),H264,"")</f>
        <v/>
      </c>
      <c r="AM264" s="42" t="str">
        <f>IF(AND(C264=Master!$H$8,B264="2012-2013",E264&gt;1000,G264="PLN03"),H264,"")</f>
        <v/>
      </c>
      <c r="AN264" s="42" t="str">
        <f>IF(AND(C264=Master!$H$8,B264="2012-2013",E264="",G264="PLN03"),H264,"")</f>
        <v/>
      </c>
      <c r="AO264" s="42" t="str">
        <f>IF(AND(C264=Master!$H$9,B264="2012-2013",E264&gt;1000,G264="PLN03"),H264,"")</f>
        <v/>
      </c>
      <c r="AP264" s="42" t="str">
        <f>IF(AND(C264=Master!$H$9,B264="2012-2013",E264="",G264="PLN03"),H264,"")</f>
        <v/>
      </c>
      <c r="AQ264" s="44" t="str">
        <f>IF(AND(C264=Master!$H$1,B264="2012-2013",E264&gt;1000,G264="NPN05"),H264,"")</f>
        <v/>
      </c>
      <c r="AR264" s="44" t="str">
        <f>IF(AND(C264=Master!$H$1,B264="2012-2013",E264="",G264="NPN05"),H264,"")</f>
        <v/>
      </c>
      <c r="AS264" s="44" t="str">
        <f>IF(AND(C264=Master!$H$2,B264="2012-2013",E264&gt;1000,G264="NPN05"),H264,"")</f>
        <v/>
      </c>
      <c r="AT264" s="44" t="str">
        <f>IF(AND(C264=Master!$H$2,B264="2012-2013",E264="",G264="NPN05"),H264,"")</f>
        <v/>
      </c>
      <c r="AU264" s="44" t="str">
        <f>IF(AND(C264=Master!$H$3,B264="2012-2013",E264&gt;1000,G264="NPN05"),H264,"")</f>
        <v/>
      </c>
      <c r="AV264" s="44" t="str">
        <f>IF(AND(C264=Master!$H$3,B264="2012-2013",E264="",G264="NPN05"),H264,"")</f>
        <v/>
      </c>
      <c r="AW264" s="44" t="str">
        <f>IF(AND(C264=Master!$H$4,B264="2012-2013",E264&gt;1000,G264="NPN05"),H264,"")</f>
        <v/>
      </c>
      <c r="AX264" s="44" t="str">
        <f>IF(AND(C264=Master!$H$4,B264="2012-2013",E264="",G264="NPN05"),H264,"")</f>
        <v/>
      </c>
      <c r="AY264" s="44" t="str">
        <f>IF(AND(C264=Master!$H$5,B264="2012-2013",E264&gt;1000,G264="NPN05"),H264,"")</f>
        <v/>
      </c>
      <c r="AZ264" s="44" t="str">
        <f>IF(AND(C264=Master!$H$5,B264="2012-2013",E264="",G264="NPN05"),H264,"")</f>
        <v/>
      </c>
      <c r="BA264" s="44" t="str">
        <f>IF(AND(C264=Master!$H$6,B264="2012-2013",E264&gt;1000,G264="NPN05"),H264,"")</f>
        <v/>
      </c>
      <c r="BB264" s="44" t="str">
        <f>IF(AND(C264=Master!$H$6,B264="2012-2013",E264="",G264="NPN05"),H264,"")</f>
        <v/>
      </c>
      <c r="BC264" s="44" t="str">
        <f>IF(AND(C264=Master!$H$7,B264="2012-2013",E264&gt;1000,G264="NPN05"),H264,"")</f>
        <v/>
      </c>
      <c r="BD264" s="44" t="str">
        <f>IF(AND(C264=Master!$H$7,B264="2012-2013",E264="",G264="NPN05"),H264,"")</f>
        <v/>
      </c>
      <c r="BE264" s="44" t="str">
        <f>IF(AND(C264=Master!$H$8,B264="2012-2013",E264&gt;1000,G264="NPN05"),H264,"")</f>
        <v/>
      </c>
      <c r="BF264" s="44" t="str">
        <f>IF(AND(C264=Master!$H$8,B264="2012-2013",E264="",G264="NPN05"),H264,"")</f>
        <v/>
      </c>
      <c r="BG264" s="44" t="str">
        <f>IF(AND(C264=Master!$H$9,B264="2012-2013",E264&gt;1000,G264="NPN05"),H264,"")</f>
        <v/>
      </c>
      <c r="BH264" s="44" t="str">
        <f>IF(AND(C264=Master!$H$9,B264="2012-2013",E264="",G264="NPN05"),H264,"")</f>
        <v/>
      </c>
    </row>
    <row r="265" spans="1:60" x14ac:dyDescent="0.25">
      <c r="A265" s="5">
        <v>263</v>
      </c>
      <c r="B265" s="12"/>
      <c r="C265" s="12"/>
      <c r="D265" s="31"/>
      <c r="E265" s="4"/>
      <c r="F265" s="13"/>
      <c r="G265" s="21"/>
      <c r="H265" s="35"/>
      <c r="I265" s="21"/>
      <c r="J265" s="25" t="str">
        <f>IF(NOT(I265=""),INDEX(Master!$B$1:$B$46,MATCH(I265,Master!$A$1:$A$46,0)),"")</f>
        <v/>
      </c>
      <c r="K265" s="18"/>
      <c r="L265" s="86"/>
      <c r="M265" s="13"/>
      <c r="N265" s="13"/>
      <c r="O265" s="18"/>
      <c r="P265" s="35"/>
      <c r="Q265" s="21"/>
      <c r="R265" s="21"/>
      <c r="S265" s="13"/>
      <c r="T265" s="12"/>
      <c r="U265" s="12"/>
      <c r="V265" s="12"/>
      <c r="W265" s="14"/>
      <c r="Y265" s="42" t="str">
        <f>IF(AND(C265=Master!$H$1,B265="2012-2013",E265&gt;1000,G265="PLN03"),H265,"")</f>
        <v/>
      </c>
      <c r="Z265" s="42" t="str">
        <f>IF(AND(C265=Master!$H$1,B265="2012-2013",E265="",G265="PLN03"),H265,"")</f>
        <v/>
      </c>
      <c r="AA265" s="42" t="str">
        <f>IF(AND(C265=Master!$H$2,B265="2012-2013",E265&gt;1000,G265="PLN03"),H265,"")</f>
        <v/>
      </c>
      <c r="AB265" s="42" t="str">
        <f>IF(AND(C265=Master!$H$2,B265="2012-2013",E265="",G265="PLN03"),H265,"")</f>
        <v/>
      </c>
      <c r="AC265" s="42" t="str">
        <f>IF(AND(C265=Master!$H$3,B265="2012-2013",E265&gt;1000,G265="PLN03"),H265,"")</f>
        <v/>
      </c>
      <c r="AD265" s="42" t="str">
        <f>IF(AND(C265=Master!$H$3,B265="2012-2013",E265="",G265="PLN03"),H265,"")</f>
        <v/>
      </c>
      <c r="AE265" s="42" t="str">
        <f>IF(AND(C265=Master!$H$4,B265="2012-2013",E265&gt;1000,G265="PLN03"),H265,"")</f>
        <v/>
      </c>
      <c r="AF265" s="42" t="str">
        <f>IF(AND(C265=Master!$H$4,B265="2012-2013",E265="",G265="PLN03"),H265,"")</f>
        <v/>
      </c>
      <c r="AG265" s="42" t="str">
        <f>IF(AND(C265=Master!$H$5,B265="2012-2013",E265&gt;1000,G265="PLN03"),H265,"")</f>
        <v/>
      </c>
      <c r="AH265" s="42" t="str">
        <f>IF(AND(C265=Master!$H$5,B265="2012-2013",E265="",G265="PLN03"),H265,"")</f>
        <v/>
      </c>
      <c r="AI265" s="42" t="str">
        <f>IF(AND(C265=Master!$H$6,B265="2012-2013",E265&gt;1000,G265="PLN03"),H265,"")</f>
        <v/>
      </c>
      <c r="AJ265" s="42" t="str">
        <f>IF(AND(C265=Master!$H$6,B265="2012-2013",E265="",G265="PLN03"),H265,"")</f>
        <v/>
      </c>
      <c r="AK265" s="42" t="str">
        <f>IF(AND(C265=Master!$H$7,B265="2012-2013",E265&gt;1000,G265="PLN03"),H265,"")</f>
        <v/>
      </c>
      <c r="AL265" s="42" t="str">
        <f>IF(AND(C265=Master!$H$7,B265="2012-2013",E265="",G265="PLN03"),H265,"")</f>
        <v/>
      </c>
      <c r="AM265" s="42" t="str">
        <f>IF(AND(C265=Master!$H$8,B265="2012-2013",E265&gt;1000,G265="PLN03"),H265,"")</f>
        <v/>
      </c>
      <c r="AN265" s="42" t="str">
        <f>IF(AND(C265=Master!$H$8,B265="2012-2013",E265="",G265="PLN03"),H265,"")</f>
        <v/>
      </c>
      <c r="AO265" s="42" t="str">
        <f>IF(AND(C265=Master!$H$9,B265="2012-2013",E265&gt;1000,G265="PLN03"),H265,"")</f>
        <v/>
      </c>
      <c r="AP265" s="42" t="str">
        <f>IF(AND(C265=Master!$H$9,B265="2012-2013",E265="",G265="PLN03"),H265,"")</f>
        <v/>
      </c>
      <c r="AQ265" s="44" t="str">
        <f>IF(AND(C265=Master!$H$1,B265="2012-2013",E265&gt;1000,G265="NPN05"),H265,"")</f>
        <v/>
      </c>
      <c r="AR265" s="44" t="str">
        <f>IF(AND(C265=Master!$H$1,B265="2012-2013",E265="",G265="NPN05"),H265,"")</f>
        <v/>
      </c>
      <c r="AS265" s="44" t="str">
        <f>IF(AND(C265=Master!$H$2,B265="2012-2013",E265&gt;1000,G265="NPN05"),H265,"")</f>
        <v/>
      </c>
      <c r="AT265" s="44" t="str">
        <f>IF(AND(C265=Master!$H$2,B265="2012-2013",E265="",G265="NPN05"),H265,"")</f>
        <v/>
      </c>
      <c r="AU265" s="44" t="str">
        <f>IF(AND(C265=Master!$H$3,B265="2012-2013",E265&gt;1000,G265="NPN05"),H265,"")</f>
        <v/>
      </c>
      <c r="AV265" s="44" t="str">
        <f>IF(AND(C265=Master!$H$3,B265="2012-2013",E265="",G265="NPN05"),H265,"")</f>
        <v/>
      </c>
      <c r="AW265" s="44" t="str">
        <f>IF(AND(C265=Master!$H$4,B265="2012-2013",E265&gt;1000,G265="NPN05"),H265,"")</f>
        <v/>
      </c>
      <c r="AX265" s="44" t="str">
        <f>IF(AND(C265=Master!$H$4,B265="2012-2013",E265="",G265="NPN05"),H265,"")</f>
        <v/>
      </c>
      <c r="AY265" s="44" t="str">
        <f>IF(AND(C265=Master!$H$5,B265="2012-2013",E265&gt;1000,G265="NPN05"),H265,"")</f>
        <v/>
      </c>
      <c r="AZ265" s="44" t="str">
        <f>IF(AND(C265=Master!$H$5,B265="2012-2013",E265="",G265="NPN05"),H265,"")</f>
        <v/>
      </c>
      <c r="BA265" s="44" t="str">
        <f>IF(AND(C265=Master!$H$6,B265="2012-2013",E265&gt;1000,G265="NPN05"),H265,"")</f>
        <v/>
      </c>
      <c r="BB265" s="44" t="str">
        <f>IF(AND(C265=Master!$H$6,B265="2012-2013",E265="",G265="NPN05"),H265,"")</f>
        <v/>
      </c>
      <c r="BC265" s="44" t="str">
        <f>IF(AND(C265=Master!$H$7,B265="2012-2013",E265&gt;1000,G265="NPN05"),H265,"")</f>
        <v/>
      </c>
      <c r="BD265" s="44" t="str">
        <f>IF(AND(C265=Master!$H$7,B265="2012-2013",E265="",G265="NPN05"),H265,"")</f>
        <v/>
      </c>
      <c r="BE265" s="44" t="str">
        <f>IF(AND(C265=Master!$H$8,B265="2012-2013",E265&gt;1000,G265="NPN05"),H265,"")</f>
        <v/>
      </c>
      <c r="BF265" s="44" t="str">
        <f>IF(AND(C265=Master!$H$8,B265="2012-2013",E265="",G265="NPN05"),H265,"")</f>
        <v/>
      </c>
      <c r="BG265" s="44" t="str">
        <f>IF(AND(C265=Master!$H$9,B265="2012-2013",E265&gt;1000,G265="NPN05"),H265,"")</f>
        <v/>
      </c>
      <c r="BH265" s="44" t="str">
        <f>IF(AND(C265=Master!$H$9,B265="2012-2013",E265="",G265="NPN05"),H265,"")</f>
        <v/>
      </c>
    </row>
    <row r="266" spans="1:60" x14ac:dyDescent="0.25">
      <c r="A266" s="3">
        <v>264</v>
      </c>
      <c r="B266" s="12"/>
      <c r="C266" s="12"/>
      <c r="D266" s="31"/>
      <c r="E266" s="4"/>
      <c r="F266" s="13"/>
      <c r="G266" s="21"/>
      <c r="H266" s="35"/>
      <c r="I266" s="21"/>
      <c r="J266" s="25" t="str">
        <f>IF(NOT(I266=""),INDEX(Master!$B$1:$B$46,MATCH(I266,Master!$A$1:$A$46,0)),"")</f>
        <v/>
      </c>
      <c r="K266" s="18"/>
      <c r="L266" s="86"/>
      <c r="M266" s="13"/>
      <c r="N266" s="13"/>
      <c r="O266" s="18"/>
      <c r="P266" s="35"/>
      <c r="Q266" s="21"/>
      <c r="R266" s="21"/>
      <c r="S266" s="13"/>
      <c r="T266" s="12"/>
      <c r="U266" s="12"/>
      <c r="V266" s="12"/>
      <c r="W266" s="14"/>
      <c r="Y266" s="42" t="str">
        <f>IF(AND(C266=Master!$H$1,B266="2012-2013",E266&gt;1000,G266="PLN03"),H266,"")</f>
        <v/>
      </c>
      <c r="Z266" s="42" t="str">
        <f>IF(AND(C266=Master!$H$1,B266="2012-2013",E266="",G266="PLN03"),H266,"")</f>
        <v/>
      </c>
      <c r="AA266" s="42" t="str">
        <f>IF(AND(C266=Master!$H$2,B266="2012-2013",E266&gt;1000,G266="PLN03"),H266,"")</f>
        <v/>
      </c>
      <c r="AB266" s="42" t="str">
        <f>IF(AND(C266=Master!$H$2,B266="2012-2013",E266="",G266="PLN03"),H266,"")</f>
        <v/>
      </c>
      <c r="AC266" s="42" t="str">
        <f>IF(AND(C266=Master!$H$3,B266="2012-2013",E266&gt;1000,G266="PLN03"),H266,"")</f>
        <v/>
      </c>
      <c r="AD266" s="42" t="str">
        <f>IF(AND(C266=Master!$H$3,B266="2012-2013",E266="",G266="PLN03"),H266,"")</f>
        <v/>
      </c>
      <c r="AE266" s="42" t="str">
        <f>IF(AND(C266=Master!$H$4,B266="2012-2013",E266&gt;1000,G266="PLN03"),H266,"")</f>
        <v/>
      </c>
      <c r="AF266" s="42" t="str">
        <f>IF(AND(C266=Master!$H$4,B266="2012-2013",E266="",G266="PLN03"),H266,"")</f>
        <v/>
      </c>
      <c r="AG266" s="42" t="str">
        <f>IF(AND(C266=Master!$H$5,B266="2012-2013",E266&gt;1000,G266="PLN03"),H266,"")</f>
        <v/>
      </c>
      <c r="AH266" s="42" t="str">
        <f>IF(AND(C266=Master!$H$5,B266="2012-2013",E266="",G266="PLN03"),H266,"")</f>
        <v/>
      </c>
      <c r="AI266" s="42" t="str">
        <f>IF(AND(C266=Master!$H$6,B266="2012-2013",E266&gt;1000,G266="PLN03"),H266,"")</f>
        <v/>
      </c>
      <c r="AJ266" s="42" t="str">
        <f>IF(AND(C266=Master!$H$6,B266="2012-2013",E266="",G266="PLN03"),H266,"")</f>
        <v/>
      </c>
      <c r="AK266" s="42" t="str">
        <f>IF(AND(C266=Master!$H$7,B266="2012-2013",E266&gt;1000,G266="PLN03"),H266,"")</f>
        <v/>
      </c>
      <c r="AL266" s="42" t="str">
        <f>IF(AND(C266=Master!$H$7,B266="2012-2013",E266="",G266="PLN03"),H266,"")</f>
        <v/>
      </c>
      <c r="AM266" s="42" t="str">
        <f>IF(AND(C266=Master!$H$8,B266="2012-2013",E266&gt;1000,G266="PLN03"),H266,"")</f>
        <v/>
      </c>
      <c r="AN266" s="42" t="str">
        <f>IF(AND(C266=Master!$H$8,B266="2012-2013",E266="",G266="PLN03"),H266,"")</f>
        <v/>
      </c>
      <c r="AO266" s="42" t="str">
        <f>IF(AND(C266=Master!$H$9,B266="2012-2013",E266&gt;1000,G266="PLN03"),H266,"")</f>
        <v/>
      </c>
      <c r="AP266" s="42" t="str">
        <f>IF(AND(C266=Master!$H$9,B266="2012-2013",E266="",G266="PLN03"),H266,"")</f>
        <v/>
      </c>
      <c r="AQ266" s="44" t="str">
        <f>IF(AND(C266=Master!$H$1,B266="2012-2013",E266&gt;1000,G266="NPN05"),H266,"")</f>
        <v/>
      </c>
      <c r="AR266" s="44" t="str">
        <f>IF(AND(C266=Master!$H$1,B266="2012-2013",E266="",G266="NPN05"),H266,"")</f>
        <v/>
      </c>
      <c r="AS266" s="44" t="str">
        <f>IF(AND(C266=Master!$H$2,B266="2012-2013",E266&gt;1000,G266="NPN05"),H266,"")</f>
        <v/>
      </c>
      <c r="AT266" s="44" t="str">
        <f>IF(AND(C266=Master!$H$2,B266="2012-2013",E266="",G266="NPN05"),H266,"")</f>
        <v/>
      </c>
      <c r="AU266" s="44" t="str">
        <f>IF(AND(C266=Master!$H$3,B266="2012-2013",E266&gt;1000,G266="NPN05"),H266,"")</f>
        <v/>
      </c>
      <c r="AV266" s="44" t="str">
        <f>IF(AND(C266=Master!$H$3,B266="2012-2013",E266="",G266="NPN05"),H266,"")</f>
        <v/>
      </c>
      <c r="AW266" s="44" t="str">
        <f>IF(AND(C266=Master!$H$4,B266="2012-2013",E266&gt;1000,G266="NPN05"),H266,"")</f>
        <v/>
      </c>
      <c r="AX266" s="44" t="str">
        <f>IF(AND(C266=Master!$H$4,B266="2012-2013",E266="",G266="NPN05"),H266,"")</f>
        <v/>
      </c>
      <c r="AY266" s="44" t="str">
        <f>IF(AND(C266=Master!$H$5,B266="2012-2013",E266&gt;1000,G266="NPN05"),H266,"")</f>
        <v/>
      </c>
      <c r="AZ266" s="44" t="str">
        <f>IF(AND(C266=Master!$H$5,B266="2012-2013",E266="",G266="NPN05"),H266,"")</f>
        <v/>
      </c>
      <c r="BA266" s="44" t="str">
        <f>IF(AND(C266=Master!$H$6,B266="2012-2013",E266&gt;1000,G266="NPN05"),H266,"")</f>
        <v/>
      </c>
      <c r="BB266" s="44" t="str">
        <f>IF(AND(C266=Master!$H$6,B266="2012-2013",E266="",G266="NPN05"),H266,"")</f>
        <v/>
      </c>
      <c r="BC266" s="44" t="str">
        <f>IF(AND(C266=Master!$H$7,B266="2012-2013",E266&gt;1000,G266="NPN05"),H266,"")</f>
        <v/>
      </c>
      <c r="BD266" s="44" t="str">
        <f>IF(AND(C266=Master!$H$7,B266="2012-2013",E266="",G266="NPN05"),H266,"")</f>
        <v/>
      </c>
      <c r="BE266" s="44" t="str">
        <f>IF(AND(C266=Master!$H$8,B266="2012-2013",E266&gt;1000,G266="NPN05"),H266,"")</f>
        <v/>
      </c>
      <c r="BF266" s="44" t="str">
        <f>IF(AND(C266=Master!$H$8,B266="2012-2013",E266="",G266="NPN05"),H266,"")</f>
        <v/>
      </c>
      <c r="BG266" s="44" t="str">
        <f>IF(AND(C266=Master!$H$9,B266="2012-2013",E266&gt;1000,G266="NPN05"),H266,"")</f>
        <v/>
      </c>
      <c r="BH266" s="44" t="str">
        <f>IF(AND(C266=Master!$H$9,B266="2012-2013",E266="",G266="NPN05"),H266,"")</f>
        <v/>
      </c>
    </row>
    <row r="267" spans="1:60" x14ac:dyDescent="0.25">
      <c r="A267" s="3">
        <v>265</v>
      </c>
      <c r="B267" s="12"/>
      <c r="C267" s="12"/>
      <c r="D267" s="31"/>
      <c r="E267" s="4"/>
      <c r="F267" s="13"/>
      <c r="G267" s="21"/>
      <c r="H267" s="35"/>
      <c r="I267" s="21"/>
      <c r="J267" s="25" t="str">
        <f>IF(NOT(I267=""),INDEX(Master!$B$1:$B$46,MATCH(I267,Master!$A$1:$A$46,0)),"")</f>
        <v/>
      </c>
      <c r="K267" s="18"/>
      <c r="L267" s="86"/>
      <c r="M267" s="13"/>
      <c r="N267" s="13"/>
      <c r="O267" s="18"/>
      <c r="P267" s="35"/>
      <c r="Q267" s="21"/>
      <c r="R267" s="21"/>
      <c r="S267" s="13"/>
      <c r="T267" s="12"/>
      <c r="U267" s="12"/>
      <c r="V267" s="12"/>
      <c r="W267" s="14"/>
      <c r="Y267" s="42" t="str">
        <f>IF(AND(C267=Master!$H$1,B267="2012-2013",E267&gt;1000,G267="PLN03"),H267,"")</f>
        <v/>
      </c>
      <c r="Z267" s="42" t="str">
        <f>IF(AND(C267=Master!$H$1,B267="2012-2013",E267="",G267="PLN03"),H267,"")</f>
        <v/>
      </c>
      <c r="AA267" s="42" t="str">
        <f>IF(AND(C267=Master!$H$2,B267="2012-2013",E267&gt;1000,G267="PLN03"),H267,"")</f>
        <v/>
      </c>
      <c r="AB267" s="42" t="str">
        <f>IF(AND(C267=Master!$H$2,B267="2012-2013",E267="",G267="PLN03"),H267,"")</f>
        <v/>
      </c>
      <c r="AC267" s="42" t="str">
        <f>IF(AND(C267=Master!$H$3,B267="2012-2013",E267&gt;1000,G267="PLN03"),H267,"")</f>
        <v/>
      </c>
      <c r="AD267" s="42" t="str">
        <f>IF(AND(C267=Master!$H$3,B267="2012-2013",E267="",G267="PLN03"),H267,"")</f>
        <v/>
      </c>
      <c r="AE267" s="42" t="str">
        <f>IF(AND(C267=Master!$H$4,B267="2012-2013",E267&gt;1000,G267="PLN03"),H267,"")</f>
        <v/>
      </c>
      <c r="AF267" s="42" t="str">
        <f>IF(AND(C267=Master!$H$4,B267="2012-2013",E267="",G267="PLN03"),H267,"")</f>
        <v/>
      </c>
      <c r="AG267" s="42" t="str">
        <f>IF(AND(C267=Master!$H$5,B267="2012-2013",E267&gt;1000,G267="PLN03"),H267,"")</f>
        <v/>
      </c>
      <c r="AH267" s="42" t="str">
        <f>IF(AND(C267=Master!$H$5,B267="2012-2013",E267="",G267="PLN03"),H267,"")</f>
        <v/>
      </c>
      <c r="AI267" s="42" t="str">
        <f>IF(AND(C267=Master!$H$6,B267="2012-2013",E267&gt;1000,G267="PLN03"),H267,"")</f>
        <v/>
      </c>
      <c r="AJ267" s="42" t="str">
        <f>IF(AND(C267=Master!$H$6,B267="2012-2013",E267="",G267="PLN03"),H267,"")</f>
        <v/>
      </c>
      <c r="AK267" s="42" t="str">
        <f>IF(AND(C267=Master!$H$7,B267="2012-2013",E267&gt;1000,G267="PLN03"),H267,"")</f>
        <v/>
      </c>
      <c r="AL267" s="42" t="str">
        <f>IF(AND(C267=Master!$H$7,B267="2012-2013",E267="",G267="PLN03"),H267,"")</f>
        <v/>
      </c>
      <c r="AM267" s="42" t="str">
        <f>IF(AND(C267=Master!$H$8,B267="2012-2013",E267&gt;1000,G267="PLN03"),H267,"")</f>
        <v/>
      </c>
      <c r="AN267" s="42" t="str">
        <f>IF(AND(C267=Master!$H$8,B267="2012-2013",E267="",G267="PLN03"),H267,"")</f>
        <v/>
      </c>
      <c r="AO267" s="42" t="str">
        <f>IF(AND(C267=Master!$H$9,B267="2012-2013",E267&gt;1000,G267="PLN03"),H267,"")</f>
        <v/>
      </c>
      <c r="AP267" s="42" t="str">
        <f>IF(AND(C267=Master!$H$9,B267="2012-2013",E267="",G267="PLN03"),H267,"")</f>
        <v/>
      </c>
      <c r="AQ267" s="44" t="str">
        <f>IF(AND(C267=Master!$H$1,B267="2012-2013",E267&gt;1000,G267="NPN05"),H267,"")</f>
        <v/>
      </c>
      <c r="AR267" s="44" t="str">
        <f>IF(AND(C267=Master!$H$1,B267="2012-2013",E267="",G267="NPN05"),H267,"")</f>
        <v/>
      </c>
      <c r="AS267" s="44" t="str">
        <f>IF(AND(C267=Master!$H$2,B267="2012-2013",E267&gt;1000,G267="NPN05"),H267,"")</f>
        <v/>
      </c>
      <c r="AT267" s="44" t="str">
        <f>IF(AND(C267=Master!$H$2,B267="2012-2013",E267="",G267="NPN05"),H267,"")</f>
        <v/>
      </c>
      <c r="AU267" s="44" t="str">
        <f>IF(AND(C267=Master!$H$3,B267="2012-2013",E267&gt;1000,G267="NPN05"),H267,"")</f>
        <v/>
      </c>
      <c r="AV267" s="44" t="str">
        <f>IF(AND(C267=Master!$H$3,B267="2012-2013",E267="",G267="NPN05"),H267,"")</f>
        <v/>
      </c>
      <c r="AW267" s="44" t="str">
        <f>IF(AND(C267=Master!$H$4,B267="2012-2013",E267&gt;1000,G267="NPN05"),H267,"")</f>
        <v/>
      </c>
      <c r="AX267" s="44" t="str">
        <f>IF(AND(C267=Master!$H$4,B267="2012-2013",E267="",G267="NPN05"),H267,"")</f>
        <v/>
      </c>
      <c r="AY267" s="44" t="str">
        <f>IF(AND(C267=Master!$H$5,B267="2012-2013",E267&gt;1000,G267="NPN05"),H267,"")</f>
        <v/>
      </c>
      <c r="AZ267" s="44" t="str">
        <f>IF(AND(C267=Master!$H$5,B267="2012-2013",E267="",G267="NPN05"),H267,"")</f>
        <v/>
      </c>
      <c r="BA267" s="44" t="str">
        <f>IF(AND(C267=Master!$H$6,B267="2012-2013",E267&gt;1000,G267="NPN05"),H267,"")</f>
        <v/>
      </c>
      <c r="BB267" s="44" t="str">
        <f>IF(AND(C267=Master!$H$6,B267="2012-2013",E267="",G267="NPN05"),H267,"")</f>
        <v/>
      </c>
      <c r="BC267" s="44" t="str">
        <f>IF(AND(C267=Master!$H$7,B267="2012-2013",E267&gt;1000,G267="NPN05"),H267,"")</f>
        <v/>
      </c>
      <c r="BD267" s="44" t="str">
        <f>IF(AND(C267=Master!$H$7,B267="2012-2013",E267="",G267="NPN05"),H267,"")</f>
        <v/>
      </c>
      <c r="BE267" s="44" t="str">
        <f>IF(AND(C267=Master!$H$8,B267="2012-2013",E267&gt;1000,G267="NPN05"),H267,"")</f>
        <v/>
      </c>
      <c r="BF267" s="44" t="str">
        <f>IF(AND(C267=Master!$H$8,B267="2012-2013",E267="",G267="NPN05"),H267,"")</f>
        <v/>
      </c>
      <c r="BG267" s="44" t="str">
        <f>IF(AND(C267=Master!$H$9,B267="2012-2013",E267&gt;1000,G267="NPN05"),H267,"")</f>
        <v/>
      </c>
      <c r="BH267" s="44" t="str">
        <f>IF(AND(C267=Master!$H$9,B267="2012-2013",E267="",G267="NPN05"),H267,"")</f>
        <v/>
      </c>
    </row>
    <row r="268" spans="1:60" x14ac:dyDescent="0.25">
      <c r="A268" s="3">
        <v>266</v>
      </c>
      <c r="B268" s="12"/>
      <c r="C268" s="12"/>
      <c r="D268" s="31"/>
      <c r="E268" s="4"/>
      <c r="F268" s="13"/>
      <c r="G268" s="21"/>
      <c r="H268" s="35"/>
      <c r="I268" s="21"/>
      <c r="J268" s="25" t="str">
        <f>IF(NOT(I268=""),INDEX(Master!$B$1:$B$46,MATCH(I268,Master!$A$1:$A$46,0)),"")</f>
        <v/>
      </c>
      <c r="K268" s="18"/>
      <c r="L268" s="86"/>
      <c r="M268" s="13"/>
      <c r="N268" s="13"/>
      <c r="O268" s="18"/>
      <c r="P268" s="35"/>
      <c r="Q268" s="21"/>
      <c r="R268" s="21"/>
      <c r="S268" s="13"/>
      <c r="T268" s="12"/>
      <c r="U268" s="12"/>
      <c r="V268" s="12"/>
      <c r="W268" s="14"/>
      <c r="Y268" s="42" t="str">
        <f>IF(AND(C268=Master!$H$1,B268="2012-2013",E268&gt;1000,G268="PLN03"),H268,"")</f>
        <v/>
      </c>
      <c r="Z268" s="42" t="str">
        <f>IF(AND(C268=Master!$H$1,B268="2012-2013",E268="",G268="PLN03"),H268,"")</f>
        <v/>
      </c>
      <c r="AA268" s="42" t="str">
        <f>IF(AND(C268=Master!$H$2,B268="2012-2013",E268&gt;1000,G268="PLN03"),H268,"")</f>
        <v/>
      </c>
      <c r="AB268" s="42" t="str">
        <f>IF(AND(C268=Master!$H$2,B268="2012-2013",E268="",G268="PLN03"),H268,"")</f>
        <v/>
      </c>
      <c r="AC268" s="42" t="str">
        <f>IF(AND(C268=Master!$H$3,B268="2012-2013",E268&gt;1000,G268="PLN03"),H268,"")</f>
        <v/>
      </c>
      <c r="AD268" s="42" t="str">
        <f>IF(AND(C268=Master!$H$3,B268="2012-2013",E268="",G268="PLN03"),H268,"")</f>
        <v/>
      </c>
      <c r="AE268" s="42" t="str">
        <f>IF(AND(C268=Master!$H$4,B268="2012-2013",E268&gt;1000,G268="PLN03"),H268,"")</f>
        <v/>
      </c>
      <c r="AF268" s="42" t="str">
        <f>IF(AND(C268=Master!$H$4,B268="2012-2013",E268="",G268="PLN03"),H268,"")</f>
        <v/>
      </c>
      <c r="AG268" s="42" t="str">
        <f>IF(AND(C268=Master!$H$5,B268="2012-2013",E268&gt;1000,G268="PLN03"),H268,"")</f>
        <v/>
      </c>
      <c r="AH268" s="42" t="str">
        <f>IF(AND(C268=Master!$H$5,B268="2012-2013",E268="",G268="PLN03"),H268,"")</f>
        <v/>
      </c>
      <c r="AI268" s="42" t="str">
        <f>IF(AND(C268=Master!$H$6,B268="2012-2013",E268&gt;1000,G268="PLN03"),H268,"")</f>
        <v/>
      </c>
      <c r="AJ268" s="42" t="str">
        <f>IF(AND(C268=Master!$H$6,B268="2012-2013",E268="",G268="PLN03"),H268,"")</f>
        <v/>
      </c>
      <c r="AK268" s="42" t="str">
        <f>IF(AND(C268=Master!$H$7,B268="2012-2013",E268&gt;1000,G268="PLN03"),H268,"")</f>
        <v/>
      </c>
      <c r="AL268" s="42" t="str">
        <f>IF(AND(C268=Master!$H$7,B268="2012-2013",E268="",G268="PLN03"),H268,"")</f>
        <v/>
      </c>
      <c r="AM268" s="42" t="str">
        <f>IF(AND(C268=Master!$H$8,B268="2012-2013",E268&gt;1000,G268="PLN03"),H268,"")</f>
        <v/>
      </c>
      <c r="AN268" s="42" t="str">
        <f>IF(AND(C268=Master!$H$8,B268="2012-2013",E268="",G268="PLN03"),H268,"")</f>
        <v/>
      </c>
      <c r="AO268" s="42" t="str">
        <f>IF(AND(C268=Master!$H$9,B268="2012-2013",E268&gt;1000,G268="PLN03"),H268,"")</f>
        <v/>
      </c>
      <c r="AP268" s="42" t="str">
        <f>IF(AND(C268=Master!$H$9,B268="2012-2013",E268="",G268="PLN03"),H268,"")</f>
        <v/>
      </c>
      <c r="AQ268" s="44" t="str">
        <f>IF(AND(C268=Master!$H$1,B268="2012-2013",E268&gt;1000,G268="NPN05"),H268,"")</f>
        <v/>
      </c>
      <c r="AR268" s="44" t="str">
        <f>IF(AND(C268=Master!$H$1,B268="2012-2013",E268="",G268="NPN05"),H268,"")</f>
        <v/>
      </c>
      <c r="AS268" s="44" t="str">
        <f>IF(AND(C268=Master!$H$2,B268="2012-2013",E268&gt;1000,G268="NPN05"),H268,"")</f>
        <v/>
      </c>
      <c r="AT268" s="44" t="str">
        <f>IF(AND(C268=Master!$H$2,B268="2012-2013",E268="",G268="NPN05"),H268,"")</f>
        <v/>
      </c>
      <c r="AU268" s="44" t="str">
        <f>IF(AND(C268=Master!$H$3,B268="2012-2013",E268&gt;1000,G268="NPN05"),H268,"")</f>
        <v/>
      </c>
      <c r="AV268" s="44" t="str">
        <f>IF(AND(C268=Master!$H$3,B268="2012-2013",E268="",G268="NPN05"),H268,"")</f>
        <v/>
      </c>
      <c r="AW268" s="44" t="str">
        <f>IF(AND(C268=Master!$H$4,B268="2012-2013",E268&gt;1000,G268="NPN05"),H268,"")</f>
        <v/>
      </c>
      <c r="AX268" s="44" t="str">
        <f>IF(AND(C268=Master!$H$4,B268="2012-2013",E268="",G268="NPN05"),H268,"")</f>
        <v/>
      </c>
      <c r="AY268" s="44" t="str">
        <f>IF(AND(C268=Master!$H$5,B268="2012-2013",E268&gt;1000,G268="NPN05"),H268,"")</f>
        <v/>
      </c>
      <c r="AZ268" s="44" t="str">
        <f>IF(AND(C268=Master!$H$5,B268="2012-2013",E268="",G268="NPN05"),H268,"")</f>
        <v/>
      </c>
      <c r="BA268" s="44" t="str">
        <f>IF(AND(C268=Master!$H$6,B268="2012-2013",E268&gt;1000,G268="NPN05"),H268,"")</f>
        <v/>
      </c>
      <c r="BB268" s="44" t="str">
        <f>IF(AND(C268=Master!$H$6,B268="2012-2013",E268="",G268="NPN05"),H268,"")</f>
        <v/>
      </c>
      <c r="BC268" s="44" t="str">
        <f>IF(AND(C268=Master!$H$7,B268="2012-2013",E268&gt;1000,G268="NPN05"),H268,"")</f>
        <v/>
      </c>
      <c r="BD268" s="44" t="str">
        <f>IF(AND(C268=Master!$H$7,B268="2012-2013",E268="",G268="NPN05"),H268,"")</f>
        <v/>
      </c>
      <c r="BE268" s="44" t="str">
        <f>IF(AND(C268=Master!$H$8,B268="2012-2013",E268&gt;1000,G268="NPN05"),H268,"")</f>
        <v/>
      </c>
      <c r="BF268" s="44" t="str">
        <f>IF(AND(C268=Master!$H$8,B268="2012-2013",E268="",G268="NPN05"),H268,"")</f>
        <v/>
      </c>
      <c r="BG268" s="44" t="str">
        <f>IF(AND(C268=Master!$H$9,B268="2012-2013",E268&gt;1000,G268="NPN05"),H268,"")</f>
        <v/>
      </c>
      <c r="BH268" s="44" t="str">
        <f>IF(AND(C268=Master!$H$9,B268="2012-2013",E268="",G268="NPN05"),H268,"")</f>
        <v/>
      </c>
    </row>
    <row r="269" spans="1:60" x14ac:dyDescent="0.25">
      <c r="A269" s="3">
        <v>267</v>
      </c>
      <c r="B269" s="12"/>
      <c r="C269" s="12"/>
      <c r="D269" s="31"/>
      <c r="E269" s="4"/>
      <c r="F269" s="13"/>
      <c r="G269" s="21"/>
      <c r="H269" s="35"/>
      <c r="I269" s="21"/>
      <c r="J269" s="25" t="str">
        <f>IF(NOT(I269=""),INDEX(Master!$B$1:$B$46,MATCH(I269,Master!$A$1:$A$46,0)),"")</f>
        <v/>
      </c>
      <c r="K269" s="18"/>
      <c r="L269" s="86"/>
      <c r="M269" s="13"/>
      <c r="N269" s="13"/>
      <c r="O269" s="18"/>
      <c r="P269" s="35"/>
      <c r="Q269" s="21"/>
      <c r="R269" s="21"/>
      <c r="S269" s="13"/>
      <c r="T269" s="12"/>
      <c r="U269" s="12"/>
      <c r="V269" s="12"/>
      <c r="W269" s="14"/>
      <c r="Y269" s="42" t="str">
        <f>IF(AND(C269=Master!$H$1,B269="2012-2013",E269&gt;1000,G269="PLN03"),H269,"")</f>
        <v/>
      </c>
      <c r="Z269" s="42" t="str">
        <f>IF(AND(C269=Master!$H$1,B269="2012-2013",E269="",G269="PLN03"),H269,"")</f>
        <v/>
      </c>
      <c r="AA269" s="42" t="str">
        <f>IF(AND(C269=Master!$H$2,B269="2012-2013",E269&gt;1000,G269="PLN03"),H269,"")</f>
        <v/>
      </c>
      <c r="AB269" s="42" t="str">
        <f>IF(AND(C269=Master!$H$2,B269="2012-2013",E269="",G269="PLN03"),H269,"")</f>
        <v/>
      </c>
      <c r="AC269" s="42" t="str">
        <f>IF(AND(C269=Master!$H$3,B269="2012-2013",E269&gt;1000,G269="PLN03"),H269,"")</f>
        <v/>
      </c>
      <c r="AD269" s="42" t="str">
        <f>IF(AND(C269=Master!$H$3,B269="2012-2013",E269="",G269="PLN03"),H269,"")</f>
        <v/>
      </c>
      <c r="AE269" s="42" t="str">
        <f>IF(AND(C269=Master!$H$4,B269="2012-2013",E269&gt;1000,G269="PLN03"),H269,"")</f>
        <v/>
      </c>
      <c r="AF269" s="42" t="str">
        <f>IF(AND(C269=Master!$H$4,B269="2012-2013",E269="",G269="PLN03"),H269,"")</f>
        <v/>
      </c>
      <c r="AG269" s="42" t="str">
        <f>IF(AND(C269=Master!$H$5,B269="2012-2013",E269&gt;1000,G269="PLN03"),H269,"")</f>
        <v/>
      </c>
      <c r="AH269" s="42" t="str">
        <f>IF(AND(C269=Master!$H$5,B269="2012-2013",E269="",G269="PLN03"),H269,"")</f>
        <v/>
      </c>
      <c r="AI269" s="42" t="str">
        <f>IF(AND(C269=Master!$H$6,B269="2012-2013",E269&gt;1000,G269="PLN03"),H269,"")</f>
        <v/>
      </c>
      <c r="AJ269" s="42" t="str">
        <f>IF(AND(C269=Master!$H$6,B269="2012-2013",E269="",G269="PLN03"),H269,"")</f>
        <v/>
      </c>
      <c r="AK269" s="42" t="str">
        <f>IF(AND(C269=Master!$H$7,B269="2012-2013",E269&gt;1000,G269="PLN03"),H269,"")</f>
        <v/>
      </c>
      <c r="AL269" s="42" t="str">
        <f>IF(AND(C269=Master!$H$7,B269="2012-2013",E269="",G269="PLN03"),H269,"")</f>
        <v/>
      </c>
      <c r="AM269" s="42" t="str">
        <f>IF(AND(C269=Master!$H$8,B269="2012-2013",E269&gt;1000,G269="PLN03"),H269,"")</f>
        <v/>
      </c>
      <c r="AN269" s="42" t="str">
        <f>IF(AND(C269=Master!$H$8,B269="2012-2013",E269="",G269="PLN03"),H269,"")</f>
        <v/>
      </c>
      <c r="AO269" s="42" t="str">
        <f>IF(AND(C269=Master!$H$9,B269="2012-2013",E269&gt;1000,G269="PLN03"),H269,"")</f>
        <v/>
      </c>
      <c r="AP269" s="42" t="str">
        <f>IF(AND(C269=Master!$H$9,B269="2012-2013",E269="",G269="PLN03"),H269,"")</f>
        <v/>
      </c>
      <c r="AQ269" s="44" t="str">
        <f>IF(AND(C269=Master!$H$1,B269="2012-2013",E269&gt;1000,G269="NPN05"),H269,"")</f>
        <v/>
      </c>
      <c r="AR269" s="44" t="str">
        <f>IF(AND(C269=Master!$H$1,B269="2012-2013",E269="",G269="NPN05"),H269,"")</f>
        <v/>
      </c>
      <c r="AS269" s="44" t="str">
        <f>IF(AND(C269=Master!$H$2,B269="2012-2013",E269&gt;1000,G269="NPN05"),H269,"")</f>
        <v/>
      </c>
      <c r="AT269" s="44" t="str">
        <f>IF(AND(C269=Master!$H$2,B269="2012-2013",E269="",G269="NPN05"),H269,"")</f>
        <v/>
      </c>
      <c r="AU269" s="44" t="str">
        <f>IF(AND(C269=Master!$H$3,B269="2012-2013",E269&gt;1000,G269="NPN05"),H269,"")</f>
        <v/>
      </c>
      <c r="AV269" s="44" t="str">
        <f>IF(AND(C269=Master!$H$3,B269="2012-2013",E269="",G269="NPN05"),H269,"")</f>
        <v/>
      </c>
      <c r="AW269" s="44" t="str">
        <f>IF(AND(C269=Master!$H$4,B269="2012-2013",E269&gt;1000,G269="NPN05"),H269,"")</f>
        <v/>
      </c>
      <c r="AX269" s="44" t="str">
        <f>IF(AND(C269=Master!$H$4,B269="2012-2013",E269="",G269="NPN05"),H269,"")</f>
        <v/>
      </c>
      <c r="AY269" s="44" t="str">
        <f>IF(AND(C269=Master!$H$5,B269="2012-2013",E269&gt;1000,G269="NPN05"),H269,"")</f>
        <v/>
      </c>
      <c r="AZ269" s="44" t="str">
        <f>IF(AND(C269=Master!$H$5,B269="2012-2013",E269="",G269="NPN05"),H269,"")</f>
        <v/>
      </c>
      <c r="BA269" s="44" t="str">
        <f>IF(AND(C269=Master!$H$6,B269="2012-2013",E269&gt;1000,G269="NPN05"),H269,"")</f>
        <v/>
      </c>
      <c r="BB269" s="44" t="str">
        <f>IF(AND(C269=Master!$H$6,B269="2012-2013",E269="",G269="NPN05"),H269,"")</f>
        <v/>
      </c>
      <c r="BC269" s="44" t="str">
        <f>IF(AND(C269=Master!$H$7,B269="2012-2013",E269&gt;1000,G269="NPN05"),H269,"")</f>
        <v/>
      </c>
      <c r="BD269" s="44" t="str">
        <f>IF(AND(C269=Master!$H$7,B269="2012-2013",E269="",G269="NPN05"),H269,"")</f>
        <v/>
      </c>
      <c r="BE269" s="44" t="str">
        <f>IF(AND(C269=Master!$H$8,B269="2012-2013",E269&gt;1000,G269="NPN05"),H269,"")</f>
        <v/>
      </c>
      <c r="BF269" s="44" t="str">
        <f>IF(AND(C269=Master!$H$8,B269="2012-2013",E269="",G269="NPN05"),H269,"")</f>
        <v/>
      </c>
      <c r="BG269" s="44" t="str">
        <f>IF(AND(C269=Master!$H$9,B269="2012-2013",E269&gt;1000,G269="NPN05"),H269,"")</f>
        <v/>
      </c>
      <c r="BH269" s="44" t="str">
        <f>IF(AND(C269=Master!$H$9,B269="2012-2013",E269="",G269="NPN05"),H269,"")</f>
        <v/>
      </c>
    </row>
    <row r="270" spans="1:60" x14ac:dyDescent="0.25">
      <c r="A270" s="3">
        <v>268</v>
      </c>
      <c r="B270" s="12"/>
      <c r="C270" s="12"/>
      <c r="D270" s="31"/>
      <c r="E270" s="4"/>
      <c r="F270" s="13"/>
      <c r="G270" s="21"/>
      <c r="H270" s="35"/>
      <c r="I270" s="21"/>
      <c r="J270" s="25" t="str">
        <f>IF(NOT(I270=""),INDEX(Master!$B$1:$B$46,MATCH(I270,Master!$A$1:$A$46,0)),"")</f>
        <v/>
      </c>
      <c r="K270" s="18"/>
      <c r="L270" s="86"/>
      <c r="M270" s="13"/>
      <c r="N270" s="13"/>
      <c r="O270" s="18"/>
      <c r="P270" s="35"/>
      <c r="Q270" s="21"/>
      <c r="R270" s="21"/>
      <c r="S270" s="13"/>
      <c r="T270" s="12"/>
      <c r="U270" s="12"/>
      <c r="V270" s="12"/>
      <c r="W270" s="14"/>
      <c r="Y270" s="42" t="str">
        <f>IF(AND(C270=Master!$H$1,B270="2012-2013",E270&gt;1000,G270="PLN03"),H270,"")</f>
        <v/>
      </c>
      <c r="Z270" s="42" t="str">
        <f>IF(AND(C270=Master!$H$1,B270="2012-2013",E270="",G270="PLN03"),H270,"")</f>
        <v/>
      </c>
      <c r="AA270" s="42" t="str">
        <f>IF(AND(C270=Master!$H$2,B270="2012-2013",E270&gt;1000,G270="PLN03"),H270,"")</f>
        <v/>
      </c>
      <c r="AB270" s="42" t="str">
        <f>IF(AND(C270=Master!$H$2,B270="2012-2013",E270="",G270="PLN03"),H270,"")</f>
        <v/>
      </c>
      <c r="AC270" s="42" t="str">
        <f>IF(AND(C270=Master!$H$3,B270="2012-2013",E270&gt;1000,G270="PLN03"),H270,"")</f>
        <v/>
      </c>
      <c r="AD270" s="42" t="str">
        <f>IF(AND(C270=Master!$H$3,B270="2012-2013",E270="",G270="PLN03"),H270,"")</f>
        <v/>
      </c>
      <c r="AE270" s="42" t="str">
        <f>IF(AND(C270=Master!$H$4,B270="2012-2013",E270&gt;1000,G270="PLN03"),H270,"")</f>
        <v/>
      </c>
      <c r="AF270" s="42" t="str">
        <f>IF(AND(C270=Master!$H$4,B270="2012-2013",E270="",G270="PLN03"),H270,"")</f>
        <v/>
      </c>
      <c r="AG270" s="42" t="str">
        <f>IF(AND(C270=Master!$H$5,B270="2012-2013",E270&gt;1000,G270="PLN03"),H270,"")</f>
        <v/>
      </c>
      <c r="AH270" s="42" t="str">
        <f>IF(AND(C270=Master!$H$5,B270="2012-2013",E270="",G270="PLN03"),H270,"")</f>
        <v/>
      </c>
      <c r="AI270" s="42" t="str">
        <f>IF(AND(C270=Master!$H$6,B270="2012-2013",E270&gt;1000,G270="PLN03"),H270,"")</f>
        <v/>
      </c>
      <c r="AJ270" s="42" t="str">
        <f>IF(AND(C270=Master!$H$6,B270="2012-2013",E270="",G270="PLN03"),H270,"")</f>
        <v/>
      </c>
      <c r="AK270" s="42" t="str">
        <f>IF(AND(C270=Master!$H$7,B270="2012-2013",E270&gt;1000,G270="PLN03"),H270,"")</f>
        <v/>
      </c>
      <c r="AL270" s="42" t="str">
        <f>IF(AND(C270=Master!$H$7,B270="2012-2013",E270="",G270="PLN03"),H270,"")</f>
        <v/>
      </c>
      <c r="AM270" s="42" t="str">
        <f>IF(AND(C270=Master!$H$8,B270="2012-2013",E270&gt;1000,G270="PLN03"),H270,"")</f>
        <v/>
      </c>
      <c r="AN270" s="42" t="str">
        <f>IF(AND(C270=Master!$H$8,B270="2012-2013",E270="",G270="PLN03"),H270,"")</f>
        <v/>
      </c>
      <c r="AO270" s="42" t="str">
        <f>IF(AND(C270=Master!$H$9,B270="2012-2013",E270&gt;1000,G270="PLN03"),H270,"")</f>
        <v/>
      </c>
      <c r="AP270" s="42" t="str">
        <f>IF(AND(C270=Master!$H$9,B270="2012-2013",E270="",G270="PLN03"),H270,"")</f>
        <v/>
      </c>
      <c r="AQ270" s="44" t="str">
        <f>IF(AND(C270=Master!$H$1,B270="2012-2013",E270&gt;1000,G270="NPN05"),H270,"")</f>
        <v/>
      </c>
      <c r="AR270" s="44" t="str">
        <f>IF(AND(C270=Master!$H$1,B270="2012-2013",E270="",G270="NPN05"),H270,"")</f>
        <v/>
      </c>
      <c r="AS270" s="44" t="str">
        <f>IF(AND(C270=Master!$H$2,B270="2012-2013",E270&gt;1000,G270="NPN05"),H270,"")</f>
        <v/>
      </c>
      <c r="AT270" s="44" t="str">
        <f>IF(AND(C270=Master!$H$2,B270="2012-2013",E270="",G270="NPN05"),H270,"")</f>
        <v/>
      </c>
      <c r="AU270" s="44" t="str">
        <f>IF(AND(C270=Master!$H$3,B270="2012-2013",E270&gt;1000,G270="NPN05"),H270,"")</f>
        <v/>
      </c>
      <c r="AV270" s="44" t="str">
        <f>IF(AND(C270=Master!$H$3,B270="2012-2013",E270="",G270="NPN05"),H270,"")</f>
        <v/>
      </c>
      <c r="AW270" s="44" t="str">
        <f>IF(AND(C270=Master!$H$4,B270="2012-2013",E270&gt;1000,G270="NPN05"),H270,"")</f>
        <v/>
      </c>
      <c r="AX270" s="44" t="str">
        <f>IF(AND(C270=Master!$H$4,B270="2012-2013",E270="",G270="NPN05"),H270,"")</f>
        <v/>
      </c>
      <c r="AY270" s="44" t="str">
        <f>IF(AND(C270=Master!$H$5,B270="2012-2013",E270&gt;1000,G270="NPN05"),H270,"")</f>
        <v/>
      </c>
      <c r="AZ270" s="44" t="str">
        <f>IF(AND(C270=Master!$H$5,B270="2012-2013",E270="",G270="NPN05"),H270,"")</f>
        <v/>
      </c>
      <c r="BA270" s="44" t="str">
        <f>IF(AND(C270=Master!$H$6,B270="2012-2013",E270&gt;1000,G270="NPN05"),H270,"")</f>
        <v/>
      </c>
      <c r="BB270" s="44" t="str">
        <f>IF(AND(C270=Master!$H$6,B270="2012-2013",E270="",G270="NPN05"),H270,"")</f>
        <v/>
      </c>
      <c r="BC270" s="44" t="str">
        <f>IF(AND(C270=Master!$H$7,B270="2012-2013",E270&gt;1000,G270="NPN05"),H270,"")</f>
        <v/>
      </c>
      <c r="BD270" s="44" t="str">
        <f>IF(AND(C270=Master!$H$7,B270="2012-2013",E270="",G270="NPN05"),H270,"")</f>
        <v/>
      </c>
      <c r="BE270" s="44" t="str">
        <f>IF(AND(C270=Master!$H$8,B270="2012-2013",E270&gt;1000,G270="NPN05"),H270,"")</f>
        <v/>
      </c>
      <c r="BF270" s="44" t="str">
        <f>IF(AND(C270=Master!$H$8,B270="2012-2013",E270="",G270="NPN05"),H270,"")</f>
        <v/>
      </c>
      <c r="BG270" s="44" t="str">
        <f>IF(AND(C270=Master!$H$9,B270="2012-2013",E270&gt;1000,G270="NPN05"),H270,"")</f>
        <v/>
      </c>
      <c r="BH270" s="44" t="str">
        <f>IF(AND(C270=Master!$H$9,B270="2012-2013",E270="",G270="NPN05"),H270,"")</f>
        <v/>
      </c>
    </row>
    <row r="271" spans="1:60" x14ac:dyDescent="0.25">
      <c r="A271" s="3">
        <v>269</v>
      </c>
      <c r="B271" s="12"/>
      <c r="C271" s="12"/>
      <c r="D271" s="31"/>
      <c r="E271" s="4"/>
      <c r="F271" s="13"/>
      <c r="G271" s="21"/>
      <c r="H271" s="35"/>
      <c r="I271" s="21"/>
      <c r="J271" s="25" t="str">
        <f>IF(NOT(I271=""),INDEX(Master!$B$1:$B$46,MATCH(I271,Master!$A$1:$A$46,0)),"")</f>
        <v/>
      </c>
      <c r="K271" s="18"/>
      <c r="L271" s="86"/>
      <c r="M271" s="13"/>
      <c r="N271" s="13"/>
      <c r="O271" s="18"/>
      <c r="P271" s="35"/>
      <c r="Q271" s="21"/>
      <c r="R271" s="21"/>
      <c r="S271" s="13"/>
      <c r="T271" s="12"/>
      <c r="U271" s="12"/>
      <c r="V271" s="12"/>
      <c r="W271" s="14"/>
      <c r="Y271" s="42" t="str">
        <f>IF(AND(C271=Master!$H$1,B271="2012-2013",E271&gt;1000,G271="PLN03"),H271,"")</f>
        <v/>
      </c>
      <c r="Z271" s="42" t="str">
        <f>IF(AND(C271=Master!$H$1,B271="2012-2013",E271="",G271="PLN03"),H271,"")</f>
        <v/>
      </c>
      <c r="AA271" s="42" t="str">
        <f>IF(AND(C271=Master!$H$2,B271="2012-2013",E271&gt;1000,G271="PLN03"),H271,"")</f>
        <v/>
      </c>
      <c r="AB271" s="42" t="str">
        <f>IF(AND(C271=Master!$H$2,B271="2012-2013",E271="",G271="PLN03"),H271,"")</f>
        <v/>
      </c>
      <c r="AC271" s="42" t="str">
        <f>IF(AND(C271=Master!$H$3,B271="2012-2013",E271&gt;1000,G271="PLN03"),H271,"")</f>
        <v/>
      </c>
      <c r="AD271" s="42" t="str">
        <f>IF(AND(C271=Master!$H$3,B271="2012-2013",E271="",G271="PLN03"),H271,"")</f>
        <v/>
      </c>
      <c r="AE271" s="42" t="str">
        <f>IF(AND(C271=Master!$H$4,B271="2012-2013",E271&gt;1000,G271="PLN03"),H271,"")</f>
        <v/>
      </c>
      <c r="AF271" s="42" t="str">
        <f>IF(AND(C271=Master!$H$4,B271="2012-2013",E271="",G271="PLN03"),H271,"")</f>
        <v/>
      </c>
      <c r="AG271" s="42" t="str">
        <f>IF(AND(C271=Master!$H$5,B271="2012-2013",E271&gt;1000,G271="PLN03"),H271,"")</f>
        <v/>
      </c>
      <c r="AH271" s="42" t="str">
        <f>IF(AND(C271=Master!$H$5,B271="2012-2013",E271="",G271="PLN03"),H271,"")</f>
        <v/>
      </c>
      <c r="AI271" s="42" t="str">
        <f>IF(AND(C271=Master!$H$6,B271="2012-2013",E271&gt;1000,G271="PLN03"),H271,"")</f>
        <v/>
      </c>
      <c r="AJ271" s="42" t="str">
        <f>IF(AND(C271=Master!$H$6,B271="2012-2013",E271="",G271="PLN03"),H271,"")</f>
        <v/>
      </c>
      <c r="AK271" s="42" t="str">
        <f>IF(AND(C271=Master!$H$7,B271="2012-2013",E271&gt;1000,G271="PLN03"),H271,"")</f>
        <v/>
      </c>
      <c r="AL271" s="42" t="str">
        <f>IF(AND(C271=Master!$H$7,B271="2012-2013",E271="",G271="PLN03"),H271,"")</f>
        <v/>
      </c>
      <c r="AM271" s="42" t="str">
        <f>IF(AND(C271=Master!$H$8,B271="2012-2013",E271&gt;1000,G271="PLN03"),H271,"")</f>
        <v/>
      </c>
      <c r="AN271" s="42" t="str">
        <f>IF(AND(C271=Master!$H$8,B271="2012-2013",E271="",G271="PLN03"),H271,"")</f>
        <v/>
      </c>
      <c r="AO271" s="42" t="str">
        <f>IF(AND(C271=Master!$H$9,B271="2012-2013",E271&gt;1000,G271="PLN03"),H271,"")</f>
        <v/>
      </c>
      <c r="AP271" s="42" t="str">
        <f>IF(AND(C271=Master!$H$9,B271="2012-2013",E271="",G271="PLN03"),H271,"")</f>
        <v/>
      </c>
      <c r="AQ271" s="44" t="str">
        <f>IF(AND(C271=Master!$H$1,B271="2012-2013",E271&gt;1000,G271="NPN05"),H271,"")</f>
        <v/>
      </c>
      <c r="AR271" s="44" t="str">
        <f>IF(AND(C271=Master!$H$1,B271="2012-2013",E271="",G271="NPN05"),H271,"")</f>
        <v/>
      </c>
      <c r="AS271" s="44" t="str">
        <f>IF(AND(C271=Master!$H$2,B271="2012-2013",E271&gt;1000,G271="NPN05"),H271,"")</f>
        <v/>
      </c>
      <c r="AT271" s="44" t="str">
        <f>IF(AND(C271=Master!$H$2,B271="2012-2013",E271="",G271="NPN05"),H271,"")</f>
        <v/>
      </c>
      <c r="AU271" s="44" t="str">
        <f>IF(AND(C271=Master!$H$3,B271="2012-2013",E271&gt;1000,G271="NPN05"),H271,"")</f>
        <v/>
      </c>
      <c r="AV271" s="44" t="str">
        <f>IF(AND(C271=Master!$H$3,B271="2012-2013",E271="",G271="NPN05"),H271,"")</f>
        <v/>
      </c>
      <c r="AW271" s="44" t="str">
        <f>IF(AND(C271=Master!$H$4,B271="2012-2013",E271&gt;1000,G271="NPN05"),H271,"")</f>
        <v/>
      </c>
      <c r="AX271" s="44" t="str">
        <f>IF(AND(C271=Master!$H$4,B271="2012-2013",E271="",G271="NPN05"),H271,"")</f>
        <v/>
      </c>
      <c r="AY271" s="44" t="str">
        <f>IF(AND(C271=Master!$H$5,B271="2012-2013",E271&gt;1000,G271="NPN05"),H271,"")</f>
        <v/>
      </c>
      <c r="AZ271" s="44" t="str">
        <f>IF(AND(C271=Master!$H$5,B271="2012-2013",E271="",G271="NPN05"),H271,"")</f>
        <v/>
      </c>
      <c r="BA271" s="44" t="str">
        <f>IF(AND(C271=Master!$H$6,B271="2012-2013",E271&gt;1000,G271="NPN05"),H271,"")</f>
        <v/>
      </c>
      <c r="BB271" s="44" t="str">
        <f>IF(AND(C271=Master!$H$6,B271="2012-2013",E271="",G271="NPN05"),H271,"")</f>
        <v/>
      </c>
      <c r="BC271" s="44" t="str">
        <f>IF(AND(C271=Master!$H$7,B271="2012-2013",E271&gt;1000,G271="NPN05"),H271,"")</f>
        <v/>
      </c>
      <c r="BD271" s="44" t="str">
        <f>IF(AND(C271=Master!$H$7,B271="2012-2013",E271="",G271="NPN05"),H271,"")</f>
        <v/>
      </c>
      <c r="BE271" s="44" t="str">
        <f>IF(AND(C271=Master!$H$8,B271="2012-2013",E271&gt;1000,G271="NPN05"),H271,"")</f>
        <v/>
      </c>
      <c r="BF271" s="44" t="str">
        <f>IF(AND(C271=Master!$H$8,B271="2012-2013",E271="",G271="NPN05"),H271,"")</f>
        <v/>
      </c>
      <c r="BG271" s="44" t="str">
        <f>IF(AND(C271=Master!$H$9,B271="2012-2013",E271&gt;1000,G271="NPN05"),H271,"")</f>
        <v/>
      </c>
      <c r="BH271" s="44" t="str">
        <f>IF(AND(C271=Master!$H$9,B271="2012-2013",E271="",G271="NPN05"),H271,"")</f>
        <v/>
      </c>
    </row>
    <row r="272" spans="1:60" x14ac:dyDescent="0.25">
      <c r="A272" s="3">
        <v>270</v>
      </c>
      <c r="B272" s="12"/>
      <c r="C272" s="12"/>
      <c r="D272" s="31"/>
      <c r="E272" s="4"/>
      <c r="F272" s="13"/>
      <c r="G272" s="21"/>
      <c r="H272" s="35"/>
      <c r="I272" s="21"/>
      <c r="J272" s="25" t="str">
        <f>IF(NOT(I272=""),INDEX(Master!$B$1:$B$46,MATCH(I272,Master!$A$1:$A$46,0)),"")</f>
        <v/>
      </c>
      <c r="K272" s="18"/>
      <c r="L272" s="86"/>
      <c r="M272" s="13"/>
      <c r="N272" s="13"/>
      <c r="O272" s="18"/>
      <c r="P272" s="35"/>
      <c r="Q272" s="21"/>
      <c r="R272" s="21"/>
      <c r="S272" s="13"/>
      <c r="T272" s="12"/>
      <c r="U272" s="12"/>
      <c r="V272" s="12"/>
      <c r="W272" s="14"/>
      <c r="Y272" s="42" t="str">
        <f>IF(AND(C272=Master!$H$1,B272="2012-2013",E272&gt;1000,G272="PLN03"),H272,"")</f>
        <v/>
      </c>
      <c r="Z272" s="42" t="str">
        <f>IF(AND(C272=Master!$H$1,B272="2012-2013",E272="",G272="PLN03"),H272,"")</f>
        <v/>
      </c>
      <c r="AA272" s="42" t="str">
        <f>IF(AND(C272=Master!$H$2,B272="2012-2013",E272&gt;1000,G272="PLN03"),H272,"")</f>
        <v/>
      </c>
      <c r="AB272" s="42" t="str">
        <f>IF(AND(C272=Master!$H$2,B272="2012-2013",E272="",G272="PLN03"),H272,"")</f>
        <v/>
      </c>
      <c r="AC272" s="42" t="str">
        <f>IF(AND(C272=Master!$H$3,B272="2012-2013",E272&gt;1000,G272="PLN03"),H272,"")</f>
        <v/>
      </c>
      <c r="AD272" s="42" t="str">
        <f>IF(AND(C272=Master!$H$3,B272="2012-2013",E272="",G272="PLN03"),H272,"")</f>
        <v/>
      </c>
      <c r="AE272" s="42" t="str">
        <f>IF(AND(C272=Master!$H$4,B272="2012-2013",E272&gt;1000,G272="PLN03"),H272,"")</f>
        <v/>
      </c>
      <c r="AF272" s="42" t="str">
        <f>IF(AND(C272=Master!$H$4,B272="2012-2013",E272="",G272="PLN03"),H272,"")</f>
        <v/>
      </c>
      <c r="AG272" s="42" t="str">
        <f>IF(AND(C272=Master!$H$5,B272="2012-2013",E272&gt;1000,G272="PLN03"),H272,"")</f>
        <v/>
      </c>
      <c r="AH272" s="42" t="str">
        <f>IF(AND(C272=Master!$H$5,B272="2012-2013",E272="",G272="PLN03"),H272,"")</f>
        <v/>
      </c>
      <c r="AI272" s="42" t="str">
        <f>IF(AND(C272=Master!$H$6,B272="2012-2013",E272&gt;1000,G272="PLN03"),H272,"")</f>
        <v/>
      </c>
      <c r="AJ272" s="42" t="str">
        <f>IF(AND(C272=Master!$H$6,B272="2012-2013",E272="",G272="PLN03"),H272,"")</f>
        <v/>
      </c>
      <c r="AK272" s="42" t="str">
        <f>IF(AND(C272=Master!$H$7,B272="2012-2013",E272&gt;1000,G272="PLN03"),H272,"")</f>
        <v/>
      </c>
      <c r="AL272" s="42" t="str">
        <f>IF(AND(C272=Master!$H$7,B272="2012-2013",E272="",G272="PLN03"),H272,"")</f>
        <v/>
      </c>
      <c r="AM272" s="42" t="str">
        <f>IF(AND(C272=Master!$H$8,B272="2012-2013",E272&gt;1000,G272="PLN03"),H272,"")</f>
        <v/>
      </c>
      <c r="AN272" s="42" t="str">
        <f>IF(AND(C272=Master!$H$8,B272="2012-2013",E272="",G272="PLN03"),H272,"")</f>
        <v/>
      </c>
      <c r="AO272" s="42" t="str">
        <f>IF(AND(C272=Master!$H$9,B272="2012-2013",E272&gt;1000,G272="PLN03"),H272,"")</f>
        <v/>
      </c>
      <c r="AP272" s="42" t="str">
        <f>IF(AND(C272=Master!$H$9,B272="2012-2013",E272="",G272="PLN03"),H272,"")</f>
        <v/>
      </c>
      <c r="AQ272" s="44" t="str">
        <f>IF(AND(C272=Master!$H$1,B272="2012-2013",E272&gt;1000,G272="NPN05"),H272,"")</f>
        <v/>
      </c>
      <c r="AR272" s="44" t="str">
        <f>IF(AND(C272=Master!$H$1,B272="2012-2013",E272="",G272="NPN05"),H272,"")</f>
        <v/>
      </c>
      <c r="AS272" s="44" t="str">
        <f>IF(AND(C272=Master!$H$2,B272="2012-2013",E272&gt;1000,G272="NPN05"),H272,"")</f>
        <v/>
      </c>
      <c r="AT272" s="44" t="str">
        <f>IF(AND(C272=Master!$H$2,B272="2012-2013",E272="",G272="NPN05"),H272,"")</f>
        <v/>
      </c>
      <c r="AU272" s="44" t="str">
        <f>IF(AND(C272=Master!$H$3,B272="2012-2013",E272&gt;1000,G272="NPN05"),H272,"")</f>
        <v/>
      </c>
      <c r="AV272" s="44" t="str">
        <f>IF(AND(C272=Master!$H$3,B272="2012-2013",E272="",G272="NPN05"),H272,"")</f>
        <v/>
      </c>
      <c r="AW272" s="44" t="str">
        <f>IF(AND(C272=Master!$H$4,B272="2012-2013",E272&gt;1000,G272="NPN05"),H272,"")</f>
        <v/>
      </c>
      <c r="AX272" s="44" t="str">
        <f>IF(AND(C272=Master!$H$4,B272="2012-2013",E272="",G272="NPN05"),H272,"")</f>
        <v/>
      </c>
      <c r="AY272" s="44" t="str">
        <f>IF(AND(C272=Master!$H$5,B272="2012-2013",E272&gt;1000,G272="NPN05"),H272,"")</f>
        <v/>
      </c>
      <c r="AZ272" s="44" t="str">
        <f>IF(AND(C272=Master!$H$5,B272="2012-2013",E272="",G272="NPN05"),H272,"")</f>
        <v/>
      </c>
      <c r="BA272" s="44" t="str">
        <f>IF(AND(C272=Master!$H$6,B272="2012-2013",E272&gt;1000,G272="NPN05"),H272,"")</f>
        <v/>
      </c>
      <c r="BB272" s="44" t="str">
        <f>IF(AND(C272=Master!$H$6,B272="2012-2013",E272="",G272="NPN05"),H272,"")</f>
        <v/>
      </c>
      <c r="BC272" s="44" t="str">
        <f>IF(AND(C272=Master!$H$7,B272="2012-2013",E272&gt;1000,G272="NPN05"),H272,"")</f>
        <v/>
      </c>
      <c r="BD272" s="44" t="str">
        <f>IF(AND(C272=Master!$H$7,B272="2012-2013",E272="",G272="NPN05"),H272,"")</f>
        <v/>
      </c>
      <c r="BE272" s="44" t="str">
        <f>IF(AND(C272=Master!$H$8,B272="2012-2013",E272&gt;1000,G272="NPN05"),H272,"")</f>
        <v/>
      </c>
      <c r="BF272" s="44" t="str">
        <f>IF(AND(C272=Master!$H$8,B272="2012-2013",E272="",G272="NPN05"),H272,"")</f>
        <v/>
      </c>
      <c r="BG272" s="44" t="str">
        <f>IF(AND(C272=Master!$H$9,B272="2012-2013",E272&gt;1000,G272="NPN05"),H272,"")</f>
        <v/>
      </c>
      <c r="BH272" s="44" t="str">
        <f>IF(AND(C272=Master!$H$9,B272="2012-2013",E272="",G272="NPN05"),H272,"")</f>
        <v/>
      </c>
    </row>
    <row r="273" spans="1:60" x14ac:dyDescent="0.25">
      <c r="A273" s="3">
        <v>271</v>
      </c>
      <c r="B273" s="12"/>
      <c r="C273" s="12"/>
      <c r="D273" s="31"/>
      <c r="E273" s="4"/>
      <c r="F273" s="13"/>
      <c r="G273" s="21"/>
      <c r="H273" s="35"/>
      <c r="I273" s="21"/>
      <c r="J273" s="25" t="str">
        <f>IF(NOT(I273=""),INDEX(Master!$B$1:$B$46,MATCH(I273,Master!$A$1:$A$46,0)),"")</f>
        <v/>
      </c>
      <c r="K273" s="18"/>
      <c r="L273" s="86"/>
      <c r="M273" s="13"/>
      <c r="N273" s="13"/>
      <c r="O273" s="18"/>
      <c r="P273" s="35"/>
      <c r="Q273" s="21"/>
      <c r="R273" s="21"/>
      <c r="S273" s="13"/>
      <c r="T273" s="12"/>
      <c r="U273" s="12"/>
      <c r="V273" s="12"/>
      <c r="W273" s="14"/>
      <c r="Y273" s="42" t="str">
        <f>IF(AND(C273=Master!$H$1,B273="2012-2013",E273&gt;1000,G273="PLN03"),H273,"")</f>
        <v/>
      </c>
      <c r="Z273" s="42" t="str">
        <f>IF(AND(C273=Master!$H$1,B273="2012-2013",E273="",G273="PLN03"),H273,"")</f>
        <v/>
      </c>
      <c r="AA273" s="42" t="str">
        <f>IF(AND(C273=Master!$H$2,B273="2012-2013",E273&gt;1000,G273="PLN03"),H273,"")</f>
        <v/>
      </c>
      <c r="AB273" s="42" t="str">
        <f>IF(AND(C273=Master!$H$2,B273="2012-2013",E273="",G273="PLN03"),H273,"")</f>
        <v/>
      </c>
      <c r="AC273" s="42" t="str">
        <f>IF(AND(C273=Master!$H$3,B273="2012-2013",E273&gt;1000,G273="PLN03"),H273,"")</f>
        <v/>
      </c>
      <c r="AD273" s="42" t="str">
        <f>IF(AND(C273=Master!$H$3,B273="2012-2013",E273="",G273="PLN03"),H273,"")</f>
        <v/>
      </c>
      <c r="AE273" s="42" t="str">
        <f>IF(AND(C273=Master!$H$4,B273="2012-2013",E273&gt;1000,G273="PLN03"),H273,"")</f>
        <v/>
      </c>
      <c r="AF273" s="42" t="str">
        <f>IF(AND(C273=Master!$H$4,B273="2012-2013",E273="",G273="PLN03"),H273,"")</f>
        <v/>
      </c>
      <c r="AG273" s="42" t="str">
        <f>IF(AND(C273=Master!$H$5,B273="2012-2013",E273&gt;1000,G273="PLN03"),H273,"")</f>
        <v/>
      </c>
      <c r="AH273" s="42" t="str">
        <f>IF(AND(C273=Master!$H$5,B273="2012-2013",E273="",G273="PLN03"),H273,"")</f>
        <v/>
      </c>
      <c r="AI273" s="42" t="str">
        <f>IF(AND(C273=Master!$H$6,B273="2012-2013",E273&gt;1000,G273="PLN03"),H273,"")</f>
        <v/>
      </c>
      <c r="AJ273" s="42" t="str">
        <f>IF(AND(C273=Master!$H$6,B273="2012-2013",E273="",G273="PLN03"),H273,"")</f>
        <v/>
      </c>
      <c r="AK273" s="42" t="str">
        <f>IF(AND(C273=Master!$H$7,B273="2012-2013",E273&gt;1000,G273="PLN03"),H273,"")</f>
        <v/>
      </c>
      <c r="AL273" s="42" t="str">
        <f>IF(AND(C273=Master!$H$7,B273="2012-2013",E273="",G273="PLN03"),H273,"")</f>
        <v/>
      </c>
      <c r="AM273" s="42" t="str">
        <f>IF(AND(C273=Master!$H$8,B273="2012-2013",E273&gt;1000,G273="PLN03"),H273,"")</f>
        <v/>
      </c>
      <c r="AN273" s="42" t="str">
        <f>IF(AND(C273=Master!$H$8,B273="2012-2013",E273="",G273="PLN03"),H273,"")</f>
        <v/>
      </c>
      <c r="AO273" s="42" t="str">
        <f>IF(AND(C273=Master!$H$9,B273="2012-2013",E273&gt;1000,G273="PLN03"),H273,"")</f>
        <v/>
      </c>
      <c r="AP273" s="42" t="str">
        <f>IF(AND(C273=Master!$H$9,B273="2012-2013",E273="",G273="PLN03"),H273,"")</f>
        <v/>
      </c>
      <c r="AQ273" s="44" t="str">
        <f>IF(AND(C273=Master!$H$1,B273="2012-2013",E273&gt;1000,G273="NPN05"),H273,"")</f>
        <v/>
      </c>
      <c r="AR273" s="44" t="str">
        <f>IF(AND(C273=Master!$H$1,B273="2012-2013",E273="",G273="NPN05"),H273,"")</f>
        <v/>
      </c>
      <c r="AS273" s="44" t="str">
        <f>IF(AND(C273=Master!$H$2,B273="2012-2013",E273&gt;1000,G273="NPN05"),H273,"")</f>
        <v/>
      </c>
      <c r="AT273" s="44" t="str">
        <f>IF(AND(C273=Master!$H$2,B273="2012-2013",E273="",G273="NPN05"),H273,"")</f>
        <v/>
      </c>
      <c r="AU273" s="44" t="str">
        <f>IF(AND(C273=Master!$H$3,B273="2012-2013",E273&gt;1000,G273="NPN05"),H273,"")</f>
        <v/>
      </c>
      <c r="AV273" s="44" t="str">
        <f>IF(AND(C273=Master!$H$3,B273="2012-2013",E273="",G273="NPN05"),H273,"")</f>
        <v/>
      </c>
      <c r="AW273" s="44" t="str">
        <f>IF(AND(C273=Master!$H$4,B273="2012-2013",E273&gt;1000,G273="NPN05"),H273,"")</f>
        <v/>
      </c>
      <c r="AX273" s="44" t="str">
        <f>IF(AND(C273=Master!$H$4,B273="2012-2013",E273="",G273="NPN05"),H273,"")</f>
        <v/>
      </c>
      <c r="AY273" s="44" t="str">
        <f>IF(AND(C273=Master!$H$5,B273="2012-2013",E273&gt;1000,G273="NPN05"),H273,"")</f>
        <v/>
      </c>
      <c r="AZ273" s="44" t="str">
        <f>IF(AND(C273=Master!$H$5,B273="2012-2013",E273="",G273="NPN05"),H273,"")</f>
        <v/>
      </c>
      <c r="BA273" s="44" t="str">
        <f>IF(AND(C273=Master!$H$6,B273="2012-2013",E273&gt;1000,G273="NPN05"),H273,"")</f>
        <v/>
      </c>
      <c r="BB273" s="44" t="str">
        <f>IF(AND(C273=Master!$H$6,B273="2012-2013",E273="",G273="NPN05"),H273,"")</f>
        <v/>
      </c>
      <c r="BC273" s="44" t="str">
        <f>IF(AND(C273=Master!$H$7,B273="2012-2013",E273&gt;1000,G273="NPN05"),H273,"")</f>
        <v/>
      </c>
      <c r="BD273" s="44" t="str">
        <f>IF(AND(C273=Master!$H$7,B273="2012-2013",E273="",G273="NPN05"),H273,"")</f>
        <v/>
      </c>
      <c r="BE273" s="44" t="str">
        <f>IF(AND(C273=Master!$H$8,B273="2012-2013",E273&gt;1000,G273="NPN05"),H273,"")</f>
        <v/>
      </c>
      <c r="BF273" s="44" t="str">
        <f>IF(AND(C273=Master!$H$8,B273="2012-2013",E273="",G273="NPN05"),H273,"")</f>
        <v/>
      </c>
      <c r="BG273" s="44" t="str">
        <f>IF(AND(C273=Master!$H$9,B273="2012-2013",E273&gt;1000,G273="NPN05"),H273,"")</f>
        <v/>
      </c>
      <c r="BH273" s="44" t="str">
        <f>IF(AND(C273=Master!$H$9,B273="2012-2013",E273="",G273="NPN05"),H273,"")</f>
        <v/>
      </c>
    </row>
    <row r="274" spans="1:60" x14ac:dyDescent="0.25">
      <c r="A274" s="5">
        <v>272</v>
      </c>
      <c r="B274" s="12"/>
      <c r="C274" s="12"/>
      <c r="D274" s="31"/>
      <c r="E274" s="4"/>
      <c r="F274" s="13"/>
      <c r="G274" s="21"/>
      <c r="H274" s="35"/>
      <c r="I274" s="21"/>
      <c r="J274" s="25" t="str">
        <f>IF(NOT(I274=""),INDEX(Master!$B$1:$B$46,MATCH(I274,Master!$A$1:$A$46,0)),"")</f>
        <v/>
      </c>
      <c r="K274" s="18"/>
      <c r="L274" s="86"/>
      <c r="M274" s="13"/>
      <c r="N274" s="13"/>
      <c r="O274" s="18"/>
      <c r="P274" s="35"/>
      <c r="Q274" s="21"/>
      <c r="R274" s="21"/>
      <c r="S274" s="13"/>
      <c r="T274" s="12"/>
      <c r="U274" s="12"/>
      <c r="V274" s="12"/>
      <c r="W274" s="14"/>
      <c r="Y274" s="42" t="str">
        <f>IF(AND(C274=Master!$H$1,B274="2012-2013",E274&gt;1000,G274="PLN03"),H274,"")</f>
        <v/>
      </c>
      <c r="Z274" s="42" t="str">
        <f>IF(AND(C274=Master!$H$1,B274="2012-2013",E274="",G274="PLN03"),H274,"")</f>
        <v/>
      </c>
      <c r="AA274" s="42" t="str">
        <f>IF(AND(C274=Master!$H$2,B274="2012-2013",E274&gt;1000,G274="PLN03"),H274,"")</f>
        <v/>
      </c>
      <c r="AB274" s="42" t="str">
        <f>IF(AND(C274=Master!$H$2,B274="2012-2013",E274="",G274="PLN03"),H274,"")</f>
        <v/>
      </c>
      <c r="AC274" s="42" t="str">
        <f>IF(AND(C274=Master!$H$3,B274="2012-2013",E274&gt;1000,G274="PLN03"),H274,"")</f>
        <v/>
      </c>
      <c r="AD274" s="42" t="str">
        <f>IF(AND(C274=Master!$H$3,B274="2012-2013",E274="",G274="PLN03"),H274,"")</f>
        <v/>
      </c>
      <c r="AE274" s="42" t="str">
        <f>IF(AND(C274=Master!$H$4,B274="2012-2013",E274&gt;1000,G274="PLN03"),H274,"")</f>
        <v/>
      </c>
      <c r="AF274" s="42" t="str">
        <f>IF(AND(C274=Master!$H$4,B274="2012-2013",E274="",G274="PLN03"),H274,"")</f>
        <v/>
      </c>
      <c r="AG274" s="42" t="str">
        <f>IF(AND(C274=Master!$H$5,B274="2012-2013",E274&gt;1000,G274="PLN03"),H274,"")</f>
        <v/>
      </c>
      <c r="AH274" s="42" t="str">
        <f>IF(AND(C274=Master!$H$5,B274="2012-2013",E274="",G274="PLN03"),H274,"")</f>
        <v/>
      </c>
      <c r="AI274" s="42" t="str">
        <f>IF(AND(C274=Master!$H$6,B274="2012-2013",E274&gt;1000,G274="PLN03"),H274,"")</f>
        <v/>
      </c>
      <c r="AJ274" s="42" t="str">
        <f>IF(AND(C274=Master!$H$6,B274="2012-2013",E274="",G274="PLN03"),H274,"")</f>
        <v/>
      </c>
      <c r="AK274" s="42" t="str">
        <f>IF(AND(C274=Master!$H$7,B274="2012-2013",E274&gt;1000,G274="PLN03"),H274,"")</f>
        <v/>
      </c>
      <c r="AL274" s="42" t="str">
        <f>IF(AND(C274=Master!$H$7,B274="2012-2013",E274="",G274="PLN03"),H274,"")</f>
        <v/>
      </c>
      <c r="AM274" s="42" t="str">
        <f>IF(AND(C274=Master!$H$8,B274="2012-2013",E274&gt;1000,G274="PLN03"),H274,"")</f>
        <v/>
      </c>
      <c r="AN274" s="42" t="str">
        <f>IF(AND(C274=Master!$H$8,B274="2012-2013",E274="",G274="PLN03"),H274,"")</f>
        <v/>
      </c>
      <c r="AO274" s="42" t="str">
        <f>IF(AND(C274=Master!$H$9,B274="2012-2013",E274&gt;1000,G274="PLN03"),H274,"")</f>
        <v/>
      </c>
      <c r="AP274" s="42" t="str">
        <f>IF(AND(C274=Master!$H$9,B274="2012-2013",E274="",G274="PLN03"),H274,"")</f>
        <v/>
      </c>
      <c r="AQ274" s="44" t="str">
        <f>IF(AND(C274=Master!$H$1,B274="2012-2013",E274&gt;1000,G274="NPN05"),H274,"")</f>
        <v/>
      </c>
      <c r="AR274" s="44" t="str">
        <f>IF(AND(C274=Master!$H$1,B274="2012-2013",E274="",G274="NPN05"),H274,"")</f>
        <v/>
      </c>
      <c r="AS274" s="44" t="str">
        <f>IF(AND(C274=Master!$H$2,B274="2012-2013",E274&gt;1000,G274="NPN05"),H274,"")</f>
        <v/>
      </c>
      <c r="AT274" s="44" t="str">
        <f>IF(AND(C274=Master!$H$2,B274="2012-2013",E274="",G274="NPN05"),H274,"")</f>
        <v/>
      </c>
      <c r="AU274" s="44" t="str">
        <f>IF(AND(C274=Master!$H$3,B274="2012-2013",E274&gt;1000,G274="NPN05"),H274,"")</f>
        <v/>
      </c>
      <c r="AV274" s="44" t="str">
        <f>IF(AND(C274=Master!$H$3,B274="2012-2013",E274="",G274="NPN05"),H274,"")</f>
        <v/>
      </c>
      <c r="AW274" s="44" t="str">
        <f>IF(AND(C274=Master!$H$4,B274="2012-2013",E274&gt;1000,G274="NPN05"),H274,"")</f>
        <v/>
      </c>
      <c r="AX274" s="44" t="str">
        <f>IF(AND(C274=Master!$H$4,B274="2012-2013",E274="",G274="NPN05"),H274,"")</f>
        <v/>
      </c>
      <c r="AY274" s="44" t="str">
        <f>IF(AND(C274=Master!$H$5,B274="2012-2013",E274&gt;1000,G274="NPN05"),H274,"")</f>
        <v/>
      </c>
      <c r="AZ274" s="44" t="str">
        <f>IF(AND(C274=Master!$H$5,B274="2012-2013",E274="",G274="NPN05"),H274,"")</f>
        <v/>
      </c>
      <c r="BA274" s="44" t="str">
        <f>IF(AND(C274=Master!$H$6,B274="2012-2013",E274&gt;1000,G274="NPN05"),H274,"")</f>
        <v/>
      </c>
      <c r="BB274" s="44" t="str">
        <f>IF(AND(C274=Master!$H$6,B274="2012-2013",E274="",G274="NPN05"),H274,"")</f>
        <v/>
      </c>
      <c r="BC274" s="44" t="str">
        <f>IF(AND(C274=Master!$H$7,B274="2012-2013",E274&gt;1000,G274="NPN05"),H274,"")</f>
        <v/>
      </c>
      <c r="BD274" s="44" t="str">
        <f>IF(AND(C274=Master!$H$7,B274="2012-2013",E274="",G274="NPN05"),H274,"")</f>
        <v/>
      </c>
      <c r="BE274" s="44" t="str">
        <f>IF(AND(C274=Master!$H$8,B274="2012-2013",E274&gt;1000,G274="NPN05"),H274,"")</f>
        <v/>
      </c>
      <c r="BF274" s="44" t="str">
        <f>IF(AND(C274=Master!$H$8,B274="2012-2013",E274="",G274="NPN05"),H274,"")</f>
        <v/>
      </c>
      <c r="BG274" s="44" t="str">
        <f>IF(AND(C274=Master!$H$9,B274="2012-2013",E274&gt;1000,G274="NPN05"),H274,"")</f>
        <v/>
      </c>
      <c r="BH274" s="44" t="str">
        <f>IF(AND(C274=Master!$H$9,B274="2012-2013",E274="",G274="NPN05"),H274,"")</f>
        <v/>
      </c>
    </row>
    <row r="275" spans="1:60" x14ac:dyDescent="0.25">
      <c r="A275" s="3">
        <v>273</v>
      </c>
      <c r="B275" s="12"/>
      <c r="C275" s="12"/>
      <c r="D275" s="31"/>
      <c r="E275" s="4"/>
      <c r="F275" s="13"/>
      <c r="G275" s="21"/>
      <c r="H275" s="35"/>
      <c r="I275" s="21"/>
      <c r="J275" s="25" t="str">
        <f>IF(NOT(I275=""),INDEX(Master!$B$1:$B$46,MATCH(I275,Master!$A$1:$A$46,0)),"")</f>
        <v/>
      </c>
      <c r="K275" s="18"/>
      <c r="L275" s="86"/>
      <c r="M275" s="13"/>
      <c r="N275" s="13"/>
      <c r="O275" s="18"/>
      <c r="P275" s="35"/>
      <c r="Q275" s="21"/>
      <c r="R275" s="21"/>
      <c r="S275" s="13"/>
      <c r="T275" s="12"/>
      <c r="U275" s="12"/>
      <c r="V275" s="12"/>
      <c r="W275" s="14"/>
      <c r="Y275" s="42" t="str">
        <f>IF(AND(C275=Master!$H$1,B275="2012-2013",E275&gt;1000,G275="PLN03"),H275,"")</f>
        <v/>
      </c>
      <c r="Z275" s="42" t="str">
        <f>IF(AND(C275=Master!$H$1,B275="2012-2013",E275="",G275="PLN03"),H275,"")</f>
        <v/>
      </c>
      <c r="AA275" s="42" t="str">
        <f>IF(AND(C275=Master!$H$2,B275="2012-2013",E275&gt;1000,G275="PLN03"),H275,"")</f>
        <v/>
      </c>
      <c r="AB275" s="42" t="str">
        <f>IF(AND(C275=Master!$H$2,B275="2012-2013",E275="",G275="PLN03"),H275,"")</f>
        <v/>
      </c>
      <c r="AC275" s="42" t="str">
        <f>IF(AND(C275=Master!$H$3,B275="2012-2013",E275&gt;1000,G275="PLN03"),H275,"")</f>
        <v/>
      </c>
      <c r="AD275" s="42" t="str">
        <f>IF(AND(C275=Master!$H$3,B275="2012-2013",E275="",G275="PLN03"),H275,"")</f>
        <v/>
      </c>
      <c r="AE275" s="42" t="str">
        <f>IF(AND(C275=Master!$H$4,B275="2012-2013",E275&gt;1000,G275="PLN03"),H275,"")</f>
        <v/>
      </c>
      <c r="AF275" s="42" t="str">
        <f>IF(AND(C275=Master!$H$4,B275="2012-2013",E275="",G275="PLN03"),H275,"")</f>
        <v/>
      </c>
      <c r="AG275" s="42" t="str">
        <f>IF(AND(C275=Master!$H$5,B275="2012-2013",E275&gt;1000,G275="PLN03"),H275,"")</f>
        <v/>
      </c>
      <c r="AH275" s="42" t="str">
        <f>IF(AND(C275=Master!$H$5,B275="2012-2013",E275="",G275="PLN03"),H275,"")</f>
        <v/>
      </c>
      <c r="AI275" s="42" t="str">
        <f>IF(AND(C275=Master!$H$6,B275="2012-2013",E275&gt;1000,G275="PLN03"),H275,"")</f>
        <v/>
      </c>
      <c r="AJ275" s="42" t="str">
        <f>IF(AND(C275=Master!$H$6,B275="2012-2013",E275="",G275="PLN03"),H275,"")</f>
        <v/>
      </c>
      <c r="AK275" s="42" t="str">
        <f>IF(AND(C275=Master!$H$7,B275="2012-2013",E275&gt;1000,G275="PLN03"),H275,"")</f>
        <v/>
      </c>
      <c r="AL275" s="42" t="str">
        <f>IF(AND(C275=Master!$H$7,B275="2012-2013",E275="",G275="PLN03"),H275,"")</f>
        <v/>
      </c>
      <c r="AM275" s="42" t="str">
        <f>IF(AND(C275=Master!$H$8,B275="2012-2013",E275&gt;1000,G275="PLN03"),H275,"")</f>
        <v/>
      </c>
      <c r="AN275" s="42" t="str">
        <f>IF(AND(C275=Master!$H$8,B275="2012-2013",E275="",G275="PLN03"),H275,"")</f>
        <v/>
      </c>
      <c r="AO275" s="42" t="str">
        <f>IF(AND(C275=Master!$H$9,B275="2012-2013",E275&gt;1000,G275="PLN03"),H275,"")</f>
        <v/>
      </c>
      <c r="AP275" s="42" t="str">
        <f>IF(AND(C275=Master!$H$9,B275="2012-2013",E275="",G275="PLN03"),H275,"")</f>
        <v/>
      </c>
      <c r="AQ275" s="44" t="str">
        <f>IF(AND(C275=Master!$H$1,B275="2012-2013",E275&gt;1000,G275="NPN05"),H275,"")</f>
        <v/>
      </c>
      <c r="AR275" s="44" t="str">
        <f>IF(AND(C275=Master!$H$1,B275="2012-2013",E275="",G275="NPN05"),H275,"")</f>
        <v/>
      </c>
      <c r="AS275" s="44" t="str">
        <f>IF(AND(C275=Master!$H$2,B275="2012-2013",E275&gt;1000,G275="NPN05"),H275,"")</f>
        <v/>
      </c>
      <c r="AT275" s="44" t="str">
        <f>IF(AND(C275=Master!$H$2,B275="2012-2013",E275="",G275="NPN05"),H275,"")</f>
        <v/>
      </c>
      <c r="AU275" s="44" t="str">
        <f>IF(AND(C275=Master!$H$3,B275="2012-2013",E275&gt;1000,G275="NPN05"),H275,"")</f>
        <v/>
      </c>
      <c r="AV275" s="44" t="str">
        <f>IF(AND(C275=Master!$H$3,B275="2012-2013",E275="",G275="NPN05"),H275,"")</f>
        <v/>
      </c>
      <c r="AW275" s="44" t="str">
        <f>IF(AND(C275=Master!$H$4,B275="2012-2013",E275&gt;1000,G275="NPN05"),H275,"")</f>
        <v/>
      </c>
      <c r="AX275" s="44" t="str">
        <f>IF(AND(C275=Master!$H$4,B275="2012-2013",E275="",G275="NPN05"),H275,"")</f>
        <v/>
      </c>
      <c r="AY275" s="44" t="str">
        <f>IF(AND(C275=Master!$H$5,B275="2012-2013",E275&gt;1000,G275="NPN05"),H275,"")</f>
        <v/>
      </c>
      <c r="AZ275" s="44" t="str">
        <f>IF(AND(C275=Master!$H$5,B275="2012-2013",E275="",G275="NPN05"),H275,"")</f>
        <v/>
      </c>
      <c r="BA275" s="44" t="str">
        <f>IF(AND(C275=Master!$H$6,B275="2012-2013",E275&gt;1000,G275="NPN05"),H275,"")</f>
        <v/>
      </c>
      <c r="BB275" s="44" t="str">
        <f>IF(AND(C275=Master!$H$6,B275="2012-2013",E275="",G275="NPN05"),H275,"")</f>
        <v/>
      </c>
      <c r="BC275" s="44" t="str">
        <f>IF(AND(C275=Master!$H$7,B275="2012-2013",E275&gt;1000,G275="NPN05"),H275,"")</f>
        <v/>
      </c>
      <c r="BD275" s="44" t="str">
        <f>IF(AND(C275=Master!$H$7,B275="2012-2013",E275="",G275="NPN05"),H275,"")</f>
        <v/>
      </c>
      <c r="BE275" s="44" t="str">
        <f>IF(AND(C275=Master!$H$8,B275="2012-2013",E275&gt;1000,G275="NPN05"),H275,"")</f>
        <v/>
      </c>
      <c r="BF275" s="44" t="str">
        <f>IF(AND(C275=Master!$H$8,B275="2012-2013",E275="",G275="NPN05"),H275,"")</f>
        <v/>
      </c>
      <c r="BG275" s="44" t="str">
        <f>IF(AND(C275=Master!$H$9,B275="2012-2013",E275&gt;1000,G275="NPN05"),H275,"")</f>
        <v/>
      </c>
      <c r="BH275" s="44" t="str">
        <f>IF(AND(C275=Master!$H$9,B275="2012-2013",E275="",G275="NPN05"),H275,"")</f>
        <v/>
      </c>
    </row>
    <row r="276" spans="1:60" x14ac:dyDescent="0.25">
      <c r="A276" s="3">
        <v>274</v>
      </c>
      <c r="B276" s="12"/>
      <c r="C276" s="12"/>
      <c r="D276" s="31"/>
      <c r="E276" s="4"/>
      <c r="F276" s="13"/>
      <c r="G276" s="21"/>
      <c r="H276" s="35"/>
      <c r="I276" s="21"/>
      <c r="J276" s="25" t="str">
        <f>IF(NOT(I276=""),INDEX(Master!$B$1:$B$46,MATCH(I276,Master!$A$1:$A$46,0)),"")</f>
        <v/>
      </c>
      <c r="K276" s="18"/>
      <c r="L276" s="86"/>
      <c r="M276" s="13"/>
      <c r="N276" s="13"/>
      <c r="O276" s="18"/>
      <c r="P276" s="35"/>
      <c r="Q276" s="21"/>
      <c r="R276" s="21"/>
      <c r="S276" s="13"/>
      <c r="T276" s="12"/>
      <c r="U276" s="12"/>
      <c r="V276" s="12"/>
      <c r="W276" s="14"/>
      <c r="Y276" s="42" t="str">
        <f>IF(AND(C276=Master!$H$1,B276="2012-2013",E276&gt;1000,G276="PLN03"),H276,"")</f>
        <v/>
      </c>
      <c r="Z276" s="42" t="str">
        <f>IF(AND(C276=Master!$H$1,B276="2012-2013",E276="",G276="PLN03"),H276,"")</f>
        <v/>
      </c>
      <c r="AA276" s="42" t="str">
        <f>IF(AND(C276=Master!$H$2,B276="2012-2013",E276&gt;1000,G276="PLN03"),H276,"")</f>
        <v/>
      </c>
      <c r="AB276" s="42" t="str">
        <f>IF(AND(C276=Master!$H$2,B276="2012-2013",E276="",G276="PLN03"),H276,"")</f>
        <v/>
      </c>
      <c r="AC276" s="42" t="str">
        <f>IF(AND(C276=Master!$H$3,B276="2012-2013",E276&gt;1000,G276="PLN03"),H276,"")</f>
        <v/>
      </c>
      <c r="AD276" s="42" t="str">
        <f>IF(AND(C276=Master!$H$3,B276="2012-2013",E276="",G276="PLN03"),H276,"")</f>
        <v/>
      </c>
      <c r="AE276" s="42" t="str">
        <f>IF(AND(C276=Master!$H$4,B276="2012-2013",E276&gt;1000,G276="PLN03"),H276,"")</f>
        <v/>
      </c>
      <c r="AF276" s="42" t="str">
        <f>IF(AND(C276=Master!$H$4,B276="2012-2013",E276="",G276="PLN03"),H276,"")</f>
        <v/>
      </c>
      <c r="AG276" s="42" t="str">
        <f>IF(AND(C276=Master!$H$5,B276="2012-2013",E276&gt;1000,G276="PLN03"),H276,"")</f>
        <v/>
      </c>
      <c r="AH276" s="42" t="str">
        <f>IF(AND(C276=Master!$H$5,B276="2012-2013",E276="",G276="PLN03"),H276,"")</f>
        <v/>
      </c>
      <c r="AI276" s="42" t="str">
        <f>IF(AND(C276=Master!$H$6,B276="2012-2013",E276&gt;1000,G276="PLN03"),H276,"")</f>
        <v/>
      </c>
      <c r="AJ276" s="42" t="str">
        <f>IF(AND(C276=Master!$H$6,B276="2012-2013",E276="",G276="PLN03"),H276,"")</f>
        <v/>
      </c>
      <c r="AK276" s="42" t="str">
        <f>IF(AND(C276=Master!$H$7,B276="2012-2013",E276&gt;1000,G276="PLN03"),H276,"")</f>
        <v/>
      </c>
      <c r="AL276" s="42" t="str">
        <f>IF(AND(C276=Master!$H$7,B276="2012-2013",E276="",G276="PLN03"),H276,"")</f>
        <v/>
      </c>
      <c r="AM276" s="42" t="str">
        <f>IF(AND(C276=Master!$H$8,B276="2012-2013",E276&gt;1000,G276="PLN03"),H276,"")</f>
        <v/>
      </c>
      <c r="AN276" s="42" t="str">
        <f>IF(AND(C276=Master!$H$8,B276="2012-2013",E276="",G276="PLN03"),H276,"")</f>
        <v/>
      </c>
      <c r="AO276" s="42" t="str">
        <f>IF(AND(C276=Master!$H$9,B276="2012-2013",E276&gt;1000,G276="PLN03"),H276,"")</f>
        <v/>
      </c>
      <c r="AP276" s="42" t="str">
        <f>IF(AND(C276=Master!$H$9,B276="2012-2013",E276="",G276="PLN03"),H276,"")</f>
        <v/>
      </c>
      <c r="AQ276" s="44" t="str">
        <f>IF(AND(C276=Master!$H$1,B276="2012-2013",E276&gt;1000,G276="NPN05"),H276,"")</f>
        <v/>
      </c>
      <c r="AR276" s="44" t="str">
        <f>IF(AND(C276=Master!$H$1,B276="2012-2013",E276="",G276="NPN05"),H276,"")</f>
        <v/>
      </c>
      <c r="AS276" s="44" t="str">
        <f>IF(AND(C276=Master!$H$2,B276="2012-2013",E276&gt;1000,G276="NPN05"),H276,"")</f>
        <v/>
      </c>
      <c r="AT276" s="44" t="str">
        <f>IF(AND(C276=Master!$H$2,B276="2012-2013",E276="",G276="NPN05"),H276,"")</f>
        <v/>
      </c>
      <c r="AU276" s="44" t="str">
        <f>IF(AND(C276=Master!$H$3,B276="2012-2013",E276&gt;1000,G276="NPN05"),H276,"")</f>
        <v/>
      </c>
      <c r="AV276" s="44" t="str">
        <f>IF(AND(C276=Master!$H$3,B276="2012-2013",E276="",G276="NPN05"),H276,"")</f>
        <v/>
      </c>
      <c r="AW276" s="44" t="str">
        <f>IF(AND(C276=Master!$H$4,B276="2012-2013",E276&gt;1000,G276="NPN05"),H276,"")</f>
        <v/>
      </c>
      <c r="AX276" s="44" t="str">
        <f>IF(AND(C276=Master!$H$4,B276="2012-2013",E276="",G276="NPN05"),H276,"")</f>
        <v/>
      </c>
      <c r="AY276" s="44" t="str">
        <f>IF(AND(C276=Master!$H$5,B276="2012-2013",E276&gt;1000,G276="NPN05"),H276,"")</f>
        <v/>
      </c>
      <c r="AZ276" s="44" t="str">
        <f>IF(AND(C276=Master!$H$5,B276="2012-2013",E276="",G276="NPN05"),H276,"")</f>
        <v/>
      </c>
      <c r="BA276" s="44" t="str">
        <f>IF(AND(C276=Master!$H$6,B276="2012-2013",E276&gt;1000,G276="NPN05"),H276,"")</f>
        <v/>
      </c>
      <c r="BB276" s="44" t="str">
        <f>IF(AND(C276=Master!$H$6,B276="2012-2013",E276="",G276="NPN05"),H276,"")</f>
        <v/>
      </c>
      <c r="BC276" s="44" t="str">
        <f>IF(AND(C276=Master!$H$7,B276="2012-2013",E276&gt;1000,G276="NPN05"),H276,"")</f>
        <v/>
      </c>
      <c r="BD276" s="44" t="str">
        <f>IF(AND(C276=Master!$H$7,B276="2012-2013",E276="",G276="NPN05"),H276,"")</f>
        <v/>
      </c>
      <c r="BE276" s="44" t="str">
        <f>IF(AND(C276=Master!$H$8,B276="2012-2013",E276&gt;1000,G276="NPN05"),H276,"")</f>
        <v/>
      </c>
      <c r="BF276" s="44" t="str">
        <f>IF(AND(C276=Master!$H$8,B276="2012-2013",E276="",G276="NPN05"),H276,"")</f>
        <v/>
      </c>
      <c r="BG276" s="44" t="str">
        <f>IF(AND(C276=Master!$H$9,B276="2012-2013",E276&gt;1000,G276="NPN05"),H276,"")</f>
        <v/>
      </c>
      <c r="BH276" s="44" t="str">
        <f>IF(AND(C276=Master!$H$9,B276="2012-2013",E276="",G276="NPN05"),H276,"")</f>
        <v/>
      </c>
    </row>
    <row r="277" spans="1:60" x14ac:dyDescent="0.25">
      <c r="A277" s="3">
        <v>275</v>
      </c>
      <c r="B277" s="12"/>
      <c r="C277" s="12"/>
      <c r="D277" s="31"/>
      <c r="E277" s="4"/>
      <c r="F277" s="13"/>
      <c r="G277" s="21"/>
      <c r="H277" s="35"/>
      <c r="I277" s="21"/>
      <c r="J277" s="25" t="str">
        <f>IF(NOT(I277=""),INDEX(Master!$B$1:$B$46,MATCH(I277,Master!$A$1:$A$46,0)),"")</f>
        <v/>
      </c>
      <c r="K277" s="18"/>
      <c r="L277" s="86"/>
      <c r="M277" s="13"/>
      <c r="N277" s="13"/>
      <c r="O277" s="18"/>
      <c r="P277" s="35"/>
      <c r="Q277" s="21"/>
      <c r="R277" s="21"/>
      <c r="S277" s="13"/>
      <c r="T277" s="12"/>
      <c r="U277" s="12"/>
      <c r="V277" s="12"/>
      <c r="W277" s="14"/>
      <c r="Y277" s="42" t="str">
        <f>IF(AND(C277=Master!$H$1,B277="2012-2013",E277&gt;1000,G277="PLN03"),H277,"")</f>
        <v/>
      </c>
      <c r="Z277" s="42" t="str">
        <f>IF(AND(C277=Master!$H$1,B277="2012-2013",E277="",G277="PLN03"),H277,"")</f>
        <v/>
      </c>
      <c r="AA277" s="42" t="str">
        <f>IF(AND(C277=Master!$H$2,B277="2012-2013",E277&gt;1000,G277="PLN03"),H277,"")</f>
        <v/>
      </c>
      <c r="AB277" s="42" t="str">
        <f>IF(AND(C277=Master!$H$2,B277="2012-2013",E277="",G277="PLN03"),H277,"")</f>
        <v/>
      </c>
      <c r="AC277" s="42" t="str">
        <f>IF(AND(C277=Master!$H$3,B277="2012-2013",E277&gt;1000,G277="PLN03"),H277,"")</f>
        <v/>
      </c>
      <c r="AD277" s="42" t="str">
        <f>IF(AND(C277=Master!$H$3,B277="2012-2013",E277="",G277="PLN03"),H277,"")</f>
        <v/>
      </c>
      <c r="AE277" s="42" t="str">
        <f>IF(AND(C277=Master!$H$4,B277="2012-2013",E277&gt;1000,G277="PLN03"),H277,"")</f>
        <v/>
      </c>
      <c r="AF277" s="42" t="str">
        <f>IF(AND(C277=Master!$H$4,B277="2012-2013",E277="",G277="PLN03"),H277,"")</f>
        <v/>
      </c>
      <c r="AG277" s="42" t="str">
        <f>IF(AND(C277=Master!$H$5,B277="2012-2013",E277&gt;1000,G277="PLN03"),H277,"")</f>
        <v/>
      </c>
      <c r="AH277" s="42" t="str">
        <f>IF(AND(C277=Master!$H$5,B277="2012-2013",E277="",G277="PLN03"),H277,"")</f>
        <v/>
      </c>
      <c r="AI277" s="42" t="str">
        <f>IF(AND(C277=Master!$H$6,B277="2012-2013",E277&gt;1000,G277="PLN03"),H277,"")</f>
        <v/>
      </c>
      <c r="AJ277" s="42" t="str">
        <f>IF(AND(C277=Master!$H$6,B277="2012-2013",E277="",G277="PLN03"),H277,"")</f>
        <v/>
      </c>
      <c r="AK277" s="42" t="str">
        <f>IF(AND(C277=Master!$H$7,B277="2012-2013",E277&gt;1000,G277="PLN03"),H277,"")</f>
        <v/>
      </c>
      <c r="AL277" s="42" t="str">
        <f>IF(AND(C277=Master!$H$7,B277="2012-2013",E277="",G277="PLN03"),H277,"")</f>
        <v/>
      </c>
      <c r="AM277" s="42" t="str">
        <f>IF(AND(C277=Master!$H$8,B277="2012-2013",E277&gt;1000,G277="PLN03"),H277,"")</f>
        <v/>
      </c>
      <c r="AN277" s="42" t="str">
        <f>IF(AND(C277=Master!$H$8,B277="2012-2013",E277="",G277="PLN03"),H277,"")</f>
        <v/>
      </c>
      <c r="AO277" s="42" t="str">
        <f>IF(AND(C277=Master!$H$9,B277="2012-2013",E277&gt;1000,G277="PLN03"),H277,"")</f>
        <v/>
      </c>
      <c r="AP277" s="42" t="str">
        <f>IF(AND(C277=Master!$H$9,B277="2012-2013",E277="",G277="PLN03"),H277,"")</f>
        <v/>
      </c>
      <c r="AQ277" s="44" t="str">
        <f>IF(AND(C277=Master!$H$1,B277="2012-2013",E277&gt;1000,G277="NPN05"),H277,"")</f>
        <v/>
      </c>
      <c r="AR277" s="44" t="str">
        <f>IF(AND(C277=Master!$H$1,B277="2012-2013",E277="",G277="NPN05"),H277,"")</f>
        <v/>
      </c>
      <c r="AS277" s="44" t="str">
        <f>IF(AND(C277=Master!$H$2,B277="2012-2013",E277&gt;1000,G277="NPN05"),H277,"")</f>
        <v/>
      </c>
      <c r="AT277" s="44" t="str">
        <f>IF(AND(C277=Master!$H$2,B277="2012-2013",E277="",G277="NPN05"),H277,"")</f>
        <v/>
      </c>
      <c r="AU277" s="44" t="str">
        <f>IF(AND(C277=Master!$H$3,B277="2012-2013",E277&gt;1000,G277="NPN05"),H277,"")</f>
        <v/>
      </c>
      <c r="AV277" s="44" t="str">
        <f>IF(AND(C277=Master!$H$3,B277="2012-2013",E277="",G277="NPN05"),H277,"")</f>
        <v/>
      </c>
      <c r="AW277" s="44" t="str">
        <f>IF(AND(C277=Master!$H$4,B277="2012-2013",E277&gt;1000,G277="NPN05"),H277,"")</f>
        <v/>
      </c>
      <c r="AX277" s="44" t="str">
        <f>IF(AND(C277=Master!$H$4,B277="2012-2013",E277="",G277="NPN05"),H277,"")</f>
        <v/>
      </c>
      <c r="AY277" s="44" t="str">
        <f>IF(AND(C277=Master!$H$5,B277="2012-2013",E277&gt;1000,G277="NPN05"),H277,"")</f>
        <v/>
      </c>
      <c r="AZ277" s="44" t="str">
        <f>IF(AND(C277=Master!$H$5,B277="2012-2013",E277="",G277="NPN05"),H277,"")</f>
        <v/>
      </c>
      <c r="BA277" s="44" t="str">
        <f>IF(AND(C277=Master!$H$6,B277="2012-2013",E277&gt;1000,G277="NPN05"),H277,"")</f>
        <v/>
      </c>
      <c r="BB277" s="44" t="str">
        <f>IF(AND(C277=Master!$H$6,B277="2012-2013",E277="",G277="NPN05"),H277,"")</f>
        <v/>
      </c>
      <c r="BC277" s="44" t="str">
        <f>IF(AND(C277=Master!$H$7,B277="2012-2013",E277&gt;1000,G277="NPN05"),H277,"")</f>
        <v/>
      </c>
      <c r="BD277" s="44" t="str">
        <f>IF(AND(C277=Master!$H$7,B277="2012-2013",E277="",G277="NPN05"),H277,"")</f>
        <v/>
      </c>
      <c r="BE277" s="44" t="str">
        <f>IF(AND(C277=Master!$H$8,B277="2012-2013",E277&gt;1000,G277="NPN05"),H277,"")</f>
        <v/>
      </c>
      <c r="BF277" s="44" t="str">
        <f>IF(AND(C277=Master!$H$8,B277="2012-2013",E277="",G277="NPN05"),H277,"")</f>
        <v/>
      </c>
      <c r="BG277" s="44" t="str">
        <f>IF(AND(C277=Master!$H$9,B277="2012-2013",E277&gt;1000,G277="NPN05"),H277,"")</f>
        <v/>
      </c>
      <c r="BH277" s="44" t="str">
        <f>IF(AND(C277=Master!$H$9,B277="2012-2013",E277="",G277="NPN05"),H277,"")</f>
        <v/>
      </c>
    </row>
    <row r="278" spans="1:60" x14ac:dyDescent="0.25">
      <c r="A278" s="3">
        <v>276</v>
      </c>
      <c r="B278" s="12"/>
      <c r="C278" s="12"/>
      <c r="D278" s="31"/>
      <c r="E278" s="4"/>
      <c r="F278" s="13"/>
      <c r="G278" s="21"/>
      <c r="H278" s="35"/>
      <c r="I278" s="21"/>
      <c r="J278" s="25" t="str">
        <f>IF(NOT(I278=""),INDEX(Master!$B$1:$B$46,MATCH(I278,Master!$A$1:$A$46,0)),"")</f>
        <v/>
      </c>
      <c r="K278" s="18"/>
      <c r="L278" s="86"/>
      <c r="M278" s="13"/>
      <c r="N278" s="13"/>
      <c r="O278" s="18"/>
      <c r="P278" s="35"/>
      <c r="Q278" s="21"/>
      <c r="R278" s="21"/>
      <c r="S278" s="13"/>
      <c r="T278" s="12"/>
      <c r="U278" s="12"/>
      <c r="V278" s="12"/>
      <c r="W278" s="14"/>
      <c r="Y278" s="42" t="str">
        <f>IF(AND(C278=Master!$H$1,B278="2012-2013",E278&gt;1000,G278="PLN03"),H278,"")</f>
        <v/>
      </c>
      <c r="Z278" s="42" t="str">
        <f>IF(AND(C278=Master!$H$1,B278="2012-2013",E278="",G278="PLN03"),H278,"")</f>
        <v/>
      </c>
      <c r="AA278" s="42" t="str">
        <f>IF(AND(C278=Master!$H$2,B278="2012-2013",E278&gt;1000,G278="PLN03"),H278,"")</f>
        <v/>
      </c>
      <c r="AB278" s="42" t="str">
        <f>IF(AND(C278=Master!$H$2,B278="2012-2013",E278="",G278="PLN03"),H278,"")</f>
        <v/>
      </c>
      <c r="AC278" s="42" t="str">
        <f>IF(AND(C278=Master!$H$3,B278="2012-2013",E278&gt;1000,G278="PLN03"),H278,"")</f>
        <v/>
      </c>
      <c r="AD278" s="42" t="str">
        <f>IF(AND(C278=Master!$H$3,B278="2012-2013",E278="",G278="PLN03"),H278,"")</f>
        <v/>
      </c>
      <c r="AE278" s="42" t="str">
        <f>IF(AND(C278=Master!$H$4,B278="2012-2013",E278&gt;1000,G278="PLN03"),H278,"")</f>
        <v/>
      </c>
      <c r="AF278" s="42" t="str">
        <f>IF(AND(C278=Master!$H$4,B278="2012-2013",E278="",G278="PLN03"),H278,"")</f>
        <v/>
      </c>
      <c r="AG278" s="42" t="str">
        <f>IF(AND(C278=Master!$H$5,B278="2012-2013",E278&gt;1000,G278="PLN03"),H278,"")</f>
        <v/>
      </c>
      <c r="AH278" s="42" t="str">
        <f>IF(AND(C278=Master!$H$5,B278="2012-2013",E278="",G278="PLN03"),H278,"")</f>
        <v/>
      </c>
      <c r="AI278" s="42" t="str">
        <f>IF(AND(C278=Master!$H$6,B278="2012-2013",E278&gt;1000,G278="PLN03"),H278,"")</f>
        <v/>
      </c>
      <c r="AJ278" s="42" t="str">
        <f>IF(AND(C278=Master!$H$6,B278="2012-2013",E278="",G278="PLN03"),H278,"")</f>
        <v/>
      </c>
      <c r="AK278" s="42" t="str">
        <f>IF(AND(C278=Master!$H$7,B278="2012-2013",E278&gt;1000,G278="PLN03"),H278,"")</f>
        <v/>
      </c>
      <c r="AL278" s="42" t="str">
        <f>IF(AND(C278=Master!$H$7,B278="2012-2013",E278="",G278="PLN03"),H278,"")</f>
        <v/>
      </c>
      <c r="AM278" s="42" t="str">
        <f>IF(AND(C278=Master!$H$8,B278="2012-2013",E278&gt;1000,G278="PLN03"),H278,"")</f>
        <v/>
      </c>
      <c r="AN278" s="42" t="str">
        <f>IF(AND(C278=Master!$H$8,B278="2012-2013",E278="",G278="PLN03"),H278,"")</f>
        <v/>
      </c>
      <c r="AO278" s="42" t="str">
        <f>IF(AND(C278=Master!$H$9,B278="2012-2013",E278&gt;1000,G278="PLN03"),H278,"")</f>
        <v/>
      </c>
      <c r="AP278" s="42" t="str">
        <f>IF(AND(C278=Master!$H$9,B278="2012-2013",E278="",G278="PLN03"),H278,"")</f>
        <v/>
      </c>
      <c r="AQ278" s="44" t="str">
        <f>IF(AND(C278=Master!$H$1,B278="2012-2013",E278&gt;1000,G278="NPN05"),H278,"")</f>
        <v/>
      </c>
      <c r="AR278" s="44" t="str">
        <f>IF(AND(C278=Master!$H$1,B278="2012-2013",E278="",G278="NPN05"),H278,"")</f>
        <v/>
      </c>
      <c r="AS278" s="44" t="str">
        <f>IF(AND(C278=Master!$H$2,B278="2012-2013",E278&gt;1000,G278="NPN05"),H278,"")</f>
        <v/>
      </c>
      <c r="AT278" s="44" t="str">
        <f>IF(AND(C278=Master!$H$2,B278="2012-2013",E278="",G278="NPN05"),H278,"")</f>
        <v/>
      </c>
      <c r="AU278" s="44" t="str">
        <f>IF(AND(C278=Master!$H$3,B278="2012-2013",E278&gt;1000,G278="NPN05"),H278,"")</f>
        <v/>
      </c>
      <c r="AV278" s="44" t="str">
        <f>IF(AND(C278=Master!$H$3,B278="2012-2013",E278="",G278="NPN05"),H278,"")</f>
        <v/>
      </c>
      <c r="AW278" s="44" t="str">
        <f>IF(AND(C278=Master!$H$4,B278="2012-2013",E278&gt;1000,G278="NPN05"),H278,"")</f>
        <v/>
      </c>
      <c r="AX278" s="44" t="str">
        <f>IF(AND(C278=Master!$H$4,B278="2012-2013",E278="",G278="NPN05"),H278,"")</f>
        <v/>
      </c>
      <c r="AY278" s="44" t="str">
        <f>IF(AND(C278=Master!$H$5,B278="2012-2013",E278&gt;1000,G278="NPN05"),H278,"")</f>
        <v/>
      </c>
      <c r="AZ278" s="44" t="str">
        <f>IF(AND(C278=Master!$H$5,B278="2012-2013",E278="",G278="NPN05"),H278,"")</f>
        <v/>
      </c>
      <c r="BA278" s="44" t="str">
        <f>IF(AND(C278=Master!$H$6,B278="2012-2013",E278&gt;1000,G278="NPN05"),H278,"")</f>
        <v/>
      </c>
      <c r="BB278" s="44" t="str">
        <f>IF(AND(C278=Master!$H$6,B278="2012-2013",E278="",G278="NPN05"),H278,"")</f>
        <v/>
      </c>
      <c r="BC278" s="44" t="str">
        <f>IF(AND(C278=Master!$H$7,B278="2012-2013",E278&gt;1000,G278="NPN05"),H278,"")</f>
        <v/>
      </c>
      <c r="BD278" s="44" t="str">
        <f>IF(AND(C278=Master!$H$7,B278="2012-2013",E278="",G278="NPN05"),H278,"")</f>
        <v/>
      </c>
      <c r="BE278" s="44" t="str">
        <f>IF(AND(C278=Master!$H$8,B278="2012-2013",E278&gt;1000,G278="NPN05"),H278,"")</f>
        <v/>
      </c>
      <c r="BF278" s="44" t="str">
        <f>IF(AND(C278=Master!$H$8,B278="2012-2013",E278="",G278="NPN05"),H278,"")</f>
        <v/>
      </c>
      <c r="BG278" s="44" t="str">
        <f>IF(AND(C278=Master!$H$9,B278="2012-2013",E278&gt;1000,G278="NPN05"),H278,"")</f>
        <v/>
      </c>
      <c r="BH278" s="44" t="str">
        <f>IF(AND(C278=Master!$H$9,B278="2012-2013",E278="",G278="NPN05"),H278,"")</f>
        <v/>
      </c>
    </row>
    <row r="279" spans="1:60" x14ac:dyDescent="0.25">
      <c r="A279" s="3">
        <v>277</v>
      </c>
      <c r="B279" s="12"/>
      <c r="C279" s="12"/>
      <c r="D279" s="31"/>
      <c r="E279" s="4"/>
      <c r="F279" s="13"/>
      <c r="G279" s="21"/>
      <c r="H279" s="35"/>
      <c r="I279" s="21"/>
      <c r="J279" s="25" t="str">
        <f>IF(NOT(I279=""),INDEX(Master!$B$1:$B$46,MATCH(I279,Master!$A$1:$A$46,0)),"")</f>
        <v/>
      </c>
      <c r="K279" s="18"/>
      <c r="L279" s="86"/>
      <c r="M279" s="13"/>
      <c r="N279" s="13"/>
      <c r="O279" s="18"/>
      <c r="P279" s="35"/>
      <c r="Q279" s="21"/>
      <c r="R279" s="21"/>
      <c r="S279" s="13"/>
      <c r="T279" s="12"/>
      <c r="U279" s="12"/>
      <c r="V279" s="12"/>
      <c r="W279" s="14"/>
      <c r="Y279" s="42" t="str">
        <f>IF(AND(C279=Master!$H$1,B279="2012-2013",E279&gt;1000,G279="PLN03"),H279,"")</f>
        <v/>
      </c>
      <c r="Z279" s="42" t="str">
        <f>IF(AND(C279=Master!$H$1,B279="2012-2013",E279="",G279="PLN03"),H279,"")</f>
        <v/>
      </c>
      <c r="AA279" s="42" t="str">
        <f>IF(AND(C279=Master!$H$2,B279="2012-2013",E279&gt;1000,G279="PLN03"),H279,"")</f>
        <v/>
      </c>
      <c r="AB279" s="42" t="str">
        <f>IF(AND(C279=Master!$H$2,B279="2012-2013",E279="",G279="PLN03"),H279,"")</f>
        <v/>
      </c>
      <c r="AC279" s="42" t="str">
        <f>IF(AND(C279=Master!$H$3,B279="2012-2013",E279&gt;1000,G279="PLN03"),H279,"")</f>
        <v/>
      </c>
      <c r="AD279" s="42" t="str">
        <f>IF(AND(C279=Master!$H$3,B279="2012-2013",E279="",G279="PLN03"),H279,"")</f>
        <v/>
      </c>
      <c r="AE279" s="42" t="str">
        <f>IF(AND(C279=Master!$H$4,B279="2012-2013",E279&gt;1000,G279="PLN03"),H279,"")</f>
        <v/>
      </c>
      <c r="AF279" s="42" t="str">
        <f>IF(AND(C279=Master!$H$4,B279="2012-2013",E279="",G279="PLN03"),H279,"")</f>
        <v/>
      </c>
      <c r="AG279" s="42" t="str">
        <f>IF(AND(C279=Master!$H$5,B279="2012-2013",E279&gt;1000,G279="PLN03"),H279,"")</f>
        <v/>
      </c>
      <c r="AH279" s="42" t="str">
        <f>IF(AND(C279=Master!$H$5,B279="2012-2013",E279="",G279="PLN03"),H279,"")</f>
        <v/>
      </c>
      <c r="AI279" s="42" t="str">
        <f>IF(AND(C279=Master!$H$6,B279="2012-2013",E279&gt;1000,G279="PLN03"),H279,"")</f>
        <v/>
      </c>
      <c r="AJ279" s="42" t="str">
        <f>IF(AND(C279=Master!$H$6,B279="2012-2013",E279="",G279="PLN03"),H279,"")</f>
        <v/>
      </c>
      <c r="AK279" s="42" t="str">
        <f>IF(AND(C279=Master!$H$7,B279="2012-2013",E279&gt;1000,G279="PLN03"),H279,"")</f>
        <v/>
      </c>
      <c r="AL279" s="42" t="str">
        <f>IF(AND(C279=Master!$H$7,B279="2012-2013",E279="",G279="PLN03"),H279,"")</f>
        <v/>
      </c>
      <c r="AM279" s="42" t="str">
        <f>IF(AND(C279=Master!$H$8,B279="2012-2013",E279&gt;1000,G279="PLN03"),H279,"")</f>
        <v/>
      </c>
      <c r="AN279" s="42" t="str">
        <f>IF(AND(C279=Master!$H$8,B279="2012-2013",E279="",G279="PLN03"),H279,"")</f>
        <v/>
      </c>
      <c r="AO279" s="42" t="str">
        <f>IF(AND(C279=Master!$H$9,B279="2012-2013",E279&gt;1000,G279="PLN03"),H279,"")</f>
        <v/>
      </c>
      <c r="AP279" s="42" t="str">
        <f>IF(AND(C279=Master!$H$9,B279="2012-2013",E279="",G279="PLN03"),H279,"")</f>
        <v/>
      </c>
      <c r="AQ279" s="44" t="str">
        <f>IF(AND(C279=Master!$H$1,B279="2012-2013",E279&gt;1000,G279="NPN05"),H279,"")</f>
        <v/>
      </c>
      <c r="AR279" s="44" t="str">
        <f>IF(AND(C279=Master!$H$1,B279="2012-2013",E279="",G279="NPN05"),H279,"")</f>
        <v/>
      </c>
      <c r="AS279" s="44" t="str">
        <f>IF(AND(C279=Master!$H$2,B279="2012-2013",E279&gt;1000,G279="NPN05"),H279,"")</f>
        <v/>
      </c>
      <c r="AT279" s="44" t="str">
        <f>IF(AND(C279=Master!$H$2,B279="2012-2013",E279="",G279="NPN05"),H279,"")</f>
        <v/>
      </c>
      <c r="AU279" s="44" t="str">
        <f>IF(AND(C279=Master!$H$3,B279="2012-2013",E279&gt;1000,G279="NPN05"),H279,"")</f>
        <v/>
      </c>
      <c r="AV279" s="44" t="str">
        <f>IF(AND(C279=Master!$H$3,B279="2012-2013",E279="",G279="NPN05"),H279,"")</f>
        <v/>
      </c>
      <c r="AW279" s="44" t="str">
        <f>IF(AND(C279=Master!$H$4,B279="2012-2013",E279&gt;1000,G279="NPN05"),H279,"")</f>
        <v/>
      </c>
      <c r="AX279" s="44" t="str">
        <f>IF(AND(C279=Master!$H$4,B279="2012-2013",E279="",G279="NPN05"),H279,"")</f>
        <v/>
      </c>
      <c r="AY279" s="44" t="str">
        <f>IF(AND(C279=Master!$H$5,B279="2012-2013",E279&gt;1000,G279="NPN05"),H279,"")</f>
        <v/>
      </c>
      <c r="AZ279" s="44" t="str">
        <f>IF(AND(C279=Master!$H$5,B279="2012-2013",E279="",G279="NPN05"),H279,"")</f>
        <v/>
      </c>
      <c r="BA279" s="44" t="str">
        <f>IF(AND(C279=Master!$H$6,B279="2012-2013",E279&gt;1000,G279="NPN05"),H279,"")</f>
        <v/>
      </c>
      <c r="BB279" s="44" t="str">
        <f>IF(AND(C279=Master!$H$6,B279="2012-2013",E279="",G279="NPN05"),H279,"")</f>
        <v/>
      </c>
      <c r="BC279" s="44" t="str">
        <f>IF(AND(C279=Master!$H$7,B279="2012-2013",E279&gt;1000,G279="NPN05"),H279,"")</f>
        <v/>
      </c>
      <c r="BD279" s="44" t="str">
        <f>IF(AND(C279=Master!$H$7,B279="2012-2013",E279="",G279="NPN05"),H279,"")</f>
        <v/>
      </c>
      <c r="BE279" s="44" t="str">
        <f>IF(AND(C279=Master!$H$8,B279="2012-2013",E279&gt;1000,G279="NPN05"),H279,"")</f>
        <v/>
      </c>
      <c r="BF279" s="44" t="str">
        <f>IF(AND(C279=Master!$H$8,B279="2012-2013",E279="",G279="NPN05"),H279,"")</f>
        <v/>
      </c>
      <c r="BG279" s="44" t="str">
        <f>IF(AND(C279=Master!$H$9,B279="2012-2013",E279&gt;1000,G279="NPN05"),H279,"")</f>
        <v/>
      </c>
      <c r="BH279" s="44" t="str">
        <f>IF(AND(C279=Master!$H$9,B279="2012-2013",E279="",G279="NPN05"),H279,"")</f>
        <v/>
      </c>
    </row>
    <row r="280" spans="1:60" x14ac:dyDescent="0.25">
      <c r="A280" s="3">
        <v>278</v>
      </c>
      <c r="B280" s="12"/>
      <c r="C280" s="12"/>
      <c r="D280" s="31"/>
      <c r="E280" s="4"/>
      <c r="F280" s="13"/>
      <c r="G280" s="21"/>
      <c r="H280" s="35"/>
      <c r="I280" s="21"/>
      <c r="J280" s="25" t="str">
        <f>IF(NOT(I280=""),INDEX(Master!$B$1:$B$46,MATCH(I280,Master!$A$1:$A$46,0)),"")</f>
        <v/>
      </c>
      <c r="K280" s="18"/>
      <c r="L280" s="86"/>
      <c r="M280" s="13"/>
      <c r="N280" s="13"/>
      <c r="O280" s="18"/>
      <c r="P280" s="35"/>
      <c r="Q280" s="21"/>
      <c r="R280" s="21"/>
      <c r="S280" s="13"/>
      <c r="T280" s="12"/>
      <c r="U280" s="12"/>
      <c r="V280" s="12"/>
      <c r="W280" s="14"/>
      <c r="Y280" s="42" t="str">
        <f>IF(AND(C280=Master!$H$1,B280="2012-2013",E280&gt;1000,G280="PLN03"),H280,"")</f>
        <v/>
      </c>
      <c r="Z280" s="42" t="str">
        <f>IF(AND(C280=Master!$H$1,B280="2012-2013",E280="",G280="PLN03"),H280,"")</f>
        <v/>
      </c>
      <c r="AA280" s="42" t="str">
        <f>IF(AND(C280=Master!$H$2,B280="2012-2013",E280&gt;1000,G280="PLN03"),H280,"")</f>
        <v/>
      </c>
      <c r="AB280" s="42" t="str">
        <f>IF(AND(C280=Master!$H$2,B280="2012-2013",E280="",G280="PLN03"),H280,"")</f>
        <v/>
      </c>
      <c r="AC280" s="42" t="str">
        <f>IF(AND(C280=Master!$H$3,B280="2012-2013",E280&gt;1000,G280="PLN03"),H280,"")</f>
        <v/>
      </c>
      <c r="AD280" s="42" t="str">
        <f>IF(AND(C280=Master!$H$3,B280="2012-2013",E280="",G280="PLN03"),H280,"")</f>
        <v/>
      </c>
      <c r="AE280" s="42" t="str">
        <f>IF(AND(C280=Master!$H$4,B280="2012-2013",E280&gt;1000,G280="PLN03"),H280,"")</f>
        <v/>
      </c>
      <c r="AF280" s="42" t="str">
        <f>IF(AND(C280=Master!$H$4,B280="2012-2013",E280="",G280="PLN03"),H280,"")</f>
        <v/>
      </c>
      <c r="AG280" s="42" t="str">
        <f>IF(AND(C280=Master!$H$5,B280="2012-2013",E280&gt;1000,G280="PLN03"),H280,"")</f>
        <v/>
      </c>
      <c r="AH280" s="42" t="str">
        <f>IF(AND(C280=Master!$H$5,B280="2012-2013",E280="",G280="PLN03"),H280,"")</f>
        <v/>
      </c>
      <c r="AI280" s="42" t="str">
        <f>IF(AND(C280=Master!$H$6,B280="2012-2013",E280&gt;1000,G280="PLN03"),H280,"")</f>
        <v/>
      </c>
      <c r="AJ280" s="42" t="str">
        <f>IF(AND(C280=Master!$H$6,B280="2012-2013",E280="",G280="PLN03"),H280,"")</f>
        <v/>
      </c>
      <c r="AK280" s="42" t="str">
        <f>IF(AND(C280=Master!$H$7,B280="2012-2013",E280&gt;1000,G280="PLN03"),H280,"")</f>
        <v/>
      </c>
      <c r="AL280" s="42" t="str">
        <f>IF(AND(C280=Master!$H$7,B280="2012-2013",E280="",G280="PLN03"),H280,"")</f>
        <v/>
      </c>
      <c r="AM280" s="42" t="str">
        <f>IF(AND(C280=Master!$H$8,B280="2012-2013",E280&gt;1000,G280="PLN03"),H280,"")</f>
        <v/>
      </c>
      <c r="AN280" s="42" t="str">
        <f>IF(AND(C280=Master!$H$8,B280="2012-2013",E280="",G280="PLN03"),H280,"")</f>
        <v/>
      </c>
      <c r="AO280" s="42" t="str">
        <f>IF(AND(C280=Master!$H$9,B280="2012-2013",E280&gt;1000,G280="PLN03"),H280,"")</f>
        <v/>
      </c>
      <c r="AP280" s="42" t="str">
        <f>IF(AND(C280=Master!$H$9,B280="2012-2013",E280="",G280="PLN03"),H280,"")</f>
        <v/>
      </c>
      <c r="AQ280" s="44" t="str">
        <f>IF(AND(C280=Master!$H$1,B280="2012-2013",E280&gt;1000,G280="NPN05"),H280,"")</f>
        <v/>
      </c>
      <c r="AR280" s="44" t="str">
        <f>IF(AND(C280=Master!$H$1,B280="2012-2013",E280="",G280="NPN05"),H280,"")</f>
        <v/>
      </c>
      <c r="AS280" s="44" t="str">
        <f>IF(AND(C280=Master!$H$2,B280="2012-2013",E280&gt;1000,G280="NPN05"),H280,"")</f>
        <v/>
      </c>
      <c r="AT280" s="44" t="str">
        <f>IF(AND(C280=Master!$H$2,B280="2012-2013",E280="",G280="NPN05"),H280,"")</f>
        <v/>
      </c>
      <c r="AU280" s="44" t="str">
        <f>IF(AND(C280=Master!$H$3,B280="2012-2013",E280&gt;1000,G280="NPN05"),H280,"")</f>
        <v/>
      </c>
      <c r="AV280" s="44" t="str">
        <f>IF(AND(C280=Master!$H$3,B280="2012-2013",E280="",G280="NPN05"),H280,"")</f>
        <v/>
      </c>
      <c r="AW280" s="44" t="str">
        <f>IF(AND(C280=Master!$H$4,B280="2012-2013",E280&gt;1000,G280="NPN05"),H280,"")</f>
        <v/>
      </c>
      <c r="AX280" s="44" t="str">
        <f>IF(AND(C280=Master!$H$4,B280="2012-2013",E280="",G280="NPN05"),H280,"")</f>
        <v/>
      </c>
      <c r="AY280" s="44" t="str">
        <f>IF(AND(C280=Master!$H$5,B280="2012-2013",E280&gt;1000,G280="NPN05"),H280,"")</f>
        <v/>
      </c>
      <c r="AZ280" s="44" t="str">
        <f>IF(AND(C280=Master!$H$5,B280="2012-2013",E280="",G280="NPN05"),H280,"")</f>
        <v/>
      </c>
      <c r="BA280" s="44" t="str">
        <f>IF(AND(C280=Master!$H$6,B280="2012-2013",E280&gt;1000,G280="NPN05"),H280,"")</f>
        <v/>
      </c>
      <c r="BB280" s="44" t="str">
        <f>IF(AND(C280=Master!$H$6,B280="2012-2013",E280="",G280="NPN05"),H280,"")</f>
        <v/>
      </c>
      <c r="BC280" s="44" t="str">
        <f>IF(AND(C280=Master!$H$7,B280="2012-2013",E280&gt;1000,G280="NPN05"),H280,"")</f>
        <v/>
      </c>
      <c r="BD280" s="44" t="str">
        <f>IF(AND(C280=Master!$H$7,B280="2012-2013",E280="",G280="NPN05"),H280,"")</f>
        <v/>
      </c>
      <c r="BE280" s="44" t="str">
        <f>IF(AND(C280=Master!$H$8,B280="2012-2013",E280&gt;1000,G280="NPN05"),H280,"")</f>
        <v/>
      </c>
      <c r="BF280" s="44" t="str">
        <f>IF(AND(C280=Master!$H$8,B280="2012-2013",E280="",G280="NPN05"),H280,"")</f>
        <v/>
      </c>
      <c r="BG280" s="44" t="str">
        <f>IF(AND(C280=Master!$H$9,B280="2012-2013",E280&gt;1000,G280="NPN05"),H280,"")</f>
        <v/>
      </c>
      <c r="BH280" s="44" t="str">
        <f>IF(AND(C280=Master!$H$9,B280="2012-2013",E280="",G280="NPN05"),H280,"")</f>
        <v/>
      </c>
    </row>
    <row r="281" spans="1:60" x14ac:dyDescent="0.25">
      <c r="A281" s="3">
        <v>279</v>
      </c>
      <c r="B281" s="12"/>
      <c r="C281" s="12"/>
      <c r="D281" s="31"/>
      <c r="E281" s="4"/>
      <c r="F281" s="13"/>
      <c r="G281" s="21"/>
      <c r="H281" s="35"/>
      <c r="I281" s="21"/>
      <c r="J281" s="25" t="str">
        <f>IF(NOT(I281=""),INDEX(Master!$B$1:$B$46,MATCH(I281,Master!$A$1:$A$46,0)),"")</f>
        <v/>
      </c>
      <c r="K281" s="18"/>
      <c r="L281" s="86"/>
      <c r="M281" s="13"/>
      <c r="N281" s="13"/>
      <c r="O281" s="18"/>
      <c r="P281" s="35"/>
      <c r="Q281" s="21"/>
      <c r="R281" s="21"/>
      <c r="S281" s="13"/>
      <c r="T281" s="12"/>
      <c r="U281" s="12"/>
      <c r="V281" s="12"/>
      <c r="W281" s="14"/>
      <c r="Y281" s="42" t="str">
        <f>IF(AND(C281=Master!$H$1,B281="2012-2013",E281&gt;1000,G281="PLN03"),H281,"")</f>
        <v/>
      </c>
      <c r="Z281" s="42" t="str">
        <f>IF(AND(C281=Master!$H$1,B281="2012-2013",E281="",G281="PLN03"),H281,"")</f>
        <v/>
      </c>
      <c r="AA281" s="42" t="str">
        <f>IF(AND(C281=Master!$H$2,B281="2012-2013",E281&gt;1000,G281="PLN03"),H281,"")</f>
        <v/>
      </c>
      <c r="AB281" s="42" t="str">
        <f>IF(AND(C281=Master!$H$2,B281="2012-2013",E281="",G281="PLN03"),H281,"")</f>
        <v/>
      </c>
      <c r="AC281" s="42" t="str">
        <f>IF(AND(C281=Master!$H$3,B281="2012-2013",E281&gt;1000,G281="PLN03"),H281,"")</f>
        <v/>
      </c>
      <c r="AD281" s="42" t="str">
        <f>IF(AND(C281=Master!$H$3,B281="2012-2013",E281="",G281="PLN03"),H281,"")</f>
        <v/>
      </c>
      <c r="AE281" s="42" t="str">
        <f>IF(AND(C281=Master!$H$4,B281="2012-2013",E281&gt;1000,G281="PLN03"),H281,"")</f>
        <v/>
      </c>
      <c r="AF281" s="42" t="str">
        <f>IF(AND(C281=Master!$H$4,B281="2012-2013",E281="",G281="PLN03"),H281,"")</f>
        <v/>
      </c>
      <c r="AG281" s="42" t="str">
        <f>IF(AND(C281=Master!$H$5,B281="2012-2013",E281&gt;1000,G281="PLN03"),H281,"")</f>
        <v/>
      </c>
      <c r="AH281" s="42" t="str">
        <f>IF(AND(C281=Master!$H$5,B281="2012-2013",E281="",G281="PLN03"),H281,"")</f>
        <v/>
      </c>
      <c r="AI281" s="42" t="str">
        <f>IF(AND(C281=Master!$H$6,B281="2012-2013",E281&gt;1000,G281="PLN03"),H281,"")</f>
        <v/>
      </c>
      <c r="AJ281" s="42" t="str">
        <f>IF(AND(C281=Master!$H$6,B281="2012-2013",E281="",G281="PLN03"),H281,"")</f>
        <v/>
      </c>
      <c r="AK281" s="42" t="str">
        <f>IF(AND(C281=Master!$H$7,B281="2012-2013",E281&gt;1000,G281="PLN03"),H281,"")</f>
        <v/>
      </c>
      <c r="AL281" s="42" t="str">
        <f>IF(AND(C281=Master!$H$7,B281="2012-2013",E281="",G281="PLN03"),H281,"")</f>
        <v/>
      </c>
      <c r="AM281" s="42" t="str">
        <f>IF(AND(C281=Master!$H$8,B281="2012-2013",E281&gt;1000,G281="PLN03"),H281,"")</f>
        <v/>
      </c>
      <c r="AN281" s="42" t="str">
        <f>IF(AND(C281=Master!$H$8,B281="2012-2013",E281="",G281="PLN03"),H281,"")</f>
        <v/>
      </c>
      <c r="AO281" s="42" t="str">
        <f>IF(AND(C281=Master!$H$9,B281="2012-2013",E281&gt;1000,G281="PLN03"),H281,"")</f>
        <v/>
      </c>
      <c r="AP281" s="42" t="str">
        <f>IF(AND(C281=Master!$H$9,B281="2012-2013",E281="",G281="PLN03"),H281,"")</f>
        <v/>
      </c>
      <c r="AQ281" s="44" t="str">
        <f>IF(AND(C281=Master!$H$1,B281="2012-2013",E281&gt;1000,G281="NPN05"),H281,"")</f>
        <v/>
      </c>
      <c r="AR281" s="44" t="str">
        <f>IF(AND(C281=Master!$H$1,B281="2012-2013",E281="",G281="NPN05"),H281,"")</f>
        <v/>
      </c>
      <c r="AS281" s="44" t="str">
        <f>IF(AND(C281=Master!$H$2,B281="2012-2013",E281&gt;1000,G281="NPN05"),H281,"")</f>
        <v/>
      </c>
      <c r="AT281" s="44" t="str">
        <f>IF(AND(C281=Master!$H$2,B281="2012-2013",E281="",G281="NPN05"),H281,"")</f>
        <v/>
      </c>
      <c r="AU281" s="44" t="str">
        <f>IF(AND(C281=Master!$H$3,B281="2012-2013",E281&gt;1000,G281="NPN05"),H281,"")</f>
        <v/>
      </c>
      <c r="AV281" s="44" t="str">
        <f>IF(AND(C281=Master!$H$3,B281="2012-2013",E281="",G281="NPN05"),H281,"")</f>
        <v/>
      </c>
      <c r="AW281" s="44" t="str">
        <f>IF(AND(C281=Master!$H$4,B281="2012-2013",E281&gt;1000,G281="NPN05"),H281,"")</f>
        <v/>
      </c>
      <c r="AX281" s="44" t="str">
        <f>IF(AND(C281=Master!$H$4,B281="2012-2013",E281="",G281="NPN05"),H281,"")</f>
        <v/>
      </c>
      <c r="AY281" s="44" t="str">
        <f>IF(AND(C281=Master!$H$5,B281="2012-2013",E281&gt;1000,G281="NPN05"),H281,"")</f>
        <v/>
      </c>
      <c r="AZ281" s="44" t="str">
        <f>IF(AND(C281=Master!$H$5,B281="2012-2013",E281="",G281="NPN05"),H281,"")</f>
        <v/>
      </c>
      <c r="BA281" s="44" t="str">
        <f>IF(AND(C281=Master!$H$6,B281="2012-2013",E281&gt;1000,G281="NPN05"),H281,"")</f>
        <v/>
      </c>
      <c r="BB281" s="44" t="str">
        <f>IF(AND(C281=Master!$H$6,B281="2012-2013",E281="",G281="NPN05"),H281,"")</f>
        <v/>
      </c>
      <c r="BC281" s="44" t="str">
        <f>IF(AND(C281=Master!$H$7,B281="2012-2013",E281&gt;1000,G281="NPN05"),H281,"")</f>
        <v/>
      </c>
      <c r="BD281" s="44" t="str">
        <f>IF(AND(C281=Master!$H$7,B281="2012-2013",E281="",G281="NPN05"),H281,"")</f>
        <v/>
      </c>
      <c r="BE281" s="44" t="str">
        <f>IF(AND(C281=Master!$H$8,B281="2012-2013",E281&gt;1000,G281="NPN05"),H281,"")</f>
        <v/>
      </c>
      <c r="BF281" s="44" t="str">
        <f>IF(AND(C281=Master!$H$8,B281="2012-2013",E281="",G281="NPN05"),H281,"")</f>
        <v/>
      </c>
      <c r="BG281" s="44" t="str">
        <f>IF(AND(C281=Master!$H$9,B281="2012-2013",E281&gt;1000,G281="NPN05"),H281,"")</f>
        <v/>
      </c>
      <c r="BH281" s="44" t="str">
        <f>IF(AND(C281=Master!$H$9,B281="2012-2013",E281="",G281="NPN05"),H281,"")</f>
        <v/>
      </c>
    </row>
    <row r="282" spans="1:60" x14ac:dyDescent="0.25">
      <c r="A282" s="3">
        <v>280</v>
      </c>
      <c r="B282" s="12"/>
      <c r="C282" s="12"/>
      <c r="D282" s="31"/>
      <c r="E282" s="4"/>
      <c r="F282" s="13"/>
      <c r="G282" s="21"/>
      <c r="H282" s="35"/>
      <c r="I282" s="21"/>
      <c r="J282" s="25" t="str">
        <f>IF(NOT(I282=""),INDEX(Master!$B$1:$B$46,MATCH(I282,Master!$A$1:$A$46,0)),"")</f>
        <v/>
      </c>
      <c r="K282" s="18"/>
      <c r="L282" s="86"/>
      <c r="M282" s="13"/>
      <c r="N282" s="13"/>
      <c r="O282" s="18"/>
      <c r="P282" s="35"/>
      <c r="Q282" s="21"/>
      <c r="R282" s="21"/>
      <c r="S282" s="13"/>
      <c r="T282" s="12"/>
      <c r="U282" s="12"/>
      <c r="V282" s="12"/>
      <c r="W282" s="14"/>
      <c r="Y282" s="42" t="str">
        <f>IF(AND(C282=Master!$H$1,B282="2012-2013",E282&gt;1000,G282="PLN03"),H282,"")</f>
        <v/>
      </c>
      <c r="Z282" s="42" t="str">
        <f>IF(AND(C282=Master!$H$1,B282="2012-2013",E282="",G282="PLN03"),H282,"")</f>
        <v/>
      </c>
      <c r="AA282" s="42" t="str">
        <f>IF(AND(C282=Master!$H$2,B282="2012-2013",E282&gt;1000,G282="PLN03"),H282,"")</f>
        <v/>
      </c>
      <c r="AB282" s="42" t="str">
        <f>IF(AND(C282=Master!$H$2,B282="2012-2013",E282="",G282="PLN03"),H282,"")</f>
        <v/>
      </c>
      <c r="AC282" s="42" t="str">
        <f>IF(AND(C282=Master!$H$3,B282="2012-2013",E282&gt;1000,G282="PLN03"),H282,"")</f>
        <v/>
      </c>
      <c r="AD282" s="42" t="str">
        <f>IF(AND(C282=Master!$H$3,B282="2012-2013",E282="",G282="PLN03"),H282,"")</f>
        <v/>
      </c>
      <c r="AE282" s="42" t="str">
        <f>IF(AND(C282=Master!$H$4,B282="2012-2013",E282&gt;1000,G282="PLN03"),H282,"")</f>
        <v/>
      </c>
      <c r="AF282" s="42" t="str">
        <f>IF(AND(C282=Master!$H$4,B282="2012-2013",E282="",G282="PLN03"),H282,"")</f>
        <v/>
      </c>
      <c r="AG282" s="42" t="str">
        <f>IF(AND(C282=Master!$H$5,B282="2012-2013",E282&gt;1000,G282="PLN03"),H282,"")</f>
        <v/>
      </c>
      <c r="AH282" s="42" t="str">
        <f>IF(AND(C282=Master!$H$5,B282="2012-2013",E282="",G282="PLN03"),H282,"")</f>
        <v/>
      </c>
      <c r="AI282" s="42" t="str">
        <f>IF(AND(C282=Master!$H$6,B282="2012-2013",E282&gt;1000,G282="PLN03"),H282,"")</f>
        <v/>
      </c>
      <c r="AJ282" s="42" t="str">
        <f>IF(AND(C282=Master!$H$6,B282="2012-2013",E282="",G282="PLN03"),H282,"")</f>
        <v/>
      </c>
      <c r="AK282" s="42" t="str">
        <f>IF(AND(C282=Master!$H$7,B282="2012-2013",E282&gt;1000,G282="PLN03"),H282,"")</f>
        <v/>
      </c>
      <c r="AL282" s="42" t="str">
        <f>IF(AND(C282=Master!$H$7,B282="2012-2013",E282="",G282="PLN03"),H282,"")</f>
        <v/>
      </c>
      <c r="AM282" s="42" t="str">
        <f>IF(AND(C282=Master!$H$8,B282="2012-2013",E282&gt;1000,G282="PLN03"),H282,"")</f>
        <v/>
      </c>
      <c r="AN282" s="42" t="str">
        <f>IF(AND(C282=Master!$H$8,B282="2012-2013",E282="",G282="PLN03"),H282,"")</f>
        <v/>
      </c>
      <c r="AO282" s="42" t="str">
        <f>IF(AND(C282=Master!$H$9,B282="2012-2013",E282&gt;1000,G282="PLN03"),H282,"")</f>
        <v/>
      </c>
      <c r="AP282" s="42" t="str">
        <f>IF(AND(C282=Master!$H$9,B282="2012-2013",E282="",G282="PLN03"),H282,"")</f>
        <v/>
      </c>
      <c r="AQ282" s="44" t="str">
        <f>IF(AND(C282=Master!$H$1,B282="2012-2013",E282&gt;1000,G282="NPN05"),H282,"")</f>
        <v/>
      </c>
      <c r="AR282" s="44" t="str">
        <f>IF(AND(C282=Master!$H$1,B282="2012-2013",E282="",G282="NPN05"),H282,"")</f>
        <v/>
      </c>
      <c r="AS282" s="44" t="str">
        <f>IF(AND(C282=Master!$H$2,B282="2012-2013",E282&gt;1000,G282="NPN05"),H282,"")</f>
        <v/>
      </c>
      <c r="AT282" s="44" t="str">
        <f>IF(AND(C282=Master!$H$2,B282="2012-2013",E282="",G282="NPN05"),H282,"")</f>
        <v/>
      </c>
      <c r="AU282" s="44" t="str">
        <f>IF(AND(C282=Master!$H$3,B282="2012-2013",E282&gt;1000,G282="NPN05"),H282,"")</f>
        <v/>
      </c>
      <c r="AV282" s="44" t="str">
        <f>IF(AND(C282=Master!$H$3,B282="2012-2013",E282="",G282="NPN05"),H282,"")</f>
        <v/>
      </c>
      <c r="AW282" s="44" t="str">
        <f>IF(AND(C282=Master!$H$4,B282="2012-2013",E282&gt;1000,G282="NPN05"),H282,"")</f>
        <v/>
      </c>
      <c r="AX282" s="44" t="str">
        <f>IF(AND(C282=Master!$H$4,B282="2012-2013",E282="",G282="NPN05"),H282,"")</f>
        <v/>
      </c>
      <c r="AY282" s="44" t="str">
        <f>IF(AND(C282=Master!$H$5,B282="2012-2013",E282&gt;1000,G282="NPN05"),H282,"")</f>
        <v/>
      </c>
      <c r="AZ282" s="44" t="str">
        <f>IF(AND(C282=Master!$H$5,B282="2012-2013",E282="",G282="NPN05"),H282,"")</f>
        <v/>
      </c>
      <c r="BA282" s="44" t="str">
        <f>IF(AND(C282=Master!$H$6,B282="2012-2013",E282&gt;1000,G282="NPN05"),H282,"")</f>
        <v/>
      </c>
      <c r="BB282" s="44" t="str">
        <f>IF(AND(C282=Master!$H$6,B282="2012-2013",E282="",G282="NPN05"),H282,"")</f>
        <v/>
      </c>
      <c r="BC282" s="44" t="str">
        <f>IF(AND(C282=Master!$H$7,B282="2012-2013",E282&gt;1000,G282="NPN05"),H282,"")</f>
        <v/>
      </c>
      <c r="BD282" s="44" t="str">
        <f>IF(AND(C282=Master!$H$7,B282="2012-2013",E282="",G282="NPN05"),H282,"")</f>
        <v/>
      </c>
      <c r="BE282" s="44" t="str">
        <f>IF(AND(C282=Master!$H$8,B282="2012-2013",E282&gt;1000,G282="NPN05"),H282,"")</f>
        <v/>
      </c>
      <c r="BF282" s="44" t="str">
        <f>IF(AND(C282=Master!$H$8,B282="2012-2013",E282="",G282="NPN05"),H282,"")</f>
        <v/>
      </c>
      <c r="BG282" s="44" t="str">
        <f>IF(AND(C282=Master!$H$9,B282="2012-2013",E282&gt;1000,G282="NPN05"),H282,"")</f>
        <v/>
      </c>
      <c r="BH282" s="44" t="str">
        <f>IF(AND(C282=Master!$H$9,B282="2012-2013",E282="",G282="NPN05"),H282,"")</f>
        <v/>
      </c>
    </row>
    <row r="283" spans="1:60" x14ac:dyDescent="0.25">
      <c r="A283" s="5">
        <v>281</v>
      </c>
      <c r="B283" s="12"/>
      <c r="C283" s="12"/>
      <c r="D283" s="31"/>
      <c r="E283" s="4"/>
      <c r="F283" s="13"/>
      <c r="G283" s="21"/>
      <c r="H283" s="35"/>
      <c r="I283" s="21"/>
      <c r="J283" s="25" t="str">
        <f>IF(NOT(I283=""),INDEX(Master!$B$1:$B$46,MATCH(I283,Master!$A$1:$A$46,0)),"")</f>
        <v/>
      </c>
      <c r="K283" s="18"/>
      <c r="L283" s="86"/>
      <c r="M283" s="13"/>
      <c r="N283" s="13"/>
      <c r="O283" s="18"/>
      <c r="P283" s="35"/>
      <c r="Q283" s="21"/>
      <c r="R283" s="21"/>
      <c r="S283" s="13"/>
      <c r="T283" s="12"/>
      <c r="U283" s="12"/>
      <c r="V283" s="12"/>
      <c r="W283" s="14"/>
      <c r="Y283" s="42" t="str">
        <f>IF(AND(C283=Master!$H$1,B283="2012-2013",E283&gt;1000,G283="PLN03"),H283,"")</f>
        <v/>
      </c>
      <c r="Z283" s="42" t="str">
        <f>IF(AND(C283=Master!$H$1,B283="2012-2013",E283="",G283="PLN03"),H283,"")</f>
        <v/>
      </c>
      <c r="AA283" s="42" t="str">
        <f>IF(AND(C283=Master!$H$2,B283="2012-2013",E283&gt;1000,G283="PLN03"),H283,"")</f>
        <v/>
      </c>
      <c r="AB283" s="42" t="str">
        <f>IF(AND(C283=Master!$H$2,B283="2012-2013",E283="",G283="PLN03"),H283,"")</f>
        <v/>
      </c>
      <c r="AC283" s="42" t="str">
        <f>IF(AND(C283=Master!$H$3,B283="2012-2013",E283&gt;1000,G283="PLN03"),H283,"")</f>
        <v/>
      </c>
      <c r="AD283" s="42" t="str">
        <f>IF(AND(C283=Master!$H$3,B283="2012-2013",E283="",G283="PLN03"),H283,"")</f>
        <v/>
      </c>
      <c r="AE283" s="42" t="str">
        <f>IF(AND(C283=Master!$H$4,B283="2012-2013",E283&gt;1000,G283="PLN03"),H283,"")</f>
        <v/>
      </c>
      <c r="AF283" s="42" t="str">
        <f>IF(AND(C283=Master!$H$4,B283="2012-2013",E283="",G283="PLN03"),H283,"")</f>
        <v/>
      </c>
      <c r="AG283" s="42" t="str">
        <f>IF(AND(C283=Master!$H$5,B283="2012-2013",E283&gt;1000,G283="PLN03"),H283,"")</f>
        <v/>
      </c>
      <c r="AH283" s="42" t="str">
        <f>IF(AND(C283=Master!$H$5,B283="2012-2013",E283="",G283="PLN03"),H283,"")</f>
        <v/>
      </c>
      <c r="AI283" s="42" t="str">
        <f>IF(AND(C283=Master!$H$6,B283="2012-2013",E283&gt;1000,G283="PLN03"),H283,"")</f>
        <v/>
      </c>
      <c r="AJ283" s="42" t="str">
        <f>IF(AND(C283=Master!$H$6,B283="2012-2013",E283="",G283="PLN03"),H283,"")</f>
        <v/>
      </c>
      <c r="AK283" s="42" t="str">
        <f>IF(AND(C283=Master!$H$7,B283="2012-2013",E283&gt;1000,G283="PLN03"),H283,"")</f>
        <v/>
      </c>
      <c r="AL283" s="42" t="str">
        <f>IF(AND(C283=Master!$H$7,B283="2012-2013",E283="",G283="PLN03"),H283,"")</f>
        <v/>
      </c>
      <c r="AM283" s="42" t="str">
        <f>IF(AND(C283=Master!$H$8,B283="2012-2013",E283&gt;1000,G283="PLN03"),H283,"")</f>
        <v/>
      </c>
      <c r="AN283" s="42" t="str">
        <f>IF(AND(C283=Master!$H$8,B283="2012-2013",E283="",G283="PLN03"),H283,"")</f>
        <v/>
      </c>
      <c r="AO283" s="42" t="str">
        <f>IF(AND(C283=Master!$H$9,B283="2012-2013",E283&gt;1000,G283="PLN03"),H283,"")</f>
        <v/>
      </c>
      <c r="AP283" s="42" t="str">
        <f>IF(AND(C283=Master!$H$9,B283="2012-2013",E283="",G283="PLN03"),H283,"")</f>
        <v/>
      </c>
      <c r="AQ283" s="44" t="str">
        <f>IF(AND(C283=Master!$H$1,B283="2012-2013",E283&gt;1000,G283="NPN05"),H283,"")</f>
        <v/>
      </c>
      <c r="AR283" s="44" t="str">
        <f>IF(AND(C283=Master!$H$1,B283="2012-2013",E283="",G283="NPN05"),H283,"")</f>
        <v/>
      </c>
      <c r="AS283" s="44" t="str">
        <f>IF(AND(C283=Master!$H$2,B283="2012-2013",E283&gt;1000,G283="NPN05"),H283,"")</f>
        <v/>
      </c>
      <c r="AT283" s="44" t="str">
        <f>IF(AND(C283=Master!$H$2,B283="2012-2013",E283="",G283="NPN05"),H283,"")</f>
        <v/>
      </c>
      <c r="AU283" s="44" t="str">
        <f>IF(AND(C283=Master!$H$3,B283="2012-2013",E283&gt;1000,G283="NPN05"),H283,"")</f>
        <v/>
      </c>
      <c r="AV283" s="44" t="str">
        <f>IF(AND(C283=Master!$H$3,B283="2012-2013",E283="",G283="NPN05"),H283,"")</f>
        <v/>
      </c>
      <c r="AW283" s="44" t="str">
        <f>IF(AND(C283=Master!$H$4,B283="2012-2013",E283&gt;1000,G283="NPN05"),H283,"")</f>
        <v/>
      </c>
      <c r="AX283" s="44" t="str">
        <f>IF(AND(C283=Master!$H$4,B283="2012-2013",E283="",G283="NPN05"),H283,"")</f>
        <v/>
      </c>
      <c r="AY283" s="44" t="str">
        <f>IF(AND(C283=Master!$H$5,B283="2012-2013",E283&gt;1000,G283="NPN05"),H283,"")</f>
        <v/>
      </c>
      <c r="AZ283" s="44" t="str">
        <f>IF(AND(C283=Master!$H$5,B283="2012-2013",E283="",G283="NPN05"),H283,"")</f>
        <v/>
      </c>
      <c r="BA283" s="44" t="str">
        <f>IF(AND(C283=Master!$H$6,B283="2012-2013",E283&gt;1000,G283="NPN05"),H283,"")</f>
        <v/>
      </c>
      <c r="BB283" s="44" t="str">
        <f>IF(AND(C283=Master!$H$6,B283="2012-2013",E283="",G283="NPN05"),H283,"")</f>
        <v/>
      </c>
      <c r="BC283" s="44" t="str">
        <f>IF(AND(C283=Master!$H$7,B283="2012-2013",E283&gt;1000,G283="NPN05"),H283,"")</f>
        <v/>
      </c>
      <c r="BD283" s="44" t="str">
        <f>IF(AND(C283=Master!$H$7,B283="2012-2013",E283="",G283="NPN05"),H283,"")</f>
        <v/>
      </c>
      <c r="BE283" s="44" t="str">
        <f>IF(AND(C283=Master!$H$8,B283="2012-2013",E283&gt;1000,G283="NPN05"),H283,"")</f>
        <v/>
      </c>
      <c r="BF283" s="44" t="str">
        <f>IF(AND(C283=Master!$H$8,B283="2012-2013",E283="",G283="NPN05"),H283,"")</f>
        <v/>
      </c>
      <c r="BG283" s="44" t="str">
        <f>IF(AND(C283=Master!$H$9,B283="2012-2013",E283&gt;1000,G283="NPN05"),H283,"")</f>
        <v/>
      </c>
      <c r="BH283" s="44" t="str">
        <f>IF(AND(C283=Master!$H$9,B283="2012-2013",E283="",G283="NPN05"),H283,"")</f>
        <v/>
      </c>
    </row>
    <row r="284" spans="1:60" x14ac:dyDescent="0.25">
      <c r="A284" s="3">
        <v>282</v>
      </c>
      <c r="B284" s="12"/>
      <c r="C284" s="12"/>
      <c r="D284" s="31"/>
      <c r="E284" s="4"/>
      <c r="F284" s="13"/>
      <c r="G284" s="21"/>
      <c r="H284" s="35"/>
      <c r="I284" s="21"/>
      <c r="J284" s="25" t="str">
        <f>IF(NOT(I284=""),INDEX(Master!$B$1:$B$46,MATCH(I284,Master!$A$1:$A$46,0)),"")</f>
        <v/>
      </c>
      <c r="K284" s="18"/>
      <c r="L284" s="86"/>
      <c r="M284" s="13"/>
      <c r="N284" s="13"/>
      <c r="O284" s="18"/>
      <c r="P284" s="35"/>
      <c r="Q284" s="21"/>
      <c r="R284" s="21"/>
      <c r="S284" s="13"/>
      <c r="T284" s="12"/>
      <c r="U284" s="12"/>
      <c r="V284" s="12"/>
      <c r="W284" s="14"/>
      <c r="Y284" s="42" t="str">
        <f>IF(AND(C284=Master!$H$1,B284="2012-2013",E284&gt;1000,G284="PLN03"),H284,"")</f>
        <v/>
      </c>
      <c r="Z284" s="42" t="str">
        <f>IF(AND(C284=Master!$H$1,B284="2012-2013",E284="",G284="PLN03"),H284,"")</f>
        <v/>
      </c>
      <c r="AA284" s="42" t="str">
        <f>IF(AND(C284=Master!$H$2,B284="2012-2013",E284&gt;1000,G284="PLN03"),H284,"")</f>
        <v/>
      </c>
      <c r="AB284" s="42" t="str">
        <f>IF(AND(C284=Master!$H$2,B284="2012-2013",E284="",G284="PLN03"),H284,"")</f>
        <v/>
      </c>
      <c r="AC284" s="42" t="str">
        <f>IF(AND(C284=Master!$H$3,B284="2012-2013",E284&gt;1000,G284="PLN03"),H284,"")</f>
        <v/>
      </c>
      <c r="AD284" s="42" t="str">
        <f>IF(AND(C284=Master!$H$3,B284="2012-2013",E284="",G284="PLN03"),H284,"")</f>
        <v/>
      </c>
      <c r="AE284" s="42" t="str">
        <f>IF(AND(C284=Master!$H$4,B284="2012-2013",E284&gt;1000,G284="PLN03"),H284,"")</f>
        <v/>
      </c>
      <c r="AF284" s="42" t="str">
        <f>IF(AND(C284=Master!$H$4,B284="2012-2013",E284="",G284="PLN03"),H284,"")</f>
        <v/>
      </c>
      <c r="AG284" s="42" t="str">
        <f>IF(AND(C284=Master!$H$5,B284="2012-2013",E284&gt;1000,G284="PLN03"),H284,"")</f>
        <v/>
      </c>
      <c r="AH284" s="42" t="str">
        <f>IF(AND(C284=Master!$H$5,B284="2012-2013",E284="",G284="PLN03"),H284,"")</f>
        <v/>
      </c>
      <c r="AI284" s="42" t="str">
        <f>IF(AND(C284=Master!$H$6,B284="2012-2013",E284&gt;1000,G284="PLN03"),H284,"")</f>
        <v/>
      </c>
      <c r="AJ284" s="42" t="str">
        <f>IF(AND(C284=Master!$H$6,B284="2012-2013",E284="",G284="PLN03"),H284,"")</f>
        <v/>
      </c>
      <c r="AK284" s="42" t="str">
        <f>IF(AND(C284=Master!$H$7,B284="2012-2013",E284&gt;1000,G284="PLN03"),H284,"")</f>
        <v/>
      </c>
      <c r="AL284" s="42" t="str">
        <f>IF(AND(C284=Master!$H$7,B284="2012-2013",E284="",G284="PLN03"),H284,"")</f>
        <v/>
      </c>
      <c r="AM284" s="42" t="str">
        <f>IF(AND(C284=Master!$H$8,B284="2012-2013",E284&gt;1000,G284="PLN03"),H284,"")</f>
        <v/>
      </c>
      <c r="AN284" s="42" t="str">
        <f>IF(AND(C284=Master!$H$8,B284="2012-2013",E284="",G284="PLN03"),H284,"")</f>
        <v/>
      </c>
      <c r="AO284" s="42" t="str">
        <f>IF(AND(C284=Master!$H$9,B284="2012-2013",E284&gt;1000,G284="PLN03"),H284,"")</f>
        <v/>
      </c>
      <c r="AP284" s="42" t="str">
        <f>IF(AND(C284=Master!$H$9,B284="2012-2013",E284="",G284="PLN03"),H284,"")</f>
        <v/>
      </c>
      <c r="AQ284" s="44" t="str">
        <f>IF(AND(C284=Master!$H$1,B284="2012-2013",E284&gt;1000,G284="NPN05"),H284,"")</f>
        <v/>
      </c>
      <c r="AR284" s="44" t="str">
        <f>IF(AND(C284=Master!$H$1,B284="2012-2013",E284="",G284="NPN05"),H284,"")</f>
        <v/>
      </c>
      <c r="AS284" s="44" t="str">
        <f>IF(AND(C284=Master!$H$2,B284="2012-2013",E284&gt;1000,G284="NPN05"),H284,"")</f>
        <v/>
      </c>
      <c r="AT284" s="44" t="str">
        <f>IF(AND(C284=Master!$H$2,B284="2012-2013",E284="",G284="NPN05"),H284,"")</f>
        <v/>
      </c>
      <c r="AU284" s="44" t="str">
        <f>IF(AND(C284=Master!$H$3,B284="2012-2013",E284&gt;1000,G284="NPN05"),H284,"")</f>
        <v/>
      </c>
      <c r="AV284" s="44" t="str">
        <f>IF(AND(C284=Master!$H$3,B284="2012-2013",E284="",G284="NPN05"),H284,"")</f>
        <v/>
      </c>
      <c r="AW284" s="44" t="str">
        <f>IF(AND(C284=Master!$H$4,B284="2012-2013",E284&gt;1000,G284="NPN05"),H284,"")</f>
        <v/>
      </c>
      <c r="AX284" s="44" t="str">
        <f>IF(AND(C284=Master!$H$4,B284="2012-2013",E284="",G284="NPN05"),H284,"")</f>
        <v/>
      </c>
      <c r="AY284" s="44" t="str">
        <f>IF(AND(C284=Master!$H$5,B284="2012-2013",E284&gt;1000,G284="NPN05"),H284,"")</f>
        <v/>
      </c>
      <c r="AZ284" s="44" t="str">
        <f>IF(AND(C284=Master!$H$5,B284="2012-2013",E284="",G284="NPN05"),H284,"")</f>
        <v/>
      </c>
      <c r="BA284" s="44" t="str">
        <f>IF(AND(C284=Master!$H$6,B284="2012-2013",E284&gt;1000,G284="NPN05"),H284,"")</f>
        <v/>
      </c>
      <c r="BB284" s="44" t="str">
        <f>IF(AND(C284=Master!$H$6,B284="2012-2013",E284="",G284="NPN05"),H284,"")</f>
        <v/>
      </c>
      <c r="BC284" s="44" t="str">
        <f>IF(AND(C284=Master!$H$7,B284="2012-2013",E284&gt;1000,G284="NPN05"),H284,"")</f>
        <v/>
      </c>
      <c r="BD284" s="44" t="str">
        <f>IF(AND(C284=Master!$H$7,B284="2012-2013",E284="",G284="NPN05"),H284,"")</f>
        <v/>
      </c>
      <c r="BE284" s="44" t="str">
        <f>IF(AND(C284=Master!$H$8,B284="2012-2013",E284&gt;1000,G284="NPN05"),H284,"")</f>
        <v/>
      </c>
      <c r="BF284" s="44" t="str">
        <f>IF(AND(C284=Master!$H$8,B284="2012-2013",E284="",G284="NPN05"),H284,"")</f>
        <v/>
      </c>
      <c r="BG284" s="44" t="str">
        <f>IF(AND(C284=Master!$H$9,B284="2012-2013",E284&gt;1000,G284="NPN05"),H284,"")</f>
        <v/>
      </c>
      <c r="BH284" s="44" t="str">
        <f>IF(AND(C284=Master!$H$9,B284="2012-2013",E284="",G284="NPN05"),H284,"")</f>
        <v/>
      </c>
    </row>
    <row r="285" spans="1:60" x14ac:dyDescent="0.25">
      <c r="A285" s="3">
        <v>283</v>
      </c>
      <c r="B285" s="12"/>
      <c r="C285" s="12"/>
      <c r="D285" s="31"/>
      <c r="E285" s="4"/>
      <c r="F285" s="13"/>
      <c r="G285" s="21"/>
      <c r="H285" s="35"/>
      <c r="I285" s="21"/>
      <c r="J285" s="25" t="str">
        <f>IF(NOT(I285=""),INDEX(Master!$B$1:$B$46,MATCH(I285,Master!$A$1:$A$46,0)),"")</f>
        <v/>
      </c>
      <c r="K285" s="18"/>
      <c r="L285" s="86"/>
      <c r="M285" s="13"/>
      <c r="N285" s="13"/>
      <c r="O285" s="18"/>
      <c r="P285" s="35"/>
      <c r="Q285" s="21"/>
      <c r="R285" s="21"/>
      <c r="S285" s="13"/>
      <c r="T285" s="12"/>
      <c r="U285" s="12"/>
      <c r="V285" s="12"/>
      <c r="W285" s="14"/>
      <c r="Y285" s="42" t="str">
        <f>IF(AND(C285=Master!$H$1,B285="2012-2013",E285&gt;1000,G285="PLN03"),H285,"")</f>
        <v/>
      </c>
      <c r="Z285" s="42" t="str">
        <f>IF(AND(C285=Master!$H$1,B285="2012-2013",E285="",G285="PLN03"),H285,"")</f>
        <v/>
      </c>
      <c r="AA285" s="42" t="str">
        <f>IF(AND(C285=Master!$H$2,B285="2012-2013",E285&gt;1000,G285="PLN03"),H285,"")</f>
        <v/>
      </c>
      <c r="AB285" s="42" t="str">
        <f>IF(AND(C285=Master!$H$2,B285="2012-2013",E285="",G285="PLN03"),H285,"")</f>
        <v/>
      </c>
      <c r="AC285" s="42" t="str">
        <f>IF(AND(C285=Master!$H$3,B285="2012-2013",E285&gt;1000,G285="PLN03"),H285,"")</f>
        <v/>
      </c>
      <c r="AD285" s="42" t="str">
        <f>IF(AND(C285=Master!$H$3,B285="2012-2013",E285="",G285="PLN03"),H285,"")</f>
        <v/>
      </c>
      <c r="AE285" s="42" t="str">
        <f>IF(AND(C285=Master!$H$4,B285="2012-2013",E285&gt;1000,G285="PLN03"),H285,"")</f>
        <v/>
      </c>
      <c r="AF285" s="42" t="str">
        <f>IF(AND(C285=Master!$H$4,B285="2012-2013",E285="",G285="PLN03"),H285,"")</f>
        <v/>
      </c>
      <c r="AG285" s="42" t="str">
        <f>IF(AND(C285=Master!$H$5,B285="2012-2013",E285&gt;1000,G285="PLN03"),H285,"")</f>
        <v/>
      </c>
      <c r="AH285" s="42" t="str">
        <f>IF(AND(C285=Master!$H$5,B285="2012-2013",E285="",G285="PLN03"),H285,"")</f>
        <v/>
      </c>
      <c r="AI285" s="42" t="str">
        <f>IF(AND(C285=Master!$H$6,B285="2012-2013",E285&gt;1000,G285="PLN03"),H285,"")</f>
        <v/>
      </c>
      <c r="AJ285" s="42" t="str">
        <f>IF(AND(C285=Master!$H$6,B285="2012-2013",E285="",G285="PLN03"),H285,"")</f>
        <v/>
      </c>
      <c r="AK285" s="42" t="str">
        <f>IF(AND(C285=Master!$H$7,B285="2012-2013",E285&gt;1000,G285="PLN03"),H285,"")</f>
        <v/>
      </c>
      <c r="AL285" s="42" t="str">
        <f>IF(AND(C285=Master!$H$7,B285="2012-2013",E285="",G285="PLN03"),H285,"")</f>
        <v/>
      </c>
      <c r="AM285" s="42" t="str">
        <f>IF(AND(C285=Master!$H$8,B285="2012-2013",E285&gt;1000,G285="PLN03"),H285,"")</f>
        <v/>
      </c>
      <c r="AN285" s="42" t="str">
        <f>IF(AND(C285=Master!$H$8,B285="2012-2013",E285="",G285="PLN03"),H285,"")</f>
        <v/>
      </c>
      <c r="AO285" s="42" t="str">
        <f>IF(AND(C285=Master!$H$9,B285="2012-2013",E285&gt;1000,G285="PLN03"),H285,"")</f>
        <v/>
      </c>
      <c r="AP285" s="42" t="str">
        <f>IF(AND(C285=Master!$H$9,B285="2012-2013",E285="",G285="PLN03"),H285,"")</f>
        <v/>
      </c>
      <c r="AQ285" s="44" t="str">
        <f>IF(AND(C285=Master!$H$1,B285="2012-2013",E285&gt;1000,G285="NPN05"),H285,"")</f>
        <v/>
      </c>
      <c r="AR285" s="44" t="str">
        <f>IF(AND(C285=Master!$H$1,B285="2012-2013",E285="",G285="NPN05"),H285,"")</f>
        <v/>
      </c>
      <c r="AS285" s="44" t="str">
        <f>IF(AND(C285=Master!$H$2,B285="2012-2013",E285&gt;1000,G285="NPN05"),H285,"")</f>
        <v/>
      </c>
      <c r="AT285" s="44" t="str">
        <f>IF(AND(C285=Master!$H$2,B285="2012-2013",E285="",G285="NPN05"),H285,"")</f>
        <v/>
      </c>
      <c r="AU285" s="44" t="str">
        <f>IF(AND(C285=Master!$H$3,B285="2012-2013",E285&gt;1000,G285="NPN05"),H285,"")</f>
        <v/>
      </c>
      <c r="AV285" s="44" t="str">
        <f>IF(AND(C285=Master!$H$3,B285="2012-2013",E285="",G285="NPN05"),H285,"")</f>
        <v/>
      </c>
      <c r="AW285" s="44" t="str">
        <f>IF(AND(C285=Master!$H$4,B285="2012-2013",E285&gt;1000,G285="NPN05"),H285,"")</f>
        <v/>
      </c>
      <c r="AX285" s="44" t="str">
        <f>IF(AND(C285=Master!$H$4,B285="2012-2013",E285="",G285="NPN05"),H285,"")</f>
        <v/>
      </c>
      <c r="AY285" s="44" t="str">
        <f>IF(AND(C285=Master!$H$5,B285="2012-2013",E285&gt;1000,G285="NPN05"),H285,"")</f>
        <v/>
      </c>
      <c r="AZ285" s="44" t="str">
        <f>IF(AND(C285=Master!$H$5,B285="2012-2013",E285="",G285="NPN05"),H285,"")</f>
        <v/>
      </c>
      <c r="BA285" s="44" t="str">
        <f>IF(AND(C285=Master!$H$6,B285="2012-2013",E285&gt;1000,G285="NPN05"),H285,"")</f>
        <v/>
      </c>
      <c r="BB285" s="44" t="str">
        <f>IF(AND(C285=Master!$H$6,B285="2012-2013",E285="",G285="NPN05"),H285,"")</f>
        <v/>
      </c>
      <c r="BC285" s="44" t="str">
        <f>IF(AND(C285=Master!$H$7,B285="2012-2013",E285&gt;1000,G285="NPN05"),H285,"")</f>
        <v/>
      </c>
      <c r="BD285" s="44" t="str">
        <f>IF(AND(C285=Master!$H$7,B285="2012-2013",E285="",G285="NPN05"),H285,"")</f>
        <v/>
      </c>
      <c r="BE285" s="44" t="str">
        <f>IF(AND(C285=Master!$H$8,B285="2012-2013",E285&gt;1000,G285="NPN05"),H285,"")</f>
        <v/>
      </c>
      <c r="BF285" s="44" t="str">
        <f>IF(AND(C285=Master!$H$8,B285="2012-2013",E285="",G285="NPN05"),H285,"")</f>
        <v/>
      </c>
      <c r="BG285" s="44" t="str">
        <f>IF(AND(C285=Master!$H$9,B285="2012-2013",E285&gt;1000,G285="NPN05"),H285,"")</f>
        <v/>
      </c>
      <c r="BH285" s="44" t="str">
        <f>IF(AND(C285=Master!$H$9,B285="2012-2013",E285="",G285="NPN05"),H285,"")</f>
        <v/>
      </c>
    </row>
    <row r="286" spans="1:60" x14ac:dyDescent="0.25">
      <c r="A286" s="3">
        <v>284</v>
      </c>
      <c r="B286" s="12"/>
      <c r="C286" s="12"/>
      <c r="D286" s="31"/>
      <c r="E286" s="4"/>
      <c r="F286" s="13"/>
      <c r="G286" s="21"/>
      <c r="H286" s="35"/>
      <c r="I286" s="21"/>
      <c r="J286" s="25" t="str">
        <f>IF(NOT(I286=""),INDEX(Master!$B$1:$B$46,MATCH(I286,Master!$A$1:$A$46,0)),"")</f>
        <v/>
      </c>
      <c r="K286" s="18"/>
      <c r="L286" s="86"/>
      <c r="M286" s="13"/>
      <c r="N286" s="13"/>
      <c r="O286" s="18"/>
      <c r="P286" s="35"/>
      <c r="Q286" s="21"/>
      <c r="R286" s="21"/>
      <c r="S286" s="13"/>
      <c r="T286" s="12"/>
      <c r="U286" s="12"/>
      <c r="V286" s="12"/>
      <c r="W286" s="14"/>
      <c r="Y286" s="42" t="str">
        <f>IF(AND(C286=Master!$H$1,B286="2012-2013",E286&gt;1000,G286="PLN03"),H286,"")</f>
        <v/>
      </c>
      <c r="Z286" s="42" t="str">
        <f>IF(AND(C286=Master!$H$1,B286="2012-2013",E286="",G286="PLN03"),H286,"")</f>
        <v/>
      </c>
      <c r="AA286" s="42" t="str">
        <f>IF(AND(C286=Master!$H$2,B286="2012-2013",E286&gt;1000,G286="PLN03"),H286,"")</f>
        <v/>
      </c>
      <c r="AB286" s="42" t="str">
        <f>IF(AND(C286=Master!$H$2,B286="2012-2013",E286="",G286="PLN03"),H286,"")</f>
        <v/>
      </c>
      <c r="AC286" s="42" t="str">
        <f>IF(AND(C286=Master!$H$3,B286="2012-2013",E286&gt;1000,G286="PLN03"),H286,"")</f>
        <v/>
      </c>
      <c r="AD286" s="42" t="str">
        <f>IF(AND(C286=Master!$H$3,B286="2012-2013",E286="",G286="PLN03"),H286,"")</f>
        <v/>
      </c>
      <c r="AE286" s="42" t="str">
        <f>IF(AND(C286=Master!$H$4,B286="2012-2013",E286&gt;1000,G286="PLN03"),H286,"")</f>
        <v/>
      </c>
      <c r="AF286" s="42" t="str">
        <f>IF(AND(C286=Master!$H$4,B286="2012-2013",E286="",G286="PLN03"),H286,"")</f>
        <v/>
      </c>
      <c r="AG286" s="42" t="str">
        <f>IF(AND(C286=Master!$H$5,B286="2012-2013",E286&gt;1000,G286="PLN03"),H286,"")</f>
        <v/>
      </c>
      <c r="AH286" s="42" t="str">
        <f>IF(AND(C286=Master!$H$5,B286="2012-2013",E286="",G286="PLN03"),H286,"")</f>
        <v/>
      </c>
      <c r="AI286" s="42" t="str">
        <f>IF(AND(C286=Master!$H$6,B286="2012-2013",E286&gt;1000,G286="PLN03"),H286,"")</f>
        <v/>
      </c>
      <c r="AJ286" s="42" t="str">
        <f>IF(AND(C286=Master!$H$6,B286="2012-2013",E286="",G286="PLN03"),H286,"")</f>
        <v/>
      </c>
      <c r="AK286" s="42" t="str">
        <f>IF(AND(C286=Master!$H$7,B286="2012-2013",E286&gt;1000,G286="PLN03"),H286,"")</f>
        <v/>
      </c>
      <c r="AL286" s="42" t="str">
        <f>IF(AND(C286=Master!$H$7,B286="2012-2013",E286="",G286="PLN03"),H286,"")</f>
        <v/>
      </c>
      <c r="AM286" s="42" t="str">
        <f>IF(AND(C286=Master!$H$8,B286="2012-2013",E286&gt;1000,G286="PLN03"),H286,"")</f>
        <v/>
      </c>
      <c r="AN286" s="42" t="str">
        <f>IF(AND(C286=Master!$H$8,B286="2012-2013",E286="",G286="PLN03"),H286,"")</f>
        <v/>
      </c>
      <c r="AO286" s="42" t="str">
        <f>IF(AND(C286=Master!$H$9,B286="2012-2013",E286&gt;1000,G286="PLN03"),H286,"")</f>
        <v/>
      </c>
      <c r="AP286" s="42" t="str">
        <f>IF(AND(C286=Master!$H$9,B286="2012-2013",E286="",G286="PLN03"),H286,"")</f>
        <v/>
      </c>
      <c r="AQ286" s="44" t="str">
        <f>IF(AND(C286=Master!$H$1,B286="2012-2013",E286&gt;1000,G286="NPN05"),H286,"")</f>
        <v/>
      </c>
      <c r="AR286" s="44" t="str">
        <f>IF(AND(C286=Master!$H$1,B286="2012-2013",E286="",G286="NPN05"),H286,"")</f>
        <v/>
      </c>
      <c r="AS286" s="44" t="str">
        <f>IF(AND(C286=Master!$H$2,B286="2012-2013",E286&gt;1000,G286="NPN05"),H286,"")</f>
        <v/>
      </c>
      <c r="AT286" s="44" t="str">
        <f>IF(AND(C286=Master!$H$2,B286="2012-2013",E286="",G286="NPN05"),H286,"")</f>
        <v/>
      </c>
      <c r="AU286" s="44" t="str">
        <f>IF(AND(C286=Master!$H$3,B286="2012-2013",E286&gt;1000,G286="NPN05"),H286,"")</f>
        <v/>
      </c>
      <c r="AV286" s="44" t="str">
        <f>IF(AND(C286=Master!$H$3,B286="2012-2013",E286="",G286="NPN05"),H286,"")</f>
        <v/>
      </c>
      <c r="AW286" s="44" t="str">
        <f>IF(AND(C286=Master!$H$4,B286="2012-2013",E286&gt;1000,G286="NPN05"),H286,"")</f>
        <v/>
      </c>
      <c r="AX286" s="44" t="str">
        <f>IF(AND(C286=Master!$H$4,B286="2012-2013",E286="",G286="NPN05"),H286,"")</f>
        <v/>
      </c>
      <c r="AY286" s="44" t="str">
        <f>IF(AND(C286=Master!$H$5,B286="2012-2013",E286&gt;1000,G286="NPN05"),H286,"")</f>
        <v/>
      </c>
      <c r="AZ286" s="44" t="str">
        <f>IF(AND(C286=Master!$H$5,B286="2012-2013",E286="",G286="NPN05"),H286,"")</f>
        <v/>
      </c>
      <c r="BA286" s="44" t="str">
        <f>IF(AND(C286=Master!$H$6,B286="2012-2013",E286&gt;1000,G286="NPN05"),H286,"")</f>
        <v/>
      </c>
      <c r="BB286" s="44" t="str">
        <f>IF(AND(C286=Master!$H$6,B286="2012-2013",E286="",G286="NPN05"),H286,"")</f>
        <v/>
      </c>
      <c r="BC286" s="44" t="str">
        <f>IF(AND(C286=Master!$H$7,B286="2012-2013",E286&gt;1000,G286="NPN05"),H286,"")</f>
        <v/>
      </c>
      <c r="BD286" s="44" t="str">
        <f>IF(AND(C286=Master!$H$7,B286="2012-2013",E286="",G286="NPN05"),H286,"")</f>
        <v/>
      </c>
      <c r="BE286" s="44" t="str">
        <f>IF(AND(C286=Master!$H$8,B286="2012-2013",E286&gt;1000,G286="NPN05"),H286,"")</f>
        <v/>
      </c>
      <c r="BF286" s="44" t="str">
        <f>IF(AND(C286=Master!$H$8,B286="2012-2013",E286="",G286="NPN05"),H286,"")</f>
        <v/>
      </c>
      <c r="BG286" s="44" t="str">
        <f>IF(AND(C286=Master!$H$9,B286="2012-2013",E286&gt;1000,G286="NPN05"),H286,"")</f>
        <v/>
      </c>
      <c r="BH286" s="44" t="str">
        <f>IF(AND(C286=Master!$H$9,B286="2012-2013",E286="",G286="NPN05"),H286,"")</f>
        <v/>
      </c>
    </row>
    <row r="287" spans="1:60" x14ac:dyDescent="0.25">
      <c r="A287" s="3">
        <v>285</v>
      </c>
      <c r="B287" s="12"/>
      <c r="C287" s="12"/>
      <c r="D287" s="31"/>
      <c r="E287" s="4"/>
      <c r="F287" s="13"/>
      <c r="G287" s="21"/>
      <c r="H287" s="35"/>
      <c r="I287" s="21"/>
      <c r="J287" s="25" t="str">
        <f>IF(NOT(I287=""),INDEX(Master!$B$1:$B$46,MATCH(I287,Master!$A$1:$A$46,0)),"")</f>
        <v/>
      </c>
      <c r="K287" s="18"/>
      <c r="L287" s="86"/>
      <c r="M287" s="13"/>
      <c r="N287" s="13"/>
      <c r="O287" s="18"/>
      <c r="P287" s="35"/>
      <c r="Q287" s="21"/>
      <c r="R287" s="21"/>
      <c r="S287" s="13"/>
      <c r="T287" s="12"/>
      <c r="U287" s="12"/>
      <c r="V287" s="12"/>
      <c r="W287" s="14"/>
      <c r="Y287" s="42" t="str">
        <f>IF(AND(C287=Master!$H$1,B287="2012-2013",E287&gt;1000,G287="PLN03"),H287,"")</f>
        <v/>
      </c>
      <c r="Z287" s="42" t="str">
        <f>IF(AND(C287=Master!$H$1,B287="2012-2013",E287="",G287="PLN03"),H287,"")</f>
        <v/>
      </c>
      <c r="AA287" s="42" t="str">
        <f>IF(AND(C287=Master!$H$2,B287="2012-2013",E287&gt;1000,G287="PLN03"),H287,"")</f>
        <v/>
      </c>
      <c r="AB287" s="42" t="str">
        <f>IF(AND(C287=Master!$H$2,B287="2012-2013",E287="",G287="PLN03"),H287,"")</f>
        <v/>
      </c>
      <c r="AC287" s="42" t="str">
        <f>IF(AND(C287=Master!$H$3,B287="2012-2013",E287&gt;1000,G287="PLN03"),H287,"")</f>
        <v/>
      </c>
      <c r="AD287" s="42" t="str">
        <f>IF(AND(C287=Master!$H$3,B287="2012-2013",E287="",G287="PLN03"),H287,"")</f>
        <v/>
      </c>
      <c r="AE287" s="42" t="str">
        <f>IF(AND(C287=Master!$H$4,B287="2012-2013",E287&gt;1000,G287="PLN03"),H287,"")</f>
        <v/>
      </c>
      <c r="AF287" s="42" t="str">
        <f>IF(AND(C287=Master!$H$4,B287="2012-2013",E287="",G287="PLN03"),H287,"")</f>
        <v/>
      </c>
      <c r="AG287" s="42" t="str">
        <f>IF(AND(C287=Master!$H$5,B287="2012-2013",E287&gt;1000,G287="PLN03"),H287,"")</f>
        <v/>
      </c>
      <c r="AH287" s="42" t="str">
        <f>IF(AND(C287=Master!$H$5,B287="2012-2013",E287="",G287="PLN03"),H287,"")</f>
        <v/>
      </c>
      <c r="AI287" s="42" t="str">
        <f>IF(AND(C287=Master!$H$6,B287="2012-2013",E287&gt;1000,G287="PLN03"),H287,"")</f>
        <v/>
      </c>
      <c r="AJ287" s="42" t="str">
        <f>IF(AND(C287=Master!$H$6,B287="2012-2013",E287="",G287="PLN03"),H287,"")</f>
        <v/>
      </c>
      <c r="AK287" s="42" t="str">
        <f>IF(AND(C287=Master!$H$7,B287="2012-2013",E287&gt;1000,G287="PLN03"),H287,"")</f>
        <v/>
      </c>
      <c r="AL287" s="42" t="str">
        <f>IF(AND(C287=Master!$H$7,B287="2012-2013",E287="",G287="PLN03"),H287,"")</f>
        <v/>
      </c>
      <c r="AM287" s="42" t="str">
        <f>IF(AND(C287=Master!$H$8,B287="2012-2013",E287&gt;1000,G287="PLN03"),H287,"")</f>
        <v/>
      </c>
      <c r="AN287" s="42" t="str">
        <f>IF(AND(C287=Master!$H$8,B287="2012-2013",E287="",G287="PLN03"),H287,"")</f>
        <v/>
      </c>
      <c r="AO287" s="42" t="str">
        <f>IF(AND(C287=Master!$H$9,B287="2012-2013",E287&gt;1000,G287="PLN03"),H287,"")</f>
        <v/>
      </c>
      <c r="AP287" s="42" t="str">
        <f>IF(AND(C287=Master!$H$9,B287="2012-2013",E287="",G287="PLN03"),H287,"")</f>
        <v/>
      </c>
      <c r="AQ287" s="44" t="str">
        <f>IF(AND(C287=Master!$H$1,B287="2012-2013",E287&gt;1000,G287="NPN05"),H287,"")</f>
        <v/>
      </c>
      <c r="AR287" s="44" t="str">
        <f>IF(AND(C287=Master!$H$1,B287="2012-2013",E287="",G287="NPN05"),H287,"")</f>
        <v/>
      </c>
      <c r="AS287" s="44" t="str">
        <f>IF(AND(C287=Master!$H$2,B287="2012-2013",E287&gt;1000,G287="NPN05"),H287,"")</f>
        <v/>
      </c>
      <c r="AT287" s="44" t="str">
        <f>IF(AND(C287=Master!$H$2,B287="2012-2013",E287="",G287="NPN05"),H287,"")</f>
        <v/>
      </c>
      <c r="AU287" s="44" t="str">
        <f>IF(AND(C287=Master!$H$3,B287="2012-2013",E287&gt;1000,G287="NPN05"),H287,"")</f>
        <v/>
      </c>
      <c r="AV287" s="44" t="str">
        <f>IF(AND(C287=Master!$H$3,B287="2012-2013",E287="",G287="NPN05"),H287,"")</f>
        <v/>
      </c>
      <c r="AW287" s="44" t="str">
        <f>IF(AND(C287=Master!$H$4,B287="2012-2013",E287&gt;1000,G287="NPN05"),H287,"")</f>
        <v/>
      </c>
      <c r="AX287" s="44" t="str">
        <f>IF(AND(C287=Master!$H$4,B287="2012-2013",E287="",G287="NPN05"),H287,"")</f>
        <v/>
      </c>
      <c r="AY287" s="44" t="str">
        <f>IF(AND(C287=Master!$H$5,B287="2012-2013",E287&gt;1000,G287="NPN05"),H287,"")</f>
        <v/>
      </c>
      <c r="AZ287" s="44" t="str">
        <f>IF(AND(C287=Master!$H$5,B287="2012-2013",E287="",G287="NPN05"),H287,"")</f>
        <v/>
      </c>
      <c r="BA287" s="44" t="str">
        <f>IF(AND(C287=Master!$H$6,B287="2012-2013",E287&gt;1000,G287="NPN05"),H287,"")</f>
        <v/>
      </c>
      <c r="BB287" s="44" t="str">
        <f>IF(AND(C287=Master!$H$6,B287="2012-2013",E287="",G287="NPN05"),H287,"")</f>
        <v/>
      </c>
      <c r="BC287" s="44" t="str">
        <f>IF(AND(C287=Master!$H$7,B287="2012-2013",E287&gt;1000,G287="NPN05"),H287,"")</f>
        <v/>
      </c>
      <c r="BD287" s="44" t="str">
        <f>IF(AND(C287=Master!$H$7,B287="2012-2013",E287="",G287="NPN05"),H287,"")</f>
        <v/>
      </c>
      <c r="BE287" s="44" t="str">
        <f>IF(AND(C287=Master!$H$8,B287="2012-2013",E287&gt;1000,G287="NPN05"),H287,"")</f>
        <v/>
      </c>
      <c r="BF287" s="44" t="str">
        <f>IF(AND(C287=Master!$H$8,B287="2012-2013",E287="",G287="NPN05"),H287,"")</f>
        <v/>
      </c>
      <c r="BG287" s="44" t="str">
        <f>IF(AND(C287=Master!$H$9,B287="2012-2013",E287&gt;1000,G287="NPN05"),H287,"")</f>
        <v/>
      </c>
      <c r="BH287" s="44" t="str">
        <f>IF(AND(C287=Master!$H$9,B287="2012-2013",E287="",G287="NPN05"),H287,"")</f>
        <v/>
      </c>
    </row>
    <row r="288" spans="1:60" x14ac:dyDescent="0.25">
      <c r="A288" s="3">
        <v>286</v>
      </c>
      <c r="B288" s="12"/>
      <c r="C288" s="12"/>
      <c r="D288" s="31"/>
      <c r="E288" s="4"/>
      <c r="F288" s="13"/>
      <c r="G288" s="21"/>
      <c r="H288" s="35"/>
      <c r="I288" s="21"/>
      <c r="J288" s="25" t="str">
        <f>IF(NOT(I288=""),INDEX(Master!$B$1:$B$46,MATCH(I288,Master!$A$1:$A$46,0)),"")</f>
        <v/>
      </c>
      <c r="K288" s="18"/>
      <c r="L288" s="86"/>
      <c r="M288" s="13"/>
      <c r="N288" s="13"/>
      <c r="O288" s="18"/>
      <c r="P288" s="35"/>
      <c r="Q288" s="21"/>
      <c r="R288" s="21"/>
      <c r="S288" s="13"/>
      <c r="T288" s="12"/>
      <c r="U288" s="12"/>
      <c r="V288" s="12"/>
      <c r="W288" s="14"/>
      <c r="Y288" s="42" t="str">
        <f>IF(AND(C288=Master!$H$1,B288="2012-2013",E288&gt;1000,G288="PLN03"),H288,"")</f>
        <v/>
      </c>
      <c r="Z288" s="42" t="str">
        <f>IF(AND(C288=Master!$H$1,B288="2012-2013",E288="",G288="PLN03"),H288,"")</f>
        <v/>
      </c>
      <c r="AA288" s="42" t="str">
        <f>IF(AND(C288=Master!$H$2,B288="2012-2013",E288&gt;1000,G288="PLN03"),H288,"")</f>
        <v/>
      </c>
      <c r="AB288" s="42" t="str">
        <f>IF(AND(C288=Master!$H$2,B288="2012-2013",E288="",G288="PLN03"),H288,"")</f>
        <v/>
      </c>
      <c r="AC288" s="42" t="str">
        <f>IF(AND(C288=Master!$H$3,B288="2012-2013",E288&gt;1000,G288="PLN03"),H288,"")</f>
        <v/>
      </c>
      <c r="AD288" s="42" t="str">
        <f>IF(AND(C288=Master!$H$3,B288="2012-2013",E288="",G288="PLN03"),H288,"")</f>
        <v/>
      </c>
      <c r="AE288" s="42" t="str">
        <f>IF(AND(C288=Master!$H$4,B288="2012-2013",E288&gt;1000,G288="PLN03"),H288,"")</f>
        <v/>
      </c>
      <c r="AF288" s="42" t="str">
        <f>IF(AND(C288=Master!$H$4,B288="2012-2013",E288="",G288="PLN03"),H288,"")</f>
        <v/>
      </c>
      <c r="AG288" s="42" t="str">
        <f>IF(AND(C288=Master!$H$5,B288="2012-2013",E288&gt;1000,G288="PLN03"),H288,"")</f>
        <v/>
      </c>
      <c r="AH288" s="42" t="str">
        <f>IF(AND(C288=Master!$H$5,B288="2012-2013",E288="",G288="PLN03"),H288,"")</f>
        <v/>
      </c>
      <c r="AI288" s="42" t="str">
        <f>IF(AND(C288=Master!$H$6,B288="2012-2013",E288&gt;1000,G288="PLN03"),H288,"")</f>
        <v/>
      </c>
      <c r="AJ288" s="42" t="str">
        <f>IF(AND(C288=Master!$H$6,B288="2012-2013",E288="",G288="PLN03"),H288,"")</f>
        <v/>
      </c>
      <c r="AK288" s="42" t="str">
        <f>IF(AND(C288=Master!$H$7,B288="2012-2013",E288&gt;1000,G288="PLN03"),H288,"")</f>
        <v/>
      </c>
      <c r="AL288" s="42" t="str">
        <f>IF(AND(C288=Master!$H$7,B288="2012-2013",E288="",G288="PLN03"),H288,"")</f>
        <v/>
      </c>
      <c r="AM288" s="42" t="str">
        <f>IF(AND(C288=Master!$H$8,B288="2012-2013",E288&gt;1000,G288="PLN03"),H288,"")</f>
        <v/>
      </c>
      <c r="AN288" s="42" t="str">
        <f>IF(AND(C288=Master!$H$8,B288="2012-2013",E288="",G288="PLN03"),H288,"")</f>
        <v/>
      </c>
      <c r="AO288" s="42" t="str">
        <f>IF(AND(C288=Master!$H$9,B288="2012-2013",E288&gt;1000,G288="PLN03"),H288,"")</f>
        <v/>
      </c>
      <c r="AP288" s="42" t="str">
        <f>IF(AND(C288=Master!$H$9,B288="2012-2013",E288="",G288="PLN03"),H288,"")</f>
        <v/>
      </c>
      <c r="AQ288" s="44" t="str">
        <f>IF(AND(C288=Master!$H$1,B288="2012-2013",E288&gt;1000,G288="NPN05"),H288,"")</f>
        <v/>
      </c>
      <c r="AR288" s="44" t="str">
        <f>IF(AND(C288=Master!$H$1,B288="2012-2013",E288="",G288="NPN05"),H288,"")</f>
        <v/>
      </c>
      <c r="AS288" s="44" t="str">
        <f>IF(AND(C288=Master!$H$2,B288="2012-2013",E288&gt;1000,G288="NPN05"),H288,"")</f>
        <v/>
      </c>
      <c r="AT288" s="44" t="str">
        <f>IF(AND(C288=Master!$H$2,B288="2012-2013",E288="",G288="NPN05"),H288,"")</f>
        <v/>
      </c>
      <c r="AU288" s="44" t="str">
        <f>IF(AND(C288=Master!$H$3,B288="2012-2013",E288&gt;1000,G288="NPN05"),H288,"")</f>
        <v/>
      </c>
      <c r="AV288" s="44" t="str">
        <f>IF(AND(C288=Master!$H$3,B288="2012-2013",E288="",G288="NPN05"),H288,"")</f>
        <v/>
      </c>
      <c r="AW288" s="44" t="str">
        <f>IF(AND(C288=Master!$H$4,B288="2012-2013",E288&gt;1000,G288="NPN05"),H288,"")</f>
        <v/>
      </c>
      <c r="AX288" s="44" t="str">
        <f>IF(AND(C288=Master!$H$4,B288="2012-2013",E288="",G288="NPN05"),H288,"")</f>
        <v/>
      </c>
      <c r="AY288" s="44" t="str">
        <f>IF(AND(C288=Master!$H$5,B288="2012-2013",E288&gt;1000,G288="NPN05"),H288,"")</f>
        <v/>
      </c>
      <c r="AZ288" s="44" t="str">
        <f>IF(AND(C288=Master!$H$5,B288="2012-2013",E288="",G288="NPN05"),H288,"")</f>
        <v/>
      </c>
      <c r="BA288" s="44" t="str">
        <f>IF(AND(C288=Master!$H$6,B288="2012-2013",E288&gt;1000,G288="NPN05"),H288,"")</f>
        <v/>
      </c>
      <c r="BB288" s="44" t="str">
        <f>IF(AND(C288=Master!$H$6,B288="2012-2013",E288="",G288="NPN05"),H288,"")</f>
        <v/>
      </c>
      <c r="BC288" s="44" t="str">
        <f>IF(AND(C288=Master!$H$7,B288="2012-2013",E288&gt;1000,G288="NPN05"),H288,"")</f>
        <v/>
      </c>
      <c r="BD288" s="44" t="str">
        <f>IF(AND(C288=Master!$H$7,B288="2012-2013",E288="",G288="NPN05"),H288,"")</f>
        <v/>
      </c>
      <c r="BE288" s="44" t="str">
        <f>IF(AND(C288=Master!$H$8,B288="2012-2013",E288&gt;1000,G288="NPN05"),H288,"")</f>
        <v/>
      </c>
      <c r="BF288" s="44" t="str">
        <f>IF(AND(C288=Master!$H$8,B288="2012-2013",E288="",G288="NPN05"),H288,"")</f>
        <v/>
      </c>
      <c r="BG288" s="44" t="str">
        <f>IF(AND(C288=Master!$H$9,B288="2012-2013",E288&gt;1000,G288="NPN05"),H288,"")</f>
        <v/>
      </c>
      <c r="BH288" s="44" t="str">
        <f>IF(AND(C288=Master!$H$9,B288="2012-2013",E288="",G288="NPN05"),H288,"")</f>
        <v/>
      </c>
    </row>
    <row r="289" spans="1:60" x14ac:dyDescent="0.25">
      <c r="A289" s="3">
        <v>287</v>
      </c>
      <c r="B289" s="12"/>
      <c r="C289" s="12"/>
      <c r="D289" s="31"/>
      <c r="E289" s="4"/>
      <c r="F289" s="13"/>
      <c r="G289" s="21"/>
      <c r="H289" s="35"/>
      <c r="I289" s="21"/>
      <c r="J289" s="25" t="str">
        <f>IF(NOT(I289=""),INDEX(Master!$B$1:$B$46,MATCH(I289,Master!$A$1:$A$46,0)),"")</f>
        <v/>
      </c>
      <c r="K289" s="18"/>
      <c r="L289" s="86"/>
      <c r="M289" s="13"/>
      <c r="N289" s="13"/>
      <c r="O289" s="18"/>
      <c r="P289" s="35"/>
      <c r="Q289" s="21"/>
      <c r="R289" s="21"/>
      <c r="S289" s="13"/>
      <c r="T289" s="12"/>
      <c r="U289" s="12"/>
      <c r="V289" s="12"/>
      <c r="W289" s="14"/>
      <c r="Y289" s="42" t="str">
        <f>IF(AND(C289=Master!$H$1,B289="2012-2013",E289&gt;1000,G289="PLN03"),H289,"")</f>
        <v/>
      </c>
      <c r="Z289" s="42" t="str">
        <f>IF(AND(C289=Master!$H$1,B289="2012-2013",E289="",G289="PLN03"),H289,"")</f>
        <v/>
      </c>
      <c r="AA289" s="42" t="str">
        <f>IF(AND(C289=Master!$H$2,B289="2012-2013",E289&gt;1000,G289="PLN03"),H289,"")</f>
        <v/>
      </c>
      <c r="AB289" s="42" t="str">
        <f>IF(AND(C289=Master!$H$2,B289="2012-2013",E289="",G289="PLN03"),H289,"")</f>
        <v/>
      </c>
      <c r="AC289" s="42" t="str">
        <f>IF(AND(C289=Master!$H$3,B289="2012-2013",E289&gt;1000,G289="PLN03"),H289,"")</f>
        <v/>
      </c>
      <c r="AD289" s="42" t="str">
        <f>IF(AND(C289=Master!$H$3,B289="2012-2013",E289="",G289="PLN03"),H289,"")</f>
        <v/>
      </c>
      <c r="AE289" s="42" t="str">
        <f>IF(AND(C289=Master!$H$4,B289="2012-2013",E289&gt;1000,G289="PLN03"),H289,"")</f>
        <v/>
      </c>
      <c r="AF289" s="42" t="str">
        <f>IF(AND(C289=Master!$H$4,B289="2012-2013",E289="",G289="PLN03"),H289,"")</f>
        <v/>
      </c>
      <c r="AG289" s="42" t="str">
        <f>IF(AND(C289=Master!$H$5,B289="2012-2013",E289&gt;1000,G289="PLN03"),H289,"")</f>
        <v/>
      </c>
      <c r="AH289" s="42" t="str">
        <f>IF(AND(C289=Master!$H$5,B289="2012-2013",E289="",G289="PLN03"),H289,"")</f>
        <v/>
      </c>
      <c r="AI289" s="42" t="str">
        <f>IF(AND(C289=Master!$H$6,B289="2012-2013",E289&gt;1000,G289="PLN03"),H289,"")</f>
        <v/>
      </c>
      <c r="AJ289" s="42" t="str">
        <f>IF(AND(C289=Master!$H$6,B289="2012-2013",E289="",G289="PLN03"),H289,"")</f>
        <v/>
      </c>
      <c r="AK289" s="42" t="str">
        <f>IF(AND(C289=Master!$H$7,B289="2012-2013",E289&gt;1000,G289="PLN03"),H289,"")</f>
        <v/>
      </c>
      <c r="AL289" s="42" t="str">
        <f>IF(AND(C289=Master!$H$7,B289="2012-2013",E289="",G289="PLN03"),H289,"")</f>
        <v/>
      </c>
      <c r="AM289" s="42" t="str">
        <f>IF(AND(C289=Master!$H$8,B289="2012-2013",E289&gt;1000,G289="PLN03"),H289,"")</f>
        <v/>
      </c>
      <c r="AN289" s="42" t="str">
        <f>IF(AND(C289=Master!$H$8,B289="2012-2013",E289="",G289="PLN03"),H289,"")</f>
        <v/>
      </c>
      <c r="AO289" s="42" t="str">
        <f>IF(AND(C289=Master!$H$9,B289="2012-2013",E289&gt;1000,G289="PLN03"),H289,"")</f>
        <v/>
      </c>
      <c r="AP289" s="42" t="str">
        <f>IF(AND(C289=Master!$H$9,B289="2012-2013",E289="",G289="PLN03"),H289,"")</f>
        <v/>
      </c>
      <c r="AQ289" s="44" t="str">
        <f>IF(AND(C289=Master!$H$1,B289="2012-2013",E289&gt;1000,G289="NPN05"),H289,"")</f>
        <v/>
      </c>
      <c r="AR289" s="44" t="str">
        <f>IF(AND(C289=Master!$H$1,B289="2012-2013",E289="",G289="NPN05"),H289,"")</f>
        <v/>
      </c>
      <c r="AS289" s="44" t="str">
        <f>IF(AND(C289=Master!$H$2,B289="2012-2013",E289&gt;1000,G289="NPN05"),H289,"")</f>
        <v/>
      </c>
      <c r="AT289" s="44" t="str">
        <f>IF(AND(C289=Master!$H$2,B289="2012-2013",E289="",G289="NPN05"),H289,"")</f>
        <v/>
      </c>
      <c r="AU289" s="44" t="str">
        <f>IF(AND(C289=Master!$H$3,B289="2012-2013",E289&gt;1000,G289="NPN05"),H289,"")</f>
        <v/>
      </c>
      <c r="AV289" s="44" t="str">
        <f>IF(AND(C289=Master!$H$3,B289="2012-2013",E289="",G289="NPN05"),H289,"")</f>
        <v/>
      </c>
      <c r="AW289" s="44" t="str">
        <f>IF(AND(C289=Master!$H$4,B289="2012-2013",E289&gt;1000,G289="NPN05"),H289,"")</f>
        <v/>
      </c>
      <c r="AX289" s="44" t="str">
        <f>IF(AND(C289=Master!$H$4,B289="2012-2013",E289="",G289="NPN05"),H289,"")</f>
        <v/>
      </c>
      <c r="AY289" s="44" t="str">
        <f>IF(AND(C289=Master!$H$5,B289="2012-2013",E289&gt;1000,G289="NPN05"),H289,"")</f>
        <v/>
      </c>
      <c r="AZ289" s="44" t="str">
        <f>IF(AND(C289=Master!$H$5,B289="2012-2013",E289="",G289="NPN05"),H289,"")</f>
        <v/>
      </c>
      <c r="BA289" s="44" t="str">
        <f>IF(AND(C289=Master!$H$6,B289="2012-2013",E289&gt;1000,G289="NPN05"),H289,"")</f>
        <v/>
      </c>
      <c r="BB289" s="44" t="str">
        <f>IF(AND(C289=Master!$H$6,B289="2012-2013",E289="",G289="NPN05"),H289,"")</f>
        <v/>
      </c>
      <c r="BC289" s="44" t="str">
        <f>IF(AND(C289=Master!$H$7,B289="2012-2013",E289&gt;1000,G289="NPN05"),H289,"")</f>
        <v/>
      </c>
      <c r="BD289" s="44" t="str">
        <f>IF(AND(C289=Master!$H$7,B289="2012-2013",E289="",G289="NPN05"),H289,"")</f>
        <v/>
      </c>
      <c r="BE289" s="44" t="str">
        <f>IF(AND(C289=Master!$H$8,B289="2012-2013",E289&gt;1000,G289="NPN05"),H289,"")</f>
        <v/>
      </c>
      <c r="BF289" s="44" t="str">
        <f>IF(AND(C289=Master!$H$8,B289="2012-2013",E289="",G289="NPN05"),H289,"")</f>
        <v/>
      </c>
      <c r="BG289" s="44" t="str">
        <f>IF(AND(C289=Master!$H$9,B289="2012-2013",E289&gt;1000,G289="NPN05"),H289,"")</f>
        <v/>
      </c>
      <c r="BH289" s="44" t="str">
        <f>IF(AND(C289=Master!$H$9,B289="2012-2013",E289="",G289="NPN05"),H289,"")</f>
        <v/>
      </c>
    </row>
    <row r="290" spans="1:60" x14ac:dyDescent="0.25">
      <c r="A290" s="3">
        <v>288</v>
      </c>
      <c r="B290" s="12"/>
      <c r="C290" s="12"/>
      <c r="D290" s="31"/>
      <c r="E290" s="4"/>
      <c r="F290" s="13"/>
      <c r="G290" s="21"/>
      <c r="H290" s="35"/>
      <c r="I290" s="21"/>
      <c r="J290" s="25" t="str">
        <f>IF(NOT(I290=""),INDEX(Master!$B$1:$B$46,MATCH(I290,Master!$A$1:$A$46,0)),"")</f>
        <v/>
      </c>
      <c r="K290" s="18"/>
      <c r="L290" s="86"/>
      <c r="M290" s="13"/>
      <c r="N290" s="13"/>
      <c r="O290" s="18"/>
      <c r="P290" s="35"/>
      <c r="Q290" s="21"/>
      <c r="R290" s="21"/>
      <c r="S290" s="13"/>
      <c r="T290" s="12"/>
      <c r="U290" s="12"/>
      <c r="V290" s="12"/>
      <c r="W290" s="14"/>
      <c r="Y290" s="42" t="str">
        <f>IF(AND(C290=Master!$H$1,B290="2012-2013",E290&gt;1000,G290="PLN03"),H290,"")</f>
        <v/>
      </c>
      <c r="Z290" s="42" t="str">
        <f>IF(AND(C290=Master!$H$1,B290="2012-2013",E290="",G290="PLN03"),H290,"")</f>
        <v/>
      </c>
      <c r="AA290" s="42" t="str">
        <f>IF(AND(C290=Master!$H$2,B290="2012-2013",E290&gt;1000,G290="PLN03"),H290,"")</f>
        <v/>
      </c>
      <c r="AB290" s="42" t="str">
        <f>IF(AND(C290=Master!$H$2,B290="2012-2013",E290="",G290="PLN03"),H290,"")</f>
        <v/>
      </c>
      <c r="AC290" s="42" t="str">
        <f>IF(AND(C290=Master!$H$3,B290="2012-2013",E290&gt;1000,G290="PLN03"),H290,"")</f>
        <v/>
      </c>
      <c r="AD290" s="42" t="str">
        <f>IF(AND(C290=Master!$H$3,B290="2012-2013",E290="",G290="PLN03"),H290,"")</f>
        <v/>
      </c>
      <c r="AE290" s="42" t="str">
        <f>IF(AND(C290=Master!$H$4,B290="2012-2013",E290&gt;1000,G290="PLN03"),H290,"")</f>
        <v/>
      </c>
      <c r="AF290" s="42" t="str">
        <f>IF(AND(C290=Master!$H$4,B290="2012-2013",E290="",G290="PLN03"),H290,"")</f>
        <v/>
      </c>
      <c r="AG290" s="42" t="str">
        <f>IF(AND(C290=Master!$H$5,B290="2012-2013",E290&gt;1000,G290="PLN03"),H290,"")</f>
        <v/>
      </c>
      <c r="AH290" s="42" t="str">
        <f>IF(AND(C290=Master!$H$5,B290="2012-2013",E290="",G290="PLN03"),H290,"")</f>
        <v/>
      </c>
      <c r="AI290" s="42" t="str">
        <f>IF(AND(C290=Master!$H$6,B290="2012-2013",E290&gt;1000,G290="PLN03"),H290,"")</f>
        <v/>
      </c>
      <c r="AJ290" s="42" t="str">
        <f>IF(AND(C290=Master!$H$6,B290="2012-2013",E290="",G290="PLN03"),H290,"")</f>
        <v/>
      </c>
      <c r="AK290" s="42" t="str">
        <f>IF(AND(C290=Master!$H$7,B290="2012-2013",E290&gt;1000,G290="PLN03"),H290,"")</f>
        <v/>
      </c>
      <c r="AL290" s="42" t="str">
        <f>IF(AND(C290=Master!$H$7,B290="2012-2013",E290="",G290="PLN03"),H290,"")</f>
        <v/>
      </c>
      <c r="AM290" s="42" t="str">
        <f>IF(AND(C290=Master!$H$8,B290="2012-2013",E290&gt;1000,G290="PLN03"),H290,"")</f>
        <v/>
      </c>
      <c r="AN290" s="42" t="str">
        <f>IF(AND(C290=Master!$H$8,B290="2012-2013",E290="",G290="PLN03"),H290,"")</f>
        <v/>
      </c>
      <c r="AO290" s="42" t="str">
        <f>IF(AND(C290=Master!$H$9,B290="2012-2013",E290&gt;1000,G290="PLN03"),H290,"")</f>
        <v/>
      </c>
      <c r="AP290" s="42" t="str">
        <f>IF(AND(C290=Master!$H$9,B290="2012-2013",E290="",G290="PLN03"),H290,"")</f>
        <v/>
      </c>
      <c r="AQ290" s="44" t="str">
        <f>IF(AND(C290=Master!$H$1,B290="2012-2013",E290&gt;1000,G290="NPN05"),H290,"")</f>
        <v/>
      </c>
      <c r="AR290" s="44" t="str">
        <f>IF(AND(C290=Master!$H$1,B290="2012-2013",E290="",G290="NPN05"),H290,"")</f>
        <v/>
      </c>
      <c r="AS290" s="44" t="str">
        <f>IF(AND(C290=Master!$H$2,B290="2012-2013",E290&gt;1000,G290="NPN05"),H290,"")</f>
        <v/>
      </c>
      <c r="AT290" s="44" t="str">
        <f>IF(AND(C290=Master!$H$2,B290="2012-2013",E290="",G290="NPN05"),H290,"")</f>
        <v/>
      </c>
      <c r="AU290" s="44" t="str">
        <f>IF(AND(C290=Master!$H$3,B290="2012-2013",E290&gt;1000,G290="NPN05"),H290,"")</f>
        <v/>
      </c>
      <c r="AV290" s="44" t="str">
        <f>IF(AND(C290=Master!$H$3,B290="2012-2013",E290="",G290="NPN05"),H290,"")</f>
        <v/>
      </c>
      <c r="AW290" s="44" t="str">
        <f>IF(AND(C290=Master!$H$4,B290="2012-2013",E290&gt;1000,G290="NPN05"),H290,"")</f>
        <v/>
      </c>
      <c r="AX290" s="44" t="str">
        <f>IF(AND(C290=Master!$H$4,B290="2012-2013",E290="",G290="NPN05"),H290,"")</f>
        <v/>
      </c>
      <c r="AY290" s="44" t="str">
        <f>IF(AND(C290=Master!$H$5,B290="2012-2013",E290&gt;1000,G290="NPN05"),H290,"")</f>
        <v/>
      </c>
      <c r="AZ290" s="44" t="str">
        <f>IF(AND(C290=Master!$H$5,B290="2012-2013",E290="",G290="NPN05"),H290,"")</f>
        <v/>
      </c>
      <c r="BA290" s="44" t="str">
        <f>IF(AND(C290=Master!$H$6,B290="2012-2013",E290&gt;1000,G290="NPN05"),H290,"")</f>
        <v/>
      </c>
      <c r="BB290" s="44" t="str">
        <f>IF(AND(C290=Master!$H$6,B290="2012-2013",E290="",G290="NPN05"),H290,"")</f>
        <v/>
      </c>
      <c r="BC290" s="44" t="str">
        <f>IF(AND(C290=Master!$H$7,B290="2012-2013",E290&gt;1000,G290="NPN05"),H290,"")</f>
        <v/>
      </c>
      <c r="BD290" s="44" t="str">
        <f>IF(AND(C290=Master!$H$7,B290="2012-2013",E290="",G290="NPN05"),H290,"")</f>
        <v/>
      </c>
      <c r="BE290" s="44" t="str">
        <f>IF(AND(C290=Master!$H$8,B290="2012-2013",E290&gt;1000,G290="NPN05"),H290,"")</f>
        <v/>
      </c>
      <c r="BF290" s="44" t="str">
        <f>IF(AND(C290=Master!$H$8,B290="2012-2013",E290="",G290="NPN05"),H290,"")</f>
        <v/>
      </c>
      <c r="BG290" s="44" t="str">
        <f>IF(AND(C290=Master!$H$9,B290="2012-2013",E290&gt;1000,G290="NPN05"),H290,"")</f>
        <v/>
      </c>
      <c r="BH290" s="44" t="str">
        <f>IF(AND(C290=Master!$H$9,B290="2012-2013",E290="",G290="NPN05"),H290,"")</f>
        <v/>
      </c>
    </row>
    <row r="291" spans="1:60" x14ac:dyDescent="0.25">
      <c r="A291" s="3">
        <v>289</v>
      </c>
      <c r="B291" s="12"/>
      <c r="C291" s="12"/>
      <c r="D291" s="31"/>
      <c r="E291" s="4"/>
      <c r="F291" s="13"/>
      <c r="G291" s="21"/>
      <c r="H291" s="35"/>
      <c r="I291" s="21"/>
      <c r="J291" s="25" t="str">
        <f>IF(NOT(I291=""),INDEX(Master!$B$1:$B$46,MATCH(I291,Master!$A$1:$A$46,0)),"")</f>
        <v/>
      </c>
      <c r="K291" s="18"/>
      <c r="L291" s="86"/>
      <c r="M291" s="13"/>
      <c r="N291" s="13"/>
      <c r="O291" s="18"/>
      <c r="P291" s="35"/>
      <c r="Q291" s="21"/>
      <c r="R291" s="21"/>
      <c r="S291" s="13"/>
      <c r="T291" s="12"/>
      <c r="U291" s="12"/>
      <c r="V291" s="12"/>
      <c r="W291" s="14"/>
      <c r="Y291" s="42" t="str">
        <f>IF(AND(C291=Master!$H$1,B291="2012-2013",E291&gt;1000,G291="PLN03"),H291,"")</f>
        <v/>
      </c>
      <c r="Z291" s="42" t="str">
        <f>IF(AND(C291=Master!$H$1,B291="2012-2013",E291="",G291="PLN03"),H291,"")</f>
        <v/>
      </c>
      <c r="AA291" s="42" t="str">
        <f>IF(AND(C291=Master!$H$2,B291="2012-2013",E291&gt;1000,G291="PLN03"),H291,"")</f>
        <v/>
      </c>
      <c r="AB291" s="42" t="str">
        <f>IF(AND(C291=Master!$H$2,B291="2012-2013",E291="",G291="PLN03"),H291,"")</f>
        <v/>
      </c>
      <c r="AC291" s="42" t="str">
        <f>IF(AND(C291=Master!$H$3,B291="2012-2013",E291&gt;1000,G291="PLN03"),H291,"")</f>
        <v/>
      </c>
      <c r="AD291" s="42" t="str">
        <f>IF(AND(C291=Master!$H$3,B291="2012-2013",E291="",G291="PLN03"),H291,"")</f>
        <v/>
      </c>
      <c r="AE291" s="42" t="str">
        <f>IF(AND(C291=Master!$H$4,B291="2012-2013",E291&gt;1000,G291="PLN03"),H291,"")</f>
        <v/>
      </c>
      <c r="AF291" s="42" t="str">
        <f>IF(AND(C291=Master!$H$4,B291="2012-2013",E291="",G291="PLN03"),H291,"")</f>
        <v/>
      </c>
      <c r="AG291" s="42" t="str">
        <f>IF(AND(C291=Master!$H$5,B291="2012-2013",E291&gt;1000,G291="PLN03"),H291,"")</f>
        <v/>
      </c>
      <c r="AH291" s="42" t="str">
        <f>IF(AND(C291=Master!$H$5,B291="2012-2013",E291="",G291="PLN03"),H291,"")</f>
        <v/>
      </c>
      <c r="AI291" s="42" t="str">
        <f>IF(AND(C291=Master!$H$6,B291="2012-2013",E291&gt;1000,G291="PLN03"),H291,"")</f>
        <v/>
      </c>
      <c r="AJ291" s="42" t="str">
        <f>IF(AND(C291=Master!$H$6,B291="2012-2013",E291="",G291="PLN03"),H291,"")</f>
        <v/>
      </c>
      <c r="AK291" s="42" t="str">
        <f>IF(AND(C291=Master!$H$7,B291="2012-2013",E291&gt;1000,G291="PLN03"),H291,"")</f>
        <v/>
      </c>
      <c r="AL291" s="42" t="str">
        <f>IF(AND(C291=Master!$H$7,B291="2012-2013",E291="",G291="PLN03"),H291,"")</f>
        <v/>
      </c>
      <c r="AM291" s="42" t="str">
        <f>IF(AND(C291=Master!$H$8,B291="2012-2013",E291&gt;1000,G291="PLN03"),H291,"")</f>
        <v/>
      </c>
      <c r="AN291" s="42" t="str">
        <f>IF(AND(C291=Master!$H$8,B291="2012-2013",E291="",G291="PLN03"),H291,"")</f>
        <v/>
      </c>
      <c r="AO291" s="42" t="str">
        <f>IF(AND(C291=Master!$H$9,B291="2012-2013",E291&gt;1000,G291="PLN03"),H291,"")</f>
        <v/>
      </c>
      <c r="AP291" s="42" t="str">
        <f>IF(AND(C291=Master!$H$9,B291="2012-2013",E291="",G291="PLN03"),H291,"")</f>
        <v/>
      </c>
      <c r="AQ291" s="44" t="str">
        <f>IF(AND(C291=Master!$H$1,B291="2012-2013",E291&gt;1000,G291="NPN05"),H291,"")</f>
        <v/>
      </c>
      <c r="AR291" s="44" t="str">
        <f>IF(AND(C291=Master!$H$1,B291="2012-2013",E291="",G291="NPN05"),H291,"")</f>
        <v/>
      </c>
      <c r="AS291" s="44" t="str">
        <f>IF(AND(C291=Master!$H$2,B291="2012-2013",E291&gt;1000,G291="NPN05"),H291,"")</f>
        <v/>
      </c>
      <c r="AT291" s="44" t="str">
        <f>IF(AND(C291=Master!$H$2,B291="2012-2013",E291="",G291="NPN05"),H291,"")</f>
        <v/>
      </c>
      <c r="AU291" s="44" t="str">
        <f>IF(AND(C291=Master!$H$3,B291="2012-2013",E291&gt;1000,G291="NPN05"),H291,"")</f>
        <v/>
      </c>
      <c r="AV291" s="44" t="str">
        <f>IF(AND(C291=Master!$H$3,B291="2012-2013",E291="",G291="NPN05"),H291,"")</f>
        <v/>
      </c>
      <c r="AW291" s="44" t="str">
        <f>IF(AND(C291=Master!$H$4,B291="2012-2013",E291&gt;1000,G291="NPN05"),H291,"")</f>
        <v/>
      </c>
      <c r="AX291" s="44" t="str">
        <f>IF(AND(C291=Master!$H$4,B291="2012-2013",E291="",G291="NPN05"),H291,"")</f>
        <v/>
      </c>
      <c r="AY291" s="44" t="str">
        <f>IF(AND(C291=Master!$H$5,B291="2012-2013",E291&gt;1000,G291="NPN05"),H291,"")</f>
        <v/>
      </c>
      <c r="AZ291" s="44" t="str">
        <f>IF(AND(C291=Master!$H$5,B291="2012-2013",E291="",G291="NPN05"),H291,"")</f>
        <v/>
      </c>
      <c r="BA291" s="44" t="str">
        <f>IF(AND(C291=Master!$H$6,B291="2012-2013",E291&gt;1000,G291="NPN05"),H291,"")</f>
        <v/>
      </c>
      <c r="BB291" s="44" t="str">
        <f>IF(AND(C291=Master!$H$6,B291="2012-2013",E291="",G291="NPN05"),H291,"")</f>
        <v/>
      </c>
      <c r="BC291" s="44" t="str">
        <f>IF(AND(C291=Master!$H$7,B291="2012-2013",E291&gt;1000,G291="NPN05"),H291,"")</f>
        <v/>
      </c>
      <c r="BD291" s="44" t="str">
        <f>IF(AND(C291=Master!$H$7,B291="2012-2013",E291="",G291="NPN05"),H291,"")</f>
        <v/>
      </c>
      <c r="BE291" s="44" t="str">
        <f>IF(AND(C291=Master!$H$8,B291="2012-2013",E291&gt;1000,G291="NPN05"),H291,"")</f>
        <v/>
      </c>
      <c r="BF291" s="44" t="str">
        <f>IF(AND(C291=Master!$H$8,B291="2012-2013",E291="",G291="NPN05"),H291,"")</f>
        <v/>
      </c>
      <c r="BG291" s="44" t="str">
        <f>IF(AND(C291=Master!$H$9,B291="2012-2013",E291&gt;1000,G291="NPN05"),H291,"")</f>
        <v/>
      </c>
      <c r="BH291" s="44" t="str">
        <f>IF(AND(C291=Master!$H$9,B291="2012-2013",E291="",G291="NPN05"),H291,"")</f>
        <v/>
      </c>
    </row>
    <row r="292" spans="1:60" x14ac:dyDescent="0.25">
      <c r="A292" s="5">
        <v>290</v>
      </c>
      <c r="B292" s="12"/>
      <c r="C292" s="12"/>
      <c r="D292" s="31"/>
      <c r="E292" s="4"/>
      <c r="F292" s="13"/>
      <c r="G292" s="21"/>
      <c r="H292" s="35"/>
      <c r="I292" s="21"/>
      <c r="J292" s="25" t="str">
        <f>IF(NOT(I292=""),INDEX(Master!$B$1:$B$46,MATCH(I292,Master!$A$1:$A$46,0)),"")</f>
        <v/>
      </c>
      <c r="K292" s="18"/>
      <c r="L292" s="86"/>
      <c r="M292" s="13"/>
      <c r="N292" s="13"/>
      <c r="O292" s="18"/>
      <c r="P292" s="35"/>
      <c r="Q292" s="21"/>
      <c r="R292" s="21"/>
      <c r="S292" s="13"/>
      <c r="T292" s="12"/>
      <c r="U292" s="12"/>
      <c r="V292" s="12"/>
      <c r="W292" s="14"/>
      <c r="Y292" s="42" t="str">
        <f>IF(AND(C292=Master!$H$1,B292="2012-2013",E292&gt;1000,G292="PLN03"),H292,"")</f>
        <v/>
      </c>
      <c r="Z292" s="42" t="str">
        <f>IF(AND(C292=Master!$H$1,B292="2012-2013",E292="",G292="PLN03"),H292,"")</f>
        <v/>
      </c>
      <c r="AA292" s="42" t="str">
        <f>IF(AND(C292=Master!$H$2,B292="2012-2013",E292&gt;1000,G292="PLN03"),H292,"")</f>
        <v/>
      </c>
      <c r="AB292" s="42" t="str">
        <f>IF(AND(C292=Master!$H$2,B292="2012-2013",E292="",G292="PLN03"),H292,"")</f>
        <v/>
      </c>
      <c r="AC292" s="42" t="str">
        <f>IF(AND(C292=Master!$H$3,B292="2012-2013",E292&gt;1000,G292="PLN03"),H292,"")</f>
        <v/>
      </c>
      <c r="AD292" s="42" t="str">
        <f>IF(AND(C292=Master!$H$3,B292="2012-2013",E292="",G292="PLN03"),H292,"")</f>
        <v/>
      </c>
      <c r="AE292" s="42" t="str">
        <f>IF(AND(C292=Master!$H$4,B292="2012-2013",E292&gt;1000,G292="PLN03"),H292,"")</f>
        <v/>
      </c>
      <c r="AF292" s="42" t="str">
        <f>IF(AND(C292=Master!$H$4,B292="2012-2013",E292="",G292="PLN03"),H292,"")</f>
        <v/>
      </c>
      <c r="AG292" s="42" t="str">
        <f>IF(AND(C292=Master!$H$5,B292="2012-2013",E292&gt;1000,G292="PLN03"),H292,"")</f>
        <v/>
      </c>
      <c r="AH292" s="42" t="str">
        <f>IF(AND(C292=Master!$H$5,B292="2012-2013",E292="",G292="PLN03"),H292,"")</f>
        <v/>
      </c>
      <c r="AI292" s="42" t="str">
        <f>IF(AND(C292=Master!$H$6,B292="2012-2013",E292&gt;1000,G292="PLN03"),H292,"")</f>
        <v/>
      </c>
      <c r="AJ292" s="42" t="str">
        <f>IF(AND(C292=Master!$H$6,B292="2012-2013",E292="",G292="PLN03"),H292,"")</f>
        <v/>
      </c>
      <c r="AK292" s="42" t="str">
        <f>IF(AND(C292=Master!$H$7,B292="2012-2013",E292&gt;1000,G292="PLN03"),H292,"")</f>
        <v/>
      </c>
      <c r="AL292" s="42" t="str">
        <f>IF(AND(C292=Master!$H$7,B292="2012-2013",E292="",G292="PLN03"),H292,"")</f>
        <v/>
      </c>
      <c r="AM292" s="42" t="str">
        <f>IF(AND(C292=Master!$H$8,B292="2012-2013",E292&gt;1000,G292="PLN03"),H292,"")</f>
        <v/>
      </c>
      <c r="AN292" s="42" t="str">
        <f>IF(AND(C292=Master!$H$8,B292="2012-2013",E292="",G292="PLN03"),H292,"")</f>
        <v/>
      </c>
      <c r="AO292" s="42" t="str">
        <f>IF(AND(C292=Master!$H$9,B292="2012-2013",E292&gt;1000,G292="PLN03"),H292,"")</f>
        <v/>
      </c>
      <c r="AP292" s="42" t="str">
        <f>IF(AND(C292=Master!$H$9,B292="2012-2013",E292="",G292="PLN03"),H292,"")</f>
        <v/>
      </c>
      <c r="AQ292" s="44" t="str">
        <f>IF(AND(C292=Master!$H$1,B292="2012-2013",E292&gt;1000,G292="NPN05"),H292,"")</f>
        <v/>
      </c>
      <c r="AR292" s="44" t="str">
        <f>IF(AND(C292=Master!$H$1,B292="2012-2013",E292="",G292="NPN05"),H292,"")</f>
        <v/>
      </c>
      <c r="AS292" s="44" t="str">
        <f>IF(AND(C292=Master!$H$2,B292="2012-2013",E292&gt;1000,G292="NPN05"),H292,"")</f>
        <v/>
      </c>
      <c r="AT292" s="44" t="str">
        <f>IF(AND(C292=Master!$H$2,B292="2012-2013",E292="",G292="NPN05"),H292,"")</f>
        <v/>
      </c>
      <c r="AU292" s="44" t="str">
        <f>IF(AND(C292=Master!$H$3,B292="2012-2013",E292&gt;1000,G292="NPN05"),H292,"")</f>
        <v/>
      </c>
      <c r="AV292" s="44" t="str">
        <f>IF(AND(C292=Master!$H$3,B292="2012-2013",E292="",G292="NPN05"),H292,"")</f>
        <v/>
      </c>
      <c r="AW292" s="44" t="str">
        <f>IF(AND(C292=Master!$H$4,B292="2012-2013",E292&gt;1000,G292="NPN05"),H292,"")</f>
        <v/>
      </c>
      <c r="AX292" s="44" t="str">
        <f>IF(AND(C292=Master!$H$4,B292="2012-2013",E292="",G292="NPN05"),H292,"")</f>
        <v/>
      </c>
      <c r="AY292" s="44" t="str">
        <f>IF(AND(C292=Master!$H$5,B292="2012-2013",E292&gt;1000,G292="NPN05"),H292,"")</f>
        <v/>
      </c>
      <c r="AZ292" s="44" t="str">
        <f>IF(AND(C292=Master!$H$5,B292="2012-2013",E292="",G292="NPN05"),H292,"")</f>
        <v/>
      </c>
      <c r="BA292" s="44" t="str">
        <f>IF(AND(C292=Master!$H$6,B292="2012-2013",E292&gt;1000,G292="NPN05"),H292,"")</f>
        <v/>
      </c>
      <c r="BB292" s="44" t="str">
        <f>IF(AND(C292=Master!$H$6,B292="2012-2013",E292="",G292="NPN05"),H292,"")</f>
        <v/>
      </c>
      <c r="BC292" s="44" t="str">
        <f>IF(AND(C292=Master!$H$7,B292="2012-2013",E292&gt;1000,G292="NPN05"),H292,"")</f>
        <v/>
      </c>
      <c r="BD292" s="44" t="str">
        <f>IF(AND(C292=Master!$H$7,B292="2012-2013",E292="",G292="NPN05"),H292,"")</f>
        <v/>
      </c>
      <c r="BE292" s="44" t="str">
        <f>IF(AND(C292=Master!$H$8,B292="2012-2013",E292&gt;1000,G292="NPN05"),H292,"")</f>
        <v/>
      </c>
      <c r="BF292" s="44" t="str">
        <f>IF(AND(C292=Master!$H$8,B292="2012-2013",E292="",G292="NPN05"),H292,"")</f>
        <v/>
      </c>
      <c r="BG292" s="44" t="str">
        <f>IF(AND(C292=Master!$H$9,B292="2012-2013",E292&gt;1000,G292="NPN05"),H292,"")</f>
        <v/>
      </c>
      <c r="BH292" s="44" t="str">
        <f>IF(AND(C292=Master!$H$9,B292="2012-2013",E292="",G292="NPN05"),H292,"")</f>
        <v/>
      </c>
    </row>
    <row r="293" spans="1:60" x14ac:dyDescent="0.25">
      <c r="A293" s="3">
        <v>291</v>
      </c>
      <c r="B293" s="12"/>
      <c r="C293" s="12"/>
      <c r="D293" s="31"/>
      <c r="E293" s="4"/>
      <c r="F293" s="13"/>
      <c r="G293" s="21"/>
      <c r="H293" s="35"/>
      <c r="I293" s="21"/>
      <c r="J293" s="25" t="str">
        <f>IF(NOT(I293=""),INDEX(Master!$B$1:$B$46,MATCH(I293,Master!$A$1:$A$46,0)),"")</f>
        <v/>
      </c>
      <c r="K293" s="18"/>
      <c r="L293" s="86"/>
      <c r="M293" s="13"/>
      <c r="N293" s="13"/>
      <c r="O293" s="18"/>
      <c r="P293" s="35"/>
      <c r="Q293" s="21"/>
      <c r="R293" s="21"/>
      <c r="S293" s="13"/>
      <c r="T293" s="12"/>
      <c r="U293" s="12"/>
      <c r="V293" s="12"/>
      <c r="W293" s="14"/>
      <c r="Y293" s="42" t="str">
        <f>IF(AND(C293=Master!$H$1,B293="2012-2013",E293&gt;1000,G293="PLN03"),H293,"")</f>
        <v/>
      </c>
      <c r="Z293" s="42" t="str">
        <f>IF(AND(C293=Master!$H$1,B293="2012-2013",E293="",G293="PLN03"),H293,"")</f>
        <v/>
      </c>
      <c r="AA293" s="42" t="str">
        <f>IF(AND(C293=Master!$H$2,B293="2012-2013",E293&gt;1000,G293="PLN03"),H293,"")</f>
        <v/>
      </c>
      <c r="AB293" s="42" t="str">
        <f>IF(AND(C293=Master!$H$2,B293="2012-2013",E293="",G293="PLN03"),H293,"")</f>
        <v/>
      </c>
      <c r="AC293" s="42" t="str">
        <f>IF(AND(C293=Master!$H$3,B293="2012-2013",E293&gt;1000,G293="PLN03"),H293,"")</f>
        <v/>
      </c>
      <c r="AD293" s="42" t="str">
        <f>IF(AND(C293=Master!$H$3,B293="2012-2013",E293="",G293="PLN03"),H293,"")</f>
        <v/>
      </c>
      <c r="AE293" s="42" t="str">
        <f>IF(AND(C293=Master!$H$4,B293="2012-2013",E293&gt;1000,G293="PLN03"),H293,"")</f>
        <v/>
      </c>
      <c r="AF293" s="42" t="str">
        <f>IF(AND(C293=Master!$H$4,B293="2012-2013",E293="",G293="PLN03"),H293,"")</f>
        <v/>
      </c>
      <c r="AG293" s="42" t="str">
        <f>IF(AND(C293=Master!$H$5,B293="2012-2013",E293&gt;1000,G293="PLN03"),H293,"")</f>
        <v/>
      </c>
      <c r="AH293" s="42" t="str">
        <f>IF(AND(C293=Master!$H$5,B293="2012-2013",E293="",G293="PLN03"),H293,"")</f>
        <v/>
      </c>
      <c r="AI293" s="42" t="str">
        <f>IF(AND(C293=Master!$H$6,B293="2012-2013",E293&gt;1000,G293="PLN03"),H293,"")</f>
        <v/>
      </c>
      <c r="AJ293" s="42" t="str">
        <f>IF(AND(C293=Master!$H$6,B293="2012-2013",E293="",G293="PLN03"),H293,"")</f>
        <v/>
      </c>
      <c r="AK293" s="42" t="str">
        <f>IF(AND(C293=Master!$H$7,B293="2012-2013",E293&gt;1000,G293="PLN03"),H293,"")</f>
        <v/>
      </c>
      <c r="AL293" s="42" t="str">
        <f>IF(AND(C293=Master!$H$7,B293="2012-2013",E293="",G293="PLN03"),H293,"")</f>
        <v/>
      </c>
      <c r="AM293" s="42" t="str">
        <f>IF(AND(C293=Master!$H$8,B293="2012-2013",E293&gt;1000,G293="PLN03"),H293,"")</f>
        <v/>
      </c>
      <c r="AN293" s="42" t="str">
        <f>IF(AND(C293=Master!$H$8,B293="2012-2013",E293="",G293="PLN03"),H293,"")</f>
        <v/>
      </c>
      <c r="AO293" s="42" t="str">
        <f>IF(AND(C293=Master!$H$9,B293="2012-2013",E293&gt;1000,G293="PLN03"),H293,"")</f>
        <v/>
      </c>
      <c r="AP293" s="42" t="str">
        <f>IF(AND(C293=Master!$H$9,B293="2012-2013",E293="",G293="PLN03"),H293,"")</f>
        <v/>
      </c>
      <c r="AQ293" s="44" t="str">
        <f>IF(AND(C293=Master!$H$1,B293="2012-2013",E293&gt;1000,G293="NPN05"),H293,"")</f>
        <v/>
      </c>
      <c r="AR293" s="44" t="str">
        <f>IF(AND(C293=Master!$H$1,B293="2012-2013",E293="",G293="NPN05"),H293,"")</f>
        <v/>
      </c>
      <c r="AS293" s="44" t="str">
        <f>IF(AND(C293=Master!$H$2,B293="2012-2013",E293&gt;1000,G293="NPN05"),H293,"")</f>
        <v/>
      </c>
      <c r="AT293" s="44" t="str">
        <f>IF(AND(C293=Master!$H$2,B293="2012-2013",E293="",G293="NPN05"),H293,"")</f>
        <v/>
      </c>
      <c r="AU293" s="44" t="str">
        <f>IF(AND(C293=Master!$H$3,B293="2012-2013",E293&gt;1000,G293="NPN05"),H293,"")</f>
        <v/>
      </c>
      <c r="AV293" s="44" t="str">
        <f>IF(AND(C293=Master!$H$3,B293="2012-2013",E293="",G293="NPN05"),H293,"")</f>
        <v/>
      </c>
      <c r="AW293" s="44" t="str">
        <f>IF(AND(C293=Master!$H$4,B293="2012-2013",E293&gt;1000,G293="NPN05"),H293,"")</f>
        <v/>
      </c>
      <c r="AX293" s="44" t="str">
        <f>IF(AND(C293=Master!$H$4,B293="2012-2013",E293="",G293="NPN05"),H293,"")</f>
        <v/>
      </c>
      <c r="AY293" s="44" t="str">
        <f>IF(AND(C293=Master!$H$5,B293="2012-2013",E293&gt;1000,G293="NPN05"),H293,"")</f>
        <v/>
      </c>
      <c r="AZ293" s="44" t="str">
        <f>IF(AND(C293=Master!$H$5,B293="2012-2013",E293="",G293="NPN05"),H293,"")</f>
        <v/>
      </c>
      <c r="BA293" s="44" t="str">
        <f>IF(AND(C293=Master!$H$6,B293="2012-2013",E293&gt;1000,G293="NPN05"),H293,"")</f>
        <v/>
      </c>
      <c r="BB293" s="44" t="str">
        <f>IF(AND(C293=Master!$H$6,B293="2012-2013",E293="",G293="NPN05"),H293,"")</f>
        <v/>
      </c>
      <c r="BC293" s="44" t="str">
        <f>IF(AND(C293=Master!$H$7,B293="2012-2013",E293&gt;1000,G293="NPN05"),H293,"")</f>
        <v/>
      </c>
      <c r="BD293" s="44" t="str">
        <f>IF(AND(C293=Master!$H$7,B293="2012-2013",E293="",G293="NPN05"),H293,"")</f>
        <v/>
      </c>
      <c r="BE293" s="44" t="str">
        <f>IF(AND(C293=Master!$H$8,B293="2012-2013",E293&gt;1000,G293="NPN05"),H293,"")</f>
        <v/>
      </c>
      <c r="BF293" s="44" t="str">
        <f>IF(AND(C293=Master!$H$8,B293="2012-2013",E293="",G293="NPN05"),H293,"")</f>
        <v/>
      </c>
      <c r="BG293" s="44" t="str">
        <f>IF(AND(C293=Master!$H$9,B293="2012-2013",E293&gt;1000,G293="NPN05"),H293,"")</f>
        <v/>
      </c>
      <c r="BH293" s="44" t="str">
        <f>IF(AND(C293=Master!$H$9,B293="2012-2013",E293="",G293="NPN05"),H293,"")</f>
        <v/>
      </c>
    </row>
    <row r="294" spans="1:60" x14ac:dyDescent="0.25">
      <c r="A294" s="3">
        <v>292</v>
      </c>
      <c r="B294" s="12"/>
      <c r="C294" s="12"/>
      <c r="D294" s="31"/>
      <c r="E294" s="4"/>
      <c r="F294" s="13"/>
      <c r="G294" s="21"/>
      <c r="H294" s="35"/>
      <c r="I294" s="21"/>
      <c r="J294" s="25" t="str">
        <f>IF(NOT(I294=""),INDEX(Master!$B$1:$B$46,MATCH(I294,Master!$A$1:$A$46,0)),"")</f>
        <v/>
      </c>
      <c r="K294" s="18"/>
      <c r="L294" s="86"/>
      <c r="M294" s="13"/>
      <c r="N294" s="13"/>
      <c r="O294" s="18"/>
      <c r="P294" s="35"/>
      <c r="Q294" s="21"/>
      <c r="R294" s="21"/>
      <c r="S294" s="13"/>
      <c r="T294" s="12"/>
      <c r="U294" s="12"/>
      <c r="V294" s="12"/>
      <c r="W294" s="14"/>
      <c r="Y294" s="42" t="str">
        <f>IF(AND(C294=Master!$H$1,B294="2012-2013",E294&gt;1000,G294="PLN03"),H294,"")</f>
        <v/>
      </c>
      <c r="Z294" s="42" t="str">
        <f>IF(AND(C294=Master!$H$1,B294="2012-2013",E294="",G294="PLN03"),H294,"")</f>
        <v/>
      </c>
      <c r="AA294" s="42" t="str">
        <f>IF(AND(C294=Master!$H$2,B294="2012-2013",E294&gt;1000,G294="PLN03"),H294,"")</f>
        <v/>
      </c>
      <c r="AB294" s="42" t="str">
        <f>IF(AND(C294=Master!$H$2,B294="2012-2013",E294="",G294="PLN03"),H294,"")</f>
        <v/>
      </c>
      <c r="AC294" s="42" t="str">
        <f>IF(AND(C294=Master!$H$3,B294="2012-2013",E294&gt;1000,G294="PLN03"),H294,"")</f>
        <v/>
      </c>
      <c r="AD294" s="42" t="str">
        <f>IF(AND(C294=Master!$H$3,B294="2012-2013",E294="",G294="PLN03"),H294,"")</f>
        <v/>
      </c>
      <c r="AE294" s="42" t="str">
        <f>IF(AND(C294=Master!$H$4,B294="2012-2013",E294&gt;1000,G294="PLN03"),H294,"")</f>
        <v/>
      </c>
      <c r="AF294" s="42" t="str">
        <f>IF(AND(C294=Master!$H$4,B294="2012-2013",E294="",G294="PLN03"),H294,"")</f>
        <v/>
      </c>
      <c r="AG294" s="42" t="str">
        <f>IF(AND(C294=Master!$H$5,B294="2012-2013",E294&gt;1000,G294="PLN03"),H294,"")</f>
        <v/>
      </c>
      <c r="AH294" s="42" t="str">
        <f>IF(AND(C294=Master!$H$5,B294="2012-2013",E294="",G294="PLN03"),H294,"")</f>
        <v/>
      </c>
      <c r="AI294" s="42" t="str">
        <f>IF(AND(C294=Master!$H$6,B294="2012-2013",E294&gt;1000,G294="PLN03"),H294,"")</f>
        <v/>
      </c>
      <c r="AJ294" s="42" t="str">
        <f>IF(AND(C294=Master!$H$6,B294="2012-2013",E294="",G294="PLN03"),H294,"")</f>
        <v/>
      </c>
      <c r="AK294" s="42" t="str">
        <f>IF(AND(C294=Master!$H$7,B294="2012-2013",E294&gt;1000,G294="PLN03"),H294,"")</f>
        <v/>
      </c>
      <c r="AL294" s="42" t="str">
        <f>IF(AND(C294=Master!$H$7,B294="2012-2013",E294="",G294="PLN03"),H294,"")</f>
        <v/>
      </c>
      <c r="AM294" s="42" t="str">
        <f>IF(AND(C294=Master!$H$8,B294="2012-2013",E294&gt;1000,G294="PLN03"),H294,"")</f>
        <v/>
      </c>
      <c r="AN294" s="42" t="str">
        <f>IF(AND(C294=Master!$H$8,B294="2012-2013",E294="",G294="PLN03"),H294,"")</f>
        <v/>
      </c>
      <c r="AO294" s="42" t="str">
        <f>IF(AND(C294=Master!$H$9,B294="2012-2013",E294&gt;1000,G294="PLN03"),H294,"")</f>
        <v/>
      </c>
      <c r="AP294" s="42" t="str">
        <f>IF(AND(C294=Master!$H$9,B294="2012-2013",E294="",G294="PLN03"),H294,"")</f>
        <v/>
      </c>
      <c r="AQ294" s="44" t="str">
        <f>IF(AND(C294=Master!$H$1,B294="2012-2013",E294&gt;1000,G294="NPN05"),H294,"")</f>
        <v/>
      </c>
      <c r="AR294" s="44" t="str">
        <f>IF(AND(C294=Master!$H$1,B294="2012-2013",E294="",G294="NPN05"),H294,"")</f>
        <v/>
      </c>
      <c r="AS294" s="44" t="str">
        <f>IF(AND(C294=Master!$H$2,B294="2012-2013",E294&gt;1000,G294="NPN05"),H294,"")</f>
        <v/>
      </c>
      <c r="AT294" s="44" t="str">
        <f>IF(AND(C294=Master!$H$2,B294="2012-2013",E294="",G294="NPN05"),H294,"")</f>
        <v/>
      </c>
      <c r="AU294" s="44" t="str">
        <f>IF(AND(C294=Master!$H$3,B294="2012-2013",E294&gt;1000,G294="NPN05"),H294,"")</f>
        <v/>
      </c>
      <c r="AV294" s="44" t="str">
        <f>IF(AND(C294=Master!$H$3,B294="2012-2013",E294="",G294="NPN05"),H294,"")</f>
        <v/>
      </c>
      <c r="AW294" s="44" t="str">
        <f>IF(AND(C294=Master!$H$4,B294="2012-2013",E294&gt;1000,G294="NPN05"),H294,"")</f>
        <v/>
      </c>
      <c r="AX294" s="44" t="str">
        <f>IF(AND(C294=Master!$H$4,B294="2012-2013",E294="",G294="NPN05"),H294,"")</f>
        <v/>
      </c>
      <c r="AY294" s="44" t="str">
        <f>IF(AND(C294=Master!$H$5,B294="2012-2013",E294&gt;1000,G294="NPN05"),H294,"")</f>
        <v/>
      </c>
      <c r="AZ294" s="44" t="str">
        <f>IF(AND(C294=Master!$H$5,B294="2012-2013",E294="",G294="NPN05"),H294,"")</f>
        <v/>
      </c>
      <c r="BA294" s="44" t="str">
        <f>IF(AND(C294=Master!$H$6,B294="2012-2013",E294&gt;1000,G294="NPN05"),H294,"")</f>
        <v/>
      </c>
      <c r="BB294" s="44" t="str">
        <f>IF(AND(C294=Master!$H$6,B294="2012-2013",E294="",G294="NPN05"),H294,"")</f>
        <v/>
      </c>
      <c r="BC294" s="44" t="str">
        <f>IF(AND(C294=Master!$H$7,B294="2012-2013",E294&gt;1000,G294="NPN05"),H294,"")</f>
        <v/>
      </c>
      <c r="BD294" s="44" t="str">
        <f>IF(AND(C294=Master!$H$7,B294="2012-2013",E294="",G294="NPN05"),H294,"")</f>
        <v/>
      </c>
      <c r="BE294" s="44" t="str">
        <f>IF(AND(C294=Master!$H$8,B294="2012-2013",E294&gt;1000,G294="NPN05"),H294,"")</f>
        <v/>
      </c>
      <c r="BF294" s="44" t="str">
        <f>IF(AND(C294=Master!$H$8,B294="2012-2013",E294="",G294="NPN05"),H294,"")</f>
        <v/>
      </c>
      <c r="BG294" s="44" t="str">
        <f>IF(AND(C294=Master!$H$9,B294="2012-2013",E294&gt;1000,G294="NPN05"),H294,"")</f>
        <v/>
      </c>
      <c r="BH294" s="44" t="str">
        <f>IF(AND(C294=Master!$H$9,B294="2012-2013",E294="",G294="NPN05"),H294,"")</f>
        <v/>
      </c>
    </row>
    <row r="295" spans="1:60" x14ac:dyDescent="0.25">
      <c r="A295" s="3">
        <v>293</v>
      </c>
      <c r="B295" s="12"/>
      <c r="C295" s="12"/>
      <c r="D295" s="31"/>
      <c r="E295" s="4"/>
      <c r="F295" s="13"/>
      <c r="G295" s="21"/>
      <c r="H295" s="35"/>
      <c r="I295" s="21"/>
      <c r="J295" s="25" t="str">
        <f>IF(NOT(I295=""),INDEX(Master!$B$1:$B$46,MATCH(I295,Master!$A$1:$A$46,0)),"")</f>
        <v/>
      </c>
      <c r="K295" s="18"/>
      <c r="L295" s="86"/>
      <c r="M295" s="13"/>
      <c r="N295" s="13"/>
      <c r="O295" s="18"/>
      <c r="P295" s="35"/>
      <c r="Q295" s="21"/>
      <c r="R295" s="21"/>
      <c r="S295" s="13"/>
      <c r="T295" s="12"/>
      <c r="U295" s="12"/>
      <c r="V295" s="12"/>
      <c r="W295" s="14"/>
      <c r="Y295" s="42" t="str">
        <f>IF(AND(C295=Master!$H$1,B295="2012-2013",E295&gt;1000,G295="PLN03"),H295,"")</f>
        <v/>
      </c>
      <c r="Z295" s="42" t="str">
        <f>IF(AND(C295=Master!$H$1,B295="2012-2013",E295="",G295="PLN03"),H295,"")</f>
        <v/>
      </c>
      <c r="AA295" s="42" t="str">
        <f>IF(AND(C295=Master!$H$2,B295="2012-2013",E295&gt;1000,G295="PLN03"),H295,"")</f>
        <v/>
      </c>
      <c r="AB295" s="42" t="str">
        <f>IF(AND(C295=Master!$H$2,B295="2012-2013",E295="",G295="PLN03"),H295,"")</f>
        <v/>
      </c>
      <c r="AC295" s="42" t="str">
        <f>IF(AND(C295=Master!$H$3,B295="2012-2013",E295&gt;1000,G295="PLN03"),H295,"")</f>
        <v/>
      </c>
      <c r="AD295" s="42" t="str">
        <f>IF(AND(C295=Master!$H$3,B295="2012-2013",E295="",G295="PLN03"),H295,"")</f>
        <v/>
      </c>
      <c r="AE295" s="42" t="str">
        <f>IF(AND(C295=Master!$H$4,B295="2012-2013",E295&gt;1000,G295="PLN03"),H295,"")</f>
        <v/>
      </c>
      <c r="AF295" s="42" t="str">
        <f>IF(AND(C295=Master!$H$4,B295="2012-2013",E295="",G295="PLN03"),H295,"")</f>
        <v/>
      </c>
      <c r="AG295" s="42" t="str">
        <f>IF(AND(C295=Master!$H$5,B295="2012-2013",E295&gt;1000,G295="PLN03"),H295,"")</f>
        <v/>
      </c>
      <c r="AH295" s="42" t="str">
        <f>IF(AND(C295=Master!$H$5,B295="2012-2013",E295="",G295="PLN03"),H295,"")</f>
        <v/>
      </c>
      <c r="AI295" s="42" t="str">
        <f>IF(AND(C295=Master!$H$6,B295="2012-2013",E295&gt;1000,G295="PLN03"),H295,"")</f>
        <v/>
      </c>
      <c r="AJ295" s="42" t="str">
        <f>IF(AND(C295=Master!$H$6,B295="2012-2013",E295="",G295="PLN03"),H295,"")</f>
        <v/>
      </c>
      <c r="AK295" s="42" t="str">
        <f>IF(AND(C295=Master!$H$7,B295="2012-2013",E295&gt;1000,G295="PLN03"),H295,"")</f>
        <v/>
      </c>
      <c r="AL295" s="42" t="str">
        <f>IF(AND(C295=Master!$H$7,B295="2012-2013",E295="",G295="PLN03"),H295,"")</f>
        <v/>
      </c>
      <c r="AM295" s="42" t="str">
        <f>IF(AND(C295=Master!$H$8,B295="2012-2013",E295&gt;1000,G295="PLN03"),H295,"")</f>
        <v/>
      </c>
      <c r="AN295" s="42" t="str">
        <f>IF(AND(C295=Master!$H$8,B295="2012-2013",E295="",G295="PLN03"),H295,"")</f>
        <v/>
      </c>
      <c r="AO295" s="42" t="str">
        <f>IF(AND(C295=Master!$H$9,B295="2012-2013",E295&gt;1000,G295="PLN03"),H295,"")</f>
        <v/>
      </c>
      <c r="AP295" s="42" t="str">
        <f>IF(AND(C295=Master!$H$9,B295="2012-2013",E295="",G295="PLN03"),H295,"")</f>
        <v/>
      </c>
      <c r="AQ295" s="44" t="str">
        <f>IF(AND(C295=Master!$H$1,B295="2012-2013",E295&gt;1000,G295="NPN05"),H295,"")</f>
        <v/>
      </c>
      <c r="AR295" s="44" t="str">
        <f>IF(AND(C295=Master!$H$1,B295="2012-2013",E295="",G295="NPN05"),H295,"")</f>
        <v/>
      </c>
      <c r="AS295" s="44" t="str">
        <f>IF(AND(C295=Master!$H$2,B295="2012-2013",E295&gt;1000,G295="NPN05"),H295,"")</f>
        <v/>
      </c>
      <c r="AT295" s="44" t="str">
        <f>IF(AND(C295=Master!$H$2,B295="2012-2013",E295="",G295="NPN05"),H295,"")</f>
        <v/>
      </c>
      <c r="AU295" s="44" t="str">
        <f>IF(AND(C295=Master!$H$3,B295="2012-2013",E295&gt;1000,G295="NPN05"),H295,"")</f>
        <v/>
      </c>
      <c r="AV295" s="44" t="str">
        <f>IF(AND(C295=Master!$H$3,B295="2012-2013",E295="",G295="NPN05"),H295,"")</f>
        <v/>
      </c>
      <c r="AW295" s="44" t="str">
        <f>IF(AND(C295=Master!$H$4,B295="2012-2013",E295&gt;1000,G295="NPN05"),H295,"")</f>
        <v/>
      </c>
      <c r="AX295" s="44" t="str">
        <f>IF(AND(C295=Master!$H$4,B295="2012-2013",E295="",G295="NPN05"),H295,"")</f>
        <v/>
      </c>
      <c r="AY295" s="44" t="str">
        <f>IF(AND(C295=Master!$H$5,B295="2012-2013",E295&gt;1000,G295="NPN05"),H295,"")</f>
        <v/>
      </c>
      <c r="AZ295" s="44" t="str">
        <f>IF(AND(C295=Master!$H$5,B295="2012-2013",E295="",G295="NPN05"),H295,"")</f>
        <v/>
      </c>
      <c r="BA295" s="44" t="str">
        <f>IF(AND(C295=Master!$H$6,B295="2012-2013",E295&gt;1000,G295="NPN05"),H295,"")</f>
        <v/>
      </c>
      <c r="BB295" s="44" t="str">
        <f>IF(AND(C295=Master!$H$6,B295="2012-2013",E295="",G295="NPN05"),H295,"")</f>
        <v/>
      </c>
      <c r="BC295" s="44" t="str">
        <f>IF(AND(C295=Master!$H$7,B295="2012-2013",E295&gt;1000,G295="NPN05"),H295,"")</f>
        <v/>
      </c>
      <c r="BD295" s="44" t="str">
        <f>IF(AND(C295=Master!$H$7,B295="2012-2013",E295="",G295="NPN05"),H295,"")</f>
        <v/>
      </c>
      <c r="BE295" s="44" t="str">
        <f>IF(AND(C295=Master!$H$8,B295="2012-2013",E295&gt;1000,G295="NPN05"),H295,"")</f>
        <v/>
      </c>
      <c r="BF295" s="44" t="str">
        <f>IF(AND(C295=Master!$H$8,B295="2012-2013",E295="",G295="NPN05"),H295,"")</f>
        <v/>
      </c>
      <c r="BG295" s="44" t="str">
        <f>IF(AND(C295=Master!$H$9,B295="2012-2013",E295&gt;1000,G295="NPN05"),H295,"")</f>
        <v/>
      </c>
      <c r="BH295" s="44" t="str">
        <f>IF(AND(C295=Master!$H$9,B295="2012-2013",E295="",G295="NPN05"),H295,"")</f>
        <v/>
      </c>
    </row>
    <row r="296" spans="1:60" x14ac:dyDescent="0.25">
      <c r="A296" s="3">
        <v>294</v>
      </c>
      <c r="B296" s="12"/>
      <c r="C296" s="12"/>
      <c r="D296" s="31"/>
      <c r="E296" s="4"/>
      <c r="F296" s="13"/>
      <c r="G296" s="21"/>
      <c r="H296" s="35"/>
      <c r="I296" s="21"/>
      <c r="J296" s="25" t="str">
        <f>IF(NOT(I296=""),INDEX(Master!$B$1:$B$46,MATCH(I296,Master!$A$1:$A$46,0)),"")</f>
        <v/>
      </c>
      <c r="K296" s="18"/>
      <c r="L296" s="86"/>
      <c r="M296" s="13"/>
      <c r="N296" s="13"/>
      <c r="O296" s="18"/>
      <c r="P296" s="35"/>
      <c r="Q296" s="21"/>
      <c r="R296" s="21"/>
      <c r="S296" s="13"/>
      <c r="T296" s="12"/>
      <c r="U296" s="12"/>
      <c r="V296" s="12"/>
      <c r="W296" s="14"/>
      <c r="Y296" s="42" t="str">
        <f>IF(AND(C296=Master!$H$1,B296="2012-2013",E296&gt;1000,G296="PLN03"),H296,"")</f>
        <v/>
      </c>
      <c r="Z296" s="42" t="str">
        <f>IF(AND(C296=Master!$H$1,B296="2012-2013",E296="",G296="PLN03"),H296,"")</f>
        <v/>
      </c>
      <c r="AA296" s="42" t="str">
        <f>IF(AND(C296=Master!$H$2,B296="2012-2013",E296&gt;1000,G296="PLN03"),H296,"")</f>
        <v/>
      </c>
      <c r="AB296" s="42" t="str">
        <f>IF(AND(C296=Master!$H$2,B296="2012-2013",E296="",G296="PLN03"),H296,"")</f>
        <v/>
      </c>
      <c r="AC296" s="42" t="str">
        <f>IF(AND(C296=Master!$H$3,B296="2012-2013",E296&gt;1000,G296="PLN03"),H296,"")</f>
        <v/>
      </c>
      <c r="AD296" s="42" t="str">
        <f>IF(AND(C296=Master!$H$3,B296="2012-2013",E296="",G296="PLN03"),H296,"")</f>
        <v/>
      </c>
      <c r="AE296" s="42" t="str">
        <f>IF(AND(C296=Master!$H$4,B296="2012-2013",E296&gt;1000,G296="PLN03"),H296,"")</f>
        <v/>
      </c>
      <c r="AF296" s="42" t="str">
        <f>IF(AND(C296=Master!$H$4,B296="2012-2013",E296="",G296="PLN03"),H296,"")</f>
        <v/>
      </c>
      <c r="AG296" s="42" t="str">
        <f>IF(AND(C296=Master!$H$5,B296="2012-2013",E296&gt;1000,G296="PLN03"),H296,"")</f>
        <v/>
      </c>
      <c r="AH296" s="42" t="str">
        <f>IF(AND(C296=Master!$H$5,B296="2012-2013",E296="",G296="PLN03"),H296,"")</f>
        <v/>
      </c>
      <c r="AI296" s="42" t="str">
        <f>IF(AND(C296=Master!$H$6,B296="2012-2013",E296&gt;1000,G296="PLN03"),H296,"")</f>
        <v/>
      </c>
      <c r="AJ296" s="42" t="str">
        <f>IF(AND(C296=Master!$H$6,B296="2012-2013",E296="",G296="PLN03"),H296,"")</f>
        <v/>
      </c>
      <c r="AK296" s="42" t="str">
        <f>IF(AND(C296=Master!$H$7,B296="2012-2013",E296&gt;1000,G296="PLN03"),H296,"")</f>
        <v/>
      </c>
      <c r="AL296" s="42" t="str">
        <f>IF(AND(C296=Master!$H$7,B296="2012-2013",E296="",G296="PLN03"),H296,"")</f>
        <v/>
      </c>
      <c r="AM296" s="42" t="str">
        <f>IF(AND(C296=Master!$H$8,B296="2012-2013",E296&gt;1000,G296="PLN03"),H296,"")</f>
        <v/>
      </c>
      <c r="AN296" s="42" t="str">
        <f>IF(AND(C296=Master!$H$8,B296="2012-2013",E296="",G296="PLN03"),H296,"")</f>
        <v/>
      </c>
      <c r="AO296" s="42" t="str">
        <f>IF(AND(C296=Master!$H$9,B296="2012-2013",E296&gt;1000,G296="PLN03"),H296,"")</f>
        <v/>
      </c>
      <c r="AP296" s="42" t="str">
        <f>IF(AND(C296=Master!$H$9,B296="2012-2013",E296="",G296="PLN03"),H296,"")</f>
        <v/>
      </c>
      <c r="AQ296" s="44" t="str">
        <f>IF(AND(C296=Master!$H$1,B296="2012-2013",E296&gt;1000,G296="NPN05"),H296,"")</f>
        <v/>
      </c>
      <c r="AR296" s="44" t="str">
        <f>IF(AND(C296=Master!$H$1,B296="2012-2013",E296="",G296="NPN05"),H296,"")</f>
        <v/>
      </c>
      <c r="AS296" s="44" t="str">
        <f>IF(AND(C296=Master!$H$2,B296="2012-2013",E296&gt;1000,G296="NPN05"),H296,"")</f>
        <v/>
      </c>
      <c r="AT296" s="44" t="str">
        <f>IF(AND(C296=Master!$H$2,B296="2012-2013",E296="",G296="NPN05"),H296,"")</f>
        <v/>
      </c>
      <c r="AU296" s="44" t="str">
        <f>IF(AND(C296=Master!$H$3,B296="2012-2013",E296&gt;1000,G296="NPN05"),H296,"")</f>
        <v/>
      </c>
      <c r="AV296" s="44" t="str">
        <f>IF(AND(C296=Master!$H$3,B296="2012-2013",E296="",G296="NPN05"),H296,"")</f>
        <v/>
      </c>
      <c r="AW296" s="44" t="str">
        <f>IF(AND(C296=Master!$H$4,B296="2012-2013",E296&gt;1000,G296="NPN05"),H296,"")</f>
        <v/>
      </c>
      <c r="AX296" s="44" t="str">
        <f>IF(AND(C296=Master!$H$4,B296="2012-2013",E296="",G296="NPN05"),H296,"")</f>
        <v/>
      </c>
      <c r="AY296" s="44" t="str">
        <f>IF(AND(C296=Master!$H$5,B296="2012-2013",E296&gt;1000,G296="NPN05"),H296,"")</f>
        <v/>
      </c>
      <c r="AZ296" s="44" t="str">
        <f>IF(AND(C296=Master!$H$5,B296="2012-2013",E296="",G296="NPN05"),H296,"")</f>
        <v/>
      </c>
      <c r="BA296" s="44" t="str">
        <f>IF(AND(C296=Master!$H$6,B296="2012-2013",E296&gt;1000,G296="NPN05"),H296,"")</f>
        <v/>
      </c>
      <c r="BB296" s="44" t="str">
        <f>IF(AND(C296=Master!$H$6,B296="2012-2013",E296="",G296="NPN05"),H296,"")</f>
        <v/>
      </c>
      <c r="BC296" s="44" t="str">
        <f>IF(AND(C296=Master!$H$7,B296="2012-2013",E296&gt;1000,G296="NPN05"),H296,"")</f>
        <v/>
      </c>
      <c r="BD296" s="44" t="str">
        <f>IF(AND(C296=Master!$H$7,B296="2012-2013",E296="",G296="NPN05"),H296,"")</f>
        <v/>
      </c>
      <c r="BE296" s="44" t="str">
        <f>IF(AND(C296=Master!$H$8,B296="2012-2013",E296&gt;1000,G296="NPN05"),H296,"")</f>
        <v/>
      </c>
      <c r="BF296" s="44" t="str">
        <f>IF(AND(C296=Master!$H$8,B296="2012-2013",E296="",G296="NPN05"),H296,"")</f>
        <v/>
      </c>
      <c r="BG296" s="44" t="str">
        <f>IF(AND(C296=Master!$H$9,B296="2012-2013",E296&gt;1000,G296="NPN05"),H296,"")</f>
        <v/>
      </c>
      <c r="BH296" s="44" t="str">
        <f>IF(AND(C296=Master!$H$9,B296="2012-2013",E296="",G296="NPN05"),H296,"")</f>
        <v/>
      </c>
    </row>
    <row r="297" spans="1:60" x14ac:dyDescent="0.25">
      <c r="A297" s="3">
        <v>295</v>
      </c>
      <c r="B297" s="12"/>
      <c r="C297" s="12"/>
      <c r="D297" s="31"/>
      <c r="E297" s="4"/>
      <c r="F297" s="13"/>
      <c r="G297" s="21"/>
      <c r="H297" s="35"/>
      <c r="I297" s="21"/>
      <c r="J297" s="25" t="str">
        <f>IF(NOT(I297=""),INDEX(Master!$B$1:$B$46,MATCH(I297,Master!$A$1:$A$46,0)),"")</f>
        <v/>
      </c>
      <c r="K297" s="18"/>
      <c r="L297" s="86"/>
      <c r="M297" s="13"/>
      <c r="N297" s="13"/>
      <c r="O297" s="18"/>
      <c r="P297" s="35"/>
      <c r="Q297" s="21"/>
      <c r="R297" s="21"/>
      <c r="S297" s="13"/>
      <c r="T297" s="12"/>
      <c r="U297" s="12"/>
      <c r="V297" s="12"/>
      <c r="W297" s="14"/>
      <c r="Y297" s="42" t="str">
        <f>IF(AND(C297=Master!$H$1,B297="2012-2013",E297&gt;1000,G297="PLN03"),H297,"")</f>
        <v/>
      </c>
      <c r="Z297" s="42" t="str">
        <f>IF(AND(C297=Master!$H$1,B297="2012-2013",E297="",G297="PLN03"),H297,"")</f>
        <v/>
      </c>
      <c r="AA297" s="42" t="str">
        <f>IF(AND(C297=Master!$H$2,B297="2012-2013",E297&gt;1000,G297="PLN03"),H297,"")</f>
        <v/>
      </c>
      <c r="AB297" s="42" t="str">
        <f>IF(AND(C297=Master!$H$2,B297="2012-2013",E297="",G297="PLN03"),H297,"")</f>
        <v/>
      </c>
      <c r="AC297" s="42" t="str">
        <f>IF(AND(C297=Master!$H$3,B297="2012-2013",E297&gt;1000,G297="PLN03"),H297,"")</f>
        <v/>
      </c>
      <c r="AD297" s="42" t="str">
        <f>IF(AND(C297=Master!$H$3,B297="2012-2013",E297="",G297="PLN03"),H297,"")</f>
        <v/>
      </c>
      <c r="AE297" s="42" t="str">
        <f>IF(AND(C297=Master!$H$4,B297="2012-2013",E297&gt;1000,G297="PLN03"),H297,"")</f>
        <v/>
      </c>
      <c r="AF297" s="42" t="str">
        <f>IF(AND(C297=Master!$H$4,B297="2012-2013",E297="",G297="PLN03"),H297,"")</f>
        <v/>
      </c>
      <c r="AG297" s="42" t="str">
        <f>IF(AND(C297=Master!$H$5,B297="2012-2013",E297&gt;1000,G297="PLN03"),H297,"")</f>
        <v/>
      </c>
      <c r="AH297" s="42" t="str">
        <f>IF(AND(C297=Master!$H$5,B297="2012-2013",E297="",G297="PLN03"),H297,"")</f>
        <v/>
      </c>
      <c r="AI297" s="42" t="str">
        <f>IF(AND(C297=Master!$H$6,B297="2012-2013",E297&gt;1000,G297="PLN03"),H297,"")</f>
        <v/>
      </c>
      <c r="AJ297" s="42" t="str">
        <f>IF(AND(C297=Master!$H$6,B297="2012-2013",E297="",G297="PLN03"),H297,"")</f>
        <v/>
      </c>
      <c r="AK297" s="42" t="str">
        <f>IF(AND(C297=Master!$H$7,B297="2012-2013",E297&gt;1000,G297="PLN03"),H297,"")</f>
        <v/>
      </c>
      <c r="AL297" s="42" t="str">
        <f>IF(AND(C297=Master!$H$7,B297="2012-2013",E297="",G297="PLN03"),H297,"")</f>
        <v/>
      </c>
      <c r="AM297" s="42" t="str">
        <f>IF(AND(C297=Master!$H$8,B297="2012-2013",E297&gt;1000,G297="PLN03"),H297,"")</f>
        <v/>
      </c>
      <c r="AN297" s="42" t="str">
        <f>IF(AND(C297=Master!$H$8,B297="2012-2013",E297="",G297="PLN03"),H297,"")</f>
        <v/>
      </c>
      <c r="AO297" s="42" t="str">
        <f>IF(AND(C297=Master!$H$9,B297="2012-2013",E297&gt;1000,G297="PLN03"),H297,"")</f>
        <v/>
      </c>
      <c r="AP297" s="42" t="str">
        <f>IF(AND(C297=Master!$H$9,B297="2012-2013",E297="",G297="PLN03"),H297,"")</f>
        <v/>
      </c>
      <c r="AQ297" s="44" t="str">
        <f>IF(AND(C297=Master!$H$1,B297="2012-2013",E297&gt;1000,G297="NPN05"),H297,"")</f>
        <v/>
      </c>
      <c r="AR297" s="44" t="str">
        <f>IF(AND(C297=Master!$H$1,B297="2012-2013",E297="",G297="NPN05"),H297,"")</f>
        <v/>
      </c>
      <c r="AS297" s="44" t="str">
        <f>IF(AND(C297=Master!$H$2,B297="2012-2013",E297&gt;1000,G297="NPN05"),H297,"")</f>
        <v/>
      </c>
      <c r="AT297" s="44" t="str">
        <f>IF(AND(C297=Master!$H$2,B297="2012-2013",E297="",G297="NPN05"),H297,"")</f>
        <v/>
      </c>
      <c r="AU297" s="44" t="str">
        <f>IF(AND(C297=Master!$H$3,B297="2012-2013",E297&gt;1000,G297="NPN05"),H297,"")</f>
        <v/>
      </c>
      <c r="AV297" s="44" t="str">
        <f>IF(AND(C297=Master!$H$3,B297="2012-2013",E297="",G297="NPN05"),H297,"")</f>
        <v/>
      </c>
      <c r="AW297" s="44" t="str">
        <f>IF(AND(C297=Master!$H$4,B297="2012-2013",E297&gt;1000,G297="NPN05"),H297,"")</f>
        <v/>
      </c>
      <c r="AX297" s="44" t="str">
        <f>IF(AND(C297=Master!$H$4,B297="2012-2013",E297="",G297="NPN05"),H297,"")</f>
        <v/>
      </c>
      <c r="AY297" s="44" t="str">
        <f>IF(AND(C297=Master!$H$5,B297="2012-2013",E297&gt;1000,G297="NPN05"),H297,"")</f>
        <v/>
      </c>
      <c r="AZ297" s="44" t="str">
        <f>IF(AND(C297=Master!$H$5,B297="2012-2013",E297="",G297="NPN05"),H297,"")</f>
        <v/>
      </c>
      <c r="BA297" s="44" t="str">
        <f>IF(AND(C297=Master!$H$6,B297="2012-2013",E297&gt;1000,G297="NPN05"),H297,"")</f>
        <v/>
      </c>
      <c r="BB297" s="44" t="str">
        <f>IF(AND(C297=Master!$H$6,B297="2012-2013",E297="",G297="NPN05"),H297,"")</f>
        <v/>
      </c>
      <c r="BC297" s="44" t="str">
        <f>IF(AND(C297=Master!$H$7,B297="2012-2013",E297&gt;1000,G297="NPN05"),H297,"")</f>
        <v/>
      </c>
      <c r="BD297" s="44" t="str">
        <f>IF(AND(C297=Master!$H$7,B297="2012-2013",E297="",G297="NPN05"),H297,"")</f>
        <v/>
      </c>
      <c r="BE297" s="44" t="str">
        <f>IF(AND(C297=Master!$H$8,B297="2012-2013",E297&gt;1000,G297="NPN05"),H297,"")</f>
        <v/>
      </c>
      <c r="BF297" s="44" t="str">
        <f>IF(AND(C297=Master!$H$8,B297="2012-2013",E297="",G297="NPN05"),H297,"")</f>
        <v/>
      </c>
      <c r="BG297" s="44" t="str">
        <f>IF(AND(C297=Master!$H$9,B297="2012-2013",E297&gt;1000,G297="NPN05"),H297,"")</f>
        <v/>
      </c>
      <c r="BH297" s="44" t="str">
        <f>IF(AND(C297=Master!$H$9,B297="2012-2013",E297="",G297="NPN05"),H297,"")</f>
        <v/>
      </c>
    </row>
    <row r="298" spans="1:60" x14ac:dyDescent="0.25">
      <c r="A298" s="3">
        <v>296</v>
      </c>
      <c r="B298" s="12"/>
      <c r="C298" s="12"/>
      <c r="D298" s="31"/>
      <c r="E298" s="4"/>
      <c r="F298" s="13"/>
      <c r="G298" s="21"/>
      <c r="H298" s="35"/>
      <c r="I298" s="21"/>
      <c r="J298" s="25" t="str">
        <f>IF(NOT(I298=""),INDEX(Master!$B$1:$B$46,MATCH(I298,Master!$A$1:$A$46,0)),"")</f>
        <v/>
      </c>
      <c r="K298" s="18"/>
      <c r="L298" s="86"/>
      <c r="M298" s="13"/>
      <c r="N298" s="13"/>
      <c r="O298" s="18"/>
      <c r="P298" s="35"/>
      <c r="Q298" s="21"/>
      <c r="R298" s="21"/>
      <c r="S298" s="13"/>
      <c r="T298" s="12"/>
      <c r="U298" s="12"/>
      <c r="V298" s="12"/>
      <c r="W298" s="14"/>
      <c r="Y298" s="42" t="str">
        <f>IF(AND(C298=Master!$H$1,B298="2012-2013",E298&gt;1000,G298="PLN03"),H298,"")</f>
        <v/>
      </c>
      <c r="Z298" s="42" t="str">
        <f>IF(AND(C298=Master!$H$1,B298="2012-2013",E298="",G298="PLN03"),H298,"")</f>
        <v/>
      </c>
      <c r="AA298" s="42" t="str">
        <f>IF(AND(C298=Master!$H$2,B298="2012-2013",E298&gt;1000,G298="PLN03"),H298,"")</f>
        <v/>
      </c>
      <c r="AB298" s="42" t="str">
        <f>IF(AND(C298=Master!$H$2,B298="2012-2013",E298="",G298="PLN03"),H298,"")</f>
        <v/>
      </c>
      <c r="AC298" s="42" t="str">
        <f>IF(AND(C298=Master!$H$3,B298="2012-2013",E298&gt;1000,G298="PLN03"),H298,"")</f>
        <v/>
      </c>
      <c r="AD298" s="42" t="str">
        <f>IF(AND(C298=Master!$H$3,B298="2012-2013",E298="",G298="PLN03"),H298,"")</f>
        <v/>
      </c>
      <c r="AE298" s="42" t="str">
        <f>IF(AND(C298=Master!$H$4,B298="2012-2013",E298&gt;1000,G298="PLN03"),H298,"")</f>
        <v/>
      </c>
      <c r="AF298" s="42" t="str">
        <f>IF(AND(C298=Master!$H$4,B298="2012-2013",E298="",G298="PLN03"),H298,"")</f>
        <v/>
      </c>
      <c r="AG298" s="42" t="str">
        <f>IF(AND(C298=Master!$H$5,B298="2012-2013",E298&gt;1000,G298="PLN03"),H298,"")</f>
        <v/>
      </c>
      <c r="AH298" s="42" t="str">
        <f>IF(AND(C298=Master!$H$5,B298="2012-2013",E298="",G298="PLN03"),H298,"")</f>
        <v/>
      </c>
      <c r="AI298" s="42" t="str">
        <f>IF(AND(C298=Master!$H$6,B298="2012-2013",E298&gt;1000,G298="PLN03"),H298,"")</f>
        <v/>
      </c>
      <c r="AJ298" s="42" t="str">
        <f>IF(AND(C298=Master!$H$6,B298="2012-2013",E298="",G298="PLN03"),H298,"")</f>
        <v/>
      </c>
      <c r="AK298" s="42" t="str">
        <f>IF(AND(C298=Master!$H$7,B298="2012-2013",E298&gt;1000,G298="PLN03"),H298,"")</f>
        <v/>
      </c>
      <c r="AL298" s="42" t="str">
        <f>IF(AND(C298=Master!$H$7,B298="2012-2013",E298="",G298="PLN03"),H298,"")</f>
        <v/>
      </c>
      <c r="AM298" s="42" t="str">
        <f>IF(AND(C298=Master!$H$8,B298="2012-2013",E298&gt;1000,G298="PLN03"),H298,"")</f>
        <v/>
      </c>
      <c r="AN298" s="42" t="str">
        <f>IF(AND(C298=Master!$H$8,B298="2012-2013",E298="",G298="PLN03"),H298,"")</f>
        <v/>
      </c>
      <c r="AO298" s="42" t="str">
        <f>IF(AND(C298=Master!$H$9,B298="2012-2013",E298&gt;1000,G298="PLN03"),H298,"")</f>
        <v/>
      </c>
      <c r="AP298" s="42" t="str">
        <f>IF(AND(C298=Master!$H$9,B298="2012-2013",E298="",G298="PLN03"),H298,"")</f>
        <v/>
      </c>
      <c r="AQ298" s="44" t="str">
        <f>IF(AND(C298=Master!$H$1,B298="2012-2013",E298&gt;1000,G298="NPN05"),H298,"")</f>
        <v/>
      </c>
      <c r="AR298" s="44" t="str">
        <f>IF(AND(C298=Master!$H$1,B298="2012-2013",E298="",G298="NPN05"),H298,"")</f>
        <v/>
      </c>
      <c r="AS298" s="44" t="str">
        <f>IF(AND(C298=Master!$H$2,B298="2012-2013",E298&gt;1000,G298="NPN05"),H298,"")</f>
        <v/>
      </c>
      <c r="AT298" s="44" t="str">
        <f>IF(AND(C298=Master!$H$2,B298="2012-2013",E298="",G298="NPN05"),H298,"")</f>
        <v/>
      </c>
      <c r="AU298" s="44" t="str">
        <f>IF(AND(C298=Master!$H$3,B298="2012-2013",E298&gt;1000,G298="NPN05"),H298,"")</f>
        <v/>
      </c>
      <c r="AV298" s="44" t="str">
        <f>IF(AND(C298=Master!$H$3,B298="2012-2013",E298="",G298="NPN05"),H298,"")</f>
        <v/>
      </c>
      <c r="AW298" s="44" t="str">
        <f>IF(AND(C298=Master!$H$4,B298="2012-2013",E298&gt;1000,G298="NPN05"),H298,"")</f>
        <v/>
      </c>
      <c r="AX298" s="44" t="str">
        <f>IF(AND(C298=Master!$H$4,B298="2012-2013",E298="",G298="NPN05"),H298,"")</f>
        <v/>
      </c>
      <c r="AY298" s="44" t="str">
        <f>IF(AND(C298=Master!$H$5,B298="2012-2013",E298&gt;1000,G298="NPN05"),H298,"")</f>
        <v/>
      </c>
      <c r="AZ298" s="44" t="str">
        <f>IF(AND(C298=Master!$H$5,B298="2012-2013",E298="",G298="NPN05"),H298,"")</f>
        <v/>
      </c>
      <c r="BA298" s="44" t="str">
        <f>IF(AND(C298=Master!$H$6,B298="2012-2013",E298&gt;1000,G298="NPN05"),H298,"")</f>
        <v/>
      </c>
      <c r="BB298" s="44" t="str">
        <f>IF(AND(C298=Master!$H$6,B298="2012-2013",E298="",G298="NPN05"),H298,"")</f>
        <v/>
      </c>
      <c r="BC298" s="44" t="str">
        <f>IF(AND(C298=Master!$H$7,B298="2012-2013",E298&gt;1000,G298="NPN05"),H298,"")</f>
        <v/>
      </c>
      <c r="BD298" s="44" t="str">
        <f>IF(AND(C298=Master!$H$7,B298="2012-2013",E298="",G298="NPN05"),H298,"")</f>
        <v/>
      </c>
      <c r="BE298" s="44" t="str">
        <f>IF(AND(C298=Master!$H$8,B298="2012-2013",E298&gt;1000,G298="NPN05"),H298,"")</f>
        <v/>
      </c>
      <c r="BF298" s="44" t="str">
        <f>IF(AND(C298=Master!$H$8,B298="2012-2013",E298="",G298="NPN05"),H298,"")</f>
        <v/>
      </c>
      <c r="BG298" s="44" t="str">
        <f>IF(AND(C298=Master!$H$9,B298="2012-2013",E298&gt;1000,G298="NPN05"),H298,"")</f>
        <v/>
      </c>
      <c r="BH298" s="44" t="str">
        <f>IF(AND(C298=Master!$H$9,B298="2012-2013",E298="",G298="NPN05"),H298,"")</f>
        <v/>
      </c>
    </row>
    <row r="299" spans="1:60" x14ac:dyDescent="0.25">
      <c r="A299" s="3">
        <v>297</v>
      </c>
      <c r="B299" s="12"/>
      <c r="C299" s="12"/>
      <c r="D299" s="31"/>
      <c r="E299" s="4"/>
      <c r="F299" s="13"/>
      <c r="G299" s="21"/>
      <c r="H299" s="35"/>
      <c r="I299" s="21"/>
      <c r="J299" s="25" t="str">
        <f>IF(NOT(I299=""),INDEX(Master!$B$1:$B$46,MATCH(I299,Master!$A$1:$A$46,0)),"")</f>
        <v/>
      </c>
      <c r="K299" s="18"/>
      <c r="L299" s="86"/>
      <c r="M299" s="13"/>
      <c r="N299" s="13"/>
      <c r="O299" s="18"/>
      <c r="P299" s="35"/>
      <c r="Q299" s="21"/>
      <c r="R299" s="21"/>
      <c r="S299" s="13"/>
      <c r="T299" s="12"/>
      <c r="U299" s="12"/>
      <c r="V299" s="12"/>
      <c r="W299" s="14"/>
      <c r="Y299" s="42" t="str">
        <f>IF(AND(C299=Master!$H$1,B299="2012-2013",E299&gt;1000,G299="PLN03"),H299,"")</f>
        <v/>
      </c>
      <c r="Z299" s="42" t="str">
        <f>IF(AND(C299=Master!$H$1,B299="2012-2013",E299="",G299="PLN03"),H299,"")</f>
        <v/>
      </c>
      <c r="AA299" s="42" t="str">
        <f>IF(AND(C299=Master!$H$2,B299="2012-2013",E299&gt;1000,G299="PLN03"),H299,"")</f>
        <v/>
      </c>
      <c r="AB299" s="42" t="str">
        <f>IF(AND(C299=Master!$H$2,B299="2012-2013",E299="",G299="PLN03"),H299,"")</f>
        <v/>
      </c>
      <c r="AC299" s="42" t="str">
        <f>IF(AND(C299=Master!$H$3,B299="2012-2013",E299&gt;1000,G299="PLN03"),H299,"")</f>
        <v/>
      </c>
      <c r="AD299" s="42" t="str">
        <f>IF(AND(C299=Master!$H$3,B299="2012-2013",E299="",G299="PLN03"),H299,"")</f>
        <v/>
      </c>
      <c r="AE299" s="42" t="str">
        <f>IF(AND(C299=Master!$H$4,B299="2012-2013",E299&gt;1000,G299="PLN03"),H299,"")</f>
        <v/>
      </c>
      <c r="AF299" s="42" t="str">
        <f>IF(AND(C299=Master!$H$4,B299="2012-2013",E299="",G299="PLN03"),H299,"")</f>
        <v/>
      </c>
      <c r="AG299" s="42" t="str">
        <f>IF(AND(C299=Master!$H$5,B299="2012-2013",E299&gt;1000,G299="PLN03"),H299,"")</f>
        <v/>
      </c>
      <c r="AH299" s="42" t="str">
        <f>IF(AND(C299=Master!$H$5,B299="2012-2013",E299="",G299="PLN03"),H299,"")</f>
        <v/>
      </c>
      <c r="AI299" s="42" t="str">
        <f>IF(AND(C299=Master!$H$6,B299="2012-2013",E299&gt;1000,G299="PLN03"),H299,"")</f>
        <v/>
      </c>
      <c r="AJ299" s="42" t="str">
        <f>IF(AND(C299=Master!$H$6,B299="2012-2013",E299="",G299="PLN03"),H299,"")</f>
        <v/>
      </c>
      <c r="AK299" s="42" t="str">
        <f>IF(AND(C299=Master!$H$7,B299="2012-2013",E299&gt;1000,G299="PLN03"),H299,"")</f>
        <v/>
      </c>
      <c r="AL299" s="42" t="str">
        <f>IF(AND(C299=Master!$H$7,B299="2012-2013",E299="",G299="PLN03"),H299,"")</f>
        <v/>
      </c>
      <c r="AM299" s="42" t="str">
        <f>IF(AND(C299=Master!$H$8,B299="2012-2013",E299&gt;1000,G299="PLN03"),H299,"")</f>
        <v/>
      </c>
      <c r="AN299" s="42" t="str">
        <f>IF(AND(C299=Master!$H$8,B299="2012-2013",E299="",G299="PLN03"),H299,"")</f>
        <v/>
      </c>
      <c r="AO299" s="42" t="str">
        <f>IF(AND(C299=Master!$H$9,B299="2012-2013",E299&gt;1000,G299="PLN03"),H299,"")</f>
        <v/>
      </c>
      <c r="AP299" s="42" t="str">
        <f>IF(AND(C299=Master!$H$9,B299="2012-2013",E299="",G299="PLN03"),H299,"")</f>
        <v/>
      </c>
      <c r="AQ299" s="44" t="str">
        <f>IF(AND(C299=Master!$H$1,B299="2012-2013",E299&gt;1000,G299="NPN05"),H299,"")</f>
        <v/>
      </c>
      <c r="AR299" s="44" t="str">
        <f>IF(AND(C299=Master!$H$1,B299="2012-2013",E299="",G299="NPN05"),H299,"")</f>
        <v/>
      </c>
      <c r="AS299" s="44" t="str">
        <f>IF(AND(C299=Master!$H$2,B299="2012-2013",E299&gt;1000,G299="NPN05"),H299,"")</f>
        <v/>
      </c>
      <c r="AT299" s="44" t="str">
        <f>IF(AND(C299=Master!$H$2,B299="2012-2013",E299="",G299="NPN05"),H299,"")</f>
        <v/>
      </c>
      <c r="AU299" s="44" t="str">
        <f>IF(AND(C299=Master!$H$3,B299="2012-2013",E299&gt;1000,G299="NPN05"),H299,"")</f>
        <v/>
      </c>
      <c r="AV299" s="44" t="str">
        <f>IF(AND(C299=Master!$H$3,B299="2012-2013",E299="",G299="NPN05"),H299,"")</f>
        <v/>
      </c>
      <c r="AW299" s="44" t="str">
        <f>IF(AND(C299=Master!$H$4,B299="2012-2013",E299&gt;1000,G299="NPN05"),H299,"")</f>
        <v/>
      </c>
      <c r="AX299" s="44" t="str">
        <f>IF(AND(C299=Master!$H$4,B299="2012-2013",E299="",G299="NPN05"),H299,"")</f>
        <v/>
      </c>
      <c r="AY299" s="44" t="str">
        <f>IF(AND(C299=Master!$H$5,B299="2012-2013",E299&gt;1000,G299="NPN05"),H299,"")</f>
        <v/>
      </c>
      <c r="AZ299" s="44" t="str">
        <f>IF(AND(C299=Master!$H$5,B299="2012-2013",E299="",G299="NPN05"),H299,"")</f>
        <v/>
      </c>
      <c r="BA299" s="44" t="str">
        <f>IF(AND(C299=Master!$H$6,B299="2012-2013",E299&gt;1000,G299="NPN05"),H299,"")</f>
        <v/>
      </c>
      <c r="BB299" s="44" t="str">
        <f>IF(AND(C299=Master!$H$6,B299="2012-2013",E299="",G299="NPN05"),H299,"")</f>
        <v/>
      </c>
      <c r="BC299" s="44" t="str">
        <f>IF(AND(C299=Master!$H$7,B299="2012-2013",E299&gt;1000,G299="NPN05"),H299,"")</f>
        <v/>
      </c>
      <c r="BD299" s="44" t="str">
        <f>IF(AND(C299=Master!$H$7,B299="2012-2013",E299="",G299="NPN05"),H299,"")</f>
        <v/>
      </c>
      <c r="BE299" s="44" t="str">
        <f>IF(AND(C299=Master!$H$8,B299="2012-2013",E299&gt;1000,G299="NPN05"),H299,"")</f>
        <v/>
      </c>
      <c r="BF299" s="44" t="str">
        <f>IF(AND(C299=Master!$H$8,B299="2012-2013",E299="",G299="NPN05"),H299,"")</f>
        <v/>
      </c>
      <c r="BG299" s="44" t="str">
        <f>IF(AND(C299=Master!$H$9,B299="2012-2013",E299&gt;1000,G299="NPN05"),H299,"")</f>
        <v/>
      </c>
      <c r="BH299" s="44" t="str">
        <f>IF(AND(C299=Master!$H$9,B299="2012-2013",E299="",G299="NPN05"),H299,"")</f>
        <v/>
      </c>
    </row>
    <row r="300" spans="1:60" x14ac:dyDescent="0.25">
      <c r="A300" s="3">
        <v>298</v>
      </c>
      <c r="B300" s="12"/>
      <c r="C300" s="12"/>
      <c r="D300" s="31"/>
      <c r="E300" s="4"/>
      <c r="F300" s="13"/>
      <c r="G300" s="21"/>
      <c r="H300" s="35"/>
      <c r="I300" s="21"/>
      <c r="J300" s="25" t="str">
        <f>IF(NOT(I300=""),INDEX(Master!$B$1:$B$46,MATCH(I300,Master!$A$1:$A$46,0)),"")</f>
        <v/>
      </c>
      <c r="K300" s="18"/>
      <c r="L300" s="86"/>
      <c r="M300" s="13"/>
      <c r="N300" s="13"/>
      <c r="O300" s="18"/>
      <c r="P300" s="35"/>
      <c r="Q300" s="21"/>
      <c r="R300" s="21"/>
      <c r="S300" s="13"/>
      <c r="T300" s="12"/>
      <c r="U300" s="12"/>
      <c r="V300" s="12"/>
      <c r="W300" s="14"/>
      <c r="Y300" s="42" t="str">
        <f>IF(AND(C300=Master!$H$1,B300="2012-2013",E300&gt;1000,G300="PLN03"),H300,"")</f>
        <v/>
      </c>
      <c r="Z300" s="42" t="str">
        <f>IF(AND(C300=Master!$H$1,B300="2012-2013",E300="",G300="PLN03"),H300,"")</f>
        <v/>
      </c>
      <c r="AA300" s="42" t="str">
        <f>IF(AND(C300=Master!$H$2,B300="2012-2013",E300&gt;1000,G300="PLN03"),H300,"")</f>
        <v/>
      </c>
      <c r="AB300" s="42" t="str">
        <f>IF(AND(C300=Master!$H$2,B300="2012-2013",E300="",G300="PLN03"),H300,"")</f>
        <v/>
      </c>
      <c r="AC300" s="42" t="str">
        <f>IF(AND(C300=Master!$H$3,B300="2012-2013",E300&gt;1000,G300="PLN03"),H300,"")</f>
        <v/>
      </c>
      <c r="AD300" s="42" t="str">
        <f>IF(AND(C300=Master!$H$3,B300="2012-2013",E300="",G300="PLN03"),H300,"")</f>
        <v/>
      </c>
      <c r="AE300" s="42" t="str">
        <f>IF(AND(C300=Master!$H$4,B300="2012-2013",E300&gt;1000,G300="PLN03"),H300,"")</f>
        <v/>
      </c>
      <c r="AF300" s="42" t="str">
        <f>IF(AND(C300=Master!$H$4,B300="2012-2013",E300="",G300="PLN03"),H300,"")</f>
        <v/>
      </c>
      <c r="AG300" s="42" t="str">
        <f>IF(AND(C300=Master!$H$5,B300="2012-2013",E300&gt;1000,G300="PLN03"),H300,"")</f>
        <v/>
      </c>
      <c r="AH300" s="42" t="str">
        <f>IF(AND(C300=Master!$H$5,B300="2012-2013",E300="",G300="PLN03"),H300,"")</f>
        <v/>
      </c>
      <c r="AI300" s="42" t="str">
        <f>IF(AND(C300=Master!$H$6,B300="2012-2013",E300&gt;1000,G300="PLN03"),H300,"")</f>
        <v/>
      </c>
      <c r="AJ300" s="42" t="str">
        <f>IF(AND(C300=Master!$H$6,B300="2012-2013",E300="",G300="PLN03"),H300,"")</f>
        <v/>
      </c>
      <c r="AK300" s="42" t="str">
        <f>IF(AND(C300=Master!$H$7,B300="2012-2013",E300&gt;1000,G300="PLN03"),H300,"")</f>
        <v/>
      </c>
      <c r="AL300" s="42" t="str">
        <f>IF(AND(C300=Master!$H$7,B300="2012-2013",E300="",G300="PLN03"),H300,"")</f>
        <v/>
      </c>
      <c r="AM300" s="42" t="str">
        <f>IF(AND(C300=Master!$H$8,B300="2012-2013",E300&gt;1000,G300="PLN03"),H300,"")</f>
        <v/>
      </c>
      <c r="AN300" s="42" t="str">
        <f>IF(AND(C300=Master!$H$8,B300="2012-2013",E300="",G300="PLN03"),H300,"")</f>
        <v/>
      </c>
      <c r="AO300" s="42" t="str">
        <f>IF(AND(C300=Master!$H$9,B300="2012-2013",E300&gt;1000,G300="PLN03"),H300,"")</f>
        <v/>
      </c>
      <c r="AP300" s="42" t="str">
        <f>IF(AND(C300=Master!$H$9,B300="2012-2013",E300="",G300="PLN03"),H300,"")</f>
        <v/>
      </c>
      <c r="AQ300" s="44" t="str">
        <f>IF(AND(C300=Master!$H$1,B300="2012-2013",E300&gt;1000,G300="NPN05"),H300,"")</f>
        <v/>
      </c>
      <c r="AR300" s="44" t="str">
        <f>IF(AND(C300=Master!$H$1,B300="2012-2013",E300="",G300="NPN05"),H300,"")</f>
        <v/>
      </c>
      <c r="AS300" s="44" t="str">
        <f>IF(AND(C300=Master!$H$2,B300="2012-2013",E300&gt;1000,G300="NPN05"),H300,"")</f>
        <v/>
      </c>
      <c r="AT300" s="44" t="str">
        <f>IF(AND(C300=Master!$H$2,B300="2012-2013",E300="",G300="NPN05"),H300,"")</f>
        <v/>
      </c>
      <c r="AU300" s="44" t="str">
        <f>IF(AND(C300=Master!$H$3,B300="2012-2013",E300&gt;1000,G300="NPN05"),H300,"")</f>
        <v/>
      </c>
      <c r="AV300" s="44" t="str">
        <f>IF(AND(C300=Master!$H$3,B300="2012-2013",E300="",G300="NPN05"),H300,"")</f>
        <v/>
      </c>
      <c r="AW300" s="44" t="str">
        <f>IF(AND(C300=Master!$H$4,B300="2012-2013",E300&gt;1000,G300="NPN05"),H300,"")</f>
        <v/>
      </c>
      <c r="AX300" s="44" t="str">
        <f>IF(AND(C300=Master!$H$4,B300="2012-2013",E300="",G300="NPN05"),H300,"")</f>
        <v/>
      </c>
      <c r="AY300" s="44" t="str">
        <f>IF(AND(C300=Master!$H$5,B300="2012-2013",E300&gt;1000,G300="NPN05"),H300,"")</f>
        <v/>
      </c>
      <c r="AZ300" s="44" t="str">
        <f>IF(AND(C300=Master!$H$5,B300="2012-2013",E300="",G300="NPN05"),H300,"")</f>
        <v/>
      </c>
      <c r="BA300" s="44" t="str">
        <f>IF(AND(C300=Master!$H$6,B300="2012-2013",E300&gt;1000,G300="NPN05"),H300,"")</f>
        <v/>
      </c>
      <c r="BB300" s="44" t="str">
        <f>IF(AND(C300=Master!$H$6,B300="2012-2013",E300="",G300="NPN05"),H300,"")</f>
        <v/>
      </c>
      <c r="BC300" s="44" t="str">
        <f>IF(AND(C300=Master!$H$7,B300="2012-2013",E300&gt;1000,G300="NPN05"),H300,"")</f>
        <v/>
      </c>
      <c r="BD300" s="44" t="str">
        <f>IF(AND(C300=Master!$H$7,B300="2012-2013",E300="",G300="NPN05"),H300,"")</f>
        <v/>
      </c>
      <c r="BE300" s="44" t="str">
        <f>IF(AND(C300=Master!$H$8,B300="2012-2013",E300&gt;1000,G300="NPN05"),H300,"")</f>
        <v/>
      </c>
      <c r="BF300" s="44" t="str">
        <f>IF(AND(C300=Master!$H$8,B300="2012-2013",E300="",G300="NPN05"),H300,"")</f>
        <v/>
      </c>
      <c r="BG300" s="44" t="str">
        <f>IF(AND(C300=Master!$H$9,B300="2012-2013",E300&gt;1000,G300="NPN05"),H300,"")</f>
        <v/>
      </c>
      <c r="BH300" s="44" t="str">
        <f>IF(AND(C300=Master!$H$9,B300="2012-2013",E300="",G300="NPN05"),H300,"")</f>
        <v/>
      </c>
    </row>
    <row r="301" spans="1:60" x14ac:dyDescent="0.25">
      <c r="A301" s="5">
        <v>299</v>
      </c>
      <c r="B301" s="12"/>
      <c r="C301" s="12"/>
      <c r="D301" s="31"/>
      <c r="E301" s="4"/>
      <c r="F301" s="13"/>
      <c r="G301" s="21"/>
      <c r="H301" s="35"/>
      <c r="I301" s="21"/>
      <c r="J301" s="25" t="str">
        <f>IF(NOT(I301=""),INDEX(Master!$B$1:$B$46,MATCH(I301,Master!$A$1:$A$46,0)),"")</f>
        <v/>
      </c>
      <c r="K301" s="18"/>
      <c r="L301" s="86"/>
      <c r="M301" s="13"/>
      <c r="N301" s="13"/>
      <c r="O301" s="18"/>
      <c r="P301" s="35"/>
      <c r="Q301" s="21"/>
      <c r="R301" s="21"/>
      <c r="S301" s="13"/>
      <c r="T301" s="12"/>
      <c r="U301" s="12"/>
      <c r="V301" s="12"/>
      <c r="W301" s="14"/>
      <c r="Y301" s="42" t="str">
        <f>IF(AND(C301=Master!$H$1,B301="2012-2013",E301&gt;1000,G301="PLN03"),H301,"")</f>
        <v/>
      </c>
      <c r="Z301" s="42" t="str">
        <f>IF(AND(C301=Master!$H$1,B301="2012-2013",E301="",G301="PLN03"),H301,"")</f>
        <v/>
      </c>
      <c r="AA301" s="42" t="str">
        <f>IF(AND(C301=Master!$H$2,B301="2012-2013",E301&gt;1000,G301="PLN03"),H301,"")</f>
        <v/>
      </c>
      <c r="AB301" s="42" t="str">
        <f>IF(AND(C301=Master!$H$2,B301="2012-2013",E301="",G301="PLN03"),H301,"")</f>
        <v/>
      </c>
      <c r="AC301" s="42" t="str">
        <f>IF(AND(C301=Master!$H$3,B301="2012-2013",E301&gt;1000,G301="PLN03"),H301,"")</f>
        <v/>
      </c>
      <c r="AD301" s="42" t="str">
        <f>IF(AND(C301=Master!$H$3,B301="2012-2013",E301="",G301="PLN03"),H301,"")</f>
        <v/>
      </c>
      <c r="AE301" s="42" t="str">
        <f>IF(AND(C301=Master!$H$4,B301="2012-2013",E301&gt;1000,G301="PLN03"),H301,"")</f>
        <v/>
      </c>
      <c r="AF301" s="42" t="str">
        <f>IF(AND(C301=Master!$H$4,B301="2012-2013",E301="",G301="PLN03"),H301,"")</f>
        <v/>
      </c>
      <c r="AG301" s="42" t="str">
        <f>IF(AND(C301=Master!$H$5,B301="2012-2013",E301&gt;1000,G301="PLN03"),H301,"")</f>
        <v/>
      </c>
      <c r="AH301" s="42" t="str">
        <f>IF(AND(C301=Master!$H$5,B301="2012-2013",E301="",G301="PLN03"),H301,"")</f>
        <v/>
      </c>
      <c r="AI301" s="42" t="str">
        <f>IF(AND(C301=Master!$H$6,B301="2012-2013",E301&gt;1000,G301="PLN03"),H301,"")</f>
        <v/>
      </c>
      <c r="AJ301" s="42" t="str">
        <f>IF(AND(C301=Master!$H$6,B301="2012-2013",E301="",G301="PLN03"),H301,"")</f>
        <v/>
      </c>
      <c r="AK301" s="42" t="str">
        <f>IF(AND(C301=Master!$H$7,B301="2012-2013",E301&gt;1000,G301="PLN03"),H301,"")</f>
        <v/>
      </c>
      <c r="AL301" s="42" t="str">
        <f>IF(AND(C301=Master!$H$7,B301="2012-2013",E301="",G301="PLN03"),H301,"")</f>
        <v/>
      </c>
      <c r="AM301" s="42" t="str">
        <f>IF(AND(C301=Master!$H$8,B301="2012-2013",E301&gt;1000,G301="PLN03"),H301,"")</f>
        <v/>
      </c>
      <c r="AN301" s="42" t="str">
        <f>IF(AND(C301=Master!$H$8,B301="2012-2013",E301="",G301="PLN03"),H301,"")</f>
        <v/>
      </c>
      <c r="AO301" s="42" t="str">
        <f>IF(AND(C301=Master!$H$9,B301="2012-2013",E301&gt;1000,G301="PLN03"),H301,"")</f>
        <v/>
      </c>
      <c r="AP301" s="42" t="str">
        <f>IF(AND(C301=Master!$H$9,B301="2012-2013",E301="",G301="PLN03"),H301,"")</f>
        <v/>
      </c>
      <c r="AQ301" s="44" t="str">
        <f>IF(AND(C301=Master!$H$1,B301="2012-2013",E301&gt;1000,G301="NPN05"),H301,"")</f>
        <v/>
      </c>
      <c r="AR301" s="44" t="str">
        <f>IF(AND(C301=Master!$H$1,B301="2012-2013",E301="",G301="NPN05"),H301,"")</f>
        <v/>
      </c>
      <c r="AS301" s="44" t="str">
        <f>IF(AND(C301=Master!$H$2,B301="2012-2013",E301&gt;1000,G301="NPN05"),H301,"")</f>
        <v/>
      </c>
      <c r="AT301" s="44" t="str">
        <f>IF(AND(C301=Master!$H$2,B301="2012-2013",E301="",G301="NPN05"),H301,"")</f>
        <v/>
      </c>
      <c r="AU301" s="44" t="str">
        <f>IF(AND(C301=Master!$H$3,B301="2012-2013",E301&gt;1000,G301="NPN05"),H301,"")</f>
        <v/>
      </c>
      <c r="AV301" s="44" t="str">
        <f>IF(AND(C301=Master!$H$3,B301="2012-2013",E301="",G301="NPN05"),H301,"")</f>
        <v/>
      </c>
      <c r="AW301" s="44" t="str">
        <f>IF(AND(C301=Master!$H$4,B301="2012-2013",E301&gt;1000,G301="NPN05"),H301,"")</f>
        <v/>
      </c>
      <c r="AX301" s="44" t="str">
        <f>IF(AND(C301=Master!$H$4,B301="2012-2013",E301="",G301="NPN05"),H301,"")</f>
        <v/>
      </c>
      <c r="AY301" s="44" t="str">
        <f>IF(AND(C301=Master!$H$5,B301="2012-2013",E301&gt;1000,G301="NPN05"),H301,"")</f>
        <v/>
      </c>
      <c r="AZ301" s="44" t="str">
        <f>IF(AND(C301=Master!$H$5,B301="2012-2013",E301="",G301="NPN05"),H301,"")</f>
        <v/>
      </c>
      <c r="BA301" s="44" t="str">
        <f>IF(AND(C301=Master!$H$6,B301="2012-2013",E301&gt;1000,G301="NPN05"),H301,"")</f>
        <v/>
      </c>
      <c r="BB301" s="44" t="str">
        <f>IF(AND(C301=Master!$H$6,B301="2012-2013",E301="",G301="NPN05"),H301,"")</f>
        <v/>
      </c>
      <c r="BC301" s="44" t="str">
        <f>IF(AND(C301=Master!$H$7,B301="2012-2013",E301&gt;1000,G301="NPN05"),H301,"")</f>
        <v/>
      </c>
      <c r="BD301" s="44" t="str">
        <f>IF(AND(C301=Master!$H$7,B301="2012-2013",E301="",G301="NPN05"),H301,"")</f>
        <v/>
      </c>
      <c r="BE301" s="44" t="str">
        <f>IF(AND(C301=Master!$H$8,B301="2012-2013",E301&gt;1000,G301="NPN05"),H301,"")</f>
        <v/>
      </c>
      <c r="BF301" s="44" t="str">
        <f>IF(AND(C301=Master!$H$8,B301="2012-2013",E301="",G301="NPN05"),H301,"")</f>
        <v/>
      </c>
      <c r="BG301" s="44" t="str">
        <f>IF(AND(C301=Master!$H$9,B301="2012-2013",E301&gt;1000,G301="NPN05"),H301,"")</f>
        <v/>
      </c>
      <c r="BH301" s="44" t="str">
        <f>IF(AND(C301=Master!$H$9,B301="2012-2013",E301="",G301="NPN05"),H301,"")</f>
        <v/>
      </c>
    </row>
    <row r="302" spans="1:60" x14ac:dyDescent="0.25">
      <c r="A302" s="3">
        <v>300</v>
      </c>
      <c r="B302" s="12"/>
      <c r="C302" s="12"/>
      <c r="D302" s="31"/>
      <c r="E302" s="4"/>
      <c r="F302" s="13"/>
      <c r="G302" s="21"/>
      <c r="H302" s="35"/>
      <c r="I302" s="21"/>
      <c r="J302" s="25" t="str">
        <f>IF(NOT(I302=""),INDEX(Master!$B$1:$B$46,MATCH(I302,Master!$A$1:$A$46,0)),"")</f>
        <v/>
      </c>
      <c r="K302" s="18"/>
      <c r="L302" s="86"/>
      <c r="M302" s="13"/>
      <c r="N302" s="13"/>
      <c r="O302" s="18"/>
      <c r="P302" s="35"/>
      <c r="Q302" s="21"/>
      <c r="R302" s="21"/>
      <c r="S302" s="13"/>
      <c r="T302" s="12"/>
      <c r="U302" s="12"/>
      <c r="V302" s="12"/>
      <c r="W302" s="14"/>
      <c r="Y302" s="42" t="str">
        <f>IF(AND(C302=Master!$H$1,B302="2012-2013",E302&gt;1000,G302="PLN03"),H302,"")</f>
        <v/>
      </c>
      <c r="Z302" s="42" t="str">
        <f>IF(AND(C302=Master!$H$1,B302="2012-2013",E302="",G302="PLN03"),H302,"")</f>
        <v/>
      </c>
      <c r="AA302" s="42" t="str">
        <f>IF(AND(C302=Master!$H$2,B302="2012-2013",E302&gt;1000,G302="PLN03"),H302,"")</f>
        <v/>
      </c>
      <c r="AB302" s="42" t="str">
        <f>IF(AND(C302=Master!$H$2,B302="2012-2013",E302="",G302="PLN03"),H302,"")</f>
        <v/>
      </c>
      <c r="AC302" s="42" t="str">
        <f>IF(AND(C302=Master!$H$3,B302="2012-2013",E302&gt;1000,G302="PLN03"),H302,"")</f>
        <v/>
      </c>
      <c r="AD302" s="42" t="str">
        <f>IF(AND(C302=Master!$H$3,B302="2012-2013",E302="",G302="PLN03"),H302,"")</f>
        <v/>
      </c>
      <c r="AE302" s="42" t="str">
        <f>IF(AND(C302=Master!$H$4,B302="2012-2013",E302&gt;1000,G302="PLN03"),H302,"")</f>
        <v/>
      </c>
      <c r="AF302" s="42" t="str">
        <f>IF(AND(C302=Master!$H$4,B302="2012-2013",E302="",G302="PLN03"),H302,"")</f>
        <v/>
      </c>
      <c r="AG302" s="42" t="str">
        <f>IF(AND(C302=Master!$H$5,B302="2012-2013",E302&gt;1000,G302="PLN03"),H302,"")</f>
        <v/>
      </c>
      <c r="AH302" s="42" t="str">
        <f>IF(AND(C302=Master!$H$5,B302="2012-2013",E302="",G302="PLN03"),H302,"")</f>
        <v/>
      </c>
      <c r="AI302" s="42" t="str">
        <f>IF(AND(C302=Master!$H$6,B302="2012-2013",E302&gt;1000,G302="PLN03"),H302,"")</f>
        <v/>
      </c>
      <c r="AJ302" s="42" t="str">
        <f>IF(AND(C302=Master!$H$6,B302="2012-2013",E302="",G302="PLN03"),H302,"")</f>
        <v/>
      </c>
      <c r="AK302" s="42" t="str">
        <f>IF(AND(C302=Master!$H$7,B302="2012-2013",E302&gt;1000,G302="PLN03"),H302,"")</f>
        <v/>
      </c>
      <c r="AL302" s="42" t="str">
        <f>IF(AND(C302=Master!$H$7,B302="2012-2013",E302="",G302="PLN03"),H302,"")</f>
        <v/>
      </c>
      <c r="AM302" s="42" t="str">
        <f>IF(AND(C302=Master!$H$8,B302="2012-2013",E302&gt;1000,G302="PLN03"),H302,"")</f>
        <v/>
      </c>
      <c r="AN302" s="42" t="str">
        <f>IF(AND(C302=Master!$H$8,B302="2012-2013",E302="",G302="PLN03"),H302,"")</f>
        <v/>
      </c>
      <c r="AO302" s="42" t="str">
        <f>IF(AND(C302=Master!$H$9,B302="2012-2013",E302&gt;1000,G302="PLN03"),H302,"")</f>
        <v/>
      </c>
      <c r="AP302" s="42" t="str">
        <f>IF(AND(C302=Master!$H$9,B302="2012-2013",E302="",G302="PLN03"),H302,"")</f>
        <v/>
      </c>
      <c r="AQ302" s="44" t="str">
        <f>IF(AND(C302=Master!$H$1,B302="2012-2013",E302&gt;1000,G302="NPN05"),H302,"")</f>
        <v/>
      </c>
      <c r="AR302" s="44" t="str">
        <f>IF(AND(C302=Master!$H$1,B302="2012-2013",E302="",G302="NPN05"),H302,"")</f>
        <v/>
      </c>
      <c r="AS302" s="44" t="str">
        <f>IF(AND(C302=Master!$H$2,B302="2012-2013",E302&gt;1000,G302="NPN05"),H302,"")</f>
        <v/>
      </c>
      <c r="AT302" s="44" t="str">
        <f>IF(AND(C302=Master!$H$2,B302="2012-2013",E302="",G302="NPN05"),H302,"")</f>
        <v/>
      </c>
      <c r="AU302" s="44" t="str">
        <f>IF(AND(C302=Master!$H$3,B302="2012-2013",E302&gt;1000,G302="NPN05"),H302,"")</f>
        <v/>
      </c>
      <c r="AV302" s="44" t="str">
        <f>IF(AND(C302=Master!$H$3,B302="2012-2013",E302="",G302="NPN05"),H302,"")</f>
        <v/>
      </c>
      <c r="AW302" s="44" t="str">
        <f>IF(AND(C302=Master!$H$4,B302="2012-2013",E302&gt;1000,G302="NPN05"),H302,"")</f>
        <v/>
      </c>
      <c r="AX302" s="44" t="str">
        <f>IF(AND(C302=Master!$H$4,B302="2012-2013",E302="",G302="NPN05"),H302,"")</f>
        <v/>
      </c>
      <c r="AY302" s="44" t="str">
        <f>IF(AND(C302=Master!$H$5,B302="2012-2013",E302&gt;1000,G302="NPN05"),H302,"")</f>
        <v/>
      </c>
      <c r="AZ302" s="44" t="str">
        <f>IF(AND(C302=Master!$H$5,B302="2012-2013",E302="",G302="NPN05"),H302,"")</f>
        <v/>
      </c>
      <c r="BA302" s="44" t="str">
        <f>IF(AND(C302=Master!$H$6,B302="2012-2013",E302&gt;1000,G302="NPN05"),H302,"")</f>
        <v/>
      </c>
      <c r="BB302" s="44" t="str">
        <f>IF(AND(C302=Master!$H$6,B302="2012-2013",E302="",G302="NPN05"),H302,"")</f>
        <v/>
      </c>
      <c r="BC302" s="44" t="str">
        <f>IF(AND(C302=Master!$H$7,B302="2012-2013",E302&gt;1000,G302="NPN05"),H302,"")</f>
        <v/>
      </c>
      <c r="BD302" s="44" t="str">
        <f>IF(AND(C302=Master!$H$7,B302="2012-2013",E302="",G302="NPN05"),H302,"")</f>
        <v/>
      </c>
      <c r="BE302" s="44" t="str">
        <f>IF(AND(C302=Master!$H$8,B302="2012-2013",E302&gt;1000,G302="NPN05"),H302,"")</f>
        <v/>
      </c>
      <c r="BF302" s="44" t="str">
        <f>IF(AND(C302=Master!$H$8,B302="2012-2013",E302="",G302="NPN05"),H302,"")</f>
        <v/>
      </c>
      <c r="BG302" s="44" t="str">
        <f>IF(AND(C302=Master!$H$9,B302="2012-2013",E302&gt;1000,G302="NPN05"),H302,"")</f>
        <v/>
      </c>
      <c r="BH302" s="44" t="str">
        <f>IF(AND(C302=Master!$H$9,B302="2012-2013",E302="",G302="NPN05"),H302,"")</f>
        <v/>
      </c>
    </row>
    <row r="303" spans="1:60" x14ac:dyDescent="0.25">
      <c r="A303" s="3">
        <v>301</v>
      </c>
      <c r="B303" s="12"/>
      <c r="C303" s="12"/>
      <c r="D303" s="31"/>
      <c r="E303" s="4"/>
      <c r="F303" s="13"/>
      <c r="G303" s="21"/>
      <c r="H303" s="35"/>
      <c r="I303" s="21"/>
      <c r="J303" s="25" t="str">
        <f>IF(NOT(I303=""),INDEX(Master!$B$1:$B$46,MATCH(I303,Master!$A$1:$A$46,0)),"")</f>
        <v/>
      </c>
      <c r="K303" s="18"/>
      <c r="L303" s="86"/>
      <c r="M303" s="13"/>
      <c r="N303" s="13"/>
      <c r="O303" s="18"/>
      <c r="P303" s="35"/>
      <c r="Q303" s="21"/>
      <c r="R303" s="21"/>
      <c r="S303" s="13"/>
      <c r="T303" s="12"/>
      <c r="U303" s="12"/>
      <c r="V303" s="12"/>
      <c r="W303" s="14"/>
      <c r="Y303" s="42" t="str">
        <f>IF(AND(C303=Master!$H$1,B303="2012-2013",E303&gt;1000,G303="PLN03"),H303,"")</f>
        <v/>
      </c>
      <c r="Z303" s="42" t="str">
        <f>IF(AND(C303=Master!$H$1,B303="2012-2013",E303="",G303="PLN03"),H303,"")</f>
        <v/>
      </c>
      <c r="AA303" s="42" t="str">
        <f>IF(AND(C303=Master!$H$2,B303="2012-2013",E303&gt;1000,G303="PLN03"),H303,"")</f>
        <v/>
      </c>
      <c r="AB303" s="42" t="str">
        <f>IF(AND(C303=Master!$H$2,B303="2012-2013",E303="",G303="PLN03"),H303,"")</f>
        <v/>
      </c>
      <c r="AC303" s="42" t="str">
        <f>IF(AND(C303=Master!$H$3,B303="2012-2013",E303&gt;1000,G303="PLN03"),H303,"")</f>
        <v/>
      </c>
      <c r="AD303" s="42" t="str">
        <f>IF(AND(C303=Master!$H$3,B303="2012-2013",E303="",G303="PLN03"),H303,"")</f>
        <v/>
      </c>
      <c r="AE303" s="42" t="str">
        <f>IF(AND(C303=Master!$H$4,B303="2012-2013",E303&gt;1000,G303="PLN03"),H303,"")</f>
        <v/>
      </c>
      <c r="AF303" s="42" t="str">
        <f>IF(AND(C303=Master!$H$4,B303="2012-2013",E303="",G303="PLN03"),H303,"")</f>
        <v/>
      </c>
      <c r="AG303" s="42" t="str">
        <f>IF(AND(C303=Master!$H$5,B303="2012-2013",E303&gt;1000,G303="PLN03"),H303,"")</f>
        <v/>
      </c>
      <c r="AH303" s="42" t="str">
        <f>IF(AND(C303=Master!$H$5,B303="2012-2013",E303="",G303="PLN03"),H303,"")</f>
        <v/>
      </c>
      <c r="AI303" s="42" t="str">
        <f>IF(AND(C303=Master!$H$6,B303="2012-2013",E303&gt;1000,G303="PLN03"),H303,"")</f>
        <v/>
      </c>
      <c r="AJ303" s="42" t="str">
        <f>IF(AND(C303=Master!$H$6,B303="2012-2013",E303="",G303="PLN03"),H303,"")</f>
        <v/>
      </c>
      <c r="AK303" s="42" t="str">
        <f>IF(AND(C303=Master!$H$7,B303="2012-2013",E303&gt;1000,G303="PLN03"),H303,"")</f>
        <v/>
      </c>
      <c r="AL303" s="42" t="str">
        <f>IF(AND(C303=Master!$H$7,B303="2012-2013",E303="",G303="PLN03"),H303,"")</f>
        <v/>
      </c>
      <c r="AM303" s="42" t="str">
        <f>IF(AND(C303=Master!$H$8,B303="2012-2013",E303&gt;1000,G303="PLN03"),H303,"")</f>
        <v/>
      </c>
      <c r="AN303" s="42" t="str">
        <f>IF(AND(C303=Master!$H$8,B303="2012-2013",E303="",G303="PLN03"),H303,"")</f>
        <v/>
      </c>
      <c r="AO303" s="42" t="str">
        <f>IF(AND(C303=Master!$H$9,B303="2012-2013",E303&gt;1000,G303="PLN03"),H303,"")</f>
        <v/>
      </c>
      <c r="AP303" s="42" t="str">
        <f>IF(AND(C303=Master!$H$9,B303="2012-2013",E303="",G303="PLN03"),H303,"")</f>
        <v/>
      </c>
      <c r="AQ303" s="44" t="str">
        <f>IF(AND(C303=Master!$H$1,B303="2012-2013",E303&gt;1000,G303="NPN05"),H303,"")</f>
        <v/>
      </c>
      <c r="AR303" s="44" t="str">
        <f>IF(AND(C303=Master!$H$1,B303="2012-2013",E303="",G303="NPN05"),H303,"")</f>
        <v/>
      </c>
      <c r="AS303" s="44" t="str">
        <f>IF(AND(C303=Master!$H$2,B303="2012-2013",E303&gt;1000,G303="NPN05"),H303,"")</f>
        <v/>
      </c>
      <c r="AT303" s="44" t="str">
        <f>IF(AND(C303=Master!$H$2,B303="2012-2013",E303="",G303="NPN05"),H303,"")</f>
        <v/>
      </c>
      <c r="AU303" s="44" t="str">
        <f>IF(AND(C303=Master!$H$3,B303="2012-2013",E303&gt;1000,G303="NPN05"),H303,"")</f>
        <v/>
      </c>
      <c r="AV303" s="44" t="str">
        <f>IF(AND(C303=Master!$H$3,B303="2012-2013",E303="",G303="NPN05"),H303,"")</f>
        <v/>
      </c>
      <c r="AW303" s="44" t="str">
        <f>IF(AND(C303=Master!$H$4,B303="2012-2013",E303&gt;1000,G303="NPN05"),H303,"")</f>
        <v/>
      </c>
      <c r="AX303" s="44" t="str">
        <f>IF(AND(C303=Master!$H$4,B303="2012-2013",E303="",G303="NPN05"),H303,"")</f>
        <v/>
      </c>
      <c r="AY303" s="44" t="str">
        <f>IF(AND(C303=Master!$H$5,B303="2012-2013",E303&gt;1000,G303="NPN05"),H303,"")</f>
        <v/>
      </c>
      <c r="AZ303" s="44" t="str">
        <f>IF(AND(C303=Master!$H$5,B303="2012-2013",E303="",G303="NPN05"),H303,"")</f>
        <v/>
      </c>
      <c r="BA303" s="44" t="str">
        <f>IF(AND(C303=Master!$H$6,B303="2012-2013",E303&gt;1000,G303="NPN05"),H303,"")</f>
        <v/>
      </c>
      <c r="BB303" s="44" t="str">
        <f>IF(AND(C303=Master!$H$6,B303="2012-2013",E303="",G303="NPN05"),H303,"")</f>
        <v/>
      </c>
      <c r="BC303" s="44" t="str">
        <f>IF(AND(C303=Master!$H$7,B303="2012-2013",E303&gt;1000,G303="NPN05"),H303,"")</f>
        <v/>
      </c>
      <c r="BD303" s="44" t="str">
        <f>IF(AND(C303=Master!$H$7,B303="2012-2013",E303="",G303="NPN05"),H303,"")</f>
        <v/>
      </c>
      <c r="BE303" s="44" t="str">
        <f>IF(AND(C303=Master!$H$8,B303="2012-2013",E303&gt;1000,G303="NPN05"),H303,"")</f>
        <v/>
      </c>
      <c r="BF303" s="44" t="str">
        <f>IF(AND(C303=Master!$H$8,B303="2012-2013",E303="",G303="NPN05"),H303,"")</f>
        <v/>
      </c>
      <c r="BG303" s="44" t="str">
        <f>IF(AND(C303=Master!$H$9,B303="2012-2013",E303&gt;1000,G303="NPN05"),H303,"")</f>
        <v/>
      </c>
      <c r="BH303" s="44" t="str">
        <f>IF(AND(C303=Master!$H$9,B303="2012-2013",E303="",G303="NPN05"),H303,"")</f>
        <v/>
      </c>
    </row>
    <row r="304" spans="1:60" x14ac:dyDescent="0.25">
      <c r="A304" s="3">
        <v>302</v>
      </c>
      <c r="B304" s="12"/>
      <c r="C304" s="12"/>
      <c r="D304" s="31"/>
      <c r="E304" s="4"/>
      <c r="F304" s="13"/>
      <c r="G304" s="21"/>
      <c r="H304" s="35"/>
      <c r="I304" s="21"/>
      <c r="J304" s="25" t="str">
        <f>IF(NOT(I304=""),INDEX(Master!$B$1:$B$46,MATCH(I304,Master!$A$1:$A$46,0)),"")</f>
        <v/>
      </c>
      <c r="K304" s="18"/>
      <c r="L304" s="86"/>
      <c r="M304" s="13"/>
      <c r="N304" s="13"/>
      <c r="O304" s="18"/>
      <c r="P304" s="35"/>
      <c r="Q304" s="21"/>
      <c r="R304" s="21"/>
      <c r="S304" s="13"/>
      <c r="T304" s="12"/>
      <c r="U304" s="12"/>
      <c r="V304" s="12"/>
      <c r="W304" s="14"/>
      <c r="Y304" s="42" t="str">
        <f>IF(AND(C304=Master!$H$1,B304="2012-2013",E304&gt;1000,G304="PLN03"),H304,"")</f>
        <v/>
      </c>
      <c r="Z304" s="42" t="str">
        <f>IF(AND(C304=Master!$H$1,B304="2012-2013",E304="",G304="PLN03"),H304,"")</f>
        <v/>
      </c>
      <c r="AA304" s="42" t="str">
        <f>IF(AND(C304=Master!$H$2,B304="2012-2013",E304&gt;1000,G304="PLN03"),H304,"")</f>
        <v/>
      </c>
      <c r="AB304" s="42" t="str">
        <f>IF(AND(C304=Master!$H$2,B304="2012-2013",E304="",G304="PLN03"),H304,"")</f>
        <v/>
      </c>
      <c r="AC304" s="42" t="str">
        <f>IF(AND(C304=Master!$H$3,B304="2012-2013",E304&gt;1000,G304="PLN03"),H304,"")</f>
        <v/>
      </c>
      <c r="AD304" s="42" t="str">
        <f>IF(AND(C304=Master!$H$3,B304="2012-2013",E304="",G304="PLN03"),H304,"")</f>
        <v/>
      </c>
      <c r="AE304" s="42" t="str">
        <f>IF(AND(C304=Master!$H$4,B304="2012-2013",E304&gt;1000,G304="PLN03"),H304,"")</f>
        <v/>
      </c>
      <c r="AF304" s="42" t="str">
        <f>IF(AND(C304=Master!$H$4,B304="2012-2013",E304="",G304="PLN03"),H304,"")</f>
        <v/>
      </c>
      <c r="AG304" s="42" t="str">
        <f>IF(AND(C304=Master!$H$5,B304="2012-2013",E304&gt;1000,G304="PLN03"),H304,"")</f>
        <v/>
      </c>
      <c r="AH304" s="42" t="str">
        <f>IF(AND(C304=Master!$H$5,B304="2012-2013",E304="",G304="PLN03"),H304,"")</f>
        <v/>
      </c>
      <c r="AI304" s="42" t="str">
        <f>IF(AND(C304=Master!$H$6,B304="2012-2013",E304&gt;1000,G304="PLN03"),H304,"")</f>
        <v/>
      </c>
      <c r="AJ304" s="42" t="str">
        <f>IF(AND(C304=Master!$H$6,B304="2012-2013",E304="",G304="PLN03"),H304,"")</f>
        <v/>
      </c>
      <c r="AK304" s="42" t="str">
        <f>IF(AND(C304=Master!$H$7,B304="2012-2013",E304&gt;1000,G304="PLN03"),H304,"")</f>
        <v/>
      </c>
      <c r="AL304" s="42" t="str">
        <f>IF(AND(C304=Master!$H$7,B304="2012-2013",E304="",G304="PLN03"),H304,"")</f>
        <v/>
      </c>
      <c r="AM304" s="42" t="str">
        <f>IF(AND(C304=Master!$H$8,B304="2012-2013",E304&gt;1000,G304="PLN03"),H304,"")</f>
        <v/>
      </c>
      <c r="AN304" s="42" t="str">
        <f>IF(AND(C304=Master!$H$8,B304="2012-2013",E304="",G304="PLN03"),H304,"")</f>
        <v/>
      </c>
      <c r="AO304" s="42" t="str">
        <f>IF(AND(C304=Master!$H$9,B304="2012-2013",E304&gt;1000,G304="PLN03"),H304,"")</f>
        <v/>
      </c>
      <c r="AP304" s="42" t="str">
        <f>IF(AND(C304=Master!$H$9,B304="2012-2013",E304="",G304="PLN03"),H304,"")</f>
        <v/>
      </c>
      <c r="AQ304" s="44" t="str">
        <f>IF(AND(C304=Master!$H$1,B304="2012-2013",E304&gt;1000,G304="NPN05"),H304,"")</f>
        <v/>
      </c>
      <c r="AR304" s="44" t="str">
        <f>IF(AND(C304=Master!$H$1,B304="2012-2013",E304="",G304="NPN05"),H304,"")</f>
        <v/>
      </c>
      <c r="AS304" s="44" t="str">
        <f>IF(AND(C304=Master!$H$2,B304="2012-2013",E304&gt;1000,G304="NPN05"),H304,"")</f>
        <v/>
      </c>
      <c r="AT304" s="44" t="str">
        <f>IF(AND(C304=Master!$H$2,B304="2012-2013",E304="",G304="NPN05"),H304,"")</f>
        <v/>
      </c>
      <c r="AU304" s="44" t="str">
        <f>IF(AND(C304=Master!$H$3,B304="2012-2013",E304&gt;1000,G304="NPN05"),H304,"")</f>
        <v/>
      </c>
      <c r="AV304" s="44" t="str">
        <f>IF(AND(C304=Master!$H$3,B304="2012-2013",E304="",G304="NPN05"),H304,"")</f>
        <v/>
      </c>
      <c r="AW304" s="44" t="str">
        <f>IF(AND(C304=Master!$H$4,B304="2012-2013",E304&gt;1000,G304="NPN05"),H304,"")</f>
        <v/>
      </c>
      <c r="AX304" s="44" t="str">
        <f>IF(AND(C304=Master!$H$4,B304="2012-2013",E304="",G304="NPN05"),H304,"")</f>
        <v/>
      </c>
      <c r="AY304" s="44" t="str">
        <f>IF(AND(C304=Master!$H$5,B304="2012-2013",E304&gt;1000,G304="NPN05"),H304,"")</f>
        <v/>
      </c>
      <c r="AZ304" s="44" t="str">
        <f>IF(AND(C304=Master!$H$5,B304="2012-2013",E304="",G304="NPN05"),H304,"")</f>
        <v/>
      </c>
      <c r="BA304" s="44" t="str">
        <f>IF(AND(C304=Master!$H$6,B304="2012-2013",E304&gt;1000,G304="NPN05"),H304,"")</f>
        <v/>
      </c>
      <c r="BB304" s="44" t="str">
        <f>IF(AND(C304=Master!$H$6,B304="2012-2013",E304="",G304="NPN05"),H304,"")</f>
        <v/>
      </c>
      <c r="BC304" s="44" t="str">
        <f>IF(AND(C304=Master!$H$7,B304="2012-2013",E304&gt;1000,G304="NPN05"),H304,"")</f>
        <v/>
      </c>
      <c r="BD304" s="44" t="str">
        <f>IF(AND(C304=Master!$H$7,B304="2012-2013",E304="",G304="NPN05"),H304,"")</f>
        <v/>
      </c>
      <c r="BE304" s="44" t="str">
        <f>IF(AND(C304=Master!$H$8,B304="2012-2013",E304&gt;1000,G304="NPN05"),H304,"")</f>
        <v/>
      </c>
      <c r="BF304" s="44" t="str">
        <f>IF(AND(C304=Master!$H$8,B304="2012-2013",E304="",G304="NPN05"),H304,"")</f>
        <v/>
      </c>
      <c r="BG304" s="44" t="str">
        <f>IF(AND(C304=Master!$H$9,B304="2012-2013",E304&gt;1000,G304="NPN05"),H304,"")</f>
        <v/>
      </c>
      <c r="BH304" s="44" t="str">
        <f>IF(AND(C304=Master!$H$9,B304="2012-2013",E304="",G304="NPN05"),H304,"")</f>
        <v/>
      </c>
    </row>
    <row r="305" spans="1:60" x14ac:dyDescent="0.25">
      <c r="A305" s="3">
        <v>303</v>
      </c>
      <c r="B305" s="12"/>
      <c r="C305" s="12"/>
      <c r="D305" s="31"/>
      <c r="E305" s="4"/>
      <c r="F305" s="13"/>
      <c r="G305" s="21"/>
      <c r="H305" s="35"/>
      <c r="I305" s="21"/>
      <c r="J305" s="25" t="str">
        <f>IF(NOT(I305=""),INDEX(Master!$B$1:$B$46,MATCH(I305,Master!$A$1:$A$46,0)),"")</f>
        <v/>
      </c>
      <c r="K305" s="18"/>
      <c r="L305" s="86"/>
      <c r="M305" s="13"/>
      <c r="N305" s="13"/>
      <c r="O305" s="18"/>
      <c r="P305" s="35"/>
      <c r="Q305" s="21"/>
      <c r="R305" s="21"/>
      <c r="S305" s="13"/>
      <c r="T305" s="12"/>
      <c r="U305" s="12"/>
      <c r="V305" s="12"/>
      <c r="W305" s="14"/>
      <c r="Y305" s="42" t="str">
        <f>IF(AND(C305=Master!$H$1,B305="2012-2013",E305&gt;1000,G305="PLN03"),H305,"")</f>
        <v/>
      </c>
      <c r="Z305" s="42" t="str">
        <f>IF(AND(C305=Master!$H$1,B305="2012-2013",E305="",G305="PLN03"),H305,"")</f>
        <v/>
      </c>
      <c r="AA305" s="42" t="str">
        <f>IF(AND(C305=Master!$H$2,B305="2012-2013",E305&gt;1000,G305="PLN03"),H305,"")</f>
        <v/>
      </c>
      <c r="AB305" s="42" t="str">
        <f>IF(AND(C305=Master!$H$2,B305="2012-2013",E305="",G305="PLN03"),H305,"")</f>
        <v/>
      </c>
      <c r="AC305" s="42" t="str">
        <f>IF(AND(C305=Master!$H$3,B305="2012-2013",E305&gt;1000,G305="PLN03"),H305,"")</f>
        <v/>
      </c>
      <c r="AD305" s="42" t="str">
        <f>IF(AND(C305=Master!$H$3,B305="2012-2013",E305="",G305="PLN03"),H305,"")</f>
        <v/>
      </c>
      <c r="AE305" s="42" t="str">
        <f>IF(AND(C305=Master!$H$4,B305="2012-2013",E305&gt;1000,G305="PLN03"),H305,"")</f>
        <v/>
      </c>
      <c r="AF305" s="42" t="str">
        <f>IF(AND(C305=Master!$H$4,B305="2012-2013",E305="",G305="PLN03"),H305,"")</f>
        <v/>
      </c>
      <c r="AG305" s="42" t="str">
        <f>IF(AND(C305=Master!$H$5,B305="2012-2013",E305&gt;1000,G305="PLN03"),H305,"")</f>
        <v/>
      </c>
      <c r="AH305" s="42" t="str">
        <f>IF(AND(C305=Master!$H$5,B305="2012-2013",E305="",G305="PLN03"),H305,"")</f>
        <v/>
      </c>
      <c r="AI305" s="42" t="str">
        <f>IF(AND(C305=Master!$H$6,B305="2012-2013",E305&gt;1000,G305="PLN03"),H305,"")</f>
        <v/>
      </c>
      <c r="AJ305" s="42" t="str">
        <f>IF(AND(C305=Master!$H$6,B305="2012-2013",E305="",G305="PLN03"),H305,"")</f>
        <v/>
      </c>
      <c r="AK305" s="42" t="str">
        <f>IF(AND(C305=Master!$H$7,B305="2012-2013",E305&gt;1000,G305="PLN03"),H305,"")</f>
        <v/>
      </c>
      <c r="AL305" s="42" t="str">
        <f>IF(AND(C305=Master!$H$7,B305="2012-2013",E305="",G305="PLN03"),H305,"")</f>
        <v/>
      </c>
      <c r="AM305" s="42" t="str">
        <f>IF(AND(C305=Master!$H$8,B305="2012-2013",E305&gt;1000,G305="PLN03"),H305,"")</f>
        <v/>
      </c>
      <c r="AN305" s="42" t="str">
        <f>IF(AND(C305=Master!$H$8,B305="2012-2013",E305="",G305="PLN03"),H305,"")</f>
        <v/>
      </c>
      <c r="AO305" s="42" t="str">
        <f>IF(AND(C305=Master!$H$9,B305="2012-2013",E305&gt;1000,G305="PLN03"),H305,"")</f>
        <v/>
      </c>
      <c r="AP305" s="42" t="str">
        <f>IF(AND(C305=Master!$H$9,B305="2012-2013",E305="",G305="PLN03"),H305,"")</f>
        <v/>
      </c>
      <c r="AQ305" s="44" t="str">
        <f>IF(AND(C305=Master!$H$1,B305="2012-2013",E305&gt;1000,G305="NPN05"),H305,"")</f>
        <v/>
      </c>
      <c r="AR305" s="44" t="str">
        <f>IF(AND(C305=Master!$H$1,B305="2012-2013",E305="",G305="NPN05"),H305,"")</f>
        <v/>
      </c>
      <c r="AS305" s="44" t="str">
        <f>IF(AND(C305=Master!$H$2,B305="2012-2013",E305&gt;1000,G305="NPN05"),H305,"")</f>
        <v/>
      </c>
      <c r="AT305" s="44" t="str">
        <f>IF(AND(C305=Master!$H$2,B305="2012-2013",E305="",G305="NPN05"),H305,"")</f>
        <v/>
      </c>
      <c r="AU305" s="44" t="str">
        <f>IF(AND(C305=Master!$H$3,B305="2012-2013",E305&gt;1000,G305="NPN05"),H305,"")</f>
        <v/>
      </c>
      <c r="AV305" s="44" t="str">
        <f>IF(AND(C305=Master!$H$3,B305="2012-2013",E305="",G305="NPN05"),H305,"")</f>
        <v/>
      </c>
      <c r="AW305" s="44" t="str">
        <f>IF(AND(C305=Master!$H$4,B305="2012-2013",E305&gt;1000,G305="NPN05"),H305,"")</f>
        <v/>
      </c>
      <c r="AX305" s="44" t="str">
        <f>IF(AND(C305=Master!$H$4,B305="2012-2013",E305="",G305="NPN05"),H305,"")</f>
        <v/>
      </c>
      <c r="AY305" s="44" t="str">
        <f>IF(AND(C305=Master!$H$5,B305="2012-2013",E305&gt;1000,G305="NPN05"),H305,"")</f>
        <v/>
      </c>
      <c r="AZ305" s="44" t="str">
        <f>IF(AND(C305=Master!$H$5,B305="2012-2013",E305="",G305="NPN05"),H305,"")</f>
        <v/>
      </c>
      <c r="BA305" s="44" t="str">
        <f>IF(AND(C305=Master!$H$6,B305="2012-2013",E305&gt;1000,G305="NPN05"),H305,"")</f>
        <v/>
      </c>
      <c r="BB305" s="44" t="str">
        <f>IF(AND(C305=Master!$H$6,B305="2012-2013",E305="",G305="NPN05"),H305,"")</f>
        <v/>
      </c>
      <c r="BC305" s="44" t="str">
        <f>IF(AND(C305=Master!$H$7,B305="2012-2013",E305&gt;1000,G305="NPN05"),H305,"")</f>
        <v/>
      </c>
      <c r="BD305" s="44" t="str">
        <f>IF(AND(C305=Master!$H$7,B305="2012-2013",E305="",G305="NPN05"),H305,"")</f>
        <v/>
      </c>
      <c r="BE305" s="44" t="str">
        <f>IF(AND(C305=Master!$H$8,B305="2012-2013",E305&gt;1000,G305="NPN05"),H305,"")</f>
        <v/>
      </c>
      <c r="BF305" s="44" t="str">
        <f>IF(AND(C305=Master!$H$8,B305="2012-2013",E305="",G305="NPN05"),H305,"")</f>
        <v/>
      </c>
      <c r="BG305" s="44" t="str">
        <f>IF(AND(C305=Master!$H$9,B305="2012-2013",E305&gt;1000,G305="NPN05"),H305,"")</f>
        <v/>
      </c>
      <c r="BH305" s="44" t="str">
        <f>IF(AND(C305=Master!$H$9,B305="2012-2013",E305="",G305="NPN05"),H305,"")</f>
        <v/>
      </c>
    </row>
    <row r="306" spans="1:60" x14ac:dyDescent="0.25">
      <c r="A306" s="3">
        <v>304</v>
      </c>
      <c r="B306" s="12"/>
      <c r="C306" s="12"/>
      <c r="D306" s="31"/>
      <c r="E306" s="4"/>
      <c r="F306" s="13"/>
      <c r="G306" s="21"/>
      <c r="H306" s="35"/>
      <c r="I306" s="21"/>
      <c r="J306" s="25" t="str">
        <f>IF(NOT(I306=""),INDEX(Master!$B$1:$B$46,MATCH(I306,Master!$A$1:$A$46,0)),"")</f>
        <v/>
      </c>
      <c r="K306" s="18"/>
      <c r="L306" s="86"/>
      <c r="M306" s="13"/>
      <c r="N306" s="13"/>
      <c r="O306" s="18"/>
      <c r="P306" s="35"/>
      <c r="Q306" s="21"/>
      <c r="R306" s="21"/>
      <c r="S306" s="13"/>
      <c r="T306" s="12"/>
      <c r="U306" s="12"/>
      <c r="V306" s="12"/>
      <c r="W306" s="14"/>
      <c r="Y306" s="42" t="str">
        <f>IF(AND(C306=Master!$H$1,B306="2012-2013",E306&gt;1000,G306="PLN03"),H306,"")</f>
        <v/>
      </c>
      <c r="Z306" s="42" t="str">
        <f>IF(AND(C306=Master!$H$1,B306="2012-2013",E306="",G306="PLN03"),H306,"")</f>
        <v/>
      </c>
      <c r="AA306" s="42" t="str">
        <f>IF(AND(C306=Master!$H$2,B306="2012-2013",E306&gt;1000,G306="PLN03"),H306,"")</f>
        <v/>
      </c>
      <c r="AB306" s="42" t="str">
        <f>IF(AND(C306=Master!$H$2,B306="2012-2013",E306="",G306="PLN03"),H306,"")</f>
        <v/>
      </c>
      <c r="AC306" s="42" t="str">
        <f>IF(AND(C306=Master!$H$3,B306="2012-2013",E306&gt;1000,G306="PLN03"),H306,"")</f>
        <v/>
      </c>
      <c r="AD306" s="42" t="str">
        <f>IF(AND(C306=Master!$H$3,B306="2012-2013",E306="",G306="PLN03"),H306,"")</f>
        <v/>
      </c>
      <c r="AE306" s="42" t="str">
        <f>IF(AND(C306=Master!$H$4,B306="2012-2013",E306&gt;1000,G306="PLN03"),H306,"")</f>
        <v/>
      </c>
      <c r="AF306" s="42" t="str">
        <f>IF(AND(C306=Master!$H$4,B306="2012-2013",E306="",G306="PLN03"),H306,"")</f>
        <v/>
      </c>
      <c r="AG306" s="42" t="str">
        <f>IF(AND(C306=Master!$H$5,B306="2012-2013",E306&gt;1000,G306="PLN03"),H306,"")</f>
        <v/>
      </c>
      <c r="AH306" s="42" t="str">
        <f>IF(AND(C306=Master!$H$5,B306="2012-2013",E306="",G306="PLN03"),H306,"")</f>
        <v/>
      </c>
      <c r="AI306" s="42" t="str">
        <f>IF(AND(C306=Master!$H$6,B306="2012-2013",E306&gt;1000,G306="PLN03"),H306,"")</f>
        <v/>
      </c>
      <c r="AJ306" s="42" t="str">
        <f>IF(AND(C306=Master!$H$6,B306="2012-2013",E306="",G306="PLN03"),H306,"")</f>
        <v/>
      </c>
      <c r="AK306" s="42" t="str">
        <f>IF(AND(C306=Master!$H$7,B306="2012-2013",E306&gt;1000,G306="PLN03"),H306,"")</f>
        <v/>
      </c>
      <c r="AL306" s="42" t="str">
        <f>IF(AND(C306=Master!$H$7,B306="2012-2013",E306="",G306="PLN03"),H306,"")</f>
        <v/>
      </c>
      <c r="AM306" s="42" t="str">
        <f>IF(AND(C306=Master!$H$8,B306="2012-2013",E306&gt;1000,G306="PLN03"),H306,"")</f>
        <v/>
      </c>
      <c r="AN306" s="42" t="str">
        <f>IF(AND(C306=Master!$H$8,B306="2012-2013",E306="",G306="PLN03"),H306,"")</f>
        <v/>
      </c>
      <c r="AO306" s="42" t="str">
        <f>IF(AND(C306=Master!$H$9,B306="2012-2013",E306&gt;1000,G306="PLN03"),H306,"")</f>
        <v/>
      </c>
      <c r="AP306" s="42" t="str">
        <f>IF(AND(C306=Master!$H$9,B306="2012-2013",E306="",G306="PLN03"),H306,"")</f>
        <v/>
      </c>
      <c r="AQ306" s="44" t="str">
        <f>IF(AND(C306=Master!$H$1,B306="2012-2013",E306&gt;1000,G306="NPN05"),H306,"")</f>
        <v/>
      </c>
      <c r="AR306" s="44" t="str">
        <f>IF(AND(C306=Master!$H$1,B306="2012-2013",E306="",G306="NPN05"),H306,"")</f>
        <v/>
      </c>
      <c r="AS306" s="44" t="str">
        <f>IF(AND(C306=Master!$H$2,B306="2012-2013",E306&gt;1000,G306="NPN05"),H306,"")</f>
        <v/>
      </c>
      <c r="AT306" s="44" t="str">
        <f>IF(AND(C306=Master!$H$2,B306="2012-2013",E306="",G306="NPN05"),H306,"")</f>
        <v/>
      </c>
      <c r="AU306" s="44" t="str">
        <f>IF(AND(C306=Master!$H$3,B306="2012-2013",E306&gt;1000,G306="NPN05"),H306,"")</f>
        <v/>
      </c>
      <c r="AV306" s="44" t="str">
        <f>IF(AND(C306=Master!$H$3,B306="2012-2013",E306="",G306="NPN05"),H306,"")</f>
        <v/>
      </c>
      <c r="AW306" s="44" t="str">
        <f>IF(AND(C306=Master!$H$4,B306="2012-2013",E306&gt;1000,G306="NPN05"),H306,"")</f>
        <v/>
      </c>
      <c r="AX306" s="44" t="str">
        <f>IF(AND(C306=Master!$H$4,B306="2012-2013",E306="",G306="NPN05"),H306,"")</f>
        <v/>
      </c>
      <c r="AY306" s="44" t="str">
        <f>IF(AND(C306=Master!$H$5,B306="2012-2013",E306&gt;1000,G306="NPN05"),H306,"")</f>
        <v/>
      </c>
      <c r="AZ306" s="44" t="str">
        <f>IF(AND(C306=Master!$H$5,B306="2012-2013",E306="",G306="NPN05"),H306,"")</f>
        <v/>
      </c>
      <c r="BA306" s="44" t="str">
        <f>IF(AND(C306=Master!$H$6,B306="2012-2013",E306&gt;1000,G306="NPN05"),H306,"")</f>
        <v/>
      </c>
      <c r="BB306" s="44" t="str">
        <f>IF(AND(C306=Master!$H$6,B306="2012-2013",E306="",G306="NPN05"),H306,"")</f>
        <v/>
      </c>
      <c r="BC306" s="44" t="str">
        <f>IF(AND(C306=Master!$H$7,B306="2012-2013",E306&gt;1000,G306="NPN05"),H306,"")</f>
        <v/>
      </c>
      <c r="BD306" s="44" t="str">
        <f>IF(AND(C306=Master!$H$7,B306="2012-2013",E306="",G306="NPN05"),H306,"")</f>
        <v/>
      </c>
      <c r="BE306" s="44" t="str">
        <f>IF(AND(C306=Master!$H$8,B306="2012-2013",E306&gt;1000,G306="NPN05"),H306,"")</f>
        <v/>
      </c>
      <c r="BF306" s="44" t="str">
        <f>IF(AND(C306=Master!$H$8,B306="2012-2013",E306="",G306="NPN05"),H306,"")</f>
        <v/>
      </c>
      <c r="BG306" s="44" t="str">
        <f>IF(AND(C306=Master!$H$9,B306="2012-2013",E306&gt;1000,G306="NPN05"),H306,"")</f>
        <v/>
      </c>
      <c r="BH306" s="44" t="str">
        <f>IF(AND(C306=Master!$H$9,B306="2012-2013",E306="",G306="NPN05"),H306,"")</f>
        <v/>
      </c>
    </row>
    <row r="307" spans="1:60" x14ac:dyDescent="0.25">
      <c r="A307" s="3">
        <v>305</v>
      </c>
      <c r="B307" s="12"/>
      <c r="C307" s="12"/>
      <c r="D307" s="31"/>
      <c r="E307" s="4"/>
      <c r="F307" s="13"/>
      <c r="G307" s="21"/>
      <c r="H307" s="35"/>
      <c r="I307" s="21"/>
      <c r="J307" s="25" t="str">
        <f>IF(NOT(I307=""),INDEX(Master!$B$1:$B$46,MATCH(I307,Master!$A$1:$A$46,0)),"")</f>
        <v/>
      </c>
      <c r="K307" s="18"/>
      <c r="L307" s="86"/>
      <c r="M307" s="13"/>
      <c r="N307" s="13"/>
      <c r="O307" s="18"/>
      <c r="P307" s="35"/>
      <c r="Q307" s="21"/>
      <c r="R307" s="21"/>
      <c r="S307" s="13"/>
      <c r="T307" s="12"/>
      <c r="U307" s="12"/>
      <c r="V307" s="12"/>
      <c r="W307" s="14"/>
      <c r="Y307" s="42" t="str">
        <f>IF(AND(C307=Master!$H$1,B307="2012-2013",E307&gt;1000,G307="PLN03"),H307,"")</f>
        <v/>
      </c>
      <c r="Z307" s="42" t="str">
        <f>IF(AND(C307=Master!$H$1,B307="2012-2013",E307="",G307="PLN03"),H307,"")</f>
        <v/>
      </c>
      <c r="AA307" s="42" t="str">
        <f>IF(AND(C307=Master!$H$2,B307="2012-2013",E307&gt;1000,G307="PLN03"),H307,"")</f>
        <v/>
      </c>
      <c r="AB307" s="42" t="str">
        <f>IF(AND(C307=Master!$H$2,B307="2012-2013",E307="",G307="PLN03"),H307,"")</f>
        <v/>
      </c>
      <c r="AC307" s="42" t="str">
        <f>IF(AND(C307=Master!$H$3,B307="2012-2013",E307&gt;1000,G307="PLN03"),H307,"")</f>
        <v/>
      </c>
      <c r="AD307" s="42" t="str">
        <f>IF(AND(C307=Master!$H$3,B307="2012-2013",E307="",G307="PLN03"),H307,"")</f>
        <v/>
      </c>
      <c r="AE307" s="42" t="str">
        <f>IF(AND(C307=Master!$H$4,B307="2012-2013",E307&gt;1000,G307="PLN03"),H307,"")</f>
        <v/>
      </c>
      <c r="AF307" s="42" t="str">
        <f>IF(AND(C307=Master!$H$4,B307="2012-2013",E307="",G307="PLN03"),H307,"")</f>
        <v/>
      </c>
      <c r="AG307" s="42" t="str">
        <f>IF(AND(C307=Master!$H$5,B307="2012-2013",E307&gt;1000,G307="PLN03"),H307,"")</f>
        <v/>
      </c>
      <c r="AH307" s="42" t="str">
        <f>IF(AND(C307=Master!$H$5,B307="2012-2013",E307="",G307="PLN03"),H307,"")</f>
        <v/>
      </c>
      <c r="AI307" s="42" t="str">
        <f>IF(AND(C307=Master!$H$6,B307="2012-2013",E307&gt;1000,G307="PLN03"),H307,"")</f>
        <v/>
      </c>
      <c r="AJ307" s="42" t="str">
        <f>IF(AND(C307=Master!$H$6,B307="2012-2013",E307="",G307="PLN03"),H307,"")</f>
        <v/>
      </c>
      <c r="AK307" s="42" t="str">
        <f>IF(AND(C307=Master!$H$7,B307="2012-2013",E307&gt;1000,G307="PLN03"),H307,"")</f>
        <v/>
      </c>
      <c r="AL307" s="42" t="str">
        <f>IF(AND(C307=Master!$H$7,B307="2012-2013",E307="",G307="PLN03"),H307,"")</f>
        <v/>
      </c>
      <c r="AM307" s="42" t="str">
        <f>IF(AND(C307=Master!$H$8,B307="2012-2013",E307&gt;1000,G307="PLN03"),H307,"")</f>
        <v/>
      </c>
      <c r="AN307" s="42" t="str">
        <f>IF(AND(C307=Master!$H$8,B307="2012-2013",E307="",G307="PLN03"),H307,"")</f>
        <v/>
      </c>
      <c r="AO307" s="42" t="str">
        <f>IF(AND(C307=Master!$H$9,B307="2012-2013",E307&gt;1000,G307="PLN03"),H307,"")</f>
        <v/>
      </c>
      <c r="AP307" s="42" t="str">
        <f>IF(AND(C307=Master!$H$9,B307="2012-2013",E307="",G307="PLN03"),H307,"")</f>
        <v/>
      </c>
      <c r="AQ307" s="44" t="str">
        <f>IF(AND(C307=Master!$H$1,B307="2012-2013",E307&gt;1000,G307="NPN05"),H307,"")</f>
        <v/>
      </c>
      <c r="AR307" s="44" t="str">
        <f>IF(AND(C307=Master!$H$1,B307="2012-2013",E307="",G307="NPN05"),H307,"")</f>
        <v/>
      </c>
      <c r="AS307" s="44" t="str">
        <f>IF(AND(C307=Master!$H$2,B307="2012-2013",E307&gt;1000,G307="NPN05"),H307,"")</f>
        <v/>
      </c>
      <c r="AT307" s="44" t="str">
        <f>IF(AND(C307=Master!$H$2,B307="2012-2013",E307="",G307="NPN05"),H307,"")</f>
        <v/>
      </c>
      <c r="AU307" s="44" t="str">
        <f>IF(AND(C307=Master!$H$3,B307="2012-2013",E307&gt;1000,G307="NPN05"),H307,"")</f>
        <v/>
      </c>
      <c r="AV307" s="44" t="str">
        <f>IF(AND(C307=Master!$H$3,B307="2012-2013",E307="",G307="NPN05"),H307,"")</f>
        <v/>
      </c>
      <c r="AW307" s="44" t="str">
        <f>IF(AND(C307=Master!$H$4,B307="2012-2013",E307&gt;1000,G307="NPN05"),H307,"")</f>
        <v/>
      </c>
      <c r="AX307" s="44" t="str">
        <f>IF(AND(C307=Master!$H$4,B307="2012-2013",E307="",G307="NPN05"),H307,"")</f>
        <v/>
      </c>
      <c r="AY307" s="44" t="str">
        <f>IF(AND(C307=Master!$H$5,B307="2012-2013",E307&gt;1000,G307="NPN05"),H307,"")</f>
        <v/>
      </c>
      <c r="AZ307" s="44" t="str">
        <f>IF(AND(C307=Master!$H$5,B307="2012-2013",E307="",G307="NPN05"),H307,"")</f>
        <v/>
      </c>
      <c r="BA307" s="44" t="str">
        <f>IF(AND(C307=Master!$H$6,B307="2012-2013",E307&gt;1000,G307="NPN05"),H307,"")</f>
        <v/>
      </c>
      <c r="BB307" s="44" t="str">
        <f>IF(AND(C307=Master!$H$6,B307="2012-2013",E307="",G307="NPN05"),H307,"")</f>
        <v/>
      </c>
      <c r="BC307" s="44" t="str">
        <f>IF(AND(C307=Master!$H$7,B307="2012-2013",E307&gt;1000,G307="NPN05"),H307,"")</f>
        <v/>
      </c>
      <c r="BD307" s="44" t="str">
        <f>IF(AND(C307=Master!$H$7,B307="2012-2013",E307="",G307="NPN05"),H307,"")</f>
        <v/>
      </c>
      <c r="BE307" s="44" t="str">
        <f>IF(AND(C307=Master!$H$8,B307="2012-2013",E307&gt;1000,G307="NPN05"),H307,"")</f>
        <v/>
      </c>
      <c r="BF307" s="44" t="str">
        <f>IF(AND(C307=Master!$H$8,B307="2012-2013",E307="",G307="NPN05"),H307,"")</f>
        <v/>
      </c>
      <c r="BG307" s="44" t="str">
        <f>IF(AND(C307=Master!$H$9,B307="2012-2013",E307&gt;1000,G307="NPN05"),H307,"")</f>
        <v/>
      </c>
      <c r="BH307" s="44" t="str">
        <f>IF(AND(C307=Master!$H$9,B307="2012-2013",E307="",G307="NPN05"),H307,"")</f>
        <v/>
      </c>
    </row>
    <row r="308" spans="1:60" x14ac:dyDescent="0.25">
      <c r="A308" s="3">
        <v>306</v>
      </c>
      <c r="B308" s="12"/>
      <c r="C308" s="12"/>
      <c r="D308" s="31"/>
      <c r="E308" s="4"/>
      <c r="F308" s="13"/>
      <c r="G308" s="21"/>
      <c r="H308" s="35"/>
      <c r="I308" s="21"/>
      <c r="J308" s="25" t="str">
        <f>IF(NOT(I308=""),INDEX(Master!$B$1:$B$46,MATCH(I308,Master!$A$1:$A$46,0)),"")</f>
        <v/>
      </c>
      <c r="K308" s="18"/>
      <c r="L308" s="86"/>
      <c r="M308" s="13"/>
      <c r="N308" s="13"/>
      <c r="O308" s="18"/>
      <c r="P308" s="35"/>
      <c r="Q308" s="21"/>
      <c r="R308" s="21"/>
      <c r="S308" s="13"/>
      <c r="T308" s="12"/>
      <c r="U308" s="12"/>
      <c r="V308" s="12"/>
      <c r="W308" s="14"/>
      <c r="Y308" s="42" t="str">
        <f>IF(AND(C308=Master!$H$1,B308="2012-2013",E308&gt;1000,G308="PLN03"),H308,"")</f>
        <v/>
      </c>
      <c r="Z308" s="42" t="str">
        <f>IF(AND(C308=Master!$H$1,B308="2012-2013",E308="",G308="PLN03"),H308,"")</f>
        <v/>
      </c>
      <c r="AA308" s="42" t="str">
        <f>IF(AND(C308=Master!$H$2,B308="2012-2013",E308&gt;1000,G308="PLN03"),H308,"")</f>
        <v/>
      </c>
      <c r="AB308" s="42" t="str">
        <f>IF(AND(C308=Master!$H$2,B308="2012-2013",E308="",G308="PLN03"),H308,"")</f>
        <v/>
      </c>
      <c r="AC308" s="42" t="str">
        <f>IF(AND(C308=Master!$H$3,B308="2012-2013",E308&gt;1000,G308="PLN03"),H308,"")</f>
        <v/>
      </c>
      <c r="AD308" s="42" t="str">
        <f>IF(AND(C308=Master!$H$3,B308="2012-2013",E308="",G308="PLN03"),H308,"")</f>
        <v/>
      </c>
      <c r="AE308" s="42" t="str">
        <f>IF(AND(C308=Master!$H$4,B308="2012-2013",E308&gt;1000,G308="PLN03"),H308,"")</f>
        <v/>
      </c>
      <c r="AF308" s="42" t="str">
        <f>IF(AND(C308=Master!$H$4,B308="2012-2013",E308="",G308="PLN03"),H308,"")</f>
        <v/>
      </c>
      <c r="AG308" s="42" t="str">
        <f>IF(AND(C308=Master!$H$5,B308="2012-2013",E308&gt;1000,G308="PLN03"),H308,"")</f>
        <v/>
      </c>
      <c r="AH308" s="42" t="str">
        <f>IF(AND(C308=Master!$H$5,B308="2012-2013",E308="",G308="PLN03"),H308,"")</f>
        <v/>
      </c>
      <c r="AI308" s="42" t="str">
        <f>IF(AND(C308=Master!$H$6,B308="2012-2013",E308&gt;1000,G308="PLN03"),H308,"")</f>
        <v/>
      </c>
      <c r="AJ308" s="42" t="str">
        <f>IF(AND(C308=Master!$H$6,B308="2012-2013",E308="",G308="PLN03"),H308,"")</f>
        <v/>
      </c>
      <c r="AK308" s="42" t="str">
        <f>IF(AND(C308=Master!$H$7,B308="2012-2013",E308&gt;1000,G308="PLN03"),H308,"")</f>
        <v/>
      </c>
      <c r="AL308" s="42" t="str">
        <f>IF(AND(C308=Master!$H$7,B308="2012-2013",E308="",G308="PLN03"),H308,"")</f>
        <v/>
      </c>
      <c r="AM308" s="42" t="str">
        <f>IF(AND(C308=Master!$H$8,B308="2012-2013",E308&gt;1000,G308="PLN03"),H308,"")</f>
        <v/>
      </c>
      <c r="AN308" s="42" t="str">
        <f>IF(AND(C308=Master!$H$8,B308="2012-2013",E308="",G308="PLN03"),H308,"")</f>
        <v/>
      </c>
      <c r="AO308" s="42" t="str">
        <f>IF(AND(C308=Master!$H$9,B308="2012-2013",E308&gt;1000,G308="PLN03"),H308,"")</f>
        <v/>
      </c>
      <c r="AP308" s="42" t="str">
        <f>IF(AND(C308=Master!$H$9,B308="2012-2013",E308="",G308="PLN03"),H308,"")</f>
        <v/>
      </c>
      <c r="AQ308" s="44" t="str">
        <f>IF(AND(C308=Master!$H$1,B308="2012-2013",E308&gt;1000,G308="NPN05"),H308,"")</f>
        <v/>
      </c>
      <c r="AR308" s="44" t="str">
        <f>IF(AND(C308=Master!$H$1,B308="2012-2013",E308="",G308="NPN05"),H308,"")</f>
        <v/>
      </c>
      <c r="AS308" s="44" t="str">
        <f>IF(AND(C308=Master!$H$2,B308="2012-2013",E308&gt;1000,G308="NPN05"),H308,"")</f>
        <v/>
      </c>
      <c r="AT308" s="44" t="str">
        <f>IF(AND(C308=Master!$H$2,B308="2012-2013",E308="",G308="NPN05"),H308,"")</f>
        <v/>
      </c>
      <c r="AU308" s="44" t="str">
        <f>IF(AND(C308=Master!$H$3,B308="2012-2013",E308&gt;1000,G308="NPN05"),H308,"")</f>
        <v/>
      </c>
      <c r="AV308" s="44" t="str">
        <f>IF(AND(C308=Master!$H$3,B308="2012-2013",E308="",G308="NPN05"),H308,"")</f>
        <v/>
      </c>
      <c r="AW308" s="44" t="str">
        <f>IF(AND(C308=Master!$H$4,B308="2012-2013",E308&gt;1000,G308="NPN05"),H308,"")</f>
        <v/>
      </c>
      <c r="AX308" s="44" t="str">
        <f>IF(AND(C308=Master!$H$4,B308="2012-2013",E308="",G308="NPN05"),H308,"")</f>
        <v/>
      </c>
      <c r="AY308" s="44" t="str">
        <f>IF(AND(C308=Master!$H$5,B308="2012-2013",E308&gt;1000,G308="NPN05"),H308,"")</f>
        <v/>
      </c>
      <c r="AZ308" s="44" t="str">
        <f>IF(AND(C308=Master!$H$5,B308="2012-2013",E308="",G308="NPN05"),H308,"")</f>
        <v/>
      </c>
      <c r="BA308" s="44" t="str">
        <f>IF(AND(C308=Master!$H$6,B308="2012-2013",E308&gt;1000,G308="NPN05"),H308,"")</f>
        <v/>
      </c>
      <c r="BB308" s="44" t="str">
        <f>IF(AND(C308=Master!$H$6,B308="2012-2013",E308="",G308="NPN05"),H308,"")</f>
        <v/>
      </c>
      <c r="BC308" s="44" t="str">
        <f>IF(AND(C308=Master!$H$7,B308="2012-2013",E308&gt;1000,G308="NPN05"),H308,"")</f>
        <v/>
      </c>
      <c r="BD308" s="44" t="str">
        <f>IF(AND(C308=Master!$H$7,B308="2012-2013",E308="",G308="NPN05"),H308,"")</f>
        <v/>
      </c>
      <c r="BE308" s="44" t="str">
        <f>IF(AND(C308=Master!$H$8,B308="2012-2013",E308&gt;1000,G308="NPN05"),H308,"")</f>
        <v/>
      </c>
      <c r="BF308" s="44" t="str">
        <f>IF(AND(C308=Master!$H$8,B308="2012-2013",E308="",G308="NPN05"),H308,"")</f>
        <v/>
      </c>
      <c r="BG308" s="44" t="str">
        <f>IF(AND(C308=Master!$H$9,B308="2012-2013",E308&gt;1000,G308="NPN05"),H308,"")</f>
        <v/>
      </c>
      <c r="BH308" s="44" t="str">
        <f>IF(AND(C308=Master!$H$9,B308="2012-2013",E308="",G308="NPN05"),H308,"")</f>
        <v/>
      </c>
    </row>
    <row r="309" spans="1:60" x14ac:dyDescent="0.25">
      <c r="A309" s="3">
        <v>307</v>
      </c>
      <c r="B309" s="12"/>
      <c r="C309" s="12"/>
      <c r="D309" s="31"/>
      <c r="E309" s="4"/>
      <c r="F309" s="13"/>
      <c r="G309" s="21"/>
      <c r="H309" s="35"/>
      <c r="I309" s="21"/>
      <c r="J309" s="25" t="str">
        <f>IF(NOT(I309=""),INDEX(Master!$B$1:$B$46,MATCH(I309,Master!$A$1:$A$46,0)),"")</f>
        <v/>
      </c>
      <c r="K309" s="18"/>
      <c r="L309" s="86"/>
      <c r="M309" s="13"/>
      <c r="N309" s="13"/>
      <c r="O309" s="18"/>
      <c r="P309" s="35"/>
      <c r="Q309" s="21"/>
      <c r="R309" s="21"/>
      <c r="S309" s="13"/>
      <c r="T309" s="12"/>
      <c r="U309" s="12"/>
      <c r="V309" s="12"/>
      <c r="W309" s="14"/>
      <c r="Y309" s="42" t="str">
        <f>IF(AND(C309=Master!$H$1,B309="2012-2013",E309&gt;1000,G309="PLN03"),H309,"")</f>
        <v/>
      </c>
      <c r="Z309" s="42" t="str">
        <f>IF(AND(C309=Master!$H$1,B309="2012-2013",E309="",G309="PLN03"),H309,"")</f>
        <v/>
      </c>
      <c r="AA309" s="42" t="str">
        <f>IF(AND(C309=Master!$H$2,B309="2012-2013",E309&gt;1000,G309="PLN03"),H309,"")</f>
        <v/>
      </c>
      <c r="AB309" s="42" t="str">
        <f>IF(AND(C309=Master!$H$2,B309="2012-2013",E309="",G309="PLN03"),H309,"")</f>
        <v/>
      </c>
      <c r="AC309" s="42" t="str">
        <f>IF(AND(C309=Master!$H$3,B309="2012-2013",E309&gt;1000,G309="PLN03"),H309,"")</f>
        <v/>
      </c>
      <c r="AD309" s="42" t="str">
        <f>IF(AND(C309=Master!$H$3,B309="2012-2013",E309="",G309="PLN03"),H309,"")</f>
        <v/>
      </c>
      <c r="AE309" s="42" t="str">
        <f>IF(AND(C309=Master!$H$4,B309="2012-2013",E309&gt;1000,G309="PLN03"),H309,"")</f>
        <v/>
      </c>
      <c r="AF309" s="42" t="str">
        <f>IF(AND(C309=Master!$H$4,B309="2012-2013",E309="",G309="PLN03"),H309,"")</f>
        <v/>
      </c>
      <c r="AG309" s="42" t="str">
        <f>IF(AND(C309=Master!$H$5,B309="2012-2013",E309&gt;1000,G309="PLN03"),H309,"")</f>
        <v/>
      </c>
      <c r="AH309" s="42" t="str">
        <f>IF(AND(C309=Master!$H$5,B309="2012-2013",E309="",G309="PLN03"),H309,"")</f>
        <v/>
      </c>
      <c r="AI309" s="42" t="str">
        <f>IF(AND(C309=Master!$H$6,B309="2012-2013",E309&gt;1000,G309="PLN03"),H309,"")</f>
        <v/>
      </c>
      <c r="AJ309" s="42" t="str">
        <f>IF(AND(C309=Master!$H$6,B309="2012-2013",E309="",G309="PLN03"),H309,"")</f>
        <v/>
      </c>
      <c r="AK309" s="42" t="str">
        <f>IF(AND(C309=Master!$H$7,B309="2012-2013",E309&gt;1000,G309="PLN03"),H309,"")</f>
        <v/>
      </c>
      <c r="AL309" s="42" t="str">
        <f>IF(AND(C309=Master!$H$7,B309="2012-2013",E309="",G309="PLN03"),H309,"")</f>
        <v/>
      </c>
      <c r="AM309" s="42" t="str">
        <f>IF(AND(C309=Master!$H$8,B309="2012-2013",E309&gt;1000,G309="PLN03"),H309,"")</f>
        <v/>
      </c>
      <c r="AN309" s="42" t="str">
        <f>IF(AND(C309=Master!$H$8,B309="2012-2013",E309="",G309="PLN03"),H309,"")</f>
        <v/>
      </c>
      <c r="AO309" s="42" t="str">
        <f>IF(AND(C309=Master!$H$9,B309="2012-2013",E309&gt;1000,G309="PLN03"),H309,"")</f>
        <v/>
      </c>
      <c r="AP309" s="42" t="str">
        <f>IF(AND(C309=Master!$H$9,B309="2012-2013",E309="",G309="PLN03"),H309,"")</f>
        <v/>
      </c>
      <c r="AQ309" s="44" t="str">
        <f>IF(AND(C309=Master!$H$1,B309="2012-2013",E309&gt;1000,G309="NPN05"),H309,"")</f>
        <v/>
      </c>
      <c r="AR309" s="44" t="str">
        <f>IF(AND(C309=Master!$H$1,B309="2012-2013",E309="",G309="NPN05"),H309,"")</f>
        <v/>
      </c>
      <c r="AS309" s="44" t="str">
        <f>IF(AND(C309=Master!$H$2,B309="2012-2013",E309&gt;1000,G309="NPN05"),H309,"")</f>
        <v/>
      </c>
      <c r="AT309" s="44" t="str">
        <f>IF(AND(C309=Master!$H$2,B309="2012-2013",E309="",G309="NPN05"),H309,"")</f>
        <v/>
      </c>
      <c r="AU309" s="44" t="str">
        <f>IF(AND(C309=Master!$H$3,B309="2012-2013",E309&gt;1000,G309="NPN05"),H309,"")</f>
        <v/>
      </c>
      <c r="AV309" s="44" t="str">
        <f>IF(AND(C309=Master!$H$3,B309="2012-2013",E309="",G309="NPN05"),H309,"")</f>
        <v/>
      </c>
      <c r="AW309" s="44" t="str">
        <f>IF(AND(C309=Master!$H$4,B309="2012-2013",E309&gt;1000,G309="NPN05"),H309,"")</f>
        <v/>
      </c>
      <c r="AX309" s="44" t="str">
        <f>IF(AND(C309=Master!$H$4,B309="2012-2013",E309="",G309="NPN05"),H309,"")</f>
        <v/>
      </c>
      <c r="AY309" s="44" t="str">
        <f>IF(AND(C309=Master!$H$5,B309="2012-2013",E309&gt;1000,G309="NPN05"),H309,"")</f>
        <v/>
      </c>
      <c r="AZ309" s="44" t="str">
        <f>IF(AND(C309=Master!$H$5,B309="2012-2013",E309="",G309="NPN05"),H309,"")</f>
        <v/>
      </c>
      <c r="BA309" s="44" t="str">
        <f>IF(AND(C309=Master!$H$6,B309="2012-2013",E309&gt;1000,G309="NPN05"),H309,"")</f>
        <v/>
      </c>
      <c r="BB309" s="44" t="str">
        <f>IF(AND(C309=Master!$H$6,B309="2012-2013",E309="",G309="NPN05"),H309,"")</f>
        <v/>
      </c>
      <c r="BC309" s="44" t="str">
        <f>IF(AND(C309=Master!$H$7,B309="2012-2013",E309&gt;1000,G309="NPN05"),H309,"")</f>
        <v/>
      </c>
      <c r="BD309" s="44" t="str">
        <f>IF(AND(C309=Master!$H$7,B309="2012-2013",E309="",G309="NPN05"),H309,"")</f>
        <v/>
      </c>
      <c r="BE309" s="44" t="str">
        <f>IF(AND(C309=Master!$H$8,B309="2012-2013",E309&gt;1000,G309="NPN05"),H309,"")</f>
        <v/>
      </c>
      <c r="BF309" s="44" t="str">
        <f>IF(AND(C309=Master!$H$8,B309="2012-2013",E309="",G309="NPN05"),H309,"")</f>
        <v/>
      </c>
      <c r="BG309" s="44" t="str">
        <f>IF(AND(C309=Master!$H$9,B309="2012-2013",E309&gt;1000,G309="NPN05"),H309,"")</f>
        <v/>
      </c>
      <c r="BH309" s="44" t="str">
        <f>IF(AND(C309=Master!$H$9,B309="2012-2013",E309="",G309="NPN05"),H309,"")</f>
        <v/>
      </c>
    </row>
    <row r="310" spans="1:60" x14ac:dyDescent="0.25">
      <c r="A310" s="5">
        <v>308</v>
      </c>
      <c r="B310" s="12"/>
      <c r="C310" s="12"/>
      <c r="D310" s="31"/>
      <c r="E310" s="4"/>
      <c r="F310" s="13"/>
      <c r="G310" s="21"/>
      <c r="H310" s="35"/>
      <c r="I310" s="21"/>
      <c r="J310" s="25" t="str">
        <f>IF(NOT(I310=""),INDEX(Master!$B$1:$B$46,MATCH(I310,Master!$A$1:$A$46,0)),"")</f>
        <v/>
      </c>
      <c r="K310" s="18"/>
      <c r="L310" s="86"/>
      <c r="M310" s="13"/>
      <c r="N310" s="13"/>
      <c r="O310" s="18"/>
      <c r="P310" s="35"/>
      <c r="Q310" s="21"/>
      <c r="R310" s="21"/>
      <c r="S310" s="13"/>
      <c r="T310" s="12"/>
      <c r="U310" s="12"/>
      <c r="V310" s="12"/>
      <c r="W310" s="14"/>
      <c r="Y310" s="42" t="str">
        <f>IF(AND(C310=Master!$H$1,B310="2012-2013",E310&gt;1000,G310="PLN03"),H310,"")</f>
        <v/>
      </c>
      <c r="Z310" s="42" t="str">
        <f>IF(AND(C310=Master!$H$1,B310="2012-2013",E310="",G310="PLN03"),H310,"")</f>
        <v/>
      </c>
      <c r="AA310" s="42" t="str">
        <f>IF(AND(C310=Master!$H$2,B310="2012-2013",E310&gt;1000,G310="PLN03"),H310,"")</f>
        <v/>
      </c>
      <c r="AB310" s="42" t="str">
        <f>IF(AND(C310=Master!$H$2,B310="2012-2013",E310="",G310="PLN03"),H310,"")</f>
        <v/>
      </c>
      <c r="AC310" s="42" t="str">
        <f>IF(AND(C310=Master!$H$3,B310="2012-2013",E310&gt;1000,G310="PLN03"),H310,"")</f>
        <v/>
      </c>
      <c r="AD310" s="42" t="str">
        <f>IF(AND(C310=Master!$H$3,B310="2012-2013",E310="",G310="PLN03"),H310,"")</f>
        <v/>
      </c>
      <c r="AE310" s="42" t="str">
        <f>IF(AND(C310=Master!$H$4,B310="2012-2013",E310&gt;1000,G310="PLN03"),H310,"")</f>
        <v/>
      </c>
      <c r="AF310" s="42" t="str">
        <f>IF(AND(C310=Master!$H$4,B310="2012-2013",E310="",G310="PLN03"),H310,"")</f>
        <v/>
      </c>
      <c r="AG310" s="42" t="str">
        <f>IF(AND(C310=Master!$H$5,B310="2012-2013",E310&gt;1000,G310="PLN03"),H310,"")</f>
        <v/>
      </c>
      <c r="AH310" s="42" t="str">
        <f>IF(AND(C310=Master!$H$5,B310="2012-2013",E310="",G310="PLN03"),H310,"")</f>
        <v/>
      </c>
      <c r="AI310" s="42" t="str">
        <f>IF(AND(C310=Master!$H$6,B310="2012-2013",E310&gt;1000,G310="PLN03"),H310,"")</f>
        <v/>
      </c>
      <c r="AJ310" s="42" t="str">
        <f>IF(AND(C310=Master!$H$6,B310="2012-2013",E310="",G310="PLN03"),H310,"")</f>
        <v/>
      </c>
      <c r="AK310" s="42" t="str">
        <f>IF(AND(C310=Master!$H$7,B310="2012-2013",E310&gt;1000,G310="PLN03"),H310,"")</f>
        <v/>
      </c>
      <c r="AL310" s="42" t="str">
        <f>IF(AND(C310=Master!$H$7,B310="2012-2013",E310="",G310="PLN03"),H310,"")</f>
        <v/>
      </c>
      <c r="AM310" s="42" t="str">
        <f>IF(AND(C310=Master!$H$8,B310="2012-2013",E310&gt;1000,G310="PLN03"),H310,"")</f>
        <v/>
      </c>
      <c r="AN310" s="42" t="str">
        <f>IF(AND(C310=Master!$H$8,B310="2012-2013",E310="",G310="PLN03"),H310,"")</f>
        <v/>
      </c>
      <c r="AO310" s="42" t="str">
        <f>IF(AND(C310=Master!$H$9,B310="2012-2013",E310&gt;1000,G310="PLN03"),H310,"")</f>
        <v/>
      </c>
      <c r="AP310" s="42" t="str">
        <f>IF(AND(C310=Master!$H$9,B310="2012-2013",E310="",G310="PLN03"),H310,"")</f>
        <v/>
      </c>
      <c r="AQ310" s="44" t="str">
        <f>IF(AND(C310=Master!$H$1,B310="2012-2013",E310&gt;1000,G310="NPN05"),H310,"")</f>
        <v/>
      </c>
      <c r="AR310" s="44" t="str">
        <f>IF(AND(C310=Master!$H$1,B310="2012-2013",E310="",G310="NPN05"),H310,"")</f>
        <v/>
      </c>
      <c r="AS310" s="44" t="str">
        <f>IF(AND(C310=Master!$H$2,B310="2012-2013",E310&gt;1000,G310="NPN05"),H310,"")</f>
        <v/>
      </c>
      <c r="AT310" s="44" t="str">
        <f>IF(AND(C310=Master!$H$2,B310="2012-2013",E310="",G310="NPN05"),H310,"")</f>
        <v/>
      </c>
      <c r="AU310" s="44" t="str">
        <f>IF(AND(C310=Master!$H$3,B310="2012-2013",E310&gt;1000,G310="NPN05"),H310,"")</f>
        <v/>
      </c>
      <c r="AV310" s="44" t="str">
        <f>IF(AND(C310=Master!$H$3,B310="2012-2013",E310="",G310="NPN05"),H310,"")</f>
        <v/>
      </c>
      <c r="AW310" s="44" t="str">
        <f>IF(AND(C310=Master!$H$4,B310="2012-2013",E310&gt;1000,G310="NPN05"),H310,"")</f>
        <v/>
      </c>
      <c r="AX310" s="44" t="str">
        <f>IF(AND(C310=Master!$H$4,B310="2012-2013",E310="",G310="NPN05"),H310,"")</f>
        <v/>
      </c>
      <c r="AY310" s="44" t="str">
        <f>IF(AND(C310=Master!$H$5,B310="2012-2013",E310&gt;1000,G310="NPN05"),H310,"")</f>
        <v/>
      </c>
      <c r="AZ310" s="44" t="str">
        <f>IF(AND(C310=Master!$H$5,B310="2012-2013",E310="",G310="NPN05"),H310,"")</f>
        <v/>
      </c>
      <c r="BA310" s="44" t="str">
        <f>IF(AND(C310=Master!$H$6,B310="2012-2013",E310&gt;1000,G310="NPN05"),H310,"")</f>
        <v/>
      </c>
      <c r="BB310" s="44" t="str">
        <f>IF(AND(C310=Master!$H$6,B310="2012-2013",E310="",G310="NPN05"),H310,"")</f>
        <v/>
      </c>
      <c r="BC310" s="44" t="str">
        <f>IF(AND(C310=Master!$H$7,B310="2012-2013",E310&gt;1000,G310="NPN05"),H310,"")</f>
        <v/>
      </c>
      <c r="BD310" s="44" t="str">
        <f>IF(AND(C310=Master!$H$7,B310="2012-2013",E310="",G310="NPN05"),H310,"")</f>
        <v/>
      </c>
      <c r="BE310" s="44" t="str">
        <f>IF(AND(C310=Master!$H$8,B310="2012-2013",E310&gt;1000,G310="NPN05"),H310,"")</f>
        <v/>
      </c>
      <c r="BF310" s="44" t="str">
        <f>IF(AND(C310=Master!$H$8,B310="2012-2013",E310="",G310="NPN05"),H310,"")</f>
        <v/>
      </c>
      <c r="BG310" s="44" t="str">
        <f>IF(AND(C310=Master!$H$9,B310="2012-2013",E310&gt;1000,G310="NPN05"),H310,"")</f>
        <v/>
      </c>
      <c r="BH310" s="44" t="str">
        <f>IF(AND(C310=Master!$H$9,B310="2012-2013",E310="",G310="NPN05"),H310,"")</f>
        <v/>
      </c>
    </row>
    <row r="311" spans="1:60" x14ac:dyDescent="0.25">
      <c r="A311" s="3">
        <v>309</v>
      </c>
      <c r="B311" s="12"/>
      <c r="C311" s="12"/>
      <c r="D311" s="31"/>
      <c r="E311" s="4"/>
      <c r="F311" s="13"/>
      <c r="G311" s="21"/>
      <c r="H311" s="35"/>
      <c r="I311" s="21"/>
      <c r="J311" s="25" t="str">
        <f>IF(NOT(I311=""),INDEX(Master!$B$1:$B$46,MATCH(I311,Master!$A$1:$A$46,0)),"")</f>
        <v/>
      </c>
      <c r="K311" s="18"/>
      <c r="L311" s="86"/>
      <c r="M311" s="13"/>
      <c r="N311" s="13"/>
      <c r="O311" s="18"/>
      <c r="P311" s="35"/>
      <c r="Q311" s="21"/>
      <c r="R311" s="21"/>
      <c r="S311" s="13"/>
      <c r="T311" s="12"/>
      <c r="U311" s="12"/>
      <c r="V311" s="12"/>
      <c r="W311" s="14"/>
      <c r="Y311" s="42" t="str">
        <f>IF(AND(C311=Master!$H$1,B311="2012-2013",E311&gt;1000,G311="PLN03"),H311,"")</f>
        <v/>
      </c>
      <c r="Z311" s="42" t="str">
        <f>IF(AND(C311=Master!$H$1,B311="2012-2013",E311="",G311="PLN03"),H311,"")</f>
        <v/>
      </c>
      <c r="AA311" s="42" t="str">
        <f>IF(AND(C311=Master!$H$2,B311="2012-2013",E311&gt;1000,G311="PLN03"),H311,"")</f>
        <v/>
      </c>
      <c r="AB311" s="42" t="str">
        <f>IF(AND(C311=Master!$H$2,B311="2012-2013",E311="",G311="PLN03"),H311,"")</f>
        <v/>
      </c>
      <c r="AC311" s="42" t="str">
        <f>IF(AND(C311=Master!$H$3,B311="2012-2013",E311&gt;1000,G311="PLN03"),H311,"")</f>
        <v/>
      </c>
      <c r="AD311" s="42" t="str">
        <f>IF(AND(C311=Master!$H$3,B311="2012-2013",E311="",G311="PLN03"),H311,"")</f>
        <v/>
      </c>
      <c r="AE311" s="42" t="str">
        <f>IF(AND(C311=Master!$H$4,B311="2012-2013",E311&gt;1000,G311="PLN03"),H311,"")</f>
        <v/>
      </c>
      <c r="AF311" s="42" t="str">
        <f>IF(AND(C311=Master!$H$4,B311="2012-2013",E311="",G311="PLN03"),H311,"")</f>
        <v/>
      </c>
      <c r="AG311" s="42" t="str">
        <f>IF(AND(C311=Master!$H$5,B311="2012-2013",E311&gt;1000,G311="PLN03"),H311,"")</f>
        <v/>
      </c>
      <c r="AH311" s="42" t="str">
        <f>IF(AND(C311=Master!$H$5,B311="2012-2013",E311="",G311="PLN03"),H311,"")</f>
        <v/>
      </c>
      <c r="AI311" s="42" t="str">
        <f>IF(AND(C311=Master!$H$6,B311="2012-2013",E311&gt;1000,G311="PLN03"),H311,"")</f>
        <v/>
      </c>
      <c r="AJ311" s="42" t="str">
        <f>IF(AND(C311=Master!$H$6,B311="2012-2013",E311="",G311="PLN03"),H311,"")</f>
        <v/>
      </c>
      <c r="AK311" s="42" t="str">
        <f>IF(AND(C311=Master!$H$7,B311="2012-2013",E311&gt;1000,G311="PLN03"),H311,"")</f>
        <v/>
      </c>
      <c r="AL311" s="42" t="str">
        <f>IF(AND(C311=Master!$H$7,B311="2012-2013",E311="",G311="PLN03"),H311,"")</f>
        <v/>
      </c>
      <c r="AM311" s="42" t="str">
        <f>IF(AND(C311=Master!$H$8,B311="2012-2013",E311&gt;1000,G311="PLN03"),H311,"")</f>
        <v/>
      </c>
      <c r="AN311" s="42" t="str">
        <f>IF(AND(C311=Master!$H$8,B311="2012-2013",E311="",G311="PLN03"),H311,"")</f>
        <v/>
      </c>
      <c r="AO311" s="42" t="str">
        <f>IF(AND(C311=Master!$H$9,B311="2012-2013",E311&gt;1000,G311="PLN03"),H311,"")</f>
        <v/>
      </c>
      <c r="AP311" s="42" t="str">
        <f>IF(AND(C311=Master!$H$9,B311="2012-2013",E311="",G311="PLN03"),H311,"")</f>
        <v/>
      </c>
      <c r="AQ311" s="44" t="str">
        <f>IF(AND(C311=Master!$H$1,B311="2012-2013",E311&gt;1000,G311="NPN05"),H311,"")</f>
        <v/>
      </c>
      <c r="AR311" s="44" t="str">
        <f>IF(AND(C311=Master!$H$1,B311="2012-2013",E311="",G311="NPN05"),H311,"")</f>
        <v/>
      </c>
      <c r="AS311" s="44" t="str">
        <f>IF(AND(C311=Master!$H$2,B311="2012-2013",E311&gt;1000,G311="NPN05"),H311,"")</f>
        <v/>
      </c>
      <c r="AT311" s="44" t="str">
        <f>IF(AND(C311=Master!$H$2,B311="2012-2013",E311="",G311="NPN05"),H311,"")</f>
        <v/>
      </c>
      <c r="AU311" s="44" t="str">
        <f>IF(AND(C311=Master!$H$3,B311="2012-2013",E311&gt;1000,G311="NPN05"),H311,"")</f>
        <v/>
      </c>
      <c r="AV311" s="44" t="str">
        <f>IF(AND(C311=Master!$H$3,B311="2012-2013",E311="",G311="NPN05"),H311,"")</f>
        <v/>
      </c>
      <c r="AW311" s="44" t="str">
        <f>IF(AND(C311=Master!$H$4,B311="2012-2013",E311&gt;1000,G311="NPN05"),H311,"")</f>
        <v/>
      </c>
      <c r="AX311" s="44" t="str">
        <f>IF(AND(C311=Master!$H$4,B311="2012-2013",E311="",G311="NPN05"),H311,"")</f>
        <v/>
      </c>
      <c r="AY311" s="44" t="str">
        <f>IF(AND(C311=Master!$H$5,B311="2012-2013",E311&gt;1000,G311="NPN05"),H311,"")</f>
        <v/>
      </c>
      <c r="AZ311" s="44" t="str">
        <f>IF(AND(C311=Master!$H$5,B311="2012-2013",E311="",G311="NPN05"),H311,"")</f>
        <v/>
      </c>
      <c r="BA311" s="44" t="str">
        <f>IF(AND(C311=Master!$H$6,B311="2012-2013",E311&gt;1000,G311="NPN05"),H311,"")</f>
        <v/>
      </c>
      <c r="BB311" s="44" t="str">
        <f>IF(AND(C311=Master!$H$6,B311="2012-2013",E311="",G311="NPN05"),H311,"")</f>
        <v/>
      </c>
      <c r="BC311" s="44" t="str">
        <f>IF(AND(C311=Master!$H$7,B311="2012-2013",E311&gt;1000,G311="NPN05"),H311,"")</f>
        <v/>
      </c>
      <c r="BD311" s="44" t="str">
        <f>IF(AND(C311=Master!$H$7,B311="2012-2013",E311="",G311="NPN05"),H311,"")</f>
        <v/>
      </c>
      <c r="BE311" s="44" t="str">
        <f>IF(AND(C311=Master!$H$8,B311="2012-2013",E311&gt;1000,G311="NPN05"),H311,"")</f>
        <v/>
      </c>
      <c r="BF311" s="44" t="str">
        <f>IF(AND(C311=Master!$H$8,B311="2012-2013",E311="",G311="NPN05"),H311,"")</f>
        <v/>
      </c>
      <c r="BG311" s="44" t="str">
        <f>IF(AND(C311=Master!$H$9,B311="2012-2013",E311&gt;1000,G311="NPN05"),H311,"")</f>
        <v/>
      </c>
      <c r="BH311" s="44" t="str">
        <f>IF(AND(C311=Master!$H$9,B311="2012-2013",E311="",G311="NPN05"),H311,"")</f>
        <v/>
      </c>
    </row>
    <row r="312" spans="1:60" x14ac:dyDescent="0.25">
      <c r="A312" s="3">
        <v>310</v>
      </c>
      <c r="B312" s="12"/>
      <c r="C312" s="12"/>
      <c r="D312" s="31"/>
      <c r="E312" s="4"/>
      <c r="F312" s="13"/>
      <c r="G312" s="21"/>
      <c r="H312" s="35"/>
      <c r="I312" s="21"/>
      <c r="J312" s="25" t="str">
        <f>IF(NOT(I312=""),INDEX(Master!$B$1:$B$46,MATCH(I312,Master!$A$1:$A$46,0)),"")</f>
        <v/>
      </c>
      <c r="K312" s="18"/>
      <c r="L312" s="86"/>
      <c r="M312" s="13"/>
      <c r="N312" s="13"/>
      <c r="O312" s="18"/>
      <c r="P312" s="35"/>
      <c r="Q312" s="21"/>
      <c r="R312" s="21"/>
      <c r="S312" s="13"/>
      <c r="T312" s="12"/>
      <c r="U312" s="12"/>
      <c r="V312" s="12"/>
      <c r="W312" s="14"/>
      <c r="Y312" s="42" t="str">
        <f>IF(AND(C312=Master!$H$1,B312="2012-2013",E312&gt;1000,G312="PLN03"),H312,"")</f>
        <v/>
      </c>
      <c r="Z312" s="42" t="str">
        <f>IF(AND(C312=Master!$H$1,B312="2012-2013",E312="",G312="PLN03"),H312,"")</f>
        <v/>
      </c>
      <c r="AA312" s="42" t="str">
        <f>IF(AND(C312=Master!$H$2,B312="2012-2013",E312&gt;1000,G312="PLN03"),H312,"")</f>
        <v/>
      </c>
      <c r="AB312" s="42" t="str">
        <f>IF(AND(C312=Master!$H$2,B312="2012-2013",E312="",G312="PLN03"),H312,"")</f>
        <v/>
      </c>
      <c r="AC312" s="42" t="str">
        <f>IF(AND(C312=Master!$H$3,B312="2012-2013",E312&gt;1000,G312="PLN03"),H312,"")</f>
        <v/>
      </c>
      <c r="AD312" s="42" t="str">
        <f>IF(AND(C312=Master!$H$3,B312="2012-2013",E312="",G312="PLN03"),H312,"")</f>
        <v/>
      </c>
      <c r="AE312" s="42" t="str">
        <f>IF(AND(C312=Master!$H$4,B312="2012-2013",E312&gt;1000,G312="PLN03"),H312,"")</f>
        <v/>
      </c>
      <c r="AF312" s="42" t="str">
        <f>IF(AND(C312=Master!$H$4,B312="2012-2013",E312="",G312="PLN03"),H312,"")</f>
        <v/>
      </c>
      <c r="AG312" s="42" t="str">
        <f>IF(AND(C312=Master!$H$5,B312="2012-2013",E312&gt;1000,G312="PLN03"),H312,"")</f>
        <v/>
      </c>
      <c r="AH312" s="42" t="str">
        <f>IF(AND(C312=Master!$H$5,B312="2012-2013",E312="",G312="PLN03"),H312,"")</f>
        <v/>
      </c>
      <c r="AI312" s="42" t="str">
        <f>IF(AND(C312=Master!$H$6,B312="2012-2013",E312&gt;1000,G312="PLN03"),H312,"")</f>
        <v/>
      </c>
      <c r="AJ312" s="42" t="str">
        <f>IF(AND(C312=Master!$H$6,B312="2012-2013",E312="",G312="PLN03"),H312,"")</f>
        <v/>
      </c>
      <c r="AK312" s="42" t="str">
        <f>IF(AND(C312=Master!$H$7,B312="2012-2013",E312&gt;1000,G312="PLN03"),H312,"")</f>
        <v/>
      </c>
      <c r="AL312" s="42" t="str">
        <f>IF(AND(C312=Master!$H$7,B312="2012-2013",E312="",G312="PLN03"),H312,"")</f>
        <v/>
      </c>
      <c r="AM312" s="42" t="str">
        <f>IF(AND(C312=Master!$H$8,B312="2012-2013",E312&gt;1000,G312="PLN03"),H312,"")</f>
        <v/>
      </c>
      <c r="AN312" s="42" t="str">
        <f>IF(AND(C312=Master!$H$8,B312="2012-2013",E312="",G312="PLN03"),H312,"")</f>
        <v/>
      </c>
      <c r="AO312" s="42" t="str">
        <f>IF(AND(C312=Master!$H$9,B312="2012-2013",E312&gt;1000,G312="PLN03"),H312,"")</f>
        <v/>
      </c>
      <c r="AP312" s="42" t="str">
        <f>IF(AND(C312=Master!$H$9,B312="2012-2013",E312="",G312="PLN03"),H312,"")</f>
        <v/>
      </c>
      <c r="AQ312" s="44" t="str">
        <f>IF(AND(C312=Master!$H$1,B312="2012-2013",E312&gt;1000,G312="NPN05"),H312,"")</f>
        <v/>
      </c>
      <c r="AR312" s="44" t="str">
        <f>IF(AND(C312=Master!$H$1,B312="2012-2013",E312="",G312="NPN05"),H312,"")</f>
        <v/>
      </c>
      <c r="AS312" s="44" t="str">
        <f>IF(AND(C312=Master!$H$2,B312="2012-2013",E312&gt;1000,G312="NPN05"),H312,"")</f>
        <v/>
      </c>
      <c r="AT312" s="44" t="str">
        <f>IF(AND(C312=Master!$H$2,B312="2012-2013",E312="",G312="NPN05"),H312,"")</f>
        <v/>
      </c>
      <c r="AU312" s="44" t="str">
        <f>IF(AND(C312=Master!$H$3,B312="2012-2013",E312&gt;1000,G312="NPN05"),H312,"")</f>
        <v/>
      </c>
      <c r="AV312" s="44" t="str">
        <f>IF(AND(C312=Master!$H$3,B312="2012-2013",E312="",G312="NPN05"),H312,"")</f>
        <v/>
      </c>
      <c r="AW312" s="44" t="str">
        <f>IF(AND(C312=Master!$H$4,B312="2012-2013",E312&gt;1000,G312="NPN05"),H312,"")</f>
        <v/>
      </c>
      <c r="AX312" s="44" t="str">
        <f>IF(AND(C312=Master!$H$4,B312="2012-2013",E312="",G312="NPN05"),H312,"")</f>
        <v/>
      </c>
      <c r="AY312" s="44" t="str">
        <f>IF(AND(C312=Master!$H$5,B312="2012-2013",E312&gt;1000,G312="NPN05"),H312,"")</f>
        <v/>
      </c>
      <c r="AZ312" s="44" t="str">
        <f>IF(AND(C312=Master!$H$5,B312="2012-2013",E312="",G312="NPN05"),H312,"")</f>
        <v/>
      </c>
      <c r="BA312" s="44" t="str">
        <f>IF(AND(C312=Master!$H$6,B312="2012-2013",E312&gt;1000,G312="NPN05"),H312,"")</f>
        <v/>
      </c>
      <c r="BB312" s="44" t="str">
        <f>IF(AND(C312=Master!$H$6,B312="2012-2013",E312="",G312="NPN05"),H312,"")</f>
        <v/>
      </c>
      <c r="BC312" s="44" t="str">
        <f>IF(AND(C312=Master!$H$7,B312="2012-2013",E312&gt;1000,G312="NPN05"),H312,"")</f>
        <v/>
      </c>
      <c r="BD312" s="44" t="str">
        <f>IF(AND(C312=Master!$H$7,B312="2012-2013",E312="",G312="NPN05"),H312,"")</f>
        <v/>
      </c>
      <c r="BE312" s="44" t="str">
        <f>IF(AND(C312=Master!$H$8,B312="2012-2013",E312&gt;1000,G312="NPN05"),H312,"")</f>
        <v/>
      </c>
      <c r="BF312" s="44" t="str">
        <f>IF(AND(C312=Master!$H$8,B312="2012-2013",E312="",G312="NPN05"),H312,"")</f>
        <v/>
      </c>
      <c r="BG312" s="44" t="str">
        <f>IF(AND(C312=Master!$H$9,B312="2012-2013",E312&gt;1000,G312="NPN05"),H312,"")</f>
        <v/>
      </c>
      <c r="BH312" s="44" t="str">
        <f>IF(AND(C312=Master!$H$9,B312="2012-2013",E312="",G312="NPN05"),H312,"")</f>
        <v/>
      </c>
    </row>
    <row r="313" spans="1:60" x14ac:dyDescent="0.25">
      <c r="A313" s="3">
        <v>311</v>
      </c>
      <c r="B313" s="12"/>
      <c r="C313" s="12"/>
      <c r="D313" s="31"/>
      <c r="E313" s="4"/>
      <c r="F313" s="13"/>
      <c r="G313" s="21"/>
      <c r="H313" s="35"/>
      <c r="I313" s="21"/>
      <c r="J313" s="25" t="str">
        <f>IF(NOT(I313=""),INDEX(Master!$B$1:$B$46,MATCH(I313,Master!$A$1:$A$46,0)),"")</f>
        <v/>
      </c>
      <c r="K313" s="18"/>
      <c r="L313" s="86"/>
      <c r="M313" s="13"/>
      <c r="N313" s="13"/>
      <c r="O313" s="18"/>
      <c r="P313" s="35"/>
      <c r="Q313" s="21"/>
      <c r="R313" s="21"/>
      <c r="S313" s="13"/>
      <c r="T313" s="12"/>
      <c r="U313" s="12"/>
      <c r="V313" s="12"/>
      <c r="W313" s="14"/>
      <c r="Y313" s="42" t="str">
        <f>IF(AND(C313=Master!$H$1,B313="2012-2013",E313&gt;1000,G313="PLN03"),H313,"")</f>
        <v/>
      </c>
      <c r="Z313" s="42" t="str">
        <f>IF(AND(C313=Master!$H$1,B313="2012-2013",E313="",G313="PLN03"),H313,"")</f>
        <v/>
      </c>
      <c r="AA313" s="42" t="str">
        <f>IF(AND(C313=Master!$H$2,B313="2012-2013",E313&gt;1000,G313="PLN03"),H313,"")</f>
        <v/>
      </c>
      <c r="AB313" s="42" t="str">
        <f>IF(AND(C313=Master!$H$2,B313="2012-2013",E313="",G313="PLN03"),H313,"")</f>
        <v/>
      </c>
      <c r="AC313" s="42" t="str">
        <f>IF(AND(C313=Master!$H$3,B313="2012-2013",E313&gt;1000,G313="PLN03"),H313,"")</f>
        <v/>
      </c>
      <c r="AD313" s="42" t="str">
        <f>IF(AND(C313=Master!$H$3,B313="2012-2013",E313="",G313="PLN03"),H313,"")</f>
        <v/>
      </c>
      <c r="AE313" s="42" t="str">
        <f>IF(AND(C313=Master!$H$4,B313="2012-2013",E313&gt;1000,G313="PLN03"),H313,"")</f>
        <v/>
      </c>
      <c r="AF313" s="42" t="str">
        <f>IF(AND(C313=Master!$H$4,B313="2012-2013",E313="",G313="PLN03"),H313,"")</f>
        <v/>
      </c>
      <c r="AG313" s="42" t="str">
        <f>IF(AND(C313=Master!$H$5,B313="2012-2013",E313&gt;1000,G313="PLN03"),H313,"")</f>
        <v/>
      </c>
      <c r="AH313" s="42" t="str">
        <f>IF(AND(C313=Master!$H$5,B313="2012-2013",E313="",G313="PLN03"),H313,"")</f>
        <v/>
      </c>
      <c r="AI313" s="42" t="str">
        <f>IF(AND(C313=Master!$H$6,B313="2012-2013",E313&gt;1000,G313="PLN03"),H313,"")</f>
        <v/>
      </c>
      <c r="AJ313" s="42" t="str">
        <f>IF(AND(C313=Master!$H$6,B313="2012-2013",E313="",G313="PLN03"),H313,"")</f>
        <v/>
      </c>
      <c r="AK313" s="42" t="str">
        <f>IF(AND(C313=Master!$H$7,B313="2012-2013",E313&gt;1000,G313="PLN03"),H313,"")</f>
        <v/>
      </c>
      <c r="AL313" s="42" t="str">
        <f>IF(AND(C313=Master!$H$7,B313="2012-2013",E313="",G313="PLN03"),H313,"")</f>
        <v/>
      </c>
      <c r="AM313" s="42" t="str">
        <f>IF(AND(C313=Master!$H$8,B313="2012-2013",E313&gt;1000,G313="PLN03"),H313,"")</f>
        <v/>
      </c>
      <c r="AN313" s="42" t="str">
        <f>IF(AND(C313=Master!$H$8,B313="2012-2013",E313="",G313="PLN03"),H313,"")</f>
        <v/>
      </c>
      <c r="AO313" s="42" t="str">
        <f>IF(AND(C313=Master!$H$9,B313="2012-2013",E313&gt;1000,G313="PLN03"),H313,"")</f>
        <v/>
      </c>
      <c r="AP313" s="42" t="str">
        <f>IF(AND(C313=Master!$H$9,B313="2012-2013",E313="",G313="PLN03"),H313,"")</f>
        <v/>
      </c>
      <c r="AQ313" s="44" t="str">
        <f>IF(AND(C313=Master!$H$1,B313="2012-2013",E313&gt;1000,G313="NPN05"),H313,"")</f>
        <v/>
      </c>
      <c r="AR313" s="44" t="str">
        <f>IF(AND(C313=Master!$H$1,B313="2012-2013",E313="",G313="NPN05"),H313,"")</f>
        <v/>
      </c>
      <c r="AS313" s="44" t="str">
        <f>IF(AND(C313=Master!$H$2,B313="2012-2013",E313&gt;1000,G313="NPN05"),H313,"")</f>
        <v/>
      </c>
      <c r="AT313" s="44" t="str">
        <f>IF(AND(C313=Master!$H$2,B313="2012-2013",E313="",G313="NPN05"),H313,"")</f>
        <v/>
      </c>
      <c r="AU313" s="44" t="str">
        <f>IF(AND(C313=Master!$H$3,B313="2012-2013",E313&gt;1000,G313="NPN05"),H313,"")</f>
        <v/>
      </c>
      <c r="AV313" s="44" t="str">
        <f>IF(AND(C313=Master!$H$3,B313="2012-2013",E313="",G313="NPN05"),H313,"")</f>
        <v/>
      </c>
      <c r="AW313" s="44" t="str">
        <f>IF(AND(C313=Master!$H$4,B313="2012-2013",E313&gt;1000,G313="NPN05"),H313,"")</f>
        <v/>
      </c>
      <c r="AX313" s="44" t="str">
        <f>IF(AND(C313=Master!$H$4,B313="2012-2013",E313="",G313="NPN05"),H313,"")</f>
        <v/>
      </c>
      <c r="AY313" s="44" t="str">
        <f>IF(AND(C313=Master!$H$5,B313="2012-2013",E313&gt;1000,G313="NPN05"),H313,"")</f>
        <v/>
      </c>
      <c r="AZ313" s="44" t="str">
        <f>IF(AND(C313=Master!$H$5,B313="2012-2013",E313="",G313="NPN05"),H313,"")</f>
        <v/>
      </c>
      <c r="BA313" s="44" t="str">
        <f>IF(AND(C313=Master!$H$6,B313="2012-2013",E313&gt;1000,G313="NPN05"),H313,"")</f>
        <v/>
      </c>
      <c r="BB313" s="44" t="str">
        <f>IF(AND(C313=Master!$H$6,B313="2012-2013",E313="",G313="NPN05"),H313,"")</f>
        <v/>
      </c>
      <c r="BC313" s="44" t="str">
        <f>IF(AND(C313=Master!$H$7,B313="2012-2013",E313&gt;1000,G313="NPN05"),H313,"")</f>
        <v/>
      </c>
      <c r="BD313" s="44" t="str">
        <f>IF(AND(C313=Master!$H$7,B313="2012-2013",E313="",G313="NPN05"),H313,"")</f>
        <v/>
      </c>
      <c r="BE313" s="44" t="str">
        <f>IF(AND(C313=Master!$H$8,B313="2012-2013",E313&gt;1000,G313="NPN05"),H313,"")</f>
        <v/>
      </c>
      <c r="BF313" s="44" t="str">
        <f>IF(AND(C313=Master!$H$8,B313="2012-2013",E313="",G313="NPN05"),H313,"")</f>
        <v/>
      </c>
      <c r="BG313" s="44" t="str">
        <f>IF(AND(C313=Master!$H$9,B313="2012-2013",E313&gt;1000,G313="NPN05"),H313,"")</f>
        <v/>
      </c>
      <c r="BH313" s="44" t="str">
        <f>IF(AND(C313=Master!$H$9,B313="2012-2013",E313="",G313="NPN05"),H313,"")</f>
        <v/>
      </c>
    </row>
    <row r="314" spans="1:60" x14ac:dyDescent="0.25">
      <c r="A314" s="3">
        <v>312</v>
      </c>
      <c r="B314" s="12"/>
      <c r="C314" s="12"/>
      <c r="D314" s="31"/>
      <c r="E314" s="4"/>
      <c r="F314" s="13"/>
      <c r="G314" s="21"/>
      <c r="H314" s="35"/>
      <c r="I314" s="21"/>
      <c r="J314" s="25" t="str">
        <f>IF(NOT(I314=""),INDEX(Master!$B$1:$B$46,MATCH(I314,Master!$A$1:$A$46,0)),"")</f>
        <v/>
      </c>
      <c r="K314" s="18"/>
      <c r="L314" s="86"/>
      <c r="M314" s="13"/>
      <c r="N314" s="13"/>
      <c r="O314" s="18"/>
      <c r="P314" s="35"/>
      <c r="Q314" s="21"/>
      <c r="R314" s="21"/>
      <c r="S314" s="13"/>
      <c r="T314" s="12"/>
      <c r="U314" s="12"/>
      <c r="V314" s="12"/>
      <c r="W314" s="14"/>
      <c r="Y314" s="42" t="str">
        <f>IF(AND(C314=Master!$H$1,B314="2012-2013",E314&gt;1000,G314="PLN03"),H314,"")</f>
        <v/>
      </c>
      <c r="Z314" s="42" t="str">
        <f>IF(AND(C314=Master!$H$1,B314="2012-2013",E314="",G314="PLN03"),H314,"")</f>
        <v/>
      </c>
      <c r="AA314" s="42" t="str">
        <f>IF(AND(C314=Master!$H$2,B314="2012-2013",E314&gt;1000,G314="PLN03"),H314,"")</f>
        <v/>
      </c>
      <c r="AB314" s="42" t="str">
        <f>IF(AND(C314=Master!$H$2,B314="2012-2013",E314="",G314="PLN03"),H314,"")</f>
        <v/>
      </c>
      <c r="AC314" s="42" t="str">
        <f>IF(AND(C314=Master!$H$3,B314="2012-2013",E314&gt;1000,G314="PLN03"),H314,"")</f>
        <v/>
      </c>
      <c r="AD314" s="42" t="str">
        <f>IF(AND(C314=Master!$H$3,B314="2012-2013",E314="",G314="PLN03"),H314,"")</f>
        <v/>
      </c>
      <c r="AE314" s="42" t="str">
        <f>IF(AND(C314=Master!$H$4,B314="2012-2013",E314&gt;1000,G314="PLN03"),H314,"")</f>
        <v/>
      </c>
      <c r="AF314" s="42" t="str">
        <f>IF(AND(C314=Master!$H$4,B314="2012-2013",E314="",G314="PLN03"),H314,"")</f>
        <v/>
      </c>
      <c r="AG314" s="42" t="str">
        <f>IF(AND(C314=Master!$H$5,B314="2012-2013",E314&gt;1000,G314="PLN03"),H314,"")</f>
        <v/>
      </c>
      <c r="AH314" s="42" t="str">
        <f>IF(AND(C314=Master!$H$5,B314="2012-2013",E314="",G314="PLN03"),H314,"")</f>
        <v/>
      </c>
      <c r="AI314" s="42" t="str">
        <f>IF(AND(C314=Master!$H$6,B314="2012-2013",E314&gt;1000,G314="PLN03"),H314,"")</f>
        <v/>
      </c>
      <c r="AJ314" s="42" t="str">
        <f>IF(AND(C314=Master!$H$6,B314="2012-2013",E314="",G314="PLN03"),H314,"")</f>
        <v/>
      </c>
      <c r="AK314" s="42" t="str">
        <f>IF(AND(C314=Master!$H$7,B314="2012-2013",E314&gt;1000,G314="PLN03"),H314,"")</f>
        <v/>
      </c>
      <c r="AL314" s="42" t="str">
        <f>IF(AND(C314=Master!$H$7,B314="2012-2013",E314="",G314="PLN03"),H314,"")</f>
        <v/>
      </c>
      <c r="AM314" s="42" t="str">
        <f>IF(AND(C314=Master!$H$8,B314="2012-2013",E314&gt;1000,G314="PLN03"),H314,"")</f>
        <v/>
      </c>
      <c r="AN314" s="42" t="str">
        <f>IF(AND(C314=Master!$H$8,B314="2012-2013",E314="",G314="PLN03"),H314,"")</f>
        <v/>
      </c>
      <c r="AO314" s="42" t="str">
        <f>IF(AND(C314=Master!$H$9,B314="2012-2013",E314&gt;1000,G314="PLN03"),H314,"")</f>
        <v/>
      </c>
      <c r="AP314" s="42" t="str">
        <f>IF(AND(C314=Master!$H$9,B314="2012-2013",E314="",G314="PLN03"),H314,"")</f>
        <v/>
      </c>
      <c r="AQ314" s="44" t="str">
        <f>IF(AND(C314=Master!$H$1,B314="2012-2013",E314&gt;1000,G314="NPN05"),H314,"")</f>
        <v/>
      </c>
      <c r="AR314" s="44" t="str">
        <f>IF(AND(C314=Master!$H$1,B314="2012-2013",E314="",G314="NPN05"),H314,"")</f>
        <v/>
      </c>
      <c r="AS314" s="44" t="str">
        <f>IF(AND(C314=Master!$H$2,B314="2012-2013",E314&gt;1000,G314="NPN05"),H314,"")</f>
        <v/>
      </c>
      <c r="AT314" s="44" t="str">
        <f>IF(AND(C314=Master!$H$2,B314="2012-2013",E314="",G314="NPN05"),H314,"")</f>
        <v/>
      </c>
      <c r="AU314" s="44" t="str">
        <f>IF(AND(C314=Master!$H$3,B314="2012-2013",E314&gt;1000,G314="NPN05"),H314,"")</f>
        <v/>
      </c>
      <c r="AV314" s="44" t="str">
        <f>IF(AND(C314=Master!$H$3,B314="2012-2013",E314="",G314="NPN05"),H314,"")</f>
        <v/>
      </c>
      <c r="AW314" s="44" t="str">
        <f>IF(AND(C314=Master!$H$4,B314="2012-2013",E314&gt;1000,G314="NPN05"),H314,"")</f>
        <v/>
      </c>
      <c r="AX314" s="44" t="str">
        <f>IF(AND(C314=Master!$H$4,B314="2012-2013",E314="",G314="NPN05"),H314,"")</f>
        <v/>
      </c>
      <c r="AY314" s="44" t="str">
        <f>IF(AND(C314=Master!$H$5,B314="2012-2013",E314&gt;1000,G314="NPN05"),H314,"")</f>
        <v/>
      </c>
      <c r="AZ314" s="44" t="str">
        <f>IF(AND(C314=Master!$H$5,B314="2012-2013",E314="",G314="NPN05"),H314,"")</f>
        <v/>
      </c>
      <c r="BA314" s="44" t="str">
        <f>IF(AND(C314=Master!$H$6,B314="2012-2013",E314&gt;1000,G314="NPN05"),H314,"")</f>
        <v/>
      </c>
      <c r="BB314" s="44" t="str">
        <f>IF(AND(C314=Master!$H$6,B314="2012-2013",E314="",G314="NPN05"),H314,"")</f>
        <v/>
      </c>
      <c r="BC314" s="44" t="str">
        <f>IF(AND(C314=Master!$H$7,B314="2012-2013",E314&gt;1000,G314="NPN05"),H314,"")</f>
        <v/>
      </c>
      <c r="BD314" s="44" t="str">
        <f>IF(AND(C314=Master!$H$7,B314="2012-2013",E314="",G314="NPN05"),H314,"")</f>
        <v/>
      </c>
      <c r="BE314" s="44" t="str">
        <f>IF(AND(C314=Master!$H$8,B314="2012-2013",E314&gt;1000,G314="NPN05"),H314,"")</f>
        <v/>
      </c>
      <c r="BF314" s="44" t="str">
        <f>IF(AND(C314=Master!$H$8,B314="2012-2013",E314="",G314="NPN05"),H314,"")</f>
        <v/>
      </c>
      <c r="BG314" s="44" t="str">
        <f>IF(AND(C314=Master!$H$9,B314="2012-2013",E314&gt;1000,G314="NPN05"),H314,"")</f>
        <v/>
      </c>
      <c r="BH314" s="44" t="str">
        <f>IF(AND(C314=Master!$H$9,B314="2012-2013",E314="",G314="NPN05"),H314,"")</f>
        <v/>
      </c>
    </row>
    <row r="315" spans="1:60" x14ac:dyDescent="0.25">
      <c r="A315" s="3">
        <v>313</v>
      </c>
      <c r="B315" s="12"/>
      <c r="C315" s="12"/>
      <c r="D315" s="31"/>
      <c r="E315" s="4"/>
      <c r="F315" s="13"/>
      <c r="G315" s="21"/>
      <c r="H315" s="35"/>
      <c r="I315" s="21"/>
      <c r="J315" s="25" t="str">
        <f>IF(NOT(I315=""),INDEX(Master!$B$1:$B$46,MATCH(I315,Master!$A$1:$A$46,0)),"")</f>
        <v/>
      </c>
      <c r="K315" s="18"/>
      <c r="L315" s="86"/>
      <c r="M315" s="13"/>
      <c r="N315" s="13"/>
      <c r="O315" s="18"/>
      <c r="P315" s="35"/>
      <c r="Q315" s="21"/>
      <c r="R315" s="21"/>
      <c r="S315" s="13"/>
      <c r="T315" s="12"/>
      <c r="U315" s="12"/>
      <c r="V315" s="12"/>
      <c r="W315" s="14"/>
      <c r="Y315" s="42" t="str">
        <f>IF(AND(C315=Master!$H$1,B315="2012-2013",E315&gt;1000,G315="PLN03"),H315,"")</f>
        <v/>
      </c>
      <c r="Z315" s="42" t="str">
        <f>IF(AND(C315=Master!$H$1,B315="2012-2013",E315="",G315="PLN03"),H315,"")</f>
        <v/>
      </c>
      <c r="AA315" s="42" t="str">
        <f>IF(AND(C315=Master!$H$2,B315="2012-2013",E315&gt;1000,G315="PLN03"),H315,"")</f>
        <v/>
      </c>
      <c r="AB315" s="42" t="str">
        <f>IF(AND(C315=Master!$H$2,B315="2012-2013",E315="",G315="PLN03"),H315,"")</f>
        <v/>
      </c>
      <c r="AC315" s="42" t="str">
        <f>IF(AND(C315=Master!$H$3,B315="2012-2013",E315&gt;1000,G315="PLN03"),H315,"")</f>
        <v/>
      </c>
      <c r="AD315" s="42" t="str">
        <f>IF(AND(C315=Master!$H$3,B315="2012-2013",E315="",G315="PLN03"),H315,"")</f>
        <v/>
      </c>
      <c r="AE315" s="42" t="str">
        <f>IF(AND(C315=Master!$H$4,B315="2012-2013",E315&gt;1000,G315="PLN03"),H315,"")</f>
        <v/>
      </c>
      <c r="AF315" s="42" t="str">
        <f>IF(AND(C315=Master!$H$4,B315="2012-2013",E315="",G315="PLN03"),H315,"")</f>
        <v/>
      </c>
      <c r="AG315" s="42" t="str">
        <f>IF(AND(C315=Master!$H$5,B315="2012-2013",E315&gt;1000,G315="PLN03"),H315,"")</f>
        <v/>
      </c>
      <c r="AH315" s="42" t="str">
        <f>IF(AND(C315=Master!$H$5,B315="2012-2013",E315="",G315="PLN03"),H315,"")</f>
        <v/>
      </c>
      <c r="AI315" s="42" t="str">
        <f>IF(AND(C315=Master!$H$6,B315="2012-2013",E315&gt;1000,G315="PLN03"),H315,"")</f>
        <v/>
      </c>
      <c r="AJ315" s="42" t="str">
        <f>IF(AND(C315=Master!$H$6,B315="2012-2013",E315="",G315="PLN03"),H315,"")</f>
        <v/>
      </c>
      <c r="AK315" s="42" t="str">
        <f>IF(AND(C315=Master!$H$7,B315="2012-2013",E315&gt;1000,G315="PLN03"),H315,"")</f>
        <v/>
      </c>
      <c r="AL315" s="42" t="str">
        <f>IF(AND(C315=Master!$H$7,B315="2012-2013",E315="",G315="PLN03"),H315,"")</f>
        <v/>
      </c>
      <c r="AM315" s="42" t="str">
        <f>IF(AND(C315=Master!$H$8,B315="2012-2013",E315&gt;1000,G315="PLN03"),H315,"")</f>
        <v/>
      </c>
      <c r="AN315" s="42" t="str">
        <f>IF(AND(C315=Master!$H$8,B315="2012-2013",E315="",G315="PLN03"),H315,"")</f>
        <v/>
      </c>
      <c r="AO315" s="42" t="str">
        <f>IF(AND(C315=Master!$H$9,B315="2012-2013",E315&gt;1000,G315="PLN03"),H315,"")</f>
        <v/>
      </c>
      <c r="AP315" s="42" t="str">
        <f>IF(AND(C315=Master!$H$9,B315="2012-2013",E315="",G315="PLN03"),H315,"")</f>
        <v/>
      </c>
      <c r="AQ315" s="44" t="str">
        <f>IF(AND(C315=Master!$H$1,B315="2012-2013",E315&gt;1000,G315="NPN05"),H315,"")</f>
        <v/>
      </c>
      <c r="AR315" s="44" t="str">
        <f>IF(AND(C315=Master!$H$1,B315="2012-2013",E315="",G315="NPN05"),H315,"")</f>
        <v/>
      </c>
      <c r="AS315" s="44" t="str">
        <f>IF(AND(C315=Master!$H$2,B315="2012-2013",E315&gt;1000,G315="NPN05"),H315,"")</f>
        <v/>
      </c>
      <c r="AT315" s="44" t="str">
        <f>IF(AND(C315=Master!$H$2,B315="2012-2013",E315="",G315="NPN05"),H315,"")</f>
        <v/>
      </c>
      <c r="AU315" s="44" t="str">
        <f>IF(AND(C315=Master!$H$3,B315="2012-2013",E315&gt;1000,G315="NPN05"),H315,"")</f>
        <v/>
      </c>
      <c r="AV315" s="44" t="str">
        <f>IF(AND(C315=Master!$H$3,B315="2012-2013",E315="",G315="NPN05"),H315,"")</f>
        <v/>
      </c>
      <c r="AW315" s="44" t="str">
        <f>IF(AND(C315=Master!$H$4,B315="2012-2013",E315&gt;1000,G315="NPN05"),H315,"")</f>
        <v/>
      </c>
      <c r="AX315" s="44" t="str">
        <f>IF(AND(C315=Master!$H$4,B315="2012-2013",E315="",G315="NPN05"),H315,"")</f>
        <v/>
      </c>
      <c r="AY315" s="44" t="str">
        <f>IF(AND(C315=Master!$H$5,B315="2012-2013",E315&gt;1000,G315="NPN05"),H315,"")</f>
        <v/>
      </c>
      <c r="AZ315" s="44" t="str">
        <f>IF(AND(C315=Master!$H$5,B315="2012-2013",E315="",G315="NPN05"),H315,"")</f>
        <v/>
      </c>
      <c r="BA315" s="44" t="str">
        <f>IF(AND(C315=Master!$H$6,B315="2012-2013",E315&gt;1000,G315="NPN05"),H315,"")</f>
        <v/>
      </c>
      <c r="BB315" s="44" t="str">
        <f>IF(AND(C315=Master!$H$6,B315="2012-2013",E315="",G315="NPN05"),H315,"")</f>
        <v/>
      </c>
      <c r="BC315" s="44" t="str">
        <f>IF(AND(C315=Master!$H$7,B315="2012-2013",E315&gt;1000,G315="NPN05"),H315,"")</f>
        <v/>
      </c>
      <c r="BD315" s="44" t="str">
        <f>IF(AND(C315=Master!$H$7,B315="2012-2013",E315="",G315="NPN05"),H315,"")</f>
        <v/>
      </c>
      <c r="BE315" s="44" t="str">
        <f>IF(AND(C315=Master!$H$8,B315="2012-2013",E315&gt;1000,G315="NPN05"),H315,"")</f>
        <v/>
      </c>
      <c r="BF315" s="44" t="str">
        <f>IF(AND(C315=Master!$H$8,B315="2012-2013",E315="",G315="NPN05"),H315,"")</f>
        <v/>
      </c>
      <c r="BG315" s="44" t="str">
        <f>IF(AND(C315=Master!$H$9,B315="2012-2013",E315&gt;1000,G315="NPN05"),H315,"")</f>
        <v/>
      </c>
      <c r="BH315" s="44" t="str">
        <f>IF(AND(C315=Master!$H$9,B315="2012-2013",E315="",G315="NPN05"),H315,"")</f>
        <v/>
      </c>
    </row>
    <row r="316" spans="1:60" x14ac:dyDescent="0.25">
      <c r="A316" s="3">
        <v>314</v>
      </c>
      <c r="B316" s="12"/>
      <c r="C316" s="12"/>
      <c r="D316" s="31"/>
      <c r="E316" s="4"/>
      <c r="F316" s="13"/>
      <c r="G316" s="21"/>
      <c r="H316" s="35"/>
      <c r="I316" s="21"/>
      <c r="J316" s="25" t="str">
        <f>IF(NOT(I316=""),INDEX(Master!$B$1:$B$46,MATCH(I316,Master!$A$1:$A$46,0)),"")</f>
        <v/>
      </c>
      <c r="K316" s="18"/>
      <c r="L316" s="86"/>
      <c r="M316" s="13"/>
      <c r="N316" s="13"/>
      <c r="O316" s="18"/>
      <c r="P316" s="35"/>
      <c r="Q316" s="21"/>
      <c r="R316" s="21"/>
      <c r="S316" s="13"/>
      <c r="T316" s="12"/>
      <c r="U316" s="12"/>
      <c r="V316" s="12"/>
      <c r="W316" s="14"/>
      <c r="Y316" s="42" t="str">
        <f>IF(AND(C316=Master!$H$1,B316="2012-2013",E316&gt;1000,G316="PLN03"),H316,"")</f>
        <v/>
      </c>
      <c r="Z316" s="42" t="str">
        <f>IF(AND(C316=Master!$H$1,B316="2012-2013",E316="",G316="PLN03"),H316,"")</f>
        <v/>
      </c>
      <c r="AA316" s="42" t="str">
        <f>IF(AND(C316=Master!$H$2,B316="2012-2013",E316&gt;1000,G316="PLN03"),H316,"")</f>
        <v/>
      </c>
      <c r="AB316" s="42" t="str">
        <f>IF(AND(C316=Master!$H$2,B316="2012-2013",E316="",G316="PLN03"),H316,"")</f>
        <v/>
      </c>
      <c r="AC316" s="42" t="str">
        <f>IF(AND(C316=Master!$H$3,B316="2012-2013",E316&gt;1000,G316="PLN03"),H316,"")</f>
        <v/>
      </c>
      <c r="AD316" s="42" t="str">
        <f>IF(AND(C316=Master!$H$3,B316="2012-2013",E316="",G316="PLN03"),H316,"")</f>
        <v/>
      </c>
      <c r="AE316" s="42" t="str">
        <f>IF(AND(C316=Master!$H$4,B316="2012-2013",E316&gt;1000,G316="PLN03"),H316,"")</f>
        <v/>
      </c>
      <c r="AF316" s="42" t="str">
        <f>IF(AND(C316=Master!$H$4,B316="2012-2013",E316="",G316="PLN03"),H316,"")</f>
        <v/>
      </c>
      <c r="AG316" s="42" t="str">
        <f>IF(AND(C316=Master!$H$5,B316="2012-2013",E316&gt;1000,G316="PLN03"),H316,"")</f>
        <v/>
      </c>
      <c r="AH316" s="42" t="str">
        <f>IF(AND(C316=Master!$H$5,B316="2012-2013",E316="",G316="PLN03"),H316,"")</f>
        <v/>
      </c>
      <c r="AI316" s="42" t="str">
        <f>IF(AND(C316=Master!$H$6,B316="2012-2013",E316&gt;1000,G316="PLN03"),H316,"")</f>
        <v/>
      </c>
      <c r="AJ316" s="42" t="str">
        <f>IF(AND(C316=Master!$H$6,B316="2012-2013",E316="",G316="PLN03"),H316,"")</f>
        <v/>
      </c>
      <c r="AK316" s="42" t="str">
        <f>IF(AND(C316=Master!$H$7,B316="2012-2013",E316&gt;1000,G316="PLN03"),H316,"")</f>
        <v/>
      </c>
      <c r="AL316" s="42" t="str">
        <f>IF(AND(C316=Master!$H$7,B316="2012-2013",E316="",G316="PLN03"),H316,"")</f>
        <v/>
      </c>
      <c r="AM316" s="42" t="str">
        <f>IF(AND(C316=Master!$H$8,B316="2012-2013",E316&gt;1000,G316="PLN03"),H316,"")</f>
        <v/>
      </c>
      <c r="AN316" s="42" t="str">
        <f>IF(AND(C316=Master!$H$8,B316="2012-2013",E316="",G316="PLN03"),H316,"")</f>
        <v/>
      </c>
      <c r="AO316" s="42" t="str">
        <f>IF(AND(C316=Master!$H$9,B316="2012-2013",E316&gt;1000,G316="PLN03"),H316,"")</f>
        <v/>
      </c>
      <c r="AP316" s="42" t="str">
        <f>IF(AND(C316=Master!$H$9,B316="2012-2013",E316="",G316="PLN03"),H316,"")</f>
        <v/>
      </c>
      <c r="AQ316" s="44" t="str">
        <f>IF(AND(C316=Master!$H$1,B316="2012-2013",E316&gt;1000,G316="NPN05"),H316,"")</f>
        <v/>
      </c>
      <c r="AR316" s="44" t="str">
        <f>IF(AND(C316=Master!$H$1,B316="2012-2013",E316="",G316="NPN05"),H316,"")</f>
        <v/>
      </c>
      <c r="AS316" s="44" t="str">
        <f>IF(AND(C316=Master!$H$2,B316="2012-2013",E316&gt;1000,G316="NPN05"),H316,"")</f>
        <v/>
      </c>
      <c r="AT316" s="44" t="str">
        <f>IF(AND(C316=Master!$H$2,B316="2012-2013",E316="",G316="NPN05"),H316,"")</f>
        <v/>
      </c>
      <c r="AU316" s="44" t="str">
        <f>IF(AND(C316=Master!$H$3,B316="2012-2013",E316&gt;1000,G316="NPN05"),H316,"")</f>
        <v/>
      </c>
      <c r="AV316" s="44" t="str">
        <f>IF(AND(C316=Master!$H$3,B316="2012-2013",E316="",G316="NPN05"),H316,"")</f>
        <v/>
      </c>
      <c r="AW316" s="44" t="str">
        <f>IF(AND(C316=Master!$H$4,B316="2012-2013",E316&gt;1000,G316="NPN05"),H316,"")</f>
        <v/>
      </c>
      <c r="AX316" s="44" t="str">
        <f>IF(AND(C316=Master!$H$4,B316="2012-2013",E316="",G316="NPN05"),H316,"")</f>
        <v/>
      </c>
      <c r="AY316" s="44" t="str">
        <f>IF(AND(C316=Master!$H$5,B316="2012-2013",E316&gt;1000,G316="NPN05"),H316,"")</f>
        <v/>
      </c>
      <c r="AZ316" s="44" t="str">
        <f>IF(AND(C316=Master!$H$5,B316="2012-2013",E316="",G316="NPN05"),H316,"")</f>
        <v/>
      </c>
      <c r="BA316" s="44" t="str">
        <f>IF(AND(C316=Master!$H$6,B316="2012-2013",E316&gt;1000,G316="NPN05"),H316,"")</f>
        <v/>
      </c>
      <c r="BB316" s="44" t="str">
        <f>IF(AND(C316=Master!$H$6,B316="2012-2013",E316="",G316="NPN05"),H316,"")</f>
        <v/>
      </c>
      <c r="BC316" s="44" t="str">
        <f>IF(AND(C316=Master!$H$7,B316="2012-2013",E316&gt;1000,G316="NPN05"),H316,"")</f>
        <v/>
      </c>
      <c r="BD316" s="44" t="str">
        <f>IF(AND(C316=Master!$H$7,B316="2012-2013",E316="",G316="NPN05"),H316,"")</f>
        <v/>
      </c>
      <c r="BE316" s="44" t="str">
        <f>IF(AND(C316=Master!$H$8,B316="2012-2013",E316&gt;1000,G316="NPN05"),H316,"")</f>
        <v/>
      </c>
      <c r="BF316" s="44" t="str">
        <f>IF(AND(C316=Master!$H$8,B316="2012-2013",E316="",G316="NPN05"),H316,"")</f>
        <v/>
      </c>
      <c r="BG316" s="44" t="str">
        <f>IF(AND(C316=Master!$H$9,B316="2012-2013",E316&gt;1000,G316="NPN05"),H316,"")</f>
        <v/>
      </c>
      <c r="BH316" s="44" t="str">
        <f>IF(AND(C316=Master!$H$9,B316="2012-2013",E316="",G316="NPN05"),H316,"")</f>
        <v/>
      </c>
    </row>
    <row r="317" spans="1:60" x14ac:dyDescent="0.25">
      <c r="A317" s="3">
        <v>315</v>
      </c>
      <c r="B317" s="12"/>
      <c r="C317" s="12"/>
      <c r="D317" s="31"/>
      <c r="E317" s="4"/>
      <c r="F317" s="13"/>
      <c r="G317" s="21"/>
      <c r="H317" s="35"/>
      <c r="I317" s="21"/>
      <c r="J317" s="25" t="str">
        <f>IF(NOT(I317=""),INDEX(Master!$B$1:$B$46,MATCH(I317,Master!$A$1:$A$46,0)),"")</f>
        <v/>
      </c>
      <c r="K317" s="18"/>
      <c r="L317" s="86"/>
      <c r="M317" s="13"/>
      <c r="N317" s="13"/>
      <c r="O317" s="18"/>
      <c r="P317" s="35"/>
      <c r="Q317" s="21"/>
      <c r="R317" s="21"/>
      <c r="S317" s="13"/>
      <c r="T317" s="12"/>
      <c r="U317" s="12"/>
      <c r="V317" s="12"/>
      <c r="W317" s="14"/>
      <c r="Y317" s="42" t="str">
        <f>IF(AND(C317=Master!$H$1,B317="2012-2013",E317&gt;1000,G317="PLN03"),H317,"")</f>
        <v/>
      </c>
      <c r="Z317" s="42" t="str">
        <f>IF(AND(C317=Master!$H$1,B317="2012-2013",E317="",G317="PLN03"),H317,"")</f>
        <v/>
      </c>
      <c r="AA317" s="42" t="str">
        <f>IF(AND(C317=Master!$H$2,B317="2012-2013",E317&gt;1000,G317="PLN03"),H317,"")</f>
        <v/>
      </c>
      <c r="AB317" s="42" t="str">
        <f>IF(AND(C317=Master!$H$2,B317="2012-2013",E317="",G317="PLN03"),H317,"")</f>
        <v/>
      </c>
      <c r="AC317" s="42" t="str">
        <f>IF(AND(C317=Master!$H$3,B317="2012-2013",E317&gt;1000,G317="PLN03"),H317,"")</f>
        <v/>
      </c>
      <c r="AD317" s="42" t="str">
        <f>IF(AND(C317=Master!$H$3,B317="2012-2013",E317="",G317="PLN03"),H317,"")</f>
        <v/>
      </c>
      <c r="AE317" s="42" t="str">
        <f>IF(AND(C317=Master!$H$4,B317="2012-2013",E317&gt;1000,G317="PLN03"),H317,"")</f>
        <v/>
      </c>
      <c r="AF317" s="42" t="str">
        <f>IF(AND(C317=Master!$H$4,B317="2012-2013",E317="",G317="PLN03"),H317,"")</f>
        <v/>
      </c>
      <c r="AG317" s="42" t="str">
        <f>IF(AND(C317=Master!$H$5,B317="2012-2013",E317&gt;1000,G317="PLN03"),H317,"")</f>
        <v/>
      </c>
      <c r="AH317" s="42" t="str">
        <f>IF(AND(C317=Master!$H$5,B317="2012-2013",E317="",G317="PLN03"),H317,"")</f>
        <v/>
      </c>
      <c r="AI317" s="42" t="str">
        <f>IF(AND(C317=Master!$H$6,B317="2012-2013",E317&gt;1000,G317="PLN03"),H317,"")</f>
        <v/>
      </c>
      <c r="AJ317" s="42" t="str">
        <f>IF(AND(C317=Master!$H$6,B317="2012-2013",E317="",G317="PLN03"),H317,"")</f>
        <v/>
      </c>
      <c r="AK317" s="42" t="str">
        <f>IF(AND(C317=Master!$H$7,B317="2012-2013",E317&gt;1000,G317="PLN03"),H317,"")</f>
        <v/>
      </c>
      <c r="AL317" s="42" t="str">
        <f>IF(AND(C317=Master!$H$7,B317="2012-2013",E317="",G317="PLN03"),H317,"")</f>
        <v/>
      </c>
      <c r="AM317" s="42" t="str">
        <f>IF(AND(C317=Master!$H$8,B317="2012-2013",E317&gt;1000,G317="PLN03"),H317,"")</f>
        <v/>
      </c>
      <c r="AN317" s="42" t="str">
        <f>IF(AND(C317=Master!$H$8,B317="2012-2013",E317="",G317="PLN03"),H317,"")</f>
        <v/>
      </c>
      <c r="AO317" s="42" t="str">
        <f>IF(AND(C317=Master!$H$9,B317="2012-2013",E317&gt;1000,G317="PLN03"),H317,"")</f>
        <v/>
      </c>
      <c r="AP317" s="42" t="str">
        <f>IF(AND(C317=Master!$H$9,B317="2012-2013",E317="",G317="PLN03"),H317,"")</f>
        <v/>
      </c>
      <c r="AQ317" s="44" t="str">
        <f>IF(AND(C317=Master!$H$1,B317="2012-2013",E317&gt;1000,G317="NPN05"),H317,"")</f>
        <v/>
      </c>
      <c r="AR317" s="44" t="str">
        <f>IF(AND(C317=Master!$H$1,B317="2012-2013",E317="",G317="NPN05"),H317,"")</f>
        <v/>
      </c>
      <c r="AS317" s="44" t="str">
        <f>IF(AND(C317=Master!$H$2,B317="2012-2013",E317&gt;1000,G317="NPN05"),H317,"")</f>
        <v/>
      </c>
      <c r="AT317" s="44" t="str">
        <f>IF(AND(C317=Master!$H$2,B317="2012-2013",E317="",G317="NPN05"),H317,"")</f>
        <v/>
      </c>
      <c r="AU317" s="44" t="str">
        <f>IF(AND(C317=Master!$H$3,B317="2012-2013",E317&gt;1000,G317="NPN05"),H317,"")</f>
        <v/>
      </c>
      <c r="AV317" s="44" t="str">
        <f>IF(AND(C317=Master!$H$3,B317="2012-2013",E317="",G317="NPN05"),H317,"")</f>
        <v/>
      </c>
      <c r="AW317" s="44" t="str">
        <f>IF(AND(C317=Master!$H$4,B317="2012-2013",E317&gt;1000,G317="NPN05"),H317,"")</f>
        <v/>
      </c>
      <c r="AX317" s="44" t="str">
        <f>IF(AND(C317=Master!$H$4,B317="2012-2013",E317="",G317="NPN05"),H317,"")</f>
        <v/>
      </c>
      <c r="AY317" s="44" t="str">
        <f>IF(AND(C317=Master!$H$5,B317="2012-2013",E317&gt;1000,G317="NPN05"),H317,"")</f>
        <v/>
      </c>
      <c r="AZ317" s="44" t="str">
        <f>IF(AND(C317=Master!$H$5,B317="2012-2013",E317="",G317="NPN05"),H317,"")</f>
        <v/>
      </c>
      <c r="BA317" s="44" t="str">
        <f>IF(AND(C317=Master!$H$6,B317="2012-2013",E317&gt;1000,G317="NPN05"),H317,"")</f>
        <v/>
      </c>
      <c r="BB317" s="44" t="str">
        <f>IF(AND(C317=Master!$H$6,B317="2012-2013",E317="",G317="NPN05"),H317,"")</f>
        <v/>
      </c>
      <c r="BC317" s="44" t="str">
        <f>IF(AND(C317=Master!$H$7,B317="2012-2013",E317&gt;1000,G317="NPN05"),H317,"")</f>
        <v/>
      </c>
      <c r="BD317" s="44" t="str">
        <f>IF(AND(C317=Master!$H$7,B317="2012-2013",E317="",G317="NPN05"),H317,"")</f>
        <v/>
      </c>
      <c r="BE317" s="44" t="str">
        <f>IF(AND(C317=Master!$H$8,B317="2012-2013",E317&gt;1000,G317="NPN05"),H317,"")</f>
        <v/>
      </c>
      <c r="BF317" s="44" t="str">
        <f>IF(AND(C317=Master!$H$8,B317="2012-2013",E317="",G317="NPN05"),H317,"")</f>
        <v/>
      </c>
      <c r="BG317" s="44" t="str">
        <f>IF(AND(C317=Master!$H$9,B317="2012-2013",E317&gt;1000,G317="NPN05"),H317,"")</f>
        <v/>
      </c>
      <c r="BH317" s="44" t="str">
        <f>IF(AND(C317=Master!$H$9,B317="2012-2013",E317="",G317="NPN05"),H317,"")</f>
        <v/>
      </c>
    </row>
    <row r="318" spans="1:60" x14ac:dyDescent="0.25">
      <c r="A318" s="3">
        <v>316</v>
      </c>
      <c r="B318" s="12"/>
      <c r="C318" s="12"/>
      <c r="D318" s="31"/>
      <c r="E318" s="4"/>
      <c r="F318" s="13"/>
      <c r="G318" s="21"/>
      <c r="H318" s="35"/>
      <c r="I318" s="21"/>
      <c r="J318" s="25" t="str">
        <f>IF(NOT(I318=""),INDEX(Master!$B$1:$B$46,MATCH(I318,Master!$A$1:$A$46,0)),"")</f>
        <v/>
      </c>
      <c r="K318" s="18"/>
      <c r="L318" s="86"/>
      <c r="M318" s="13"/>
      <c r="N318" s="13"/>
      <c r="O318" s="18"/>
      <c r="P318" s="35"/>
      <c r="Q318" s="21"/>
      <c r="R318" s="21"/>
      <c r="S318" s="13"/>
      <c r="T318" s="12"/>
      <c r="U318" s="12"/>
      <c r="V318" s="12"/>
      <c r="W318" s="14"/>
      <c r="Y318" s="42" t="str">
        <f>IF(AND(C318=Master!$H$1,B318="2012-2013",E318&gt;1000,G318="PLN03"),H318,"")</f>
        <v/>
      </c>
      <c r="Z318" s="42" t="str">
        <f>IF(AND(C318=Master!$H$1,B318="2012-2013",E318="",G318="PLN03"),H318,"")</f>
        <v/>
      </c>
      <c r="AA318" s="42" t="str">
        <f>IF(AND(C318=Master!$H$2,B318="2012-2013",E318&gt;1000,G318="PLN03"),H318,"")</f>
        <v/>
      </c>
      <c r="AB318" s="42" t="str">
        <f>IF(AND(C318=Master!$H$2,B318="2012-2013",E318="",G318="PLN03"),H318,"")</f>
        <v/>
      </c>
      <c r="AC318" s="42" t="str">
        <f>IF(AND(C318=Master!$H$3,B318="2012-2013",E318&gt;1000,G318="PLN03"),H318,"")</f>
        <v/>
      </c>
      <c r="AD318" s="42" t="str">
        <f>IF(AND(C318=Master!$H$3,B318="2012-2013",E318="",G318="PLN03"),H318,"")</f>
        <v/>
      </c>
      <c r="AE318" s="42" t="str">
        <f>IF(AND(C318=Master!$H$4,B318="2012-2013",E318&gt;1000,G318="PLN03"),H318,"")</f>
        <v/>
      </c>
      <c r="AF318" s="42" t="str">
        <f>IF(AND(C318=Master!$H$4,B318="2012-2013",E318="",G318="PLN03"),H318,"")</f>
        <v/>
      </c>
      <c r="AG318" s="42" t="str">
        <f>IF(AND(C318=Master!$H$5,B318="2012-2013",E318&gt;1000,G318="PLN03"),H318,"")</f>
        <v/>
      </c>
      <c r="AH318" s="42" t="str">
        <f>IF(AND(C318=Master!$H$5,B318="2012-2013",E318="",G318="PLN03"),H318,"")</f>
        <v/>
      </c>
      <c r="AI318" s="42" t="str">
        <f>IF(AND(C318=Master!$H$6,B318="2012-2013",E318&gt;1000,G318="PLN03"),H318,"")</f>
        <v/>
      </c>
      <c r="AJ318" s="42" t="str">
        <f>IF(AND(C318=Master!$H$6,B318="2012-2013",E318="",G318="PLN03"),H318,"")</f>
        <v/>
      </c>
      <c r="AK318" s="42" t="str">
        <f>IF(AND(C318=Master!$H$7,B318="2012-2013",E318&gt;1000,G318="PLN03"),H318,"")</f>
        <v/>
      </c>
      <c r="AL318" s="42" t="str">
        <f>IF(AND(C318=Master!$H$7,B318="2012-2013",E318="",G318="PLN03"),H318,"")</f>
        <v/>
      </c>
      <c r="AM318" s="42" t="str">
        <f>IF(AND(C318=Master!$H$8,B318="2012-2013",E318&gt;1000,G318="PLN03"),H318,"")</f>
        <v/>
      </c>
      <c r="AN318" s="42" t="str">
        <f>IF(AND(C318=Master!$H$8,B318="2012-2013",E318="",G318="PLN03"),H318,"")</f>
        <v/>
      </c>
      <c r="AO318" s="42" t="str">
        <f>IF(AND(C318=Master!$H$9,B318="2012-2013",E318&gt;1000,G318="PLN03"),H318,"")</f>
        <v/>
      </c>
      <c r="AP318" s="42" t="str">
        <f>IF(AND(C318=Master!$H$9,B318="2012-2013",E318="",G318="PLN03"),H318,"")</f>
        <v/>
      </c>
      <c r="AQ318" s="44" t="str">
        <f>IF(AND(C318=Master!$H$1,B318="2012-2013",E318&gt;1000,G318="NPN05"),H318,"")</f>
        <v/>
      </c>
      <c r="AR318" s="44" t="str">
        <f>IF(AND(C318=Master!$H$1,B318="2012-2013",E318="",G318="NPN05"),H318,"")</f>
        <v/>
      </c>
      <c r="AS318" s="44" t="str">
        <f>IF(AND(C318=Master!$H$2,B318="2012-2013",E318&gt;1000,G318="NPN05"),H318,"")</f>
        <v/>
      </c>
      <c r="AT318" s="44" t="str">
        <f>IF(AND(C318=Master!$H$2,B318="2012-2013",E318="",G318="NPN05"),H318,"")</f>
        <v/>
      </c>
      <c r="AU318" s="44" t="str">
        <f>IF(AND(C318=Master!$H$3,B318="2012-2013",E318&gt;1000,G318="NPN05"),H318,"")</f>
        <v/>
      </c>
      <c r="AV318" s="44" t="str">
        <f>IF(AND(C318=Master!$H$3,B318="2012-2013",E318="",G318="NPN05"),H318,"")</f>
        <v/>
      </c>
      <c r="AW318" s="44" t="str">
        <f>IF(AND(C318=Master!$H$4,B318="2012-2013",E318&gt;1000,G318="NPN05"),H318,"")</f>
        <v/>
      </c>
      <c r="AX318" s="44" t="str">
        <f>IF(AND(C318=Master!$H$4,B318="2012-2013",E318="",G318="NPN05"),H318,"")</f>
        <v/>
      </c>
      <c r="AY318" s="44" t="str">
        <f>IF(AND(C318=Master!$H$5,B318="2012-2013",E318&gt;1000,G318="NPN05"),H318,"")</f>
        <v/>
      </c>
      <c r="AZ318" s="44" t="str">
        <f>IF(AND(C318=Master!$H$5,B318="2012-2013",E318="",G318="NPN05"),H318,"")</f>
        <v/>
      </c>
      <c r="BA318" s="44" t="str">
        <f>IF(AND(C318=Master!$H$6,B318="2012-2013",E318&gt;1000,G318="NPN05"),H318,"")</f>
        <v/>
      </c>
      <c r="BB318" s="44" t="str">
        <f>IF(AND(C318=Master!$H$6,B318="2012-2013",E318="",G318="NPN05"),H318,"")</f>
        <v/>
      </c>
      <c r="BC318" s="44" t="str">
        <f>IF(AND(C318=Master!$H$7,B318="2012-2013",E318&gt;1000,G318="NPN05"),H318,"")</f>
        <v/>
      </c>
      <c r="BD318" s="44" t="str">
        <f>IF(AND(C318=Master!$H$7,B318="2012-2013",E318="",G318="NPN05"),H318,"")</f>
        <v/>
      </c>
      <c r="BE318" s="44" t="str">
        <f>IF(AND(C318=Master!$H$8,B318="2012-2013",E318&gt;1000,G318="NPN05"),H318,"")</f>
        <v/>
      </c>
      <c r="BF318" s="44" t="str">
        <f>IF(AND(C318=Master!$H$8,B318="2012-2013",E318="",G318="NPN05"),H318,"")</f>
        <v/>
      </c>
      <c r="BG318" s="44" t="str">
        <f>IF(AND(C318=Master!$H$9,B318="2012-2013",E318&gt;1000,G318="NPN05"),H318,"")</f>
        <v/>
      </c>
      <c r="BH318" s="44" t="str">
        <f>IF(AND(C318=Master!$H$9,B318="2012-2013",E318="",G318="NPN05"),H318,"")</f>
        <v/>
      </c>
    </row>
    <row r="319" spans="1:60" x14ac:dyDescent="0.25">
      <c r="A319" s="5">
        <v>317</v>
      </c>
      <c r="B319" s="12"/>
      <c r="C319" s="12"/>
      <c r="D319" s="31"/>
      <c r="E319" s="4"/>
      <c r="F319" s="13"/>
      <c r="G319" s="21"/>
      <c r="H319" s="35"/>
      <c r="I319" s="21"/>
      <c r="J319" s="25" t="str">
        <f>IF(NOT(I319=""),INDEX(Master!$B$1:$B$46,MATCH(I319,Master!$A$1:$A$46,0)),"")</f>
        <v/>
      </c>
      <c r="K319" s="18"/>
      <c r="L319" s="86"/>
      <c r="M319" s="13"/>
      <c r="N319" s="13"/>
      <c r="O319" s="18"/>
      <c r="P319" s="35"/>
      <c r="Q319" s="21"/>
      <c r="R319" s="21"/>
      <c r="S319" s="13"/>
      <c r="T319" s="12"/>
      <c r="U319" s="12"/>
      <c r="V319" s="12"/>
      <c r="W319" s="14"/>
      <c r="Y319" s="42" t="str">
        <f>IF(AND(C319=Master!$H$1,B319="2012-2013",E319&gt;1000,G319="PLN03"),H319,"")</f>
        <v/>
      </c>
      <c r="Z319" s="42" t="str">
        <f>IF(AND(C319=Master!$H$1,B319="2012-2013",E319="",G319="PLN03"),H319,"")</f>
        <v/>
      </c>
      <c r="AA319" s="42" t="str">
        <f>IF(AND(C319=Master!$H$2,B319="2012-2013",E319&gt;1000,G319="PLN03"),H319,"")</f>
        <v/>
      </c>
      <c r="AB319" s="42" t="str">
        <f>IF(AND(C319=Master!$H$2,B319="2012-2013",E319="",G319="PLN03"),H319,"")</f>
        <v/>
      </c>
      <c r="AC319" s="42" t="str">
        <f>IF(AND(C319=Master!$H$3,B319="2012-2013",E319&gt;1000,G319="PLN03"),H319,"")</f>
        <v/>
      </c>
      <c r="AD319" s="42" t="str">
        <f>IF(AND(C319=Master!$H$3,B319="2012-2013",E319="",G319="PLN03"),H319,"")</f>
        <v/>
      </c>
      <c r="AE319" s="42" t="str">
        <f>IF(AND(C319=Master!$H$4,B319="2012-2013",E319&gt;1000,G319="PLN03"),H319,"")</f>
        <v/>
      </c>
      <c r="AF319" s="42" t="str">
        <f>IF(AND(C319=Master!$H$4,B319="2012-2013",E319="",G319="PLN03"),H319,"")</f>
        <v/>
      </c>
      <c r="AG319" s="42" t="str">
        <f>IF(AND(C319=Master!$H$5,B319="2012-2013",E319&gt;1000,G319="PLN03"),H319,"")</f>
        <v/>
      </c>
      <c r="AH319" s="42" t="str">
        <f>IF(AND(C319=Master!$H$5,B319="2012-2013",E319="",G319="PLN03"),H319,"")</f>
        <v/>
      </c>
      <c r="AI319" s="42" t="str">
        <f>IF(AND(C319=Master!$H$6,B319="2012-2013",E319&gt;1000,G319="PLN03"),H319,"")</f>
        <v/>
      </c>
      <c r="AJ319" s="42" t="str">
        <f>IF(AND(C319=Master!$H$6,B319="2012-2013",E319="",G319="PLN03"),H319,"")</f>
        <v/>
      </c>
      <c r="AK319" s="42" t="str">
        <f>IF(AND(C319=Master!$H$7,B319="2012-2013",E319&gt;1000,G319="PLN03"),H319,"")</f>
        <v/>
      </c>
      <c r="AL319" s="42" t="str">
        <f>IF(AND(C319=Master!$H$7,B319="2012-2013",E319="",G319="PLN03"),H319,"")</f>
        <v/>
      </c>
      <c r="AM319" s="42" t="str">
        <f>IF(AND(C319=Master!$H$8,B319="2012-2013",E319&gt;1000,G319="PLN03"),H319,"")</f>
        <v/>
      </c>
      <c r="AN319" s="42" t="str">
        <f>IF(AND(C319=Master!$H$8,B319="2012-2013",E319="",G319="PLN03"),H319,"")</f>
        <v/>
      </c>
      <c r="AO319" s="42" t="str">
        <f>IF(AND(C319=Master!$H$9,B319="2012-2013",E319&gt;1000,G319="PLN03"),H319,"")</f>
        <v/>
      </c>
      <c r="AP319" s="42" t="str">
        <f>IF(AND(C319=Master!$H$9,B319="2012-2013",E319="",G319="PLN03"),H319,"")</f>
        <v/>
      </c>
      <c r="AQ319" s="44" t="str">
        <f>IF(AND(C319=Master!$H$1,B319="2012-2013",E319&gt;1000,G319="NPN05"),H319,"")</f>
        <v/>
      </c>
      <c r="AR319" s="44" t="str">
        <f>IF(AND(C319=Master!$H$1,B319="2012-2013",E319="",G319="NPN05"),H319,"")</f>
        <v/>
      </c>
      <c r="AS319" s="44" t="str">
        <f>IF(AND(C319=Master!$H$2,B319="2012-2013",E319&gt;1000,G319="NPN05"),H319,"")</f>
        <v/>
      </c>
      <c r="AT319" s="44" t="str">
        <f>IF(AND(C319=Master!$H$2,B319="2012-2013",E319="",G319="NPN05"),H319,"")</f>
        <v/>
      </c>
      <c r="AU319" s="44" t="str">
        <f>IF(AND(C319=Master!$H$3,B319="2012-2013",E319&gt;1000,G319="NPN05"),H319,"")</f>
        <v/>
      </c>
      <c r="AV319" s="44" t="str">
        <f>IF(AND(C319=Master!$H$3,B319="2012-2013",E319="",G319="NPN05"),H319,"")</f>
        <v/>
      </c>
      <c r="AW319" s="44" t="str">
        <f>IF(AND(C319=Master!$H$4,B319="2012-2013",E319&gt;1000,G319="NPN05"),H319,"")</f>
        <v/>
      </c>
      <c r="AX319" s="44" t="str">
        <f>IF(AND(C319=Master!$H$4,B319="2012-2013",E319="",G319="NPN05"),H319,"")</f>
        <v/>
      </c>
      <c r="AY319" s="44" t="str">
        <f>IF(AND(C319=Master!$H$5,B319="2012-2013",E319&gt;1000,G319="NPN05"),H319,"")</f>
        <v/>
      </c>
      <c r="AZ319" s="44" t="str">
        <f>IF(AND(C319=Master!$H$5,B319="2012-2013",E319="",G319="NPN05"),H319,"")</f>
        <v/>
      </c>
      <c r="BA319" s="44" t="str">
        <f>IF(AND(C319=Master!$H$6,B319="2012-2013",E319&gt;1000,G319="NPN05"),H319,"")</f>
        <v/>
      </c>
      <c r="BB319" s="44" t="str">
        <f>IF(AND(C319=Master!$H$6,B319="2012-2013",E319="",G319="NPN05"),H319,"")</f>
        <v/>
      </c>
      <c r="BC319" s="44" t="str">
        <f>IF(AND(C319=Master!$H$7,B319="2012-2013",E319&gt;1000,G319="NPN05"),H319,"")</f>
        <v/>
      </c>
      <c r="BD319" s="44" t="str">
        <f>IF(AND(C319=Master!$H$7,B319="2012-2013",E319="",G319="NPN05"),H319,"")</f>
        <v/>
      </c>
      <c r="BE319" s="44" t="str">
        <f>IF(AND(C319=Master!$H$8,B319="2012-2013",E319&gt;1000,G319="NPN05"),H319,"")</f>
        <v/>
      </c>
      <c r="BF319" s="44" t="str">
        <f>IF(AND(C319=Master!$H$8,B319="2012-2013",E319="",G319="NPN05"),H319,"")</f>
        <v/>
      </c>
      <c r="BG319" s="44" t="str">
        <f>IF(AND(C319=Master!$H$9,B319="2012-2013",E319&gt;1000,G319="NPN05"),H319,"")</f>
        <v/>
      </c>
      <c r="BH319" s="44" t="str">
        <f>IF(AND(C319=Master!$H$9,B319="2012-2013",E319="",G319="NPN05"),H319,"")</f>
        <v/>
      </c>
    </row>
    <row r="320" spans="1:60" x14ac:dyDescent="0.25">
      <c r="A320" s="3">
        <v>318</v>
      </c>
      <c r="B320" s="12"/>
      <c r="C320" s="12"/>
      <c r="D320" s="31"/>
      <c r="E320" s="4"/>
      <c r="F320" s="13"/>
      <c r="G320" s="21"/>
      <c r="H320" s="35"/>
      <c r="I320" s="21"/>
      <c r="J320" s="25" t="str">
        <f>IF(NOT(I320=""),INDEX(Master!$B$1:$B$46,MATCH(I320,Master!$A$1:$A$46,0)),"")</f>
        <v/>
      </c>
      <c r="K320" s="18"/>
      <c r="L320" s="86"/>
      <c r="M320" s="13"/>
      <c r="N320" s="13"/>
      <c r="O320" s="18"/>
      <c r="P320" s="35"/>
      <c r="Q320" s="21"/>
      <c r="R320" s="21"/>
      <c r="S320" s="13"/>
      <c r="T320" s="12"/>
      <c r="U320" s="12"/>
      <c r="V320" s="12"/>
      <c r="W320" s="14"/>
      <c r="Y320" s="42" t="str">
        <f>IF(AND(C320=Master!$H$1,B320="2012-2013",E320&gt;1000,G320="PLN03"),H320,"")</f>
        <v/>
      </c>
      <c r="Z320" s="42" t="str">
        <f>IF(AND(C320=Master!$H$1,B320="2012-2013",E320="",G320="PLN03"),H320,"")</f>
        <v/>
      </c>
      <c r="AA320" s="42" t="str">
        <f>IF(AND(C320=Master!$H$2,B320="2012-2013",E320&gt;1000,G320="PLN03"),H320,"")</f>
        <v/>
      </c>
      <c r="AB320" s="42" t="str">
        <f>IF(AND(C320=Master!$H$2,B320="2012-2013",E320="",G320="PLN03"),H320,"")</f>
        <v/>
      </c>
      <c r="AC320" s="42" t="str">
        <f>IF(AND(C320=Master!$H$3,B320="2012-2013",E320&gt;1000,G320="PLN03"),H320,"")</f>
        <v/>
      </c>
      <c r="AD320" s="42" t="str">
        <f>IF(AND(C320=Master!$H$3,B320="2012-2013",E320="",G320="PLN03"),H320,"")</f>
        <v/>
      </c>
      <c r="AE320" s="42" t="str">
        <f>IF(AND(C320=Master!$H$4,B320="2012-2013",E320&gt;1000,G320="PLN03"),H320,"")</f>
        <v/>
      </c>
      <c r="AF320" s="42" t="str">
        <f>IF(AND(C320=Master!$H$4,B320="2012-2013",E320="",G320="PLN03"),H320,"")</f>
        <v/>
      </c>
      <c r="AG320" s="42" t="str">
        <f>IF(AND(C320=Master!$H$5,B320="2012-2013",E320&gt;1000,G320="PLN03"),H320,"")</f>
        <v/>
      </c>
      <c r="AH320" s="42" t="str">
        <f>IF(AND(C320=Master!$H$5,B320="2012-2013",E320="",G320="PLN03"),H320,"")</f>
        <v/>
      </c>
      <c r="AI320" s="42" t="str">
        <f>IF(AND(C320=Master!$H$6,B320="2012-2013",E320&gt;1000,G320="PLN03"),H320,"")</f>
        <v/>
      </c>
      <c r="AJ320" s="42" t="str">
        <f>IF(AND(C320=Master!$H$6,B320="2012-2013",E320="",G320="PLN03"),H320,"")</f>
        <v/>
      </c>
      <c r="AK320" s="42" t="str">
        <f>IF(AND(C320=Master!$H$7,B320="2012-2013",E320&gt;1000,G320="PLN03"),H320,"")</f>
        <v/>
      </c>
      <c r="AL320" s="42" t="str">
        <f>IF(AND(C320=Master!$H$7,B320="2012-2013",E320="",G320="PLN03"),H320,"")</f>
        <v/>
      </c>
      <c r="AM320" s="42" t="str">
        <f>IF(AND(C320=Master!$H$8,B320="2012-2013",E320&gt;1000,G320="PLN03"),H320,"")</f>
        <v/>
      </c>
      <c r="AN320" s="42" t="str">
        <f>IF(AND(C320=Master!$H$8,B320="2012-2013",E320="",G320="PLN03"),H320,"")</f>
        <v/>
      </c>
      <c r="AO320" s="42" t="str">
        <f>IF(AND(C320=Master!$H$9,B320="2012-2013",E320&gt;1000,G320="PLN03"),H320,"")</f>
        <v/>
      </c>
      <c r="AP320" s="42" t="str">
        <f>IF(AND(C320=Master!$H$9,B320="2012-2013",E320="",G320="PLN03"),H320,"")</f>
        <v/>
      </c>
      <c r="AQ320" s="44" t="str">
        <f>IF(AND(C320=Master!$H$1,B320="2012-2013",E320&gt;1000,G320="NPN05"),H320,"")</f>
        <v/>
      </c>
      <c r="AR320" s="44" t="str">
        <f>IF(AND(C320=Master!$H$1,B320="2012-2013",E320="",G320="NPN05"),H320,"")</f>
        <v/>
      </c>
      <c r="AS320" s="44" t="str">
        <f>IF(AND(C320=Master!$H$2,B320="2012-2013",E320&gt;1000,G320="NPN05"),H320,"")</f>
        <v/>
      </c>
      <c r="AT320" s="44" t="str">
        <f>IF(AND(C320=Master!$H$2,B320="2012-2013",E320="",G320="NPN05"),H320,"")</f>
        <v/>
      </c>
      <c r="AU320" s="44" t="str">
        <f>IF(AND(C320=Master!$H$3,B320="2012-2013",E320&gt;1000,G320="NPN05"),H320,"")</f>
        <v/>
      </c>
      <c r="AV320" s="44" t="str">
        <f>IF(AND(C320=Master!$H$3,B320="2012-2013",E320="",G320="NPN05"),H320,"")</f>
        <v/>
      </c>
      <c r="AW320" s="44" t="str">
        <f>IF(AND(C320=Master!$H$4,B320="2012-2013",E320&gt;1000,G320="NPN05"),H320,"")</f>
        <v/>
      </c>
      <c r="AX320" s="44" t="str">
        <f>IF(AND(C320=Master!$H$4,B320="2012-2013",E320="",G320="NPN05"),H320,"")</f>
        <v/>
      </c>
      <c r="AY320" s="44" t="str">
        <f>IF(AND(C320=Master!$H$5,B320="2012-2013",E320&gt;1000,G320="NPN05"),H320,"")</f>
        <v/>
      </c>
      <c r="AZ320" s="44" t="str">
        <f>IF(AND(C320=Master!$H$5,B320="2012-2013",E320="",G320="NPN05"),H320,"")</f>
        <v/>
      </c>
      <c r="BA320" s="44" t="str">
        <f>IF(AND(C320=Master!$H$6,B320="2012-2013",E320&gt;1000,G320="NPN05"),H320,"")</f>
        <v/>
      </c>
      <c r="BB320" s="44" t="str">
        <f>IF(AND(C320=Master!$H$6,B320="2012-2013",E320="",G320="NPN05"),H320,"")</f>
        <v/>
      </c>
      <c r="BC320" s="44" t="str">
        <f>IF(AND(C320=Master!$H$7,B320="2012-2013",E320&gt;1000,G320="NPN05"),H320,"")</f>
        <v/>
      </c>
      <c r="BD320" s="44" t="str">
        <f>IF(AND(C320=Master!$H$7,B320="2012-2013",E320="",G320="NPN05"),H320,"")</f>
        <v/>
      </c>
      <c r="BE320" s="44" t="str">
        <f>IF(AND(C320=Master!$H$8,B320="2012-2013",E320&gt;1000,G320="NPN05"),H320,"")</f>
        <v/>
      </c>
      <c r="BF320" s="44" t="str">
        <f>IF(AND(C320=Master!$H$8,B320="2012-2013",E320="",G320="NPN05"),H320,"")</f>
        <v/>
      </c>
      <c r="BG320" s="44" t="str">
        <f>IF(AND(C320=Master!$H$9,B320="2012-2013",E320&gt;1000,G320="NPN05"),H320,"")</f>
        <v/>
      </c>
      <c r="BH320" s="44" t="str">
        <f>IF(AND(C320=Master!$H$9,B320="2012-2013",E320="",G320="NPN05"),H320,"")</f>
        <v/>
      </c>
    </row>
    <row r="321" spans="1:60" x14ac:dyDescent="0.25">
      <c r="A321" s="3">
        <v>319</v>
      </c>
      <c r="B321" s="12"/>
      <c r="C321" s="12"/>
      <c r="D321" s="31"/>
      <c r="E321" s="4"/>
      <c r="F321" s="13"/>
      <c r="G321" s="21"/>
      <c r="H321" s="35"/>
      <c r="I321" s="21"/>
      <c r="J321" s="25" t="str">
        <f>IF(NOT(I321=""),INDEX(Master!$B$1:$B$46,MATCH(I321,Master!$A$1:$A$46,0)),"")</f>
        <v/>
      </c>
      <c r="K321" s="18"/>
      <c r="L321" s="86"/>
      <c r="M321" s="13"/>
      <c r="N321" s="13"/>
      <c r="O321" s="18"/>
      <c r="P321" s="35"/>
      <c r="Q321" s="21"/>
      <c r="R321" s="21"/>
      <c r="S321" s="13"/>
      <c r="T321" s="12"/>
      <c r="U321" s="12"/>
      <c r="V321" s="12"/>
      <c r="W321" s="14"/>
      <c r="Y321" s="42" t="str">
        <f>IF(AND(C321=Master!$H$1,B321="2012-2013",E321&gt;1000,G321="PLN03"),H321,"")</f>
        <v/>
      </c>
      <c r="Z321" s="42" t="str">
        <f>IF(AND(C321=Master!$H$1,B321="2012-2013",E321="",G321="PLN03"),H321,"")</f>
        <v/>
      </c>
      <c r="AA321" s="42" t="str">
        <f>IF(AND(C321=Master!$H$2,B321="2012-2013",E321&gt;1000,G321="PLN03"),H321,"")</f>
        <v/>
      </c>
      <c r="AB321" s="42" t="str">
        <f>IF(AND(C321=Master!$H$2,B321="2012-2013",E321="",G321="PLN03"),H321,"")</f>
        <v/>
      </c>
      <c r="AC321" s="42" t="str">
        <f>IF(AND(C321=Master!$H$3,B321="2012-2013",E321&gt;1000,G321="PLN03"),H321,"")</f>
        <v/>
      </c>
      <c r="AD321" s="42" t="str">
        <f>IF(AND(C321=Master!$H$3,B321="2012-2013",E321="",G321="PLN03"),H321,"")</f>
        <v/>
      </c>
      <c r="AE321" s="42" t="str">
        <f>IF(AND(C321=Master!$H$4,B321="2012-2013",E321&gt;1000,G321="PLN03"),H321,"")</f>
        <v/>
      </c>
      <c r="AF321" s="42" t="str">
        <f>IF(AND(C321=Master!$H$4,B321="2012-2013",E321="",G321="PLN03"),H321,"")</f>
        <v/>
      </c>
      <c r="AG321" s="42" t="str">
        <f>IF(AND(C321=Master!$H$5,B321="2012-2013",E321&gt;1000,G321="PLN03"),H321,"")</f>
        <v/>
      </c>
      <c r="AH321" s="42" t="str">
        <f>IF(AND(C321=Master!$H$5,B321="2012-2013",E321="",G321="PLN03"),H321,"")</f>
        <v/>
      </c>
      <c r="AI321" s="42" t="str">
        <f>IF(AND(C321=Master!$H$6,B321="2012-2013",E321&gt;1000,G321="PLN03"),H321,"")</f>
        <v/>
      </c>
      <c r="AJ321" s="42" t="str">
        <f>IF(AND(C321=Master!$H$6,B321="2012-2013",E321="",G321="PLN03"),H321,"")</f>
        <v/>
      </c>
      <c r="AK321" s="42" t="str">
        <f>IF(AND(C321=Master!$H$7,B321="2012-2013",E321&gt;1000,G321="PLN03"),H321,"")</f>
        <v/>
      </c>
      <c r="AL321" s="42" t="str">
        <f>IF(AND(C321=Master!$H$7,B321="2012-2013",E321="",G321="PLN03"),H321,"")</f>
        <v/>
      </c>
      <c r="AM321" s="42" t="str">
        <f>IF(AND(C321=Master!$H$8,B321="2012-2013",E321&gt;1000,G321="PLN03"),H321,"")</f>
        <v/>
      </c>
      <c r="AN321" s="42" t="str">
        <f>IF(AND(C321=Master!$H$8,B321="2012-2013",E321="",G321="PLN03"),H321,"")</f>
        <v/>
      </c>
      <c r="AO321" s="42" t="str">
        <f>IF(AND(C321=Master!$H$9,B321="2012-2013",E321&gt;1000,G321="PLN03"),H321,"")</f>
        <v/>
      </c>
      <c r="AP321" s="42" t="str">
        <f>IF(AND(C321=Master!$H$9,B321="2012-2013",E321="",G321="PLN03"),H321,"")</f>
        <v/>
      </c>
      <c r="AQ321" s="44" t="str">
        <f>IF(AND(C321=Master!$H$1,B321="2012-2013",E321&gt;1000,G321="NPN05"),H321,"")</f>
        <v/>
      </c>
      <c r="AR321" s="44" t="str">
        <f>IF(AND(C321=Master!$H$1,B321="2012-2013",E321="",G321="NPN05"),H321,"")</f>
        <v/>
      </c>
      <c r="AS321" s="44" t="str">
        <f>IF(AND(C321=Master!$H$2,B321="2012-2013",E321&gt;1000,G321="NPN05"),H321,"")</f>
        <v/>
      </c>
      <c r="AT321" s="44" t="str">
        <f>IF(AND(C321=Master!$H$2,B321="2012-2013",E321="",G321="NPN05"),H321,"")</f>
        <v/>
      </c>
      <c r="AU321" s="44" t="str">
        <f>IF(AND(C321=Master!$H$3,B321="2012-2013",E321&gt;1000,G321="NPN05"),H321,"")</f>
        <v/>
      </c>
      <c r="AV321" s="44" t="str">
        <f>IF(AND(C321=Master!$H$3,B321="2012-2013",E321="",G321="NPN05"),H321,"")</f>
        <v/>
      </c>
      <c r="AW321" s="44" t="str">
        <f>IF(AND(C321=Master!$H$4,B321="2012-2013",E321&gt;1000,G321="NPN05"),H321,"")</f>
        <v/>
      </c>
      <c r="AX321" s="44" t="str">
        <f>IF(AND(C321=Master!$H$4,B321="2012-2013",E321="",G321="NPN05"),H321,"")</f>
        <v/>
      </c>
      <c r="AY321" s="44" t="str">
        <f>IF(AND(C321=Master!$H$5,B321="2012-2013",E321&gt;1000,G321="NPN05"),H321,"")</f>
        <v/>
      </c>
      <c r="AZ321" s="44" t="str">
        <f>IF(AND(C321=Master!$H$5,B321="2012-2013",E321="",G321="NPN05"),H321,"")</f>
        <v/>
      </c>
      <c r="BA321" s="44" t="str">
        <f>IF(AND(C321=Master!$H$6,B321="2012-2013",E321&gt;1000,G321="NPN05"),H321,"")</f>
        <v/>
      </c>
      <c r="BB321" s="44" t="str">
        <f>IF(AND(C321=Master!$H$6,B321="2012-2013",E321="",G321="NPN05"),H321,"")</f>
        <v/>
      </c>
      <c r="BC321" s="44" t="str">
        <f>IF(AND(C321=Master!$H$7,B321="2012-2013",E321&gt;1000,G321="NPN05"),H321,"")</f>
        <v/>
      </c>
      <c r="BD321" s="44" t="str">
        <f>IF(AND(C321=Master!$H$7,B321="2012-2013",E321="",G321="NPN05"),H321,"")</f>
        <v/>
      </c>
      <c r="BE321" s="44" t="str">
        <f>IF(AND(C321=Master!$H$8,B321="2012-2013",E321&gt;1000,G321="NPN05"),H321,"")</f>
        <v/>
      </c>
      <c r="BF321" s="44" t="str">
        <f>IF(AND(C321=Master!$H$8,B321="2012-2013",E321="",G321="NPN05"),H321,"")</f>
        <v/>
      </c>
      <c r="BG321" s="44" t="str">
        <f>IF(AND(C321=Master!$H$9,B321="2012-2013",E321&gt;1000,G321="NPN05"),H321,"")</f>
        <v/>
      </c>
      <c r="BH321" s="44" t="str">
        <f>IF(AND(C321=Master!$H$9,B321="2012-2013",E321="",G321="NPN05"),H321,"")</f>
        <v/>
      </c>
    </row>
    <row r="322" spans="1:60" x14ac:dyDescent="0.25">
      <c r="A322" s="3">
        <v>320</v>
      </c>
      <c r="B322" s="12"/>
      <c r="C322" s="12"/>
      <c r="D322" s="31"/>
      <c r="E322" s="4"/>
      <c r="F322" s="13"/>
      <c r="G322" s="21"/>
      <c r="H322" s="35"/>
      <c r="I322" s="21"/>
      <c r="J322" s="25" t="str">
        <f>IF(NOT(I322=""),INDEX(Master!$B$1:$B$46,MATCH(I322,Master!$A$1:$A$46,0)),"")</f>
        <v/>
      </c>
      <c r="K322" s="18"/>
      <c r="L322" s="86"/>
      <c r="M322" s="13"/>
      <c r="N322" s="13"/>
      <c r="O322" s="18"/>
      <c r="P322" s="35"/>
      <c r="Q322" s="21"/>
      <c r="R322" s="21"/>
      <c r="S322" s="13"/>
      <c r="T322" s="12"/>
      <c r="U322" s="12"/>
      <c r="V322" s="12"/>
      <c r="W322" s="14"/>
      <c r="Y322" s="42" t="str">
        <f>IF(AND(C322=Master!$H$1,B322="2012-2013",E322&gt;1000,G322="PLN03"),H322,"")</f>
        <v/>
      </c>
      <c r="Z322" s="42" t="str">
        <f>IF(AND(C322=Master!$H$1,B322="2012-2013",E322="",G322="PLN03"),H322,"")</f>
        <v/>
      </c>
      <c r="AA322" s="42" t="str">
        <f>IF(AND(C322=Master!$H$2,B322="2012-2013",E322&gt;1000,G322="PLN03"),H322,"")</f>
        <v/>
      </c>
      <c r="AB322" s="42" t="str">
        <f>IF(AND(C322=Master!$H$2,B322="2012-2013",E322="",G322="PLN03"),H322,"")</f>
        <v/>
      </c>
      <c r="AC322" s="42" t="str">
        <f>IF(AND(C322=Master!$H$3,B322="2012-2013",E322&gt;1000,G322="PLN03"),H322,"")</f>
        <v/>
      </c>
      <c r="AD322" s="42" t="str">
        <f>IF(AND(C322=Master!$H$3,B322="2012-2013",E322="",G322="PLN03"),H322,"")</f>
        <v/>
      </c>
      <c r="AE322" s="42" t="str">
        <f>IF(AND(C322=Master!$H$4,B322="2012-2013",E322&gt;1000,G322="PLN03"),H322,"")</f>
        <v/>
      </c>
      <c r="AF322" s="42" t="str">
        <f>IF(AND(C322=Master!$H$4,B322="2012-2013",E322="",G322="PLN03"),H322,"")</f>
        <v/>
      </c>
      <c r="AG322" s="42" t="str">
        <f>IF(AND(C322=Master!$H$5,B322="2012-2013",E322&gt;1000,G322="PLN03"),H322,"")</f>
        <v/>
      </c>
      <c r="AH322" s="42" t="str">
        <f>IF(AND(C322=Master!$H$5,B322="2012-2013",E322="",G322="PLN03"),H322,"")</f>
        <v/>
      </c>
      <c r="AI322" s="42" t="str">
        <f>IF(AND(C322=Master!$H$6,B322="2012-2013",E322&gt;1000,G322="PLN03"),H322,"")</f>
        <v/>
      </c>
      <c r="AJ322" s="42" t="str">
        <f>IF(AND(C322=Master!$H$6,B322="2012-2013",E322="",G322="PLN03"),H322,"")</f>
        <v/>
      </c>
      <c r="AK322" s="42" t="str">
        <f>IF(AND(C322=Master!$H$7,B322="2012-2013",E322&gt;1000,G322="PLN03"),H322,"")</f>
        <v/>
      </c>
      <c r="AL322" s="42" t="str">
        <f>IF(AND(C322=Master!$H$7,B322="2012-2013",E322="",G322="PLN03"),H322,"")</f>
        <v/>
      </c>
      <c r="AM322" s="42" t="str">
        <f>IF(AND(C322=Master!$H$8,B322="2012-2013",E322&gt;1000,G322="PLN03"),H322,"")</f>
        <v/>
      </c>
      <c r="AN322" s="42" t="str">
        <f>IF(AND(C322=Master!$H$8,B322="2012-2013",E322="",G322="PLN03"),H322,"")</f>
        <v/>
      </c>
      <c r="AO322" s="42" t="str">
        <f>IF(AND(C322=Master!$H$9,B322="2012-2013",E322&gt;1000,G322="PLN03"),H322,"")</f>
        <v/>
      </c>
      <c r="AP322" s="42" t="str">
        <f>IF(AND(C322=Master!$H$9,B322="2012-2013",E322="",G322="PLN03"),H322,"")</f>
        <v/>
      </c>
      <c r="AQ322" s="44" t="str">
        <f>IF(AND(C322=Master!$H$1,B322="2012-2013",E322&gt;1000,G322="NPN05"),H322,"")</f>
        <v/>
      </c>
      <c r="AR322" s="44" t="str">
        <f>IF(AND(C322=Master!$H$1,B322="2012-2013",E322="",G322="NPN05"),H322,"")</f>
        <v/>
      </c>
      <c r="AS322" s="44" t="str">
        <f>IF(AND(C322=Master!$H$2,B322="2012-2013",E322&gt;1000,G322="NPN05"),H322,"")</f>
        <v/>
      </c>
      <c r="AT322" s="44" t="str">
        <f>IF(AND(C322=Master!$H$2,B322="2012-2013",E322="",G322="NPN05"),H322,"")</f>
        <v/>
      </c>
      <c r="AU322" s="44" t="str">
        <f>IF(AND(C322=Master!$H$3,B322="2012-2013",E322&gt;1000,G322="NPN05"),H322,"")</f>
        <v/>
      </c>
      <c r="AV322" s="44" t="str">
        <f>IF(AND(C322=Master!$H$3,B322="2012-2013",E322="",G322="NPN05"),H322,"")</f>
        <v/>
      </c>
      <c r="AW322" s="44" t="str">
        <f>IF(AND(C322=Master!$H$4,B322="2012-2013",E322&gt;1000,G322="NPN05"),H322,"")</f>
        <v/>
      </c>
      <c r="AX322" s="44" t="str">
        <f>IF(AND(C322=Master!$H$4,B322="2012-2013",E322="",G322="NPN05"),H322,"")</f>
        <v/>
      </c>
      <c r="AY322" s="44" t="str">
        <f>IF(AND(C322=Master!$H$5,B322="2012-2013",E322&gt;1000,G322="NPN05"),H322,"")</f>
        <v/>
      </c>
      <c r="AZ322" s="44" t="str">
        <f>IF(AND(C322=Master!$H$5,B322="2012-2013",E322="",G322="NPN05"),H322,"")</f>
        <v/>
      </c>
      <c r="BA322" s="44" t="str">
        <f>IF(AND(C322=Master!$H$6,B322="2012-2013",E322&gt;1000,G322="NPN05"),H322,"")</f>
        <v/>
      </c>
      <c r="BB322" s="44" t="str">
        <f>IF(AND(C322=Master!$H$6,B322="2012-2013",E322="",G322="NPN05"),H322,"")</f>
        <v/>
      </c>
      <c r="BC322" s="44" t="str">
        <f>IF(AND(C322=Master!$H$7,B322="2012-2013",E322&gt;1000,G322="NPN05"),H322,"")</f>
        <v/>
      </c>
      <c r="BD322" s="44" t="str">
        <f>IF(AND(C322=Master!$H$7,B322="2012-2013",E322="",G322="NPN05"),H322,"")</f>
        <v/>
      </c>
      <c r="BE322" s="44" t="str">
        <f>IF(AND(C322=Master!$H$8,B322="2012-2013",E322&gt;1000,G322="NPN05"),H322,"")</f>
        <v/>
      </c>
      <c r="BF322" s="44" t="str">
        <f>IF(AND(C322=Master!$H$8,B322="2012-2013",E322="",G322="NPN05"),H322,"")</f>
        <v/>
      </c>
      <c r="BG322" s="44" t="str">
        <f>IF(AND(C322=Master!$H$9,B322="2012-2013",E322&gt;1000,G322="NPN05"),H322,"")</f>
        <v/>
      </c>
      <c r="BH322" s="44" t="str">
        <f>IF(AND(C322=Master!$H$9,B322="2012-2013",E322="",G322="NPN05"),H322,"")</f>
        <v/>
      </c>
    </row>
    <row r="323" spans="1:60" x14ac:dyDescent="0.25">
      <c r="A323" s="3">
        <v>321</v>
      </c>
      <c r="B323" s="12"/>
      <c r="C323" s="12"/>
      <c r="D323" s="31"/>
      <c r="E323" s="4"/>
      <c r="F323" s="13"/>
      <c r="G323" s="21"/>
      <c r="H323" s="35"/>
      <c r="I323" s="21"/>
      <c r="J323" s="25" t="str">
        <f>IF(NOT(I323=""),INDEX(Master!$B$1:$B$46,MATCH(I323,Master!$A$1:$A$46,0)),"")</f>
        <v/>
      </c>
      <c r="K323" s="18"/>
      <c r="L323" s="86"/>
      <c r="M323" s="13"/>
      <c r="N323" s="13"/>
      <c r="O323" s="18"/>
      <c r="P323" s="35"/>
      <c r="Q323" s="21"/>
      <c r="R323" s="21"/>
      <c r="S323" s="13"/>
      <c r="T323" s="12"/>
      <c r="U323" s="12"/>
      <c r="V323" s="12"/>
      <c r="W323" s="14"/>
      <c r="Y323" s="42" t="str">
        <f>IF(AND(C323=Master!$H$1,B323="2012-2013",E323&gt;1000,G323="PLN03"),H323,"")</f>
        <v/>
      </c>
      <c r="Z323" s="42" t="str">
        <f>IF(AND(C323=Master!$H$1,B323="2012-2013",E323="",G323="PLN03"),H323,"")</f>
        <v/>
      </c>
      <c r="AA323" s="42" t="str">
        <f>IF(AND(C323=Master!$H$2,B323="2012-2013",E323&gt;1000,G323="PLN03"),H323,"")</f>
        <v/>
      </c>
      <c r="AB323" s="42" t="str">
        <f>IF(AND(C323=Master!$H$2,B323="2012-2013",E323="",G323="PLN03"),H323,"")</f>
        <v/>
      </c>
      <c r="AC323" s="42" t="str">
        <f>IF(AND(C323=Master!$H$3,B323="2012-2013",E323&gt;1000,G323="PLN03"),H323,"")</f>
        <v/>
      </c>
      <c r="AD323" s="42" t="str">
        <f>IF(AND(C323=Master!$H$3,B323="2012-2013",E323="",G323="PLN03"),H323,"")</f>
        <v/>
      </c>
      <c r="AE323" s="42" t="str">
        <f>IF(AND(C323=Master!$H$4,B323="2012-2013",E323&gt;1000,G323="PLN03"),H323,"")</f>
        <v/>
      </c>
      <c r="AF323" s="42" t="str">
        <f>IF(AND(C323=Master!$H$4,B323="2012-2013",E323="",G323="PLN03"),H323,"")</f>
        <v/>
      </c>
      <c r="AG323" s="42" t="str">
        <f>IF(AND(C323=Master!$H$5,B323="2012-2013",E323&gt;1000,G323="PLN03"),H323,"")</f>
        <v/>
      </c>
      <c r="AH323" s="42" t="str">
        <f>IF(AND(C323=Master!$H$5,B323="2012-2013",E323="",G323="PLN03"),H323,"")</f>
        <v/>
      </c>
      <c r="AI323" s="42" t="str">
        <f>IF(AND(C323=Master!$H$6,B323="2012-2013",E323&gt;1000,G323="PLN03"),H323,"")</f>
        <v/>
      </c>
      <c r="AJ323" s="42" t="str">
        <f>IF(AND(C323=Master!$H$6,B323="2012-2013",E323="",G323="PLN03"),H323,"")</f>
        <v/>
      </c>
      <c r="AK323" s="42" t="str">
        <f>IF(AND(C323=Master!$H$7,B323="2012-2013",E323&gt;1000,G323="PLN03"),H323,"")</f>
        <v/>
      </c>
      <c r="AL323" s="42" t="str">
        <f>IF(AND(C323=Master!$H$7,B323="2012-2013",E323="",G323="PLN03"),H323,"")</f>
        <v/>
      </c>
      <c r="AM323" s="42" t="str">
        <f>IF(AND(C323=Master!$H$8,B323="2012-2013",E323&gt;1000,G323="PLN03"),H323,"")</f>
        <v/>
      </c>
      <c r="AN323" s="42" t="str">
        <f>IF(AND(C323=Master!$H$8,B323="2012-2013",E323="",G323="PLN03"),H323,"")</f>
        <v/>
      </c>
      <c r="AO323" s="42" t="str">
        <f>IF(AND(C323=Master!$H$9,B323="2012-2013",E323&gt;1000,G323="PLN03"),H323,"")</f>
        <v/>
      </c>
      <c r="AP323" s="42" t="str">
        <f>IF(AND(C323=Master!$H$9,B323="2012-2013",E323="",G323="PLN03"),H323,"")</f>
        <v/>
      </c>
      <c r="AQ323" s="44" t="str">
        <f>IF(AND(C323=Master!$H$1,B323="2012-2013",E323&gt;1000,G323="NPN05"),H323,"")</f>
        <v/>
      </c>
      <c r="AR323" s="44" t="str">
        <f>IF(AND(C323=Master!$H$1,B323="2012-2013",E323="",G323="NPN05"),H323,"")</f>
        <v/>
      </c>
      <c r="AS323" s="44" t="str">
        <f>IF(AND(C323=Master!$H$2,B323="2012-2013",E323&gt;1000,G323="NPN05"),H323,"")</f>
        <v/>
      </c>
      <c r="AT323" s="44" t="str">
        <f>IF(AND(C323=Master!$H$2,B323="2012-2013",E323="",G323="NPN05"),H323,"")</f>
        <v/>
      </c>
      <c r="AU323" s="44" t="str">
        <f>IF(AND(C323=Master!$H$3,B323="2012-2013",E323&gt;1000,G323="NPN05"),H323,"")</f>
        <v/>
      </c>
      <c r="AV323" s="44" t="str">
        <f>IF(AND(C323=Master!$H$3,B323="2012-2013",E323="",G323="NPN05"),H323,"")</f>
        <v/>
      </c>
      <c r="AW323" s="44" t="str">
        <f>IF(AND(C323=Master!$H$4,B323="2012-2013",E323&gt;1000,G323="NPN05"),H323,"")</f>
        <v/>
      </c>
      <c r="AX323" s="44" t="str">
        <f>IF(AND(C323=Master!$H$4,B323="2012-2013",E323="",G323="NPN05"),H323,"")</f>
        <v/>
      </c>
      <c r="AY323" s="44" t="str">
        <f>IF(AND(C323=Master!$H$5,B323="2012-2013",E323&gt;1000,G323="NPN05"),H323,"")</f>
        <v/>
      </c>
      <c r="AZ323" s="44" t="str">
        <f>IF(AND(C323=Master!$H$5,B323="2012-2013",E323="",G323="NPN05"),H323,"")</f>
        <v/>
      </c>
      <c r="BA323" s="44" t="str">
        <f>IF(AND(C323=Master!$H$6,B323="2012-2013",E323&gt;1000,G323="NPN05"),H323,"")</f>
        <v/>
      </c>
      <c r="BB323" s="44" t="str">
        <f>IF(AND(C323=Master!$H$6,B323="2012-2013",E323="",G323="NPN05"),H323,"")</f>
        <v/>
      </c>
      <c r="BC323" s="44" t="str">
        <f>IF(AND(C323=Master!$H$7,B323="2012-2013",E323&gt;1000,G323="NPN05"),H323,"")</f>
        <v/>
      </c>
      <c r="BD323" s="44" t="str">
        <f>IF(AND(C323=Master!$H$7,B323="2012-2013",E323="",G323="NPN05"),H323,"")</f>
        <v/>
      </c>
      <c r="BE323" s="44" t="str">
        <f>IF(AND(C323=Master!$H$8,B323="2012-2013",E323&gt;1000,G323="NPN05"),H323,"")</f>
        <v/>
      </c>
      <c r="BF323" s="44" t="str">
        <f>IF(AND(C323=Master!$H$8,B323="2012-2013",E323="",G323="NPN05"),H323,"")</f>
        <v/>
      </c>
      <c r="BG323" s="44" t="str">
        <f>IF(AND(C323=Master!$H$9,B323="2012-2013",E323&gt;1000,G323="NPN05"),H323,"")</f>
        <v/>
      </c>
      <c r="BH323" s="44" t="str">
        <f>IF(AND(C323=Master!$H$9,B323="2012-2013",E323="",G323="NPN05"),H323,"")</f>
        <v/>
      </c>
    </row>
    <row r="324" spans="1:60" x14ac:dyDescent="0.25">
      <c r="A324" s="3">
        <v>322</v>
      </c>
      <c r="B324" s="12"/>
      <c r="C324" s="12"/>
      <c r="D324" s="31"/>
      <c r="E324" s="4"/>
      <c r="F324" s="13"/>
      <c r="G324" s="21"/>
      <c r="H324" s="35"/>
      <c r="I324" s="21"/>
      <c r="J324" s="25" t="str">
        <f>IF(NOT(I324=""),INDEX(Master!$B$1:$B$46,MATCH(I324,Master!$A$1:$A$46,0)),"")</f>
        <v/>
      </c>
      <c r="K324" s="18"/>
      <c r="L324" s="86"/>
      <c r="M324" s="13"/>
      <c r="N324" s="13"/>
      <c r="O324" s="18"/>
      <c r="P324" s="35"/>
      <c r="Q324" s="21"/>
      <c r="R324" s="21"/>
      <c r="S324" s="13"/>
      <c r="T324" s="12"/>
      <c r="U324" s="12"/>
      <c r="V324" s="12"/>
      <c r="W324" s="14"/>
      <c r="Y324" s="42" t="str">
        <f>IF(AND(C324=Master!$H$1,B324="2012-2013",E324&gt;1000,G324="PLN03"),H324,"")</f>
        <v/>
      </c>
      <c r="Z324" s="42" t="str">
        <f>IF(AND(C324=Master!$H$1,B324="2012-2013",E324="",G324="PLN03"),H324,"")</f>
        <v/>
      </c>
      <c r="AA324" s="42" t="str">
        <f>IF(AND(C324=Master!$H$2,B324="2012-2013",E324&gt;1000,G324="PLN03"),H324,"")</f>
        <v/>
      </c>
      <c r="AB324" s="42" t="str">
        <f>IF(AND(C324=Master!$H$2,B324="2012-2013",E324="",G324="PLN03"),H324,"")</f>
        <v/>
      </c>
      <c r="AC324" s="42" t="str">
        <f>IF(AND(C324=Master!$H$3,B324="2012-2013",E324&gt;1000,G324="PLN03"),H324,"")</f>
        <v/>
      </c>
      <c r="AD324" s="42" t="str">
        <f>IF(AND(C324=Master!$H$3,B324="2012-2013",E324="",G324="PLN03"),H324,"")</f>
        <v/>
      </c>
      <c r="AE324" s="42" t="str">
        <f>IF(AND(C324=Master!$H$4,B324="2012-2013",E324&gt;1000,G324="PLN03"),H324,"")</f>
        <v/>
      </c>
      <c r="AF324" s="42" t="str">
        <f>IF(AND(C324=Master!$H$4,B324="2012-2013",E324="",G324="PLN03"),H324,"")</f>
        <v/>
      </c>
      <c r="AG324" s="42" t="str">
        <f>IF(AND(C324=Master!$H$5,B324="2012-2013",E324&gt;1000,G324="PLN03"),H324,"")</f>
        <v/>
      </c>
      <c r="AH324" s="42" t="str">
        <f>IF(AND(C324=Master!$H$5,B324="2012-2013",E324="",G324="PLN03"),H324,"")</f>
        <v/>
      </c>
      <c r="AI324" s="42" t="str">
        <f>IF(AND(C324=Master!$H$6,B324="2012-2013",E324&gt;1000,G324="PLN03"),H324,"")</f>
        <v/>
      </c>
      <c r="AJ324" s="42" t="str">
        <f>IF(AND(C324=Master!$H$6,B324="2012-2013",E324="",G324="PLN03"),H324,"")</f>
        <v/>
      </c>
      <c r="AK324" s="42" t="str">
        <f>IF(AND(C324=Master!$H$7,B324="2012-2013",E324&gt;1000,G324="PLN03"),H324,"")</f>
        <v/>
      </c>
      <c r="AL324" s="42" t="str">
        <f>IF(AND(C324=Master!$H$7,B324="2012-2013",E324="",G324="PLN03"),H324,"")</f>
        <v/>
      </c>
      <c r="AM324" s="42" t="str">
        <f>IF(AND(C324=Master!$H$8,B324="2012-2013",E324&gt;1000,G324="PLN03"),H324,"")</f>
        <v/>
      </c>
      <c r="AN324" s="42" t="str">
        <f>IF(AND(C324=Master!$H$8,B324="2012-2013",E324="",G324="PLN03"),H324,"")</f>
        <v/>
      </c>
      <c r="AO324" s="42" t="str">
        <f>IF(AND(C324=Master!$H$9,B324="2012-2013",E324&gt;1000,G324="PLN03"),H324,"")</f>
        <v/>
      </c>
      <c r="AP324" s="42" t="str">
        <f>IF(AND(C324=Master!$H$9,B324="2012-2013",E324="",G324="PLN03"),H324,"")</f>
        <v/>
      </c>
      <c r="AQ324" s="44" t="str">
        <f>IF(AND(C324=Master!$H$1,B324="2012-2013",E324&gt;1000,G324="NPN05"),H324,"")</f>
        <v/>
      </c>
      <c r="AR324" s="44" t="str">
        <f>IF(AND(C324=Master!$H$1,B324="2012-2013",E324="",G324="NPN05"),H324,"")</f>
        <v/>
      </c>
      <c r="AS324" s="44" t="str">
        <f>IF(AND(C324=Master!$H$2,B324="2012-2013",E324&gt;1000,G324="NPN05"),H324,"")</f>
        <v/>
      </c>
      <c r="AT324" s="44" t="str">
        <f>IF(AND(C324=Master!$H$2,B324="2012-2013",E324="",G324="NPN05"),H324,"")</f>
        <v/>
      </c>
      <c r="AU324" s="44" t="str">
        <f>IF(AND(C324=Master!$H$3,B324="2012-2013",E324&gt;1000,G324="NPN05"),H324,"")</f>
        <v/>
      </c>
      <c r="AV324" s="44" t="str">
        <f>IF(AND(C324=Master!$H$3,B324="2012-2013",E324="",G324="NPN05"),H324,"")</f>
        <v/>
      </c>
      <c r="AW324" s="44" t="str">
        <f>IF(AND(C324=Master!$H$4,B324="2012-2013",E324&gt;1000,G324="NPN05"),H324,"")</f>
        <v/>
      </c>
      <c r="AX324" s="44" t="str">
        <f>IF(AND(C324=Master!$H$4,B324="2012-2013",E324="",G324="NPN05"),H324,"")</f>
        <v/>
      </c>
      <c r="AY324" s="44" t="str">
        <f>IF(AND(C324=Master!$H$5,B324="2012-2013",E324&gt;1000,G324="NPN05"),H324,"")</f>
        <v/>
      </c>
      <c r="AZ324" s="44" t="str">
        <f>IF(AND(C324=Master!$H$5,B324="2012-2013",E324="",G324="NPN05"),H324,"")</f>
        <v/>
      </c>
      <c r="BA324" s="44" t="str">
        <f>IF(AND(C324=Master!$H$6,B324="2012-2013",E324&gt;1000,G324="NPN05"),H324,"")</f>
        <v/>
      </c>
      <c r="BB324" s="44" t="str">
        <f>IF(AND(C324=Master!$H$6,B324="2012-2013",E324="",G324="NPN05"),H324,"")</f>
        <v/>
      </c>
      <c r="BC324" s="44" t="str">
        <f>IF(AND(C324=Master!$H$7,B324="2012-2013",E324&gt;1000,G324="NPN05"),H324,"")</f>
        <v/>
      </c>
      <c r="BD324" s="44" t="str">
        <f>IF(AND(C324=Master!$H$7,B324="2012-2013",E324="",G324="NPN05"),H324,"")</f>
        <v/>
      </c>
      <c r="BE324" s="44" t="str">
        <f>IF(AND(C324=Master!$H$8,B324="2012-2013",E324&gt;1000,G324="NPN05"),H324,"")</f>
        <v/>
      </c>
      <c r="BF324" s="44" t="str">
        <f>IF(AND(C324=Master!$H$8,B324="2012-2013",E324="",G324="NPN05"),H324,"")</f>
        <v/>
      </c>
      <c r="BG324" s="44" t="str">
        <f>IF(AND(C324=Master!$H$9,B324="2012-2013",E324&gt;1000,G324="NPN05"),H324,"")</f>
        <v/>
      </c>
      <c r="BH324" s="44" t="str">
        <f>IF(AND(C324=Master!$H$9,B324="2012-2013",E324="",G324="NPN05"),H324,"")</f>
        <v/>
      </c>
    </row>
    <row r="325" spans="1:60" x14ac:dyDescent="0.25">
      <c r="A325" s="3">
        <v>323</v>
      </c>
      <c r="B325" s="12"/>
      <c r="C325" s="12"/>
      <c r="D325" s="31"/>
      <c r="E325" s="4"/>
      <c r="F325" s="13"/>
      <c r="G325" s="21"/>
      <c r="H325" s="35"/>
      <c r="I325" s="21"/>
      <c r="J325" s="25" t="str">
        <f>IF(NOT(I325=""),INDEX(Master!$B$1:$B$46,MATCH(I325,Master!$A$1:$A$46,0)),"")</f>
        <v/>
      </c>
      <c r="K325" s="18"/>
      <c r="L325" s="86"/>
      <c r="M325" s="13"/>
      <c r="N325" s="13"/>
      <c r="O325" s="18"/>
      <c r="P325" s="35"/>
      <c r="Q325" s="21"/>
      <c r="R325" s="21"/>
      <c r="S325" s="13"/>
      <c r="T325" s="12"/>
      <c r="U325" s="12"/>
      <c r="V325" s="12"/>
      <c r="W325" s="14"/>
      <c r="Y325" s="42" t="str">
        <f>IF(AND(C325=Master!$H$1,B325="2012-2013",E325&gt;1000,G325="PLN03"),H325,"")</f>
        <v/>
      </c>
      <c r="Z325" s="42" t="str">
        <f>IF(AND(C325=Master!$H$1,B325="2012-2013",E325="",G325="PLN03"),H325,"")</f>
        <v/>
      </c>
      <c r="AA325" s="42" t="str">
        <f>IF(AND(C325=Master!$H$2,B325="2012-2013",E325&gt;1000,G325="PLN03"),H325,"")</f>
        <v/>
      </c>
      <c r="AB325" s="42" t="str">
        <f>IF(AND(C325=Master!$H$2,B325="2012-2013",E325="",G325="PLN03"),H325,"")</f>
        <v/>
      </c>
      <c r="AC325" s="42" t="str">
        <f>IF(AND(C325=Master!$H$3,B325="2012-2013",E325&gt;1000,G325="PLN03"),H325,"")</f>
        <v/>
      </c>
      <c r="AD325" s="42" t="str">
        <f>IF(AND(C325=Master!$H$3,B325="2012-2013",E325="",G325="PLN03"),H325,"")</f>
        <v/>
      </c>
      <c r="AE325" s="42" t="str">
        <f>IF(AND(C325=Master!$H$4,B325="2012-2013",E325&gt;1000,G325="PLN03"),H325,"")</f>
        <v/>
      </c>
      <c r="AF325" s="42" t="str">
        <f>IF(AND(C325=Master!$H$4,B325="2012-2013",E325="",G325="PLN03"),H325,"")</f>
        <v/>
      </c>
      <c r="AG325" s="42" t="str">
        <f>IF(AND(C325=Master!$H$5,B325="2012-2013",E325&gt;1000,G325="PLN03"),H325,"")</f>
        <v/>
      </c>
      <c r="AH325" s="42" t="str">
        <f>IF(AND(C325=Master!$H$5,B325="2012-2013",E325="",G325="PLN03"),H325,"")</f>
        <v/>
      </c>
      <c r="AI325" s="42" t="str">
        <f>IF(AND(C325=Master!$H$6,B325="2012-2013",E325&gt;1000,G325="PLN03"),H325,"")</f>
        <v/>
      </c>
      <c r="AJ325" s="42" t="str">
        <f>IF(AND(C325=Master!$H$6,B325="2012-2013",E325="",G325="PLN03"),H325,"")</f>
        <v/>
      </c>
      <c r="AK325" s="42" t="str">
        <f>IF(AND(C325=Master!$H$7,B325="2012-2013",E325&gt;1000,G325="PLN03"),H325,"")</f>
        <v/>
      </c>
      <c r="AL325" s="42" t="str">
        <f>IF(AND(C325=Master!$H$7,B325="2012-2013",E325="",G325="PLN03"),H325,"")</f>
        <v/>
      </c>
      <c r="AM325" s="42" t="str">
        <f>IF(AND(C325=Master!$H$8,B325="2012-2013",E325&gt;1000,G325="PLN03"),H325,"")</f>
        <v/>
      </c>
      <c r="AN325" s="42" t="str">
        <f>IF(AND(C325=Master!$H$8,B325="2012-2013",E325="",G325="PLN03"),H325,"")</f>
        <v/>
      </c>
      <c r="AO325" s="42" t="str">
        <f>IF(AND(C325=Master!$H$9,B325="2012-2013",E325&gt;1000,G325="PLN03"),H325,"")</f>
        <v/>
      </c>
      <c r="AP325" s="42" t="str">
        <f>IF(AND(C325=Master!$H$9,B325="2012-2013",E325="",G325="PLN03"),H325,"")</f>
        <v/>
      </c>
      <c r="AQ325" s="44" t="str">
        <f>IF(AND(C325=Master!$H$1,B325="2012-2013",E325&gt;1000,G325="NPN05"),H325,"")</f>
        <v/>
      </c>
      <c r="AR325" s="44" t="str">
        <f>IF(AND(C325=Master!$H$1,B325="2012-2013",E325="",G325="NPN05"),H325,"")</f>
        <v/>
      </c>
      <c r="AS325" s="44" t="str">
        <f>IF(AND(C325=Master!$H$2,B325="2012-2013",E325&gt;1000,G325="NPN05"),H325,"")</f>
        <v/>
      </c>
      <c r="AT325" s="44" t="str">
        <f>IF(AND(C325=Master!$H$2,B325="2012-2013",E325="",G325="NPN05"),H325,"")</f>
        <v/>
      </c>
      <c r="AU325" s="44" t="str">
        <f>IF(AND(C325=Master!$H$3,B325="2012-2013",E325&gt;1000,G325="NPN05"),H325,"")</f>
        <v/>
      </c>
      <c r="AV325" s="44" t="str">
        <f>IF(AND(C325=Master!$H$3,B325="2012-2013",E325="",G325="NPN05"),H325,"")</f>
        <v/>
      </c>
      <c r="AW325" s="44" t="str">
        <f>IF(AND(C325=Master!$H$4,B325="2012-2013",E325&gt;1000,G325="NPN05"),H325,"")</f>
        <v/>
      </c>
      <c r="AX325" s="44" t="str">
        <f>IF(AND(C325=Master!$H$4,B325="2012-2013",E325="",G325="NPN05"),H325,"")</f>
        <v/>
      </c>
      <c r="AY325" s="44" t="str">
        <f>IF(AND(C325=Master!$H$5,B325="2012-2013",E325&gt;1000,G325="NPN05"),H325,"")</f>
        <v/>
      </c>
      <c r="AZ325" s="44" t="str">
        <f>IF(AND(C325=Master!$H$5,B325="2012-2013",E325="",G325="NPN05"),H325,"")</f>
        <v/>
      </c>
      <c r="BA325" s="44" t="str">
        <f>IF(AND(C325=Master!$H$6,B325="2012-2013",E325&gt;1000,G325="NPN05"),H325,"")</f>
        <v/>
      </c>
      <c r="BB325" s="44" t="str">
        <f>IF(AND(C325=Master!$H$6,B325="2012-2013",E325="",G325="NPN05"),H325,"")</f>
        <v/>
      </c>
      <c r="BC325" s="44" t="str">
        <f>IF(AND(C325=Master!$H$7,B325="2012-2013",E325&gt;1000,G325="NPN05"),H325,"")</f>
        <v/>
      </c>
      <c r="BD325" s="44" t="str">
        <f>IF(AND(C325=Master!$H$7,B325="2012-2013",E325="",G325="NPN05"),H325,"")</f>
        <v/>
      </c>
      <c r="BE325" s="44" t="str">
        <f>IF(AND(C325=Master!$H$8,B325="2012-2013",E325&gt;1000,G325="NPN05"),H325,"")</f>
        <v/>
      </c>
      <c r="BF325" s="44" t="str">
        <f>IF(AND(C325=Master!$H$8,B325="2012-2013",E325="",G325="NPN05"),H325,"")</f>
        <v/>
      </c>
      <c r="BG325" s="44" t="str">
        <f>IF(AND(C325=Master!$H$9,B325="2012-2013",E325&gt;1000,G325="NPN05"),H325,"")</f>
        <v/>
      </c>
      <c r="BH325" s="44" t="str">
        <f>IF(AND(C325=Master!$H$9,B325="2012-2013",E325="",G325="NPN05"),H325,"")</f>
        <v/>
      </c>
    </row>
    <row r="326" spans="1:60" x14ac:dyDescent="0.25">
      <c r="A326" s="3">
        <v>324</v>
      </c>
      <c r="B326" s="12"/>
      <c r="C326" s="12"/>
      <c r="D326" s="31"/>
      <c r="E326" s="4"/>
      <c r="F326" s="13"/>
      <c r="G326" s="21"/>
      <c r="H326" s="35"/>
      <c r="I326" s="21"/>
      <c r="J326" s="25" t="str">
        <f>IF(NOT(I326=""),INDEX(Master!$B$1:$B$46,MATCH(I326,Master!$A$1:$A$46,0)),"")</f>
        <v/>
      </c>
      <c r="K326" s="18"/>
      <c r="L326" s="86"/>
      <c r="M326" s="13"/>
      <c r="N326" s="13"/>
      <c r="O326" s="18"/>
      <c r="P326" s="35"/>
      <c r="Q326" s="21"/>
      <c r="R326" s="21"/>
      <c r="S326" s="13"/>
      <c r="T326" s="12"/>
      <c r="U326" s="12"/>
      <c r="V326" s="12"/>
      <c r="W326" s="14"/>
      <c r="Y326" s="42" t="str">
        <f>IF(AND(C326=Master!$H$1,B326="2012-2013",E326&gt;1000,G326="PLN03"),H326,"")</f>
        <v/>
      </c>
      <c r="Z326" s="42" t="str">
        <f>IF(AND(C326=Master!$H$1,B326="2012-2013",E326="",G326="PLN03"),H326,"")</f>
        <v/>
      </c>
      <c r="AA326" s="42" t="str">
        <f>IF(AND(C326=Master!$H$2,B326="2012-2013",E326&gt;1000,G326="PLN03"),H326,"")</f>
        <v/>
      </c>
      <c r="AB326" s="42" t="str">
        <f>IF(AND(C326=Master!$H$2,B326="2012-2013",E326="",G326="PLN03"),H326,"")</f>
        <v/>
      </c>
      <c r="AC326" s="42" t="str">
        <f>IF(AND(C326=Master!$H$3,B326="2012-2013",E326&gt;1000,G326="PLN03"),H326,"")</f>
        <v/>
      </c>
      <c r="AD326" s="42" t="str">
        <f>IF(AND(C326=Master!$H$3,B326="2012-2013",E326="",G326="PLN03"),H326,"")</f>
        <v/>
      </c>
      <c r="AE326" s="42" t="str">
        <f>IF(AND(C326=Master!$H$4,B326="2012-2013",E326&gt;1000,G326="PLN03"),H326,"")</f>
        <v/>
      </c>
      <c r="AF326" s="42" t="str">
        <f>IF(AND(C326=Master!$H$4,B326="2012-2013",E326="",G326="PLN03"),H326,"")</f>
        <v/>
      </c>
      <c r="AG326" s="42" t="str">
        <f>IF(AND(C326=Master!$H$5,B326="2012-2013",E326&gt;1000,G326="PLN03"),H326,"")</f>
        <v/>
      </c>
      <c r="AH326" s="42" t="str">
        <f>IF(AND(C326=Master!$H$5,B326="2012-2013",E326="",G326="PLN03"),H326,"")</f>
        <v/>
      </c>
      <c r="AI326" s="42" t="str">
        <f>IF(AND(C326=Master!$H$6,B326="2012-2013",E326&gt;1000,G326="PLN03"),H326,"")</f>
        <v/>
      </c>
      <c r="AJ326" s="42" t="str">
        <f>IF(AND(C326=Master!$H$6,B326="2012-2013",E326="",G326="PLN03"),H326,"")</f>
        <v/>
      </c>
      <c r="AK326" s="42" t="str">
        <f>IF(AND(C326=Master!$H$7,B326="2012-2013",E326&gt;1000,G326="PLN03"),H326,"")</f>
        <v/>
      </c>
      <c r="AL326" s="42" t="str">
        <f>IF(AND(C326=Master!$H$7,B326="2012-2013",E326="",G326="PLN03"),H326,"")</f>
        <v/>
      </c>
      <c r="AM326" s="42" t="str">
        <f>IF(AND(C326=Master!$H$8,B326="2012-2013",E326&gt;1000,G326="PLN03"),H326,"")</f>
        <v/>
      </c>
      <c r="AN326" s="42" t="str">
        <f>IF(AND(C326=Master!$H$8,B326="2012-2013",E326="",G326="PLN03"),H326,"")</f>
        <v/>
      </c>
      <c r="AO326" s="42" t="str">
        <f>IF(AND(C326=Master!$H$9,B326="2012-2013",E326&gt;1000,G326="PLN03"),H326,"")</f>
        <v/>
      </c>
      <c r="AP326" s="42" t="str">
        <f>IF(AND(C326=Master!$H$9,B326="2012-2013",E326="",G326="PLN03"),H326,"")</f>
        <v/>
      </c>
      <c r="AQ326" s="44" t="str">
        <f>IF(AND(C326=Master!$H$1,B326="2012-2013",E326&gt;1000,G326="NPN05"),H326,"")</f>
        <v/>
      </c>
      <c r="AR326" s="44" t="str">
        <f>IF(AND(C326=Master!$H$1,B326="2012-2013",E326="",G326="NPN05"),H326,"")</f>
        <v/>
      </c>
      <c r="AS326" s="44" t="str">
        <f>IF(AND(C326=Master!$H$2,B326="2012-2013",E326&gt;1000,G326="NPN05"),H326,"")</f>
        <v/>
      </c>
      <c r="AT326" s="44" t="str">
        <f>IF(AND(C326=Master!$H$2,B326="2012-2013",E326="",G326="NPN05"),H326,"")</f>
        <v/>
      </c>
      <c r="AU326" s="44" t="str">
        <f>IF(AND(C326=Master!$H$3,B326="2012-2013",E326&gt;1000,G326="NPN05"),H326,"")</f>
        <v/>
      </c>
      <c r="AV326" s="44" t="str">
        <f>IF(AND(C326=Master!$H$3,B326="2012-2013",E326="",G326="NPN05"),H326,"")</f>
        <v/>
      </c>
      <c r="AW326" s="44" t="str">
        <f>IF(AND(C326=Master!$H$4,B326="2012-2013",E326&gt;1000,G326="NPN05"),H326,"")</f>
        <v/>
      </c>
      <c r="AX326" s="44" t="str">
        <f>IF(AND(C326=Master!$H$4,B326="2012-2013",E326="",G326="NPN05"),H326,"")</f>
        <v/>
      </c>
      <c r="AY326" s="44" t="str">
        <f>IF(AND(C326=Master!$H$5,B326="2012-2013",E326&gt;1000,G326="NPN05"),H326,"")</f>
        <v/>
      </c>
      <c r="AZ326" s="44" t="str">
        <f>IF(AND(C326=Master!$H$5,B326="2012-2013",E326="",G326="NPN05"),H326,"")</f>
        <v/>
      </c>
      <c r="BA326" s="44" t="str">
        <f>IF(AND(C326=Master!$H$6,B326="2012-2013",E326&gt;1000,G326="NPN05"),H326,"")</f>
        <v/>
      </c>
      <c r="BB326" s="44" t="str">
        <f>IF(AND(C326=Master!$H$6,B326="2012-2013",E326="",G326="NPN05"),H326,"")</f>
        <v/>
      </c>
      <c r="BC326" s="44" t="str">
        <f>IF(AND(C326=Master!$H$7,B326="2012-2013",E326&gt;1000,G326="NPN05"),H326,"")</f>
        <v/>
      </c>
      <c r="BD326" s="44" t="str">
        <f>IF(AND(C326=Master!$H$7,B326="2012-2013",E326="",G326="NPN05"),H326,"")</f>
        <v/>
      </c>
      <c r="BE326" s="44" t="str">
        <f>IF(AND(C326=Master!$H$8,B326="2012-2013",E326&gt;1000,G326="NPN05"),H326,"")</f>
        <v/>
      </c>
      <c r="BF326" s="44" t="str">
        <f>IF(AND(C326=Master!$H$8,B326="2012-2013",E326="",G326="NPN05"),H326,"")</f>
        <v/>
      </c>
      <c r="BG326" s="44" t="str">
        <f>IF(AND(C326=Master!$H$9,B326="2012-2013",E326&gt;1000,G326="NPN05"),H326,"")</f>
        <v/>
      </c>
      <c r="BH326" s="44" t="str">
        <f>IF(AND(C326=Master!$H$9,B326="2012-2013",E326="",G326="NPN05"),H326,"")</f>
        <v/>
      </c>
    </row>
    <row r="327" spans="1:60" x14ac:dyDescent="0.25">
      <c r="A327" s="3">
        <v>325</v>
      </c>
      <c r="B327" s="12"/>
      <c r="C327" s="12"/>
      <c r="D327" s="31"/>
      <c r="E327" s="4"/>
      <c r="F327" s="13"/>
      <c r="G327" s="21"/>
      <c r="H327" s="35"/>
      <c r="I327" s="21"/>
      <c r="J327" s="25" t="str">
        <f>IF(NOT(I327=""),INDEX(Master!$B$1:$B$46,MATCH(I327,Master!$A$1:$A$46,0)),"")</f>
        <v/>
      </c>
      <c r="K327" s="18"/>
      <c r="L327" s="86"/>
      <c r="M327" s="13"/>
      <c r="N327" s="13"/>
      <c r="O327" s="18"/>
      <c r="P327" s="35"/>
      <c r="Q327" s="21"/>
      <c r="R327" s="21"/>
      <c r="S327" s="13"/>
      <c r="T327" s="12"/>
      <c r="U327" s="12"/>
      <c r="V327" s="12"/>
      <c r="W327" s="14"/>
      <c r="Y327" s="42" t="str">
        <f>IF(AND(C327=Master!$H$1,B327="2012-2013",E327&gt;1000,G327="PLN03"),H327,"")</f>
        <v/>
      </c>
      <c r="Z327" s="42" t="str">
        <f>IF(AND(C327=Master!$H$1,B327="2012-2013",E327="",G327="PLN03"),H327,"")</f>
        <v/>
      </c>
      <c r="AA327" s="42" t="str">
        <f>IF(AND(C327=Master!$H$2,B327="2012-2013",E327&gt;1000,G327="PLN03"),H327,"")</f>
        <v/>
      </c>
      <c r="AB327" s="42" t="str">
        <f>IF(AND(C327=Master!$H$2,B327="2012-2013",E327="",G327="PLN03"),H327,"")</f>
        <v/>
      </c>
      <c r="AC327" s="42" t="str">
        <f>IF(AND(C327=Master!$H$3,B327="2012-2013",E327&gt;1000,G327="PLN03"),H327,"")</f>
        <v/>
      </c>
      <c r="AD327" s="42" t="str">
        <f>IF(AND(C327=Master!$H$3,B327="2012-2013",E327="",G327="PLN03"),H327,"")</f>
        <v/>
      </c>
      <c r="AE327" s="42" t="str">
        <f>IF(AND(C327=Master!$H$4,B327="2012-2013",E327&gt;1000,G327="PLN03"),H327,"")</f>
        <v/>
      </c>
      <c r="AF327" s="42" t="str">
        <f>IF(AND(C327=Master!$H$4,B327="2012-2013",E327="",G327="PLN03"),H327,"")</f>
        <v/>
      </c>
      <c r="AG327" s="42" t="str">
        <f>IF(AND(C327=Master!$H$5,B327="2012-2013",E327&gt;1000,G327="PLN03"),H327,"")</f>
        <v/>
      </c>
      <c r="AH327" s="42" t="str">
        <f>IF(AND(C327=Master!$H$5,B327="2012-2013",E327="",G327="PLN03"),H327,"")</f>
        <v/>
      </c>
      <c r="AI327" s="42" t="str">
        <f>IF(AND(C327=Master!$H$6,B327="2012-2013",E327&gt;1000,G327="PLN03"),H327,"")</f>
        <v/>
      </c>
      <c r="AJ327" s="42" t="str">
        <f>IF(AND(C327=Master!$H$6,B327="2012-2013",E327="",G327="PLN03"),H327,"")</f>
        <v/>
      </c>
      <c r="AK327" s="42" t="str">
        <f>IF(AND(C327=Master!$H$7,B327="2012-2013",E327&gt;1000,G327="PLN03"),H327,"")</f>
        <v/>
      </c>
      <c r="AL327" s="42" t="str">
        <f>IF(AND(C327=Master!$H$7,B327="2012-2013",E327="",G327="PLN03"),H327,"")</f>
        <v/>
      </c>
      <c r="AM327" s="42" t="str">
        <f>IF(AND(C327=Master!$H$8,B327="2012-2013",E327&gt;1000,G327="PLN03"),H327,"")</f>
        <v/>
      </c>
      <c r="AN327" s="42" t="str">
        <f>IF(AND(C327=Master!$H$8,B327="2012-2013",E327="",G327="PLN03"),H327,"")</f>
        <v/>
      </c>
      <c r="AO327" s="42" t="str">
        <f>IF(AND(C327=Master!$H$9,B327="2012-2013",E327&gt;1000,G327="PLN03"),H327,"")</f>
        <v/>
      </c>
      <c r="AP327" s="42" t="str">
        <f>IF(AND(C327=Master!$H$9,B327="2012-2013",E327="",G327="PLN03"),H327,"")</f>
        <v/>
      </c>
      <c r="AQ327" s="44" t="str">
        <f>IF(AND(C327=Master!$H$1,B327="2012-2013",E327&gt;1000,G327="NPN05"),H327,"")</f>
        <v/>
      </c>
      <c r="AR327" s="44" t="str">
        <f>IF(AND(C327=Master!$H$1,B327="2012-2013",E327="",G327="NPN05"),H327,"")</f>
        <v/>
      </c>
      <c r="AS327" s="44" t="str">
        <f>IF(AND(C327=Master!$H$2,B327="2012-2013",E327&gt;1000,G327="NPN05"),H327,"")</f>
        <v/>
      </c>
      <c r="AT327" s="44" t="str">
        <f>IF(AND(C327=Master!$H$2,B327="2012-2013",E327="",G327="NPN05"),H327,"")</f>
        <v/>
      </c>
      <c r="AU327" s="44" t="str">
        <f>IF(AND(C327=Master!$H$3,B327="2012-2013",E327&gt;1000,G327="NPN05"),H327,"")</f>
        <v/>
      </c>
      <c r="AV327" s="44" t="str">
        <f>IF(AND(C327=Master!$H$3,B327="2012-2013",E327="",G327="NPN05"),H327,"")</f>
        <v/>
      </c>
      <c r="AW327" s="44" t="str">
        <f>IF(AND(C327=Master!$H$4,B327="2012-2013",E327&gt;1000,G327="NPN05"),H327,"")</f>
        <v/>
      </c>
      <c r="AX327" s="44" t="str">
        <f>IF(AND(C327=Master!$H$4,B327="2012-2013",E327="",G327="NPN05"),H327,"")</f>
        <v/>
      </c>
      <c r="AY327" s="44" t="str">
        <f>IF(AND(C327=Master!$H$5,B327="2012-2013",E327&gt;1000,G327="NPN05"),H327,"")</f>
        <v/>
      </c>
      <c r="AZ327" s="44" t="str">
        <f>IF(AND(C327=Master!$H$5,B327="2012-2013",E327="",G327="NPN05"),H327,"")</f>
        <v/>
      </c>
      <c r="BA327" s="44" t="str">
        <f>IF(AND(C327=Master!$H$6,B327="2012-2013",E327&gt;1000,G327="NPN05"),H327,"")</f>
        <v/>
      </c>
      <c r="BB327" s="44" t="str">
        <f>IF(AND(C327=Master!$H$6,B327="2012-2013",E327="",G327="NPN05"),H327,"")</f>
        <v/>
      </c>
      <c r="BC327" s="44" t="str">
        <f>IF(AND(C327=Master!$H$7,B327="2012-2013",E327&gt;1000,G327="NPN05"),H327,"")</f>
        <v/>
      </c>
      <c r="BD327" s="44" t="str">
        <f>IF(AND(C327=Master!$H$7,B327="2012-2013",E327="",G327="NPN05"),H327,"")</f>
        <v/>
      </c>
      <c r="BE327" s="44" t="str">
        <f>IF(AND(C327=Master!$H$8,B327="2012-2013",E327&gt;1000,G327="NPN05"),H327,"")</f>
        <v/>
      </c>
      <c r="BF327" s="44" t="str">
        <f>IF(AND(C327=Master!$H$8,B327="2012-2013",E327="",G327="NPN05"),H327,"")</f>
        <v/>
      </c>
      <c r="BG327" s="44" t="str">
        <f>IF(AND(C327=Master!$H$9,B327="2012-2013",E327&gt;1000,G327="NPN05"),H327,"")</f>
        <v/>
      </c>
      <c r="BH327" s="44" t="str">
        <f>IF(AND(C327=Master!$H$9,B327="2012-2013",E327="",G327="NPN05"),H327,"")</f>
        <v/>
      </c>
    </row>
    <row r="328" spans="1:60" x14ac:dyDescent="0.25">
      <c r="A328" s="5">
        <v>326</v>
      </c>
      <c r="B328" s="12"/>
      <c r="C328" s="12"/>
      <c r="D328" s="31"/>
      <c r="E328" s="4"/>
      <c r="F328" s="13"/>
      <c r="G328" s="21"/>
      <c r="H328" s="35"/>
      <c r="I328" s="21"/>
      <c r="J328" s="25" t="str">
        <f>IF(NOT(I328=""),INDEX(Master!$B$1:$B$46,MATCH(I328,Master!$A$1:$A$46,0)),"")</f>
        <v/>
      </c>
      <c r="K328" s="18"/>
      <c r="L328" s="86"/>
      <c r="M328" s="13"/>
      <c r="N328" s="13"/>
      <c r="O328" s="18"/>
      <c r="P328" s="35"/>
      <c r="Q328" s="21"/>
      <c r="R328" s="21"/>
      <c r="S328" s="13"/>
      <c r="T328" s="12"/>
      <c r="U328" s="12"/>
      <c r="V328" s="12"/>
      <c r="W328" s="14"/>
      <c r="Y328" s="42" t="str">
        <f>IF(AND(C328=Master!$H$1,B328="2012-2013",E328&gt;1000,G328="PLN03"),H328,"")</f>
        <v/>
      </c>
      <c r="Z328" s="42" t="str">
        <f>IF(AND(C328=Master!$H$1,B328="2012-2013",E328="",G328="PLN03"),H328,"")</f>
        <v/>
      </c>
      <c r="AA328" s="42" t="str">
        <f>IF(AND(C328=Master!$H$2,B328="2012-2013",E328&gt;1000,G328="PLN03"),H328,"")</f>
        <v/>
      </c>
      <c r="AB328" s="42" t="str">
        <f>IF(AND(C328=Master!$H$2,B328="2012-2013",E328="",G328="PLN03"),H328,"")</f>
        <v/>
      </c>
      <c r="AC328" s="42" t="str">
        <f>IF(AND(C328=Master!$H$3,B328="2012-2013",E328&gt;1000,G328="PLN03"),H328,"")</f>
        <v/>
      </c>
      <c r="AD328" s="42" t="str">
        <f>IF(AND(C328=Master!$H$3,B328="2012-2013",E328="",G328="PLN03"),H328,"")</f>
        <v/>
      </c>
      <c r="AE328" s="42" t="str">
        <f>IF(AND(C328=Master!$H$4,B328="2012-2013",E328&gt;1000,G328="PLN03"),H328,"")</f>
        <v/>
      </c>
      <c r="AF328" s="42" t="str">
        <f>IF(AND(C328=Master!$H$4,B328="2012-2013",E328="",G328="PLN03"),H328,"")</f>
        <v/>
      </c>
      <c r="AG328" s="42" t="str">
        <f>IF(AND(C328=Master!$H$5,B328="2012-2013",E328&gt;1000,G328="PLN03"),H328,"")</f>
        <v/>
      </c>
      <c r="AH328" s="42" t="str">
        <f>IF(AND(C328=Master!$H$5,B328="2012-2013",E328="",G328="PLN03"),H328,"")</f>
        <v/>
      </c>
      <c r="AI328" s="42" t="str">
        <f>IF(AND(C328=Master!$H$6,B328="2012-2013",E328&gt;1000,G328="PLN03"),H328,"")</f>
        <v/>
      </c>
      <c r="AJ328" s="42" t="str">
        <f>IF(AND(C328=Master!$H$6,B328="2012-2013",E328="",G328="PLN03"),H328,"")</f>
        <v/>
      </c>
      <c r="AK328" s="42" t="str">
        <f>IF(AND(C328=Master!$H$7,B328="2012-2013",E328&gt;1000,G328="PLN03"),H328,"")</f>
        <v/>
      </c>
      <c r="AL328" s="42" t="str">
        <f>IF(AND(C328=Master!$H$7,B328="2012-2013",E328="",G328="PLN03"),H328,"")</f>
        <v/>
      </c>
      <c r="AM328" s="42" t="str">
        <f>IF(AND(C328=Master!$H$8,B328="2012-2013",E328&gt;1000,G328="PLN03"),H328,"")</f>
        <v/>
      </c>
      <c r="AN328" s="42" t="str">
        <f>IF(AND(C328=Master!$H$8,B328="2012-2013",E328="",G328="PLN03"),H328,"")</f>
        <v/>
      </c>
      <c r="AO328" s="42" t="str">
        <f>IF(AND(C328=Master!$H$9,B328="2012-2013",E328&gt;1000,G328="PLN03"),H328,"")</f>
        <v/>
      </c>
      <c r="AP328" s="42" t="str">
        <f>IF(AND(C328=Master!$H$9,B328="2012-2013",E328="",G328="PLN03"),H328,"")</f>
        <v/>
      </c>
      <c r="AQ328" s="44" t="str">
        <f>IF(AND(C328=Master!$H$1,B328="2012-2013",E328&gt;1000,G328="NPN05"),H328,"")</f>
        <v/>
      </c>
      <c r="AR328" s="44" t="str">
        <f>IF(AND(C328=Master!$H$1,B328="2012-2013",E328="",G328="NPN05"),H328,"")</f>
        <v/>
      </c>
      <c r="AS328" s="44" t="str">
        <f>IF(AND(C328=Master!$H$2,B328="2012-2013",E328&gt;1000,G328="NPN05"),H328,"")</f>
        <v/>
      </c>
      <c r="AT328" s="44" t="str">
        <f>IF(AND(C328=Master!$H$2,B328="2012-2013",E328="",G328="NPN05"),H328,"")</f>
        <v/>
      </c>
      <c r="AU328" s="44" t="str">
        <f>IF(AND(C328=Master!$H$3,B328="2012-2013",E328&gt;1000,G328="NPN05"),H328,"")</f>
        <v/>
      </c>
      <c r="AV328" s="44" t="str">
        <f>IF(AND(C328=Master!$H$3,B328="2012-2013",E328="",G328="NPN05"),H328,"")</f>
        <v/>
      </c>
      <c r="AW328" s="44" t="str">
        <f>IF(AND(C328=Master!$H$4,B328="2012-2013",E328&gt;1000,G328="NPN05"),H328,"")</f>
        <v/>
      </c>
      <c r="AX328" s="44" t="str">
        <f>IF(AND(C328=Master!$H$4,B328="2012-2013",E328="",G328="NPN05"),H328,"")</f>
        <v/>
      </c>
      <c r="AY328" s="44" t="str">
        <f>IF(AND(C328=Master!$H$5,B328="2012-2013",E328&gt;1000,G328="NPN05"),H328,"")</f>
        <v/>
      </c>
      <c r="AZ328" s="44" t="str">
        <f>IF(AND(C328=Master!$H$5,B328="2012-2013",E328="",G328="NPN05"),H328,"")</f>
        <v/>
      </c>
      <c r="BA328" s="44" t="str">
        <f>IF(AND(C328=Master!$H$6,B328="2012-2013",E328&gt;1000,G328="NPN05"),H328,"")</f>
        <v/>
      </c>
      <c r="BB328" s="44" t="str">
        <f>IF(AND(C328=Master!$H$6,B328="2012-2013",E328="",G328="NPN05"),H328,"")</f>
        <v/>
      </c>
      <c r="BC328" s="44" t="str">
        <f>IF(AND(C328=Master!$H$7,B328="2012-2013",E328&gt;1000,G328="NPN05"),H328,"")</f>
        <v/>
      </c>
      <c r="BD328" s="44" t="str">
        <f>IF(AND(C328=Master!$H$7,B328="2012-2013",E328="",G328="NPN05"),H328,"")</f>
        <v/>
      </c>
      <c r="BE328" s="44" t="str">
        <f>IF(AND(C328=Master!$H$8,B328="2012-2013",E328&gt;1000,G328="NPN05"),H328,"")</f>
        <v/>
      </c>
      <c r="BF328" s="44" t="str">
        <f>IF(AND(C328=Master!$H$8,B328="2012-2013",E328="",G328="NPN05"),H328,"")</f>
        <v/>
      </c>
      <c r="BG328" s="44" t="str">
        <f>IF(AND(C328=Master!$H$9,B328="2012-2013",E328&gt;1000,G328="NPN05"),H328,"")</f>
        <v/>
      </c>
      <c r="BH328" s="44" t="str">
        <f>IF(AND(C328=Master!$H$9,B328="2012-2013",E328="",G328="NPN05"),H328,"")</f>
        <v/>
      </c>
    </row>
    <row r="329" spans="1:60" x14ac:dyDescent="0.25">
      <c r="A329" s="3">
        <v>327</v>
      </c>
      <c r="B329" s="12"/>
      <c r="C329" s="12"/>
      <c r="D329" s="31"/>
      <c r="E329" s="4"/>
      <c r="F329" s="13"/>
      <c r="G329" s="21"/>
      <c r="H329" s="35"/>
      <c r="I329" s="21"/>
      <c r="J329" s="25" t="str">
        <f>IF(NOT(I329=""),INDEX(Master!$B$1:$B$46,MATCH(I329,Master!$A$1:$A$46,0)),"")</f>
        <v/>
      </c>
      <c r="K329" s="18"/>
      <c r="L329" s="86"/>
      <c r="M329" s="13"/>
      <c r="N329" s="13"/>
      <c r="O329" s="18"/>
      <c r="P329" s="35"/>
      <c r="Q329" s="21"/>
      <c r="R329" s="21"/>
      <c r="S329" s="13"/>
      <c r="T329" s="12"/>
      <c r="U329" s="12"/>
      <c r="V329" s="12"/>
      <c r="W329" s="14"/>
      <c r="Y329" s="42" t="str">
        <f>IF(AND(C329=Master!$H$1,B329="2012-2013",E329&gt;1000,G329="PLN03"),H329,"")</f>
        <v/>
      </c>
      <c r="Z329" s="42" t="str">
        <f>IF(AND(C329=Master!$H$1,B329="2012-2013",E329="",G329="PLN03"),H329,"")</f>
        <v/>
      </c>
      <c r="AA329" s="42" t="str">
        <f>IF(AND(C329=Master!$H$2,B329="2012-2013",E329&gt;1000,G329="PLN03"),H329,"")</f>
        <v/>
      </c>
      <c r="AB329" s="42" t="str">
        <f>IF(AND(C329=Master!$H$2,B329="2012-2013",E329="",G329="PLN03"),H329,"")</f>
        <v/>
      </c>
      <c r="AC329" s="42" t="str">
        <f>IF(AND(C329=Master!$H$3,B329="2012-2013",E329&gt;1000,G329="PLN03"),H329,"")</f>
        <v/>
      </c>
      <c r="AD329" s="42" t="str">
        <f>IF(AND(C329=Master!$H$3,B329="2012-2013",E329="",G329="PLN03"),H329,"")</f>
        <v/>
      </c>
      <c r="AE329" s="42" t="str">
        <f>IF(AND(C329=Master!$H$4,B329="2012-2013",E329&gt;1000,G329="PLN03"),H329,"")</f>
        <v/>
      </c>
      <c r="AF329" s="42" t="str">
        <f>IF(AND(C329=Master!$H$4,B329="2012-2013",E329="",G329="PLN03"),H329,"")</f>
        <v/>
      </c>
      <c r="AG329" s="42" t="str">
        <f>IF(AND(C329=Master!$H$5,B329="2012-2013",E329&gt;1000,G329="PLN03"),H329,"")</f>
        <v/>
      </c>
      <c r="AH329" s="42" t="str">
        <f>IF(AND(C329=Master!$H$5,B329="2012-2013",E329="",G329="PLN03"),H329,"")</f>
        <v/>
      </c>
      <c r="AI329" s="42" t="str">
        <f>IF(AND(C329=Master!$H$6,B329="2012-2013",E329&gt;1000,G329="PLN03"),H329,"")</f>
        <v/>
      </c>
      <c r="AJ329" s="42" t="str">
        <f>IF(AND(C329=Master!$H$6,B329="2012-2013",E329="",G329="PLN03"),H329,"")</f>
        <v/>
      </c>
      <c r="AK329" s="42" t="str">
        <f>IF(AND(C329=Master!$H$7,B329="2012-2013",E329&gt;1000,G329="PLN03"),H329,"")</f>
        <v/>
      </c>
      <c r="AL329" s="42" t="str">
        <f>IF(AND(C329=Master!$H$7,B329="2012-2013",E329="",G329="PLN03"),H329,"")</f>
        <v/>
      </c>
      <c r="AM329" s="42" t="str">
        <f>IF(AND(C329=Master!$H$8,B329="2012-2013",E329&gt;1000,G329="PLN03"),H329,"")</f>
        <v/>
      </c>
      <c r="AN329" s="42" t="str">
        <f>IF(AND(C329=Master!$H$8,B329="2012-2013",E329="",G329="PLN03"),H329,"")</f>
        <v/>
      </c>
      <c r="AO329" s="42" t="str">
        <f>IF(AND(C329=Master!$H$9,B329="2012-2013",E329&gt;1000,G329="PLN03"),H329,"")</f>
        <v/>
      </c>
      <c r="AP329" s="42" t="str">
        <f>IF(AND(C329=Master!$H$9,B329="2012-2013",E329="",G329="PLN03"),H329,"")</f>
        <v/>
      </c>
      <c r="AQ329" s="44" t="str">
        <f>IF(AND(C329=Master!$H$1,B329="2012-2013",E329&gt;1000,G329="NPN05"),H329,"")</f>
        <v/>
      </c>
      <c r="AR329" s="44" t="str">
        <f>IF(AND(C329=Master!$H$1,B329="2012-2013",E329="",G329="NPN05"),H329,"")</f>
        <v/>
      </c>
      <c r="AS329" s="44" t="str">
        <f>IF(AND(C329=Master!$H$2,B329="2012-2013",E329&gt;1000,G329="NPN05"),H329,"")</f>
        <v/>
      </c>
      <c r="AT329" s="44" t="str">
        <f>IF(AND(C329=Master!$H$2,B329="2012-2013",E329="",G329="NPN05"),H329,"")</f>
        <v/>
      </c>
      <c r="AU329" s="44" t="str">
        <f>IF(AND(C329=Master!$H$3,B329="2012-2013",E329&gt;1000,G329="NPN05"),H329,"")</f>
        <v/>
      </c>
      <c r="AV329" s="44" t="str">
        <f>IF(AND(C329=Master!$H$3,B329="2012-2013",E329="",G329="NPN05"),H329,"")</f>
        <v/>
      </c>
      <c r="AW329" s="44" t="str">
        <f>IF(AND(C329=Master!$H$4,B329="2012-2013",E329&gt;1000,G329="NPN05"),H329,"")</f>
        <v/>
      </c>
      <c r="AX329" s="44" t="str">
        <f>IF(AND(C329=Master!$H$4,B329="2012-2013",E329="",G329="NPN05"),H329,"")</f>
        <v/>
      </c>
      <c r="AY329" s="44" t="str">
        <f>IF(AND(C329=Master!$H$5,B329="2012-2013",E329&gt;1000,G329="NPN05"),H329,"")</f>
        <v/>
      </c>
      <c r="AZ329" s="44" t="str">
        <f>IF(AND(C329=Master!$H$5,B329="2012-2013",E329="",G329="NPN05"),H329,"")</f>
        <v/>
      </c>
      <c r="BA329" s="44" t="str">
        <f>IF(AND(C329=Master!$H$6,B329="2012-2013",E329&gt;1000,G329="NPN05"),H329,"")</f>
        <v/>
      </c>
      <c r="BB329" s="44" t="str">
        <f>IF(AND(C329=Master!$H$6,B329="2012-2013",E329="",G329="NPN05"),H329,"")</f>
        <v/>
      </c>
      <c r="BC329" s="44" t="str">
        <f>IF(AND(C329=Master!$H$7,B329="2012-2013",E329&gt;1000,G329="NPN05"),H329,"")</f>
        <v/>
      </c>
      <c r="BD329" s="44" t="str">
        <f>IF(AND(C329=Master!$H$7,B329="2012-2013",E329="",G329="NPN05"),H329,"")</f>
        <v/>
      </c>
      <c r="BE329" s="44" t="str">
        <f>IF(AND(C329=Master!$H$8,B329="2012-2013",E329&gt;1000,G329="NPN05"),H329,"")</f>
        <v/>
      </c>
      <c r="BF329" s="44" t="str">
        <f>IF(AND(C329=Master!$H$8,B329="2012-2013",E329="",G329="NPN05"),H329,"")</f>
        <v/>
      </c>
      <c r="BG329" s="44" t="str">
        <f>IF(AND(C329=Master!$H$9,B329="2012-2013",E329&gt;1000,G329="NPN05"),H329,"")</f>
        <v/>
      </c>
      <c r="BH329" s="44" t="str">
        <f>IF(AND(C329=Master!$H$9,B329="2012-2013",E329="",G329="NPN05"),H329,"")</f>
        <v/>
      </c>
    </row>
    <row r="330" spans="1:60" x14ac:dyDescent="0.25">
      <c r="A330" s="3">
        <v>328</v>
      </c>
      <c r="B330" s="12"/>
      <c r="C330" s="12"/>
      <c r="D330" s="31"/>
      <c r="E330" s="4"/>
      <c r="F330" s="13"/>
      <c r="G330" s="21"/>
      <c r="H330" s="35"/>
      <c r="I330" s="21"/>
      <c r="J330" s="25" t="str">
        <f>IF(NOT(I330=""),INDEX(Master!$B$1:$B$46,MATCH(I330,Master!$A$1:$A$46,0)),"")</f>
        <v/>
      </c>
      <c r="K330" s="18"/>
      <c r="L330" s="86"/>
      <c r="M330" s="13"/>
      <c r="N330" s="13"/>
      <c r="O330" s="18"/>
      <c r="P330" s="35"/>
      <c r="Q330" s="21"/>
      <c r="R330" s="21"/>
      <c r="S330" s="13"/>
      <c r="T330" s="12"/>
      <c r="U330" s="12"/>
      <c r="V330" s="12"/>
      <c r="W330" s="14"/>
      <c r="Y330" s="42" t="str">
        <f>IF(AND(C330=Master!$H$1,B330="2012-2013",E330&gt;1000,G330="PLN03"),H330,"")</f>
        <v/>
      </c>
      <c r="Z330" s="42" t="str">
        <f>IF(AND(C330=Master!$H$1,B330="2012-2013",E330="",G330="PLN03"),H330,"")</f>
        <v/>
      </c>
      <c r="AA330" s="42" t="str">
        <f>IF(AND(C330=Master!$H$2,B330="2012-2013",E330&gt;1000,G330="PLN03"),H330,"")</f>
        <v/>
      </c>
      <c r="AB330" s="42" t="str">
        <f>IF(AND(C330=Master!$H$2,B330="2012-2013",E330="",G330="PLN03"),H330,"")</f>
        <v/>
      </c>
      <c r="AC330" s="42" t="str">
        <f>IF(AND(C330=Master!$H$3,B330="2012-2013",E330&gt;1000,G330="PLN03"),H330,"")</f>
        <v/>
      </c>
      <c r="AD330" s="42" t="str">
        <f>IF(AND(C330=Master!$H$3,B330="2012-2013",E330="",G330="PLN03"),H330,"")</f>
        <v/>
      </c>
      <c r="AE330" s="42" t="str">
        <f>IF(AND(C330=Master!$H$4,B330="2012-2013",E330&gt;1000,G330="PLN03"),H330,"")</f>
        <v/>
      </c>
      <c r="AF330" s="42" t="str">
        <f>IF(AND(C330=Master!$H$4,B330="2012-2013",E330="",G330="PLN03"),H330,"")</f>
        <v/>
      </c>
      <c r="AG330" s="42" t="str">
        <f>IF(AND(C330=Master!$H$5,B330="2012-2013",E330&gt;1000,G330="PLN03"),H330,"")</f>
        <v/>
      </c>
      <c r="AH330" s="42" t="str">
        <f>IF(AND(C330=Master!$H$5,B330="2012-2013",E330="",G330="PLN03"),H330,"")</f>
        <v/>
      </c>
      <c r="AI330" s="42" t="str">
        <f>IF(AND(C330=Master!$H$6,B330="2012-2013",E330&gt;1000,G330="PLN03"),H330,"")</f>
        <v/>
      </c>
      <c r="AJ330" s="42" t="str">
        <f>IF(AND(C330=Master!$H$6,B330="2012-2013",E330="",G330="PLN03"),H330,"")</f>
        <v/>
      </c>
      <c r="AK330" s="42" t="str">
        <f>IF(AND(C330=Master!$H$7,B330="2012-2013",E330&gt;1000,G330="PLN03"),H330,"")</f>
        <v/>
      </c>
      <c r="AL330" s="42" t="str">
        <f>IF(AND(C330=Master!$H$7,B330="2012-2013",E330="",G330="PLN03"),H330,"")</f>
        <v/>
      </c>
      <c r="AM330" s="42" t="str">
        <f>IF(AND(C330=Master!$H$8,B330="2012-2013",E330&gt;1000,G330="PLN03"),H330,"")</f>
        <v/>
      </c>
      <c r="AN330" s="42" t="str">
        <f>IF(AND(C330=Master!$H$8,B330="2012-2013",E330="",G330="PLN03"),H330,"")</f>
        <v/>
      </c>
      <c r="AO330" s="42" t="str">
        <f>IF(AND(C330=Master!$H$9,B330="2012-2013",E330&gt;1000,G330="PLN03"),H330,"")</f>
        <v/>
      </c>
      <c r="AP330" s="42" t="str">
        <f>IF(AND(C330=Master!$H$9,B330="2012-2013",E330="",G330="PLN03"),H330,"")</f>
        <v/>
      </c>
      <c r="AQ330" s="44" t="str">
        <f>IF(AND(C330=Master!$H$1,B330="2012-2013",E330&gt;1000,G330="NPN05"),H330,"")</f>
        <v/>
      </c>
      <c r="AR330" s="44" t="str">
        <f>IF(AND(C330=Master!$H$1,B330="2012-2013",E330="",G330="NPN05"),H330,"")</f>
        <v/>
      </c>
      <c r="AS330" s="44" t="str">
        <f>IF(AND(C330=Master!$H$2,B330="2012-2013",E330&gt;1000,G330="NPN05"),H330,"")</f>
        <v/>
      </c>
      <c r="AT330" s="44" t="str">
        <f>IF(AND(C330=Master!$H$2,B330="2012-2013",E330="",G330="NPN05"),H330,"")</f>
        <v/>
      </c>
      <c r="AU330" s="44" t="str">
        <f>IF(AND(C330=Master!$H$3,B330="2012-2013",E330&gt;1000,G330="NPN05"),H330,"")</f>
        <v/>
      </c>
      <c r="AV330" s="44" t="str">
        <f>IF(AND(C330=Master!$H$3,B330="2012-2013",E330="",G330="NPN05"),H330,"")</f>
        <v/>
      </c>
      <c r="AW330" s="44" t="str">
        <f>IF(AND(C330=Master!$H$4,B330="2012-2013",E330&gt;1000,G330="NPN05"),H330,"")</f>
        <v/>
      </c>
      <c r="AX330" s="44" t="str">
        <f>IF(AND(C330=Master!$H$4,B330="2012-2013",E330="",G330="NPN05"),H330,"")</f>
        <v/>
      </c>
      <c r="AY330" s="44" t="str">
        <f>IF(AND(C330=Master!$H$5,B330="2012-2013",E330&gt;1000,G330="NPN05"),H330,"")</f>
        <v/>
      </c>
      <c r="AZ330" s="44" t="str">
        <f>IF(AND(C330=Master!$H$5,B330="2012-2013",E330="",G330="NPN05"),H330,"")</f>
        <v/>
      </c>
      <c r="BA330" s="44" t="str">
        <f>IF(AND(C330=Master!$H$6,B330="2012-2013",E330&gt;1000,G330="NPN05"),H330,"")</f>
        <v/>
      </c>
      <c r="BB330" s="44" t="str">
        <f>IF(AND(C330=Master!$H$6,B330="2012-2013",E330="",G330="NPN05"),H330,"")</f>
        <v/>
      </c>
      <c r="BC330" s="44" t="str">
        <f>IF(AND(C330=Master!$H$7,B330="2012-2013",E330&gt;1000,G330="NPN05"),H330,"")</f>
        <v/>
      </c>
      <c r="BD330" s="44" t="str">
        <f>IF(AND(C330=Master!$H$7,B330="2012-2013",E330="",G330="NPN05"),H330,"")</f>
        <v/>
      </c>
      <c r="BE330" s="44" t="str">
        <f>IF(AND(C330=Master!$H$8,B330="2012-2013",E330&gt;1000,G330="NPN05"),H330,"")</f>
        <v/>
      </c>
      <c r="BF330" s="44" t="str">
        <f>IF(AND(C330=Master!$H$8,B330="2012-2013",E330="",G330="NPN05"),H330,"")</f>
        <v/>
      </c>
      <c r="BG330" s="44" t="str">
        <f>IF(AND(C330=Master!$H$9,B330="2012-2013",E330&gt;1000,G330="NPN05"),H330,"")</f>
        <v/>
      </c>
      <c r="BH330" s="44" t="str">
        <f>IF(AND(C330=Master!$H$9,B330="2012-2013",E330="",G330="NPN05"),H330,"")</f>
        <v/>
      </c>
    </row>
    <row r="331" spans="1:60" x14ac:dyDescent="0.25">
      <c r="A331" s="3">
        <v>329</v>
      </c>
      <c r="B331" s="12"/>
      <c r="C331" s="12"/>
      <c r="D331" s="31"/>
      <c r="E331" s="4"/>
      <c r="F331" s="13"/>
      <c r="G331" s="21"/>
      <c r="H331" s="35"/>
      <c r="I331" s="21"/>
      <c r="J331" s="25" t="str">
        <f>IF(NOT(I331=""),INDEX(Master!$B$1:$B$46,MATCH(I331,Master!$A$1:$A$46,0)),"")</f>
        <v/>
      </c>
      <c r="K331" s="18"/>
      <c r="L331" s="86"/>
      <c r="M331" s="13"/>
      <c r="N331" s="13"/>
      <c r="O331" s="18"/>
      <c r="P331" s="35"/>
      <c r="Q331" s="21"/>
      <c r="R331" s="21"/>
      <c r="S331" s="13"/>
      <c r="T331" s="12"/>
      <c r="U331" s="12"/>
      <c r="V331" s="12"/>
      <c r="W331" s="14"/>
      <c r="Y331" s="42" t="str">
        <f>IF(AND(C331=Master!$H$1,B331="2012-2013",E331&gt;1000,G331="PLN03"),H331,"")</f>
        <v/>
      </c>
      <c r="Z331" s="42" t="str">
        <f>IF(AND(C331=Master!$H$1,B331="2012-2013",E331="",G331="PLN03"),H331,"")</f>
        <v/>
      </c>
      <c r="AA331" s="42" t="str">
        <f>IF(AND(C331=Master!$H$2,B331="2012-2013",E331&gt;1000,G331="PLN03"),H331,"")</f>
        <v/>
      </c>
      <c r="AB331" s="42" t="str">
        <f>IF(AND(C331=Master!$H$2,B331="2012-2013",E331="",G331="PLN03"),H331,"")</f>
        <v/>
      </c>
      <c r="AC331" s="42" t="str">
        <f>IF(AND(C331=Master!$H$3,B331="2012-2013",E331&gt;1000,G331="PLN03"),H331,"")</f>
        <v/>
      </c>
      <c r="AD331" s="42" t="str">
        <f>IF(AND(C331=Master!$H$3,B331="2012-2013",E331="",G331="PLN03"),H331,"")</f>
        <v/>
      </c>
      <c r="AE331" s="42" t="str">
        <f>IF(AND(C331=Master!$H$4,B331="2012-2013",E331&gt;1000,G331="PLN03"),H331,"")</f>
        <v/>
      </c>
      <c r="AF331" s="42" t="str">
        <f>IF(AND(C331=Master!$H$4,B331="2012-2013",E331="",G331="PLN03"),H331,"")</f>
        <v/>
      </c>
      <c r="AG331" s="42" t="str">
        <f>IF(AND(C331=Master!$H$5,B331="2012-2013",E331&gt;1000,G331="PLN03"),H331,"")</f>
        <v/>
      </c>
      <c r="AH331" s="42" t="str">
        <f>IF(AND(C331=Master!$H$5,B331="2012-2013",E331="",G331="PLN03"),H331,"")</f>
        <v/>
      </c>
      <c r="AI331" s="42" t="str">
        <f>IF(AND(C331=Master!$H$6,B331="2012-2013",E331&gt;1000,G331="PLN03"),H331,"")</f>
        <v/>
      </c>
      <c r="AJ331" s="42" t="str">
        <f>IF(AND(C331=Master!$H$6,B331="2012-2013",E331="",G331="PLN03"),H331,"")</f>
        <v/>
      </c>
      <c r="AK331" s="42" t="str">
        <f>IF(AND(C331=Master!$H$7,B331="2012-2013",E331&gt;1000,G331="PLN03"),H331,"")</f>
        <v/>
      </c>
      <c r="AL331" s="42" t="str">
        <f>IF(AND(C331=Master!$H$7,B331="2012-2013",E331="",G331="PLN03"),H331,"")</f>
        <v/>
      </c>
      <c r="AM331" s="42" t="str">
        <f>IF(AND(C331=Master!$H$8,B331="2012-2013",E331&gt;1000,G331="PLN03"),H331,"")</f>
        <v/>
      </c>
      <c r="AN331" s="42" t="str">
        <f>IF(AND(C331=Master!$H$8,B331="2012-2013",E331="",G331="PLN03"),H331,"")</f>
        <v/>
      </c>
      <c r="AO331" s="42" t="str">
        <f>IF(AND(C331=Master!$H$9,B331="2012-2013",E331&gt;1000,G331="PLN03"),H331,"")</f>
        <v/>
      </c>
      <c r="AP331" s="42" t="str">
        <f>IF(AND(C331=Master!$H$9,B331="2012-2013",E331="",G331="PLN03"),H331,"")</f>
        <v/>
      </c>
      <c r="AQ331" s="44" t="str">
        <f>IF(AND(C331=Master!$H$1,B331="2012-2013",E331&gt;1000,G331="NPN05"),H331,"")</f>
        <v/>
      </c>
      <c r="AR331" s="44" t="str">
        <f>IF(AND(C331=Master!$H$1,B331="2012-2013",E331="",G331="NPN05"),H331,"")</f>
        <v/>
      </c>
      <c r="AS331" s="44" t="str">
        <f>IF(AND(C331=Master!$H$2,B331="2012-2013",E331&gt;1000,G331="NPN05"),H331,"")</f>
        <v/>
      </c>
      <c r="AT331" s="44" t="str">
        <f>IF(AND(C331=Master!$H$2,B331="2012-2013",E331="",G331="NPN05"),H331,"")</f>
        <v/>
      </c>
      <c r="AU331" s="44" t="str">
        <f>IF(AND(C331=Master!$H$3,B331="2012-2013",E331&gt;1000,G331="NPN05"),H331,"")</f>
        <v/>
      </c>
      <c r="AV331" s="44" t="str">
        <f>IF(AND(C331=Master!$H$3,B331="2012-2013",E331="",G331="NPN05"),H331,"")</f>
        <v/>
      </c>
      <c r="AW331" s="44" t="str">
        <f>IF(AND(C331=Master!$H$4,B331="2012-2013",E331&gt;1000,G331="NPN05"),H331,"")</f>
        <v/>
      </c>
      <c r="AX331" s="44" t="str">
        <f>IF(AND(C331=Master!$H$4,B331="2012-2013",E331="",G331="NPN05"),H331,"")</f>
        <v/>
      </c>
      <c r="AY331" s="44" t="str">
        <f>IF(AND(C331=Master!$H$5,B331="2012-2013",E331&gt;1000,G331="NPN05"),H331,"")</f>
        <v/>
      </c>
      <c r="AZ331" s="44" t="str">
        <f>IF(AND(C331=Master!$H$5,B331="2012-2013",E331="",G331="NPN05"),H331,"")</f>
        <v/>
      </c>
      <c r="BA331" s="44" t="str">
        <f>IF(AND(C331=Master!$H$6,B331="2012-2013",E331&gt;1000,G331="NPN05"),H331,"")</f>
        <v/>
      </c>
      <c r="BB331" s="44" t="str">
        <f>IF(AND(C331=Master!$H$6,B331="2012-2013",E331="",G331="NPN05"),H331,"")</f>
        <v/>
      </c>
      <c r="BC331" s="44" t="str">
        <f>IF(AND(C331=Master!$H$7,B331="2012-2013",E331&gt;1000,G331="NPN05"),H331,"")</f>
        <v/>
      </c>
      <c r="BD331" s="44" t="str">
        <f>IF(AND(C331=Master!$H$7,B331="2012-2013",E331="",G331="NPN05"),H331,"")</f>
        <v/>
      </c>
      <c r="BE331" s="44" t="str">
        <f>IF(AND(C331=Master!$H$8,B331="2012-2013",E331&gt;1000,G331="NPN05"),H331,"")</f>
        <v/>
      </c>
      <c r="BF331" s="44" t="str">
        <f>IF(AND(C331=Master!$H$8,B331="2012-2013",E331="",G331="NPN05"),H331,"")</f>
        <v/>
      </c>
      <c r="BG331" s="44" t="str">
        <f>IF(AND(C331=Master!$H$9,B331="2012-2013",E331&gt;1000,G331="NPN05"),H331,"")</f>
        <v/>
      </c>
      <c r="BH331" s="44" t="str">
        <f>IF(AND(C331=Master!$H$9,B331="2012-2013",E331="",G331="NPN05"),H331,"")</f>
        <v/>
      </c>
    </row>
    <row r="332" spans="1:60" x14ac:dyDescent="0.25">
      <c r="A332" s="3">
        <v>330</v>
      </c>
      <c r="B332" s="12"/>
      <c r="C332" s="12"/>
      <c r="D332" s="31"/>
      <c r="E332" s="4"/>
      <c r="F332" s="13"/>
      <c r="G332" s="21"/>
      <c r="H332" s="35"/>
      <c r="I332" s="21"/>
      <c r="J332" s="25" t="str">
        <f>IF(NOT(I332=""),INDEX(Master!$B$1:$B$46,MATCH(I332,Master!$A$1:$A$46,0)),"")</f>
        <v/>
      </c>
      <c r="K332" s="18"/>
      <c r="L332" s="86"/>
      <c r="M332" s="13"/>
      <c r="N332" s="13"/>
      <c r="O332" s="18"/>
      <c r="P332" s="35"/>
      <c r="Q332" s="21"/>
      <c r="R332" s="21"/>
      <c r="S332" s="13"/>
      <c r="T332" s="12"/>
      <c r="U332" s="12"/>
      <c r="V332" s="12"/>
      <c r="W332" s="14"/>
      <c r="Y332" s="42" t="str">
        <f>IF(AND(C332=Master!$H$1,B332="2012-2013",E332&gt;1000,G332="PLN03"),H332,"")</f>
        <v/>
      </c>
      <c r="Z332" s="42" t="str">
        <f>IF(AND(C332=Master!$H$1,B332="2012-2013",E332="",G332="PLN03"),H332,"")</f>
        <v/>
      </c>
      <c r="AA332" s="42" t="str">
        <f>IF(AND(C332=Master!$H$2,B332="2012-2013",E332&gt;1000,G332="PLN03"),H332,"")</f>
        <v/>
      </c>
      <c r="AB332" s="42" t="str">
        <f>IF(AND(C332=Master!$H$2,B332="2012-2013",E332="",G332="PLN03"),H332,"")</f>
        <v/>
      </c>
      <c r="AC332" s="42" t="str">
        <f>IF(AND(C332=Master!$H$3,B332="2012-2013",E332&gt;1000,G332="PLN03"),H332,"")</f>
        <v/>
      </c>
      <c r="AD332" s="42" t="str">
        <f>IF(AND(C332=Master!$H$3,B332="2012-2013",E332="",G332="PLN03"),H332,"")</f>
        <v/>
      </c>
      <c r="AE332" s="42" t="str">
        <f>IF(AND(C332=Master!$H$4,B332="2012-2013",E332&gt;1000,G332="PLN03"),H332,"")</f>
        <v/>
      </c>
      <c r="AF332" s="42" t="str">
        <f>IF(AND(C332=Master!$H$4,B332="2012-2013",E332="",G332="PLN03"),H332,"")</f>
        <v/>
      </c>
      <c r="AG332" s="42" t="str">
        <f>IF(AND(C332=Master!$H$5,B332="2012-2013",E332&gt;1000,G332="PLN03"),H332,"")</f>
        <v/>
      </c>
      <c r="AH332" s="42" t="str">
        <f>IF(AND(C332=Master!$H$5,B332="2012-2013",E332="",G332="PLN03"),H332,"")</f>
        <v/>
      </c>
      <c r="AI332" s="42" t="str">
        <f>IF(AND(C332=Master!$H$6,B332="2012-2013",E332&gt;1000,G332="PLN03"),H332,"")</f>
        <v/>
      </c>
      <c r="AJ332" s="42" t="str">
        <f>IF(AND(C332=Master!$H$6,B332="2012-2013",E332="",G332="PLN03"),H332,"")</f>
        <v/>
      </c>
      <c r="AK332" s="42" t="str">
        <f>IF(AND(C332=Master!$H$7,B332="2012-2013",E332&gt;1000,G332="PLN03"),H332,"")</f>
        <v/>
      </c>
      <c r="AL332" s="42" t="str">
        <f>IF(AND(C332=Master!$H$7,B332="2012-2013",E332="",G332="PLN03"),H332,"")</f>
        <v/>
      </c>
      <c r="AM332" s="42" t="str">
        <f>IF(AND(C332=Master!$H$8,B332="2012-2013",E332&gt;1000,G332="PLN03"),H332,"")</f>
        <v/>
      </c>
      <c r="AN332" s="42" t="str">
        <f>IF(AND(C332=Master!$H$8,B332="2012-2013",E332="",G332="PLN03"),H332,"")</f>
        <v/>
      </c>
      <c r="AO332" s="42" t="str">
        <f>IF(AND(C332=Master!$H$9,B332="2012-2013",E332&gt;1000,G332="PLN03"),H332,"")</f>
        <v/>
      </c>
      <c r="AP332" s="42" t="str">
        <f>IF(AND(C332=Master!$H$9,B332="2012-2013",E332="",G332="PLN03"),H332,"")</f>
        <v/>
      </c>
      <c r="AQ332" s="44" t="str">
        <f>IF(AND(C332=Master!$H$1,B332="2012-2013",E332&gt;1000,G332="NPN05"),H332,"")</f>
        <v/>
      </c>
      <c r="AR332" s="44" t="str">
        <f>IF(AND(C332=Master!$H$1,B332="2012-2013",E332="",G332="NPN05"),H332,"")</f>
        <v/>
      </c>
      <c r="AS332" s="44" t="str">
        <f>IF(AND(C332=Master!$H$2,B332="2012-2013",E332&gt;1000,G332="NPN05"),H332,"")</f>
        <v/>
      </c>
      <c r="AT332" s="44" t="str">
        <f>IF(AND(C332=Master!$H$2,B332="2012-2013",E332="",G332="NPN05"),H332,"")</f>
        <v/>
      </c>
      <c r="AU332" s="44" t="str">
        <f>IF(AND(C332=Master!$H$3,B332="2012-2013",E332&gt;1000,G332="NPN05"),H332,"")</f>
        <v/>
      </c>
      <c r="AV332" s="44" t="str">
        <f>IF(AND(C332=Master!$H$3,B332="2012-2013",E332="",G332="NPN05"),H332,"")</f>
        <v/>
      </c>
      <c r="AW332" s="44" t="str">
        <f>IF(AND(C332=Master!$H$4,B332="2012-2013",E332&gt;1000,G332="NPN05"),H332,"")</f>
        <v/>
      </c>
      <c r="AX332" s="44" t="str">
        <f>IF(AND(C332=Master!$H$4,B332="2012-2013",E332="",G332="NPN05"),H332,"")</f>
        <v/>
      </c>
      <c r="AY332" s="44" t="str">
        <f>IF(AND(C332=Master!$H$5,B332="2012-2013",E332&gt;1000,G332="NPN05"),H332,"")</f>
        <v/>
      </c>
      <c r="AZ332" s="44" t="str">
        <f>IF(AND(C332=Master!$H$5,B332="2012-2013",E332="",G332="NPN05"),H332,"")</f>
        <v/>
      </c>
      <c r="BA332" s="44" t="str">
        <f>IF(AND(C332=Master!$H$6,B332="2012-2013",E332&gt;1000,G332="NPN05"),H332,"")</f>
        <v/>
      </c>
      <c r="BB332" s="44" t="str">
        <f>IF(AND(C332=Master!$H$6,B332="2012-2013",E332="",G332="NPN05"),H332,"")</f>
        <v/>
      </c>
      <c r="BC332" s="44" t="str">
        <f>IF(AND(C332=Master!$H$7,B332="2012-2013",E332&gt;1000,G332="NPN05"),H332,"")</f>
        <v/>
      </c>
      <c r="BD332" s="44" t="str">
        <f>IF(AND(C332=Master!$H$7,B332="2012-2013",E332="",G332="NPN05"),H332,"")</f>
        <v/>
      </c>
      <c r="BE332" s="44" t="str">
        <f>IF(AND(C332=Master!$H$8,B332="2012-2013",E332&gt;1000,G332="NPN05"),H332,"")</f>
        <v/>
      </c>
      <c r="BF332" s="44" t="str">
        <f>IF(AND(C332=Master!$H$8,B332="2012-2013",E332="",G332="NPN05"),H332,"")</f>
        <v/>
      </c>
      <c r="BG332" s="44" t="str">
        <f>IF(AND(C332=Master!$H$9,B332="2012-2013",E332&gt;1000,G332="NPN05"),H332,"")</f>
        <v/>
      </c>
      <c r="BH332" s="44" t="str">
        <f>IF(AND(C332=Master!$H$9,B332="2012-2013",E332="",G332="NPN05"),H332,"")</f>
        <v/>
      </c>
    </row>
    <row r="333" spans="1:60" x14ac:dyDescent="0.25">
      <c r="A333" s="3">
        <v>331</v>
      </c>
      <c r="B333" s="12"/>
      <c r="C333" s="12"/>
      <c r="D333" s="31"/>
      <c r="E333" s="4"/>
      <c r="F333" s="13"/>
      <c r="G333" s="21"/>
      <c r="H333" s="35"/>
      <c r="I333" s="21"/>
      <c r="J333" s="25" t="str">
        <f>IF(NOT(I333=""),INDEX(Master!$B$1:$B$46,MATCH(I333,Master!$A$1:$A$46,0)),"")</f>
        <v/>
      </c>
      <c r="K333" s="18"/>
      <c r="L333" s="86"/>
      <c r="M333" s="13"/>
      <c r="N333" s="13"/>
      <c r="O333" s="18"/>
      <c r="P333" s="35"/>
      <c r="Q333" s="21"/>
      <c r="R333" s="21"/>
      <c r="S333" s="13"/>
      <c r="T333" s="12"/>
      <c r="U333" s="12"/>
      <c r="V333" s="12"/>
      <c r="W333" s="14"/>
      <c r="Y333" s="42" t="str">
        <f>IF(AND(C333=Master!$H$1,B333="2012-2013",E333&gt;1000,G333="PLN03"),H333,"")</f>
        <v/>
      </c>
      <c r="Z333" s="42" t="str">
        <f>IF(AND(C333=Master!$H$1,B333="2012-2013",E333="",G333="PLN03"),H333,"")</f>
        <v/>
      </c>
      <c r="AA333" s="42" t="str">
        <f>IF(AND(C333=Master!$H$2,B333="2012-2013",E333&gt;1000,G333="PLN03"),H333,"")</f>
        <v/>
      </c>
      <c r="AB333" s="42" t="str">
        <f>IF(AND(C333=Master!$H$2,B333="2012-2013",E333="",G333="PLN03"),H333,"")</f>
        <v/>
      </c>
      <c r="AC333" s="42" t="str">
        <f>IF(AND(C333=Master!$H$3,B333="2012-2013",E333&gt;1000,G333="PLN03"),H333,"")</f>
        <v/>
      </c>
      <c r="AD333" s="42" t="str">
        <f>IF(AND(C333=Master!$H$3,B333="2012-2013",E333="",G333="PLN03"),H333,"")</f>
        <v/>
      </c>
      <c r="AE333" s="42" t="str">
        <f>IF(AND(C333=Master!$H$4,B333="2012-2013",E333&gt;1000,G333="PLN03"),H333,"")</f>
        <v/>
      </c>
      <c r="AF333" s="42" t="str">
        <f>IF(AND(C333=Master!$H$4,B333="2012-2013",E333="",G333="PLN03"),H333,"")</f>
        <v/>
      </c>
      <c r="AG333" s="42" t="str">
        <f>IF(AND(C333=Master!$H$5,B333="2012-2013",E333&gt;1000,G333="PLN03"),H333,"")</f>
        <v/>
      </c>
      <c r="AH333" s="42" t="str">
        <f>IF(AND(C333=Master!$H$5,B333="2012-2013",E333="",G333="PLN03"),H333,"")</f>
        <v/>
      </c>
      <c r="AI333" s="42" t="str">
        <f>IF(AND(C333=Master!$H$6,B333="2012-2013",E333&gt;1000,G333="PLN03"),H333,"")</f>
        <v/>
      </c>
      <c r="AJ333" s="42" t="str">
        <f>IF(AND(C333=Master!$H$6,B333="2012-2013",E333="",G333="PLN03"),H333,"")</f>
        <v/>
      </c>
      <c r="AK333" s="42" t="str">
        <f>IF(AND(C333=Master!$H$7,B333="2012-2013",E333&gt;1000,G333="PLN03"),H333,"")</f>
        <v/>
      </c>
      <c r="AL333" s="42" t="str">
        <f>IF(AND(C333=Master!$H$7,B333="2012-2013",E333="",G333="PLN03"),H333,"")</f>
        <v/>
      </c>
      <c r="AM333" s="42" t="str">
        <f>IF(AND(C333=Master!$H$8,B333="2012-2013",E333&gt;1000,G333="PLN03"),H333,"")</f>
        <v/>
      </c>
      <c r="AN333" s="42" t="str">
        <f>IF(AND(C333=Master!$H$8,B333="2012-2013",E333="",G333="PLN03"),H333,"")</f>
        <v/>
      </c>
      <c r="AO333" s="42" t="str">
        <f>IF(AND(C333=Master!$H$9,B333="2012-2013",E333&gt;1000,G333="PLN03"),H333,"")</f>
        <v/>
      </c>
      <c r="AP333" s="42" t="str">
        <f>IF(AND(C333=Master!$H$9,B333="2012-2013",E333="",G333="PLN03"),H333,"")</f>
        <v/>
      </c>
      <c r="AQ333" s="44" t="str">
        <f>IF(AND(C333=Master!$H$1,B333="2012-2013",E333&gt;1000,G333="NPN05"),H333,"")</f>
        <v/>
      </c>
      <c r="AR333" s="44" t="str">
        <f>IF(AND(C333=Master!$H$1,B333="2012-2013",E333="",G333="NPN05"),H333,"")</f>
        <v/>
      </c>
      <c r="AS333" s="44" t="str">
        <f>IF(AND(C333=Master!$H$2,B333="2012-2013",E333&gt;1000,G333="NPN05"),H333,"")</f>
        <v/>
      </c>
      <c r="AT333" s="44" t="str">
        <f>IF(AND(C333=Master!$H$2,B333="2012-2013",E333="",G333="NPN05"),H333,"")</f>
        <v/>
      </c>
      <c r="AU333" s="44" t="str">
        <f>IF(AND(C333=Master!$H$3,B333="2012-2013",E333&gt;1000,G333="NPN05"),H333,"")</f>
        <v/>
      </c>
      <c r="AV333" s="44" t="str">
        <f>IF(AND(C333=Master!$H$3,B333="2012-2013",E333="",G333="NPN05"),H333,"")</f>
        <v/>
      </c>
      <c r="AW333" s="44" t="str">
        <f>IF(AND(C333=Master!$H$4,B333="2012-2013",E333&gt;1000,G333="NPN05"),H333,"")</f>
        <v/>
      </c>
      <c r="AX333" s="44" t="str">
        <f>IF(AND(C333=Master!$H$4,B333="2012-2013",E333="",G333="NPN05"),H333,"")</f>
        <v/>
      </c>
      <c r="AY333" s="44" t="str">
        <f>IF(AND(C333=Master!$H$5,B333="2012-2013",E333&gt;1000,G333="NPN05"),H333,"")</f>
        <v/>
      </c>
      <c r="AZ333" s="44" t="str">
        <f>IF(AND(C333=Master!$H$5,B333="2012-2013",E333="",G333="NPN05"),H333,"")</f>
        <v/>
      </c>
      <c r="BA333" s="44" t="str">
        <f>IF(AND(C333=Master!$H$6,B333="2012-2013",E333&gt;1000,G333="NPN05"),H333,"")</f>
        <v/>
      </c>
      <c r="BB333" s="44" t="str">
        <f>IF(AND(C333=Master!$H$6,B333="2012-2013",E333="",G333="NPN05"),H333,"")</f>
        <v/>
      </c>
      <c r="BC333" s="44" t="str">
        <f>IF(AND(C333=Master!$H$7,B333="2012-2013",E333&gt;1000,G333="NPN05"),H333,"")</f>
        <v/>
      </c>
      <c r="BD333" s="44" t="str">
        <f>IF(AND(C333=Master!$H$7,B333="2012-2013",E333="",G333="NPN05"),H333,"")</f>
        <v/>
      </c>
      <c r="BE333" s="44" t="str">
        <f>IF(AND(C333=Master!$H$8,B333="2012-2013",E333&gt;1000,G333="NPN05"),H333,"")</f>
        <v/>
      </c>
      <c r="BF333" s="44" t="str">
        <f>IF(AND(C333=Master!$H$8,B333="2012-2013",E333="",G333="NPN05"),H333,"")</f>
        <v/>
      </c>
      <c r="BG333" s="44" t="str">
        <f>IF(AND(C333=Master!$H$9,B333="2012-2013",E333&gt;1000,G333="NPN05"),H333,"")</f>
        <v/>
      </c>
      <c r="BH333" s="44" t="str">
        <f>IF(AND(C333=Master!$H$9,B333="2012-2013",E333="",G333="NPN05"),H333,"")</f>
        <v/>
      </c>
    </row>
    <row r="334" spans="1:60" x14ac:dyDescent="0.25">
      <c r="A334" s="3">
        <v>332</v>
      </c>
      <c r="B334" s="12"/>
      <c r="C334" s="12"/>
      <c r="D334" s="31"/>
      <c r="E334" s="4"/>
      <c r="F334" s="13"/>
      <c r="G334" s="21"/>
      <c r="H334" s="35"/>
      <c r="I334" s="21"/>
      <c r="J334" s="25" t="str">
        <f>IF(NOT(I334=""),INDEX(Master!$B$1:$B$46,MATCH(I334,Master!$A$1:$A$46,0)),"")</f>
        <v/>
      </c>
      <c r="K334" s="18"/>
      <c r="L334" s="86"/>
      <c r="M334" s="13"/>
      <c r="N334" s="13"/>
      <c r="O334" s="18"/>
      <c r="P334" s="35"/>
      <c r="Q334" s="21"/>
      <c r="R334" s="21"/>
      <c r="S334" s="13"/>
      <c r="T334" s="12"/>
      <c r="U334" s="12"/>
      <c r="V334" s="12"/>
      <c r="W334" s="14"/>
      <c r="Y334" s="42" t="str">
        <f>IF(AND(C334=Master!$H$1,B334="2012-2013",E334&gt;1000,G334="PLN03"),H334,"")</f>
        <v/>
      </c>
      <c r="Z334" s="42" t="str">
        <f>IF(AND(C334=Master!$H$1,B334="2012-2013",E334="",G334="PLN03"),H334,"")</f>
        <v/>
      </c>
      <c r="AA334" s="42" t="str">
        <f>IF(AND(C334=Master!$H$2,B334="2012-2013",E334&gt;1000,G334="PLN03"),H334,"")</f>
        <v/>
      </c>
      <c r="AB334" s="42" t="str">
        <f>IF(AND(C334=Master!$H$2,B334="2012-2013",E334="",G334="PLN03"),H334,"")</f>
        <v/>
      </c>
      <c r="AC334" s="42" t="str">
        <f>IF(AND(C334=Master!$H$3,B334="2012-2013",E334&gt;1000,G334="PLN03"),H334,"")</f>
        <v/>
      </c>
      <c r="AD334" s="42" t="str">
        <f>IF(AND(C334=Master!$H$3,B334="2012-2013",E334="",G334="PLN03"),H334,"")</f>
        <v/>
      </c>
      <c r="AE334" s="42" t="str">
        <f>IF(AND(C334=Master!$H$4,B334="2012-2013",E334&gt;1000,G334="PLN03"),H334,"")</f>
        <v/>
      </c>
      <c r="AF334" s="42" t="str">
        <f>IF(AND(C334=Master!$H$4,B334="2012-2013",E334="",G334="PLN03"),H334,"")</f>
        <v/>
      </c>
      <c r="AG334" s="42" t="str">
        <f>IF(AND(C334=Master!$H$5,B334="2012-2013",E334&gt;1000,G334="PLN03"),H334,"")</f>
        <v/>
      </c>
      <c r="AH334" s="42" t="str">
        <f>IF(AND(C334=Master!$H$5,B334="2012-2013",E334="",G334="PLN03"),H334,"")</f>
        <v/>
      </c>
      <c r="AI334" s="42" t="str">
        <f>IF(AND(C334=Master!$H$6,B334="2012-2013",E334&gt;1000,G334="PLN03"),H334,"")</f>
        <v/>
      </c>
      <c r="AJ334" s="42" t="str">
        <f>IF(AND(C334=Master!$H$6,B334="2012-2013",E334="",G334="PLN03"),H334,"")</f>
        <v/>
      </c>
      <c r="AK334" s="42" t="str">
        <f>IF(AND(C334=Master!$H$7,B334="2012-2013",E334&gt;1000,G334="PLN03"),H334,"")</f>
        <v/>
      </c>
      <c r="AL334" s="42" t="str">
        <f>IF(AND(C334=Master!$H$7,B334="2012-2013",E334="",G334="PLN03"),H334,"")</f>
        <v/>
      </c>
      <c r="AM334" s="42" t="str">
        <f>IF(AND(C334=Master!$H$8,B334="2012-2013",E334&gt;1000,G334="PLN03"),H334,"")</f>
        <v/>
      </c>
      <c r="AN334" s="42" t="str">
        <f>IF(AND(C334=Master!$H$8,B334="2012-2013",E334="",G334="PLN03"),H334,"")</f>
        <v/>
      </c>
      <c r="AO334" s="42" t="str">
        <f>IF(AND(C334=Master!$H$9,B334="2012-2013",E334&gt;1000,G334="PLN03"),H334,"")</f>
        <v/>
      </c>
      <c r="AP334" s="42" t="str">
        <f>IF(AND(C334=Master!$H$9,B334="2012-2013",E334="",G334="PLN03"),H334,"")</f>
        <v/>
      </c>
      <c r="AQ334" s="44" t="str">
        <f>IF(AND(C334=Master!$H$1,B334="2012-2013",E334&gt;1000,G334="NPN05"),H334,"")</f>
        <v/>
      </c>
      <c r="AR334" s="44" t="str">
        <f>IF(AND(C334=Master!$H$1,B334="2012-2013",E334="",G334="NPN05"),H334,"")</f>
        <v/>
      </c>
      <c r="AS334" s="44" t="str">
        <f>IF(AND(C334=Master!$H$2,B334="2012-2013",E334&gt;1000,G334="NPN05"),H334,"")</f>
        <v/>
      </c>
      <c r="AT334" s="44" t="str">
        <f>IF(AND(C334=Master!$H$2,B334="2012-2013",E334="",G334="NPN05"),H334,"")</f>
        <v/>
      </c>
      <c r="AU334" s="44" t="str">
        <f>IF(AND(C334=Master!$H$3,B334="2012-2013",E334&gt;1000,G334="NPN05"),H334,"")</f>
        <v/>
      </c>
      <c r="AV334" s="44" t="str">
        <f>IF(AND(C334=Master!$H$3,B334="2012-2013",E334="",G334="NPN05"),H334,"")</f>
        <v/>
      </c>
      <c r="AW334" s="44" t="str">
        <f>IF(AND(C334=Master!$H$4,B334="2012-2013",E334&gt;1000,G334="NPN05"),H334,"")</f>
        <v/>
      </c>
      <c r="AX334" s="44" t="str">
        <f>IF(AND(C334=Master!$H$4,B334="2012-2013",E334="",G334="NPN05"),H334,"")</f>
        <v/>
      </c>
      <c r="AY334" s="44" t="str">
        <f>IF(AND(C334=Master!$H$5,B334="2012-2013",E334&gt;1000,G334="NPN05"),H334,"")</f>
        <v/>
      </c>
      <c r="AZ334" s="44" t="str">
        <f>IF(AND(C334=Master!$H$5,B334="2012-2013",E334="",G334="NPN05"),H334,"")</f>
        <v/>
      </c>
      <c r="BA334" s="44" t="str">
        <f>IF(AND(C334=Master!$H$6,B334="2012-2013",E334&gt;1000,G334="NPN05"),H334,"")</f>
        <v/>
      </c>
      <c r="BB334" s="44" t="str">
        <f>IF(AND(C334=Master!$H$6,B334="2012-2013",E334="",G334="NPN05"),H334,"")</f>
        <v/>
      </c>
      <c r="BC334" s="44" t="str">
        <f>IF(AND(C334=Master!$H$7,B334="2012-2013",E334&gt;1000,G334="NPN05"),H334,"")</f>
        <v/>
      </c>
      <c r="BD334" s="44" t="str">
        <f>IF(AND(C334=Master!$H$7,B334="2012-2013",E334="",G334="NPN05"),H334,"")</f>
        <v/>
      </c>
      <c r="BE334" s="44" t="str">
        <f>IF(AND(C334=Master!$H$8,B334="2012-2013",E334&gt;1000,G334="NPN05"),H334,"")</f>
        <v/>
      </c>
      <c r="BF334" s="44" t="str">
        <f>IF(AND(C334=Master!$H$8,B334="2012-2013",E334="",G334="NPN05"),H334,"")</f>
        <v/>
      </c>
      <c r="BG334" s="44" t="str">
        <f>IF(AND(C334=Master!$H$9,B334="2012-2013",E334&gt;1000,G334="NPN05"),H334,"")</f>
        <v/>
      </c>
      <c r="BH334" s="44" t="str">
        <f>IF(AND(C334=Master!$H$9,B334="2012-2013",E334="",G334="NPN05"),H334,"")</f>
        <v/>
      </c>
    </row>
    <row r="335" spans="1:60" x14ac:dyDescent="0.25">
      <c r="A335" s="3">
        <v>333</v>
      </c>
      <c r="B335" s="12"/>
      <c r="C335" s="12"/>
      <c r="D335" s="31"/>
      <c r="E335" s="4"/>
      <c r="F335" s="13"/>
      <c r="G335" s="21"/>
      <c r="H335" s="35"/>
      <c r="I335" s="21"/>
      <c r="J335" s="25" t="str">
        <f>IF(NOT(I335=""),INDEX(Master!$B$1:$B$46,MATCH(I335,Master!$A$1:$A$46,0)),"")</f>
        <v/>
      </c>
      <c r="K335" s="18"/>
      <c r="L335" s="86"/>
      <c r="M335" s="13"/>
      <c r="N335" s="13"/>
      <c r="O335" s="18"/>
      <c r="P335" s="35"/>
      <c r="Q335" s="21"/>
      <c r="R335" s="21"/>
      <c r="S335" s="13"/>
      <c r="T335" s="12"/>
      <c r="U335" s="12"/>
      <c r="V335" s="12"/>
      <c r="W335" s="14"/>
      <c r="Y335" s="42" t="str">
        <f>IF(AND(C335=Master!$H$1,B335="2012-2013",E335&gt;1000,G335="PLN03"),H335,"")</f>
        <v/>
      </c>
      <c r="Z335" s="42" t="str">
        <f>IF(AND(C335=Master!$H$1,B335="2012-2013",E335="",G335="PLN03"),H335,"")</f>
        <v/>
      </c>
      <c r="AA335" s="42" t="str">
        <f>IF(AND(C335=Master!$H$2,B335="2012-2013",E335&gt;1000,G335="PLN03"),H335,"")</f>
        <v/>
      </c>
      <c r="AB335" s="42" t="str">
        <f>IF(AND(C335=Master!$H$2,B335="2012-2013",E335="",G335="PLN03"),H335,"")</f>
        <v/>
      </c>
      <c r="AC335" s="42" t="str">
        <f>IF(AND(C335=Master!$H$3,B335="2012-2013",E335&gt;1000,G335="PLN03"),H335,"")</f>
        <v/>
      </c>
      <c r="AD335" s="42" t="str">
        <f>IF(AND(C335=Master!$H$3,B335="2012-2013",E335="",G335="PLN03"),H335,"")</f>
        <v/>
      </c>
      <c r="AE335" s="42" t="str">
        <f>IF(AND(C335=Master!$H$4,B335="2012-2013",E335&gt;1000,G335="PLN03"),H335,"")</f>
        <v/>
      </c>
      <c r="AF335" s="42" t="str">
        <f>IF(AND(C335=Master!$H$4,B335="2012-2013",E335="",G335="PLN03"),H335,"")</f>
        <v/>
      </c>
      <c r="AG335" s="42" t="str">
        <f>IF(AND(C335=Master!$H$5,B335="2012-2013",E335&gt;1000,G335="PLN03"),H335,"")</f>
        <v/>
      </c>
      <c r="AH335" s="42" t="str">
        <f>IF(AND(C335=Master!$H$5,B335="2012-2013",E335="",G335="PLN03"),H335,"")</f>
        <v/>
      </c>
      <c r="AI335" s="42" t="str">
        <f>IF(AND(C335=Master!$H$6,B335="2012-2013",E335&gt;1000,G335="PLN03"),H335,"")</f>
        <v/>
      </c>
      <c r="AJ335" s="42" t="str">
        <f>IF(AND(C335=Master!$H$6,B335="2012-2013",E335="",G335="PLN03"),H335,"")</f>
        <v/>
      </c>
      <c r="AK335" s="42" t="str">
        <f>IF(AND(C335=Master!$H$7,B335="2012-2013",E335&gt;1000,G335="PLN03"),H335,"")</f>
        <v/>
      </c>
      <c r="AL335" s="42" t="str">
        <f>IF(AND(C335=Master!$H$7,B335="2012-2013",E335="",G335="PLN03"),H335,"")</f>
        <v/>
      </c>
      <c r="AM335" s="42" t="str">
        <f>IF(AND(C335=Master!$H$8,B335="2012-2013",E335&gt;1000,G335="PLN03"),H335,"")</f>
        <v/>
      </c>
      <c r="AN335" s="42" t="str">
        <f>IF(AND(C335=Master!$H$8,B335="2012-2013",E335="",G335="PLN03"),H335,"")</f>
        <v/>
      </c>
      <c r="AO335" s="42" t="str">
        <f>IF(AND(C335=Master!$H$9,B335="2012-2013",E335&gt;1000,G335="PLN03"),H335,"")</f>
        <v/>
      </c>
      <c r="AP335" s="42" t="str">
        <f>IF(AND(C335=Master!$H$9,B335="2012-2013",E335="",G335="PLN03"),H335,"")</f>
        <v/>
      </c>
      <c r="AQ335" s="44" t="str">
        <f>IF(AND(C335=Master!$H$1,B335="2012-2013",E335&gt;1000,G335="NPN05"),H335,"")</f>
        <v/>
      </c>
      <c r="AR335" s="44" t="str">
        <f>IF(AND(C335=Master!$H$1,B335="2012-2013",E335="",G335="NPN05"),H335,"")</f>
        <v/>
      </c>
      <c r="AS335" s="44" t="str">
        <f>IF(AND(C335=Master!$H$2,B335="2012-2013",E335&gt;1000,G335="NPN05"),H335,"")</f>
        <v/>
      </c>
      <c r="AT335" s="44" t="str">
        <f>IF(AND(C335=Master!$H$2,B335="2012-2013",E335="",G335="NPN05"),H335,"")</f>
        <v/>
      </c>
      <c r="AU335" s="44" t="str">
        <f>IF(AND(C335=Master!$H$3,B335="2012-2013",E335&gt;1000,G335="NPN05"),H335,"")</f>
        <v/>
      </c>
      <c r="AV335" s="44" t="str">
        <f>IF(AND(C335=Master!$H$3,B335="2012-2013",E335="",G335="NPN05"),H335,"")</f>
        <v/>
      </c>
      <c r="AW335" s="44" t="str">
        <f>IF(AND(C335=Master!$H$4,B335="2012-2013",E335&gt;1000,G335="NPN05"),H335,"")</f>
        <v/>
      </c>
      <c r="AX335" s="44" t="str">
        <f>IF(AND(C335=Master!$H$4,B335="2012-2013",E335="",G335="NPN05"),H335,"")</f>
        <v/>
      </c>
      <c r="AY335" s="44" t="str">
        <f>IF(AND(C335=Master!$H$5,B335="2012-2013",E335&gt;1000,G335="NPN05"),H335,"")</f>
        <v/>
      </c>
      <c r="AZ335" s="44" t="str">
        <f>IF(AND(C335=Master!$H$5,B335="2012-2013",E335="",G335="NPN05"),H335,"")</f>
        <v/>
      </c>
      <c r="BA335" s="44" t="str">
        <f>IF(AND(C335=Master!$H$6,B335="2012-2013",E335&gt;1000,G335="NPN05"),H335,"")</f>
        <v/>
      </c>
      <c r="BB335" s="44" t="str">
        <f>IF(AND(C335=Master!$H$6,B335="2012-2013",E335="",G335="NPN05"),H335,"")</f>
        <v/>
      </c>
      <c r="BC335" s="44" t="str">
        <f>IF(AND(C335=Master!$H$7,B335="2012-2013",E335&gt;1000,G335="NPN05"),H335,"")</f>
        <v/>
      </c>
      <c r="BD335" s="44" t="str">
        <f>IF(AND(C335=Master!$H$7,B335="2012-2013",E335="",G335="NPN05"),H335,"")</f>
        <v/>
      </c>
      <c r="BE335" s="44" t="str">
        <f>IF(AND(C335=Master!$H$8,B335="2012-2013",E335&gt;1000,G335="NPN05"),H335,"")</f>
        <v/>
      </c>
      <c r="BF335" s="44" t="str">
        <f>IF(AND(C335=Master!$H$8,B335="2012-2013",E335="",G335="NPN05"),H335,"")</f>
        <v/>
      </c>
      <c r="BG335" s="44" t="str">
        <f>IF(AND(C335=Master!$H$9,B335="2012-2013",E335&gt;1000,G335="NPN05"),H335,"")</f>
        <v/>
      </c>
      <c r="BH335" s="44" t="str">
        <f>IF(AND(C335=Master!$H$9,B335="2012-2013",E335="",G335="NPN05"),H335,"")</f>
        <v/>
      </c>
    </row>
    <row r="336" spans="1:60" x14ac:dyDescent="0.25">
      <c r="A336" s="3">
        <v>334</v>
      </c>
      <c r="B336" s="12"/>
      <c r="C336" s="12"/>
      <c r="D336" s="31"/>
      <c r="E336" s="4"/>
      <c r="F336" s="13"/>
      <c r="G336" s="21"/>
      <c r="H336" s="35"/>
      <c r="I336" s="21"/>
      <c r="J336" s="25" t="str">
        <f>IF(NOT(I336=""),INDEX(Master!$B$1:$B$46,MATCH(I336,Master!$A$1:$A$46,0)),"")</f>
        <v/>
      </c>
      <c r="K336" s="18"/>
      <c r="L336" s="86"/>
      <c r="M336" s="13"/>
      <c r="N336" s="13"/>
      <c r="O336" s="18"/>
      <c r="P336" s="35"/>
      <c r="Q336" s="21"/>
      <c r="R336" s="21"/>
      <c r="S336" s="13"/>
      <c r="T336" s="12"/>
      <c r="U336" s="12"/>
      <c r="V336" s="12"/>
      <c r="W336" s="14"/>
      <c r="Y336" s="42" t="str">
        <f>IF(AND(C336=Master!$H$1,B336="2012-2013",E336&gt;1000,G336="PLN03"),H336,"")</f>
        <v/>
      </c>
      <c r="Z336" s="42" t="str">
        <f>IF(AND(C336=Master!$H$1,B336="2012-2013",E336="",G336="PLN03"),H336,"")</f>
        <v/>
      </c>
      <c r="AA336" s="42" t="str">
        <f>IF(AND(C336=Master!$H$2,B336="2012-2013",E336&gt;1000,G336="PLN03"),H336,"")</f>
        <v/>
      </c>
      <c r="AB336" s="42" t="str">
        <f>IF(AND(C336=Master!$H$2,B336="2012-2013",E336="",G336="PLN03"),H336,"")</f>
        <v/>
      </c>
      <c r="AC336" s="42" t="str">
        <f>IF(AND(C336=Master!$H$3,B336="2012-2013",E336&gt;1000,G336="PLN03"),H336,"")</f>
        <v/>
      </c>
      <c r="AD336" s="42" t="str">
        <f>IF(AND(C336=Master!$H$3,B336="2012-2013",E336="",G336="PLN03"),H336,"")</f>
        <v/>
      </c>
      <c r="AE336" s="42" t="str">
        <f>IF(AND(C336=Master!$H$4,B336="2012-2013",E336&gt;1000,G336="PLN03"),H336,"")</f>
        <v/>
      </c>
      <c r="AF336" s="42" t="str">
        <f>IF(AND(C336=Master!$H$4,B336="2012-2013",E336="",G336="PLN03"),H336,"")</f>
        <v/>
      </c>
      <c r="AG336" s="42" t="str">
        <f>IF(AND(C336=Master!$H$5,B336="2012-2013",E336&gt;1000,G336="PLN03"),H336,"")</f>
        <v/>
      </c>
      <c r="AH336" s="42" t="str">
        <f>IF(AND(C336=Master!$H$5,B336="2012-2013",E336="",G336="PLN03"),H336,"")</f>
        <v/>
      </c>
      <c r="AI336" s="42" t="str">
        <f>IF(AND(C336=Master!$H$6,B336="2012-2013",E336&gt;1000,G336="PLN03"),H336,"")</f>
        <v/>
      </c>
      <c r="AJ336" s="42" t="str">
        <f>IF(AND(C336=Master!$H$6,B336="2012-2013",E336="",G336="PLN03"),H336,"")</f>
        <v/>
      </c>
      <c r="AK336" s="42" t="str">
        <f>IF(AND(C336=Master!$H$7,B336="2012-2013",E336&gt;1000,G336="PLN03"),H336,"")</f>
        <v/>
      </c>
      <c r="AL336" s="42" t="str">
        <f>IF(AND(C336=Master!$H$7,B336="2012-2013",E336="",G336="PLN03"),H336,"")</f>
        <v/>
      </c>
      <c r="AM336" s="42" t="str">
        <f>IF(AND(C336=Master!$H$8,B336="2012-2013",E336&gt;1000,G336="PLN03"),H336,"")</f>
        <v/>
      </c>
      <c r="AN336" s="42" t="str">
        <f>IF(AND(C336=Master!$H$8,B336="2012-2013",E336="",G336="PLN03"),H336,"")</f>
        <v/>
      </c>
      <c r="AO336" s="42" t="str">
        <f>IF(AND(C336=Master!$H$9,B336="2012-2013",E336&gt;1000,G336="PLN03"),H336,"")</f>
        <v/>
      </c>
      <c r="AP336" s="42" t="str">
        <f>IF(AND(C336=Master!$H$9,B336="2012-2013",E336="",G336="PLN03"),H336,"")</f>
        <v/>
      </c>
      <c r="AQ336" s="44" t="str">
        <f>IF(AND(C336=Master!$H$1,B336="2012-2013",E336&gt;1000,G336="NPN05"),H336,"")</f>
        <v/>
      </c>
      <c r="AR336" s="44" t="str">
        <f>IF(AND(C336=Master!$H$1,B336="2012-2013",E336="",G336="NPN05"),H336,"")</f>
        <v/>
      </c>
      <c r="AS336" s="44" t="str">
        <f>IF(AND(C336=Master!$H$2,B336="2012-2013",E336&gt;1000,G336="NPN05"),H336,"")</f>
        <v/>
      </c>
      <c r="AT336" s="44" t="str">
        <f>IF(AND(C336=Master!$H$2,B336="2012-2013",E336="",G336="NPN05"),H336,"")</f>
        <v/>
      </c>
      <c r="AU336" s="44" t="str">
        <f>IF(AND(C336=Master!$H$3,B336="2012-2013",E336&gt;1000,G336="NPN05"),H336,"")</f>
        <v/>
      </c>
      <c r="AV336" s="44" t="str">
        <f>IF(AND(C336=Master!$H$3,B336="2012-2013",E336="",G336="NPN05"),H336,"")</f>
        <v/>
      </c>
      <c r="AW336" s="44" t="str">
        <f>IF(AND(C336=Master!$H$4,B336="2012-2013",E336&gt;1000,G336="NPN05"),H336,"")</f>
        <v/>
      </c>
      <c r="AX336" s="44" t="str">
        <f>IF(AND(C336=Master!$H$4,B336="2012-2013",E336="",G336="NPN05"),H336,"")</f>
        <v/>
      </c>
      <c r="AY336" s="44" t="str">
        <f>IF(AND(C336=Master!$H$5,B336="2012-2013",E336&gt;1000,G336="NPN05"),H336,"")</f>
        <v/>
      </c>
      <c r="AZ336" s="44" t="str">
        <f>IF(AND(C336=Master!$H$5,B336="2012-2013",E336="",G336="NPN05"),H336,"")</f>
        <v/>
      </c>
      <c r="BA336" s="44" t="str">
        <f>IF(AND(C336=Master!$H$6,B336="2012-2013",E336&gt;1000,G336="NPN05"),H336,"")</f>
        <v/>
      </c>
      <c r="BB336" s="44" t="str">
        <f>IF(AND(C336=Master!$H$6,B336="2012-2013",E336="",G336="NPN05"),H336,"")</f>
        <v/>
      </c>
      <c r="BC336" s="44" t="str">
        <f>IF(AND(C336=Master!$H$7,B336="2012-2013",E336&gt;1000,G336="NPN05"),H336,"")</f>
        <v/>
      </c>
      <c r="BD336" s="44" t="str">
        <f>IF(AND(C336=Master!$H$7,B336="2012-2013",E336="",G336="NPN05"),H336,"")</f>
        <v/>
      </c>
      <c r="BE336" s="44" t="str">
        <f>IF(AND(C336=Master!$H$8,B336="2012-2013",E336&gt;1000,G336="NPN05"),H336,"")</f>
        <v/>
      </c>
      <c r="BF336" s="44" t="str">
        <f>IF(AND(C336=Master!$H$8,B336="2012-2013",E336="",G336="NPN05"),H336,"")</f>
        <v/>
      </c>
      <c r="BG336" s="44" t="str">
        <f>IF(AND(C336=Master!$H$9,B336="2012-2013",E336&gt;1000,G336="NPN05"),H336,"")</f>
        <v/>
      </c>
      <c r="BH336" s="44" t="str">
        <f>IF(AND(C336=Master!$H$9,B336="2012-2013",E336="",G336="NPN05"),H336,"")</f>
        <v/>
      </c>
    </row>
    <row r="337" spans="1:60" x14ac:dyDescent="0.25">
      <c r="A337" s="5">
        <v>335</v>
      </c>
      <c r="B337" s="12"/>
      <c r="C337" s="12"/>
      <c r="D337" s="31"/>
      <c r="E337" s="4"/>
      <c r="F337" s="13"/>
      <c r="G337" s="21"/>
      <c r="H337" s="35"/>
      <c r="I337" s="21"/>
      <c r="J337" s="25" t="str">
        <f>IF(NOT(I337=""),INDEX(Master!$B$1:$B$46,MATCH(I337,Master!$A$1:$A$46,0)),"")</f>
        <v/>
      </c>
      <c r="K337" s="18"/>
      <c r="L337" s="86"/>
      <c r="M337" s="13"/>
      <c r="N337" s="13"/>
      <c r="O337" s="18"/>
      <c r="P337" s="35"/>
      <c r="Q337" s="21"/>
      <c r="R337" s="21"/>
      <c r="S337" s="13"/>
      <c r="T337" s="12"/>
      <c r="U337" s="12"/>
      <c r="V337" s="12"/>
      <c r="W337" s="14"/>
      <c r="Y337" s="42" t="str">
        <f>IF(AND(C337=Master!$H$1,B337="2012-2013",E337&gt;1000,G337="PLN03"),H337,"")</f>
        <v/>
      </c>
      <c r="Z337" s="42" t="str">
        <f>IF(AND(C337=Master!$H$1,B337="2012-2013",E337="",G337="PLN03"),H337,"")</f>
        <v/>
      </c>
      <c r="AA337" s="42" t="str">
        <f>IF(AND(C337=Master!$H$2,B337="2012-2013",E337&gt;1000,G337="PLN03"),H337,"")</f>
        <v/>
      </c>
      <c r="AB337" s="42" t="str">
        <f>IF(AND(C337=Master!$H$2,B337="2012-2013",E337="",G337="PLN03"),H337,"")</f>
        <v/>
      </c>
      <c r="AC337" s="42" t="str">
        <f>IF(AND(C337=Master!$H$3,B337="2012-2013",E337&gt;1000,G337="PLN03"),H337,"")</f>
        <v/>
      </c>
      <c r="AD337" s="42" t="str">
        <f>IF(AND(C337=Master!$H$3,B337="2012-2013",E337="",G337="PLN03"),H337,"")</f>
        <v/>
      </c>
      <c r="AE337" s="42" t="str">
        <f>IF(AND(C337=Master!$H$4,B337="2012-2013",E337&gt;1000,G337="PLN03"),H337,"")</f>
        <v/>
      </c>
      <c r="AF337" s="42" t="str">
        <f>IF(AND(C337=Master!$H$4,B337="2012-2013",E337="",G337="PLN03"),H337,"")</f>
        <v/>
      </c>
      <c r="AG337" s="42" t="str">
        <f>IF(AND(C337=Master!$H$5,B337="2012-2013",E337&gt;1000,G337="PLN03"),H337,"")</f>
        <v/>
      </c>
      <c r="AH337" s="42" t="str">
        <f>IF(AND(C337=Master!$H$5,B337="2012-2013",E337="",G337="PLN03"),H337,"")</f>
        <v/>
      </c>
      <c r="AI337" s="42" t="str">
        <f>IF(AND(C337=Master!$H$6,B337="2012-2013",E337&gt;1000,G337="PLN03"),H337,"")</f>
        <v/>
      </c>
      <c r="AJ337" s="42" t="str">
        <f>IF(AND(C337=Master!$H$6,B337="2012-2013",E337="",G337="PLN03"),H337,"")</f>
        <v/>
      </c>
      <c r="AK337" s="42" t="str">
        <f>IF(AND(C337=Master!$H$7,B337="2012-2013",E337&gt;1000,G337="PLN03"),H337,"")</f>
        <v/>
      </c>
      <c r="AL337" s="42" t="str">
        <f>IF(AND(C337=Master!$H$7,B337="2012-2013",E337="",G337="PLN03"),H337,"")</f>
        <v/>
      </c>
      <c r="AM337" s="42" t="str">
        <f>IF(AND(C337=Master!$H$8,B337="2012-2013",E337&gt;1000,G337="PLN03"),H337,"")</f>
        <v/>
      </c>
      <c r="AN337" s="42" t="str">
        <f>IF(AND(C337=Master!$H$8,B337="2012-2013",E337="",G337="PLN03"),H337,"")</f>
        <v/>
      </c>
      <c r="AO337" s="42" t="str">
        <f>IF(AND(C337=Master!$H$9,B337="2012-2013",E337&gt;1000,G337="PLN03"),H337,"")</f>
        <v/>
      </c>
      <c r="AP337" s="42" t="str">
        <f>IF(AND(C337=Master!$H$9,B337="2012-2013",E337="",G337="PLN03"),H337,"")</f>
        <v/>
      </c>
      <c r="AQ337" s="44" t="str">
        <f>IF(AND(C337=Master!$H$1,B337="2012-2013",E337&gt;1000,G337="NPN05"),H337,"")</f>
        <v/>
      </c>
      <c r="AR337" s="44" t="str">
        <f>IF(AND(C337=Master!$H$1,B337="2012-2013",E337="",G337="NPN05"),H337,"")</f>
        <v/>
      </c>
      <c r="AS337" s="44" t="str">
        <f>IF(AND(C337=Master!$H$2,B337="2012-2013",E337&gt;1000,G337="NPN05"),H337,"")</f>
        <v/>
      </c>
      <c r="AT337" s="44" t="str">
        <f>IF(AND(C337=Master!$H$2,B337="2012-2013",E337="",G337="NPN05"),H337,"")</f>
        <v/>
      </c>
      <c r="AU337" s="44" t="str">
        <f>IF(AND(C337=Master!$H$3,B337="2012-2013",E337&gt;1000,G337="NPN05"),H337,"")</f>
        <v/>
      </c>
      <c r="AV337" s="44" t="str">
        <f>IF(AND(C337=Master!$H$3,B337="2012-2013",E337="",G337="NPN05"),H337,"")</f>
        <v/>
      </c>
      <c r="AW337" s="44" t="str">
        <f>IF(AND(C337=Master!$H$4,B337="2012-2013",E337&gt;1000,G337="NPN05"),H337,"")</f>
        <v/>
      </c>
      <c r="AX337" s="44" t="str">
        <f>IF(AND(C337=Master!$H$4,B337="2012-2013",E337="",G337="NPN05"),H337,"")</f>
        <v/>
      </c>
      <c r="AY337" s="44" t="str">
        <f>IF(AND(C337=Master!$H$5,B337="2012-2013",E337&gt;1000,G337="NPN05"),H337,"")</f>
        <v/>
      </c>
      <c r="AZ337" s="44" t="str">
        <f>IF(AND(C337=Master!$H$5,B337="2012-2013",E337="",G337="NPN05"),H337,"")</f>
        <v/>
      </c>
      <c r="BA337" s="44" t="str">
        <f>IF(AND(C337=Master!$H$6,B337="2012-2013",E337&gt;1000,G337="NPN05"),H337,"")</f>
        <v/>
      </c>
      <c r="BB337" s="44" t="str">
        <f>IF(AND(C337=Master!$H$6,B337="2012-2013",E337="",G337="NPN05"),H337,"")</f>
        <v/>
      </c>
      <c r="BC337" s="44" t="str">
        <f>IF(AND(C337=Master!$H$7,B337="2012-2013",E337&gt;1000,G337="NPN05"),H337,"")</f>
        <v/>
      </c>
      <c r="BD337" s="44" t="str">
        <f>IF(AND(C337=Master!$H$7,B337="2012-2013",E337="",G337="NPN05"),H337,"")</f>
        <v/>
      </c>
      <c r="BE337" s="44" t="str">
        <f>IF(AND(C337=Master!$H$8,B337="2012-2013",E337&gt;1000,G337="NPN05"),H337,"")</f>
        <v/>
      </c>
      <c r="BF337" s="44" t="str">
        <f>IF(AND(C337=Master!$H$8,B337="2012-2013",E337="",G337="NPN05"),H337,"")</f>
        <v/>
      </c>
      <c r="BG337" s="44" t="str">
        <f>IF(AND(C337=Master!$H$9,B337="2012-2013",E337&gt;1000,G337="NPN05"),H337,"")</f>
        <v/>
      </c>
      <c r="BH337" s="44" t="str">
        <f>IF(AND(C337=Master!$H$9,B337="2012-2013",E337="",G337="NPN05"),H337,"")</f>
        <v/>
      </c>
    </row>
    <row r="338" spans="1:60" x14ac:dyDescent="0.25">
      <c r="A338" s="3">
        <v>336</v>
      </c>
      <c r="B338" s="12"/>
      <c r="C338" s="12"/>
      <c r="D338" s="31"/>
      <c r="E338" s="4"/>
      <c r="F338" s="13"/>
      <c r="G338" s="21"/>
      <c r="H338" s="35"/>
      <c r="I338" s="21"/>
      <c r="J338" s="25" t="str">
        <f>IF(NOT(I338=""),INDEX(Master!$B$1:$B$46,MATCH(I338,Master!$A$1:$A$46,0)),"")</f>
        <v/>
      </c>
      <c r="K338" s="18"/>
      <c r="L338" s="86"/>
      <c r="M338" s="13"/>
      <c r="N338" s="13"/>
      <c r="O338" s="18"/>
      <c r="P338" s="35"/>
      <c r="Q338" s="21"/>
      <c r="R338" s="21"/>
      <c r="S338" s="13"/>
      <c r="T338" s="12"/>
      <c r="U338" s="12"/>
      <c r="V338" s="12"/>
      <c r="W338" s="14"/>
      <c r="Y338" s="42" t="str">
        <f>IF(AND(C338=Master!$H$1,B338="2012-2013",E338&gt;1000,G338="PLN03"),H338,"")</f>
        <v/>
      </c>
      <c r="Z338" s="42" t="str">
        <f>IF(AND(C338=Master!$H$1,B338="2012-2013",E338="",G338="PLN03"),H338,"")</f>
        <v/>
      </c>
      <c r="AA338" s="42" t="str">
        <f>IF(AND(C338=Master!$H$2,B338="2012-2013",E338&gt;1000,G338="PLN03"),H338,"")</f>
        <v/>
      </c>
      <c r="AB338" s="42" t="str">
        <f>IF(AND(C338=Master!$H$2,B338="2012-2013",E338="",G338="PLN03"),H338,"")</f>
        <v/>
      </c>
      <c r="AC338" s="42" t="str">
        <f>IF(AND(C338=Master!$H$3,B338="2012-2013",E338&gt;1000,G338="PLN03"),H338,"")</f>
        <v/>
      </c>
      <c r="AD338" s="42" t="str">
        <f>IF(AND(C338=Master!$H$3,B338="2012-2013",E338="",G338="PLN03"),H338,"")</f>
        <v/>
      </c>
      <c r="AE338" s="42" t="str">
        <f>IF(AND(C338=Master!$H$4,B338="2012-2013",E338&gt;1000,G338="PLN03"),H338,"")</f>
        <v/>
      </c>
      <c r="AF338" s="42" t="str">
        <f>IF(AND(C338=Master!$H$4,B338="2012-2013",E338="",G338="PLN03"),H338,"")</f>
        <v/>
      </c>
      <c r="AG338" s="42" t="str">
        <f>IF(AND(C338=Master!$H$5,B338="2012-2013",E338&gt;1000,G338="PLN03"),H338,"")</f>
        <v/>
      </c>
      <c r="AH338" s="42" t="str">
        <f>IF(AND(C338=Master!$H$5,B338="2012-2013",E338="",G338="PLN03"),H338,"")</f>
        <v/>
      </c>
      <c r="AI338" s="42" t="str">
        <f>IF(AND(C338=Master!$H$6,B338="2012-2013",E338&gt;1000,G338="PLN03"),H338,"")</f>
        <v/>
      </c>
      <c r="AJ338" s="42" t="str">
        <f>IF(AND(C338=Master!$H$6,B338="2012-2013",E338="",G338="PLN03"),H338,"")</f>
        <v/>
      </c>
      <c r="AK338" s="42" t="str">
        <f>IF(AND(C338=Master!$H$7,B338="2012-2013",E338&gt;1000,G338="PLN03"),H338,"")</f>
        <v/>
      </c>
      <c r="AL338" s="42" t="str">
        <f>IF(AND(C338=Master!$H$7,B338="2012-2013",E338="",G338="PLN03"),H338,"")</f>
        <v/>
      </c>
      <c r="AM338" s="42" t="str">
        <f>IF(AND(C338=Master!$H$8,B338="2012-2013",E338&gt;1000,G338="PLN03"),H338,"")</f>
        <v/>
      </c>
      <c r="AN338" s="42" t="str">
        <f>IF(AND(C338=Master!$H$8,B338="2012-2013",E338="",G338="PLN03"),H338,"")</f>
        <v/>
      </c>
      <c r="AO338" s="42" t="str">
        <f>IF(AND(C338=Master!$H$9,B338="2012-2013",E338&gt;1000,G338="PLN03"),H338,"")</f>
        <v/>
      </c>
      <c r="AP338" s="42" t="str">
        <f>IF(AND(C338=Master!$H$9,B338="2012-2013",E338="",G338="PLN03"),H338,"")</f>
        <v/>
      </c>
      <c r="AQ338" s="44" t="str">
        <f>IF(AND(C338=Master!$H$1,B338="2012-2013",E338&gt;1000,G338="NPN05"),H338,"")</f>
        <v/>
      </c>
      <c r="AR338" s="44" t="str">
        <f>IF(AND(C338=Master!$H$1,B338="2012-2013",E338="",G338="NPN05"),H338,"")</f>
        <v/>
      </c>
      <c r="AS338" s="44" t="str">
        <f>IF(AND(C338=Master!$H$2,B338="2012-2013",E338&gt;1000,G338="NPN05"),H338,"")</f>
        <v/>
      </c>
      <c r="AT338" s="44" t="str">
        <f>IF(AND(C338=Master!$H$2,B338="2012-2013",E338="",G338="NPN05"),H338,"")</f>
        <v/>
      </c>
      <c r="AU338" s="44" t="str">
        <f>IF(AND(C338=Master!$H$3,B338="2012-2013",E338&gt;1000,G338="NPN05"),H338,"")</f>
        <v/>
      </c>
      <c r="AV338" s="44" t="str">
        <f>IF(AND(C338=Master!$H$3,B338="2012-2013",E338="",G338="NPN05"),H338,"")</f>
        <v/>
      </c>
      <c r="AW338" s="44" t="str">
        <f>IF(AND(C338=Master!$H$4,B338="2012-2013",E338&gt;1000,G338="NPN05"),H338,"")</f>
        <v/>
      </c>
      <c r="AX338" s="44" t="str">
        <f>IF(AND(C338=Master!$H$4,B338="2012-2013",E338="",G338="NPN05"),H338,"")</f>
        <v/>
      </c>
      <c r="AY338" s="44" t="str">
        <f>IF(AND(C338=Master!$H$5,B338="2012-2013",E338&gt;1000,G338="NPN05"),H338,"")</f>
        <v/>
      </c>
      <c r="AZ338" s="44" t="str">
        <f>IF(AND(C338=Master!$H$5,B338="2012-2013",E338="",G338="NPN05"),H338,"")</f>
        <v/>
      </c>
      <c r="BA338" s="44" t="str">
        <f>IF(AND(C338=Master!$H$6,B338="2012-2013",E338&gt;1000,G338="NPN05"),H338,"")</f>
        <v/>
      </c>
      <c r="BB338" s="44" t="str">
        <f>IF(AND(C338=Master!$H$6,B338="2012-2013",E338="",G338="NPN05"),H338,"")</f>
        <v/>
      </c>
      <c r="BC338" s="44" t="str">
        <f>IF(AND(C338=Master!$H$7,B338="2012-2013",E338&gt;1000,G338="NPN05"),H338,"")</f>
        <v/>
      </c>
      <c r="BD338" s="44" t="str">
        <f>IF(AND(C338=Master!$H$7,B338="2012-2013",E338="",G338="NPN05"),H338,"")</f>
        <v/>
      </c>
      <c r="BE338" s="44" t="str">
        <f>IF(AND(C338=Master!$H$8,B338="2012-2013",E338&gt;1000,G338="NPN05"),H338,"")</f>
        <v/>
      </c>
      <c r="BF338" s="44" t="str">
        <f>IF(AND(C338=Master!$H$8,B338="2012-2013",E338="",G338="NPN05"),H338,"")</f>
        <v/>
      </c>
      <c r="BG338" s="44" t="str">
        <f>IF(AND(C338=Master!$H$9,B338="2012-2013",E338&gt;1000,G338="NPN05"),H338,"")</f>
        <v/>
      </c>
      <c r="BH338" s="44" t="str">
        <f>IF(AND(C338=Master!$H$9,B338="2012-2013",E338="",G338="NPN05"),H338,"")</f>
        <v/>
      </c>
    </row>
    <row r="339" spans="1:60" x14ac:dyDescent="0.25">
      <c r="A339" s="3">
        <v>337</v>
      </c>
      <c r="B339" s="12"/>
      <c r="C339" s="12"/>
      <c r="D339" s="31"/>
      <c r="E339" s="4"/>
      <c r="F339" s="13"/>
      <c r="G339" s="21"/>
      <c r="H339" s="35"/>
      <c r="I339" s="21"/>
      <c r="J339" s="25" t="str">
        <f>IF(NOT(I339=""),INDEX(Master!$B$1:$B$46,MATCH(I339,Master!$A$1:$A$46,0)),"")</f>
        <v/>
      </c>
      <c r="K339" s="18"/>
      <c r="L339" s="86"/>
      <c r="M339" s="13"/>
      <c r="N339" s="13"/>
      <c r="O339" s="18"/>
      <c r="P339" s="35"/>
      <c r="Q339" s="21"/>
      <c r="R339" s="21"/>
      <c r="S339" s="13"/>
      <c r="T339" s="12"/>
      <c r="U339" s="12"/>
      <c r="V339" s="12"/>
      <c r="W339" s="14"/>
      <c r="Y339" s="42" t="str">
        <f>IF(AND(C339=Master!$H$1,B339="2012-2013",E339&gt;1000,G339="PLN03"),H339,"")</f>
        <v/>
      </c>
      <c r="Z339" s="42" t="str">
        <f>IF(AND(C339=Master!$H$1,B339="2012-2013",E339="",G339="PLN03"),H339,"")</f>
        <v/>
      </c>
      <c r="AA339" s="42" t="str">
        <f>IF(AND(C339=Master!$H$2,B339="2012-2013",E339&gt;1000,G339="PLN03"),H339,"")</f>
        <v/>
      </c>
      <c r="AB339" s="42" t="str">
        <f>IF(AND(C339=Master!$H$2,B339="2012-2013",E339="",G339="PLN03"),H339,"")</f>
        <v/>
      </c>
      <c r="AC339" s="42" t="str">
        <f>IF(AND(C339=Master!$H$3,B339="2012-2013",E339&gt;1000,G339="PLN03"),H339,"")</f>
        <v/>
      </c>
      <c r="AD339" s="42" t="str">
        <f>IF(AND(C339=Master!$H$3,B339="2012-2013",E339="",G339="PLN03"),H339,"")</f>
        <v/>
      </c>
      <c r="AE339" s="42" t="str">
        <f>IF(AND(C339=Master!$H$4,B339="2012-2013",E339&gt;1000,G339="PLN03"),H339,"")</f>
        <v/>
      </c>
      <c r="AF339" s="42" t="str">
        <f>IF(AND(C339=Master!$H$4,B339="2012-2013",E339="",G339="PLN03"),H339,"")</f>
        <v/>
      </c>
      <c r="AG339" s="42" t="str">
        <f>IF(AND(C339=Master!$H$5,B339="2012-2013",E339&gt;1000,G339="PLN03"),H339,"")</f>
        <v/>
      </c>
      <c r="AH339" s="42" t="str">
        <f>IF(AND(C339=Master!$H$5,B339="2012-2013",E339="",G339="PLN03"),H339,"")</f>
        <v/>
      </c>
      <c r="AI339" s="42" t="str">
        <f>IF(AND(C339=Master!$H$6,B339="2012-2013",E339&gt;1000,G339="PLN03"),H339,"")</f>
        <v/>
      </c>
      <c r="AJ339" s="42" t="str">
        <f>IF(AND(C339=Master!$H$6,B339="2012-2013",E339="",G339="PLN03"),H339,"")</f>
        <v/>
      </c>
      <c r="AK339" s="42" t="str">
        <f>IF(AND(C339=Master!$H$7,B339="2012-2013",E339&gt;1000,G339="PLN03"),H339,"")</f>
        <v/>
      </c>
      <c r="AL339" s="42" t="str">
        <f>IF(AND(C339=Master!$H$7,B339="2012-2013",E339="",G339="PLN03"),H339,"")</f>
        <v/>
      </c>
      <c r="AM339" s="42" t="str">
        <f>IF(AND(C339=Master!$H$8,B339="2012-2013",E339&gt;1000,G339="PLN03"),H339,"")</f>
        <v/>
      </c>
      <c r="AN339" s="42" t="str">
        <f>IF(AND(C339=Master!$H$8,B339="2012-2013",E339="",G339="PLN03"),H339,"")</f>
        <v/>
      </c>
      <c r="AO339" s="42" t="str">
        <f>IF(AND(C339=Master!$H$9,B339="2012-2013",E339&gt;1000,G339="PLN03"),H339,"")</f>
        <v/>
      </c>
      <c r="AP339" s="42" t="str">
        <f>IF(AND(C339=Master!$H$9,B339="2012-2013",E339="",G339="PLN03"),H339,"")</f>
        <v/>
      </c>
      <c r="AQ339" s="44" t="str">
        <f>IF(AND(C339=Master!$H$1,B339="2012-2013",E339&gt;1000,G339="NPN05"),H339,"")</f>
        <v/>
      </c>
      <c r="AR339" s="44" t="str">
        <f>IF(AND(C339=Master!$H$1,B339="2012-2013",E339="",G339="NPN05"),H339,"")</f>
        <v/>
      </c>
      <c r="AS339" s="44" t="str">
        <f>IF(AND(C339=Master!$H$2,B339="2012-2013",E339&gt;1000,G339="NPN05"),H339,"")</f>
        <v/>
      </c>
      <c r="AT339" s="44" t="str">
        <f>IF(AND(C339=Master!$H$2,B339="2012-2013",E339="",G339="NPN05"),H339,"")</f>
        <v/>
      </c>
      <c r="AU339" s="44" t="str">
        <f>IF(AND(C339=Master!$H$3,B339="2012-2013",E339&gt;1000,G339="NPN05"),H339,"")</f>
        <v/>
      </c>
      <c r="AV339" s="44" t="str">
        <f>IF(AND(C339=Master!$H$3,B339="2012-2013",E339="",G339="NPN05"),H339,"")</f>
        <v/>
      </c>
      <c r="AW339" s="44" t="str">
        <f>IF(AND(C339=Master!$H$4,B339="2012-2013",E339&gt;1000,G339="NPN05"),H339,"")</f>
        <v/>
      </c>
      <c r="AX339" s="44" t="str">
        <f>IF(AND(C339=Master!$H$4,B339="2012-2013",E339="",G339="NPN05"),H339,"")</f>
        <v/>
      </c>
      <c r="AY339" s="44" t="str">
        <f>IF(AND(C339=Master!$H$5,B339="2012-2013",E339&gt;1000,G339="NPN05"),H339,"")</f>
        <v/>
      </c>
      <c r="AZ339" s="44" t="str">
        <f>IF(AND(C339=Master!$H$5,B339="2012-2013",E339="",G339="NPN05"),H339,"")</f>
        <v/>
      </c>
      <c r="BA339" s="44" t="str">
        <f>IF(AND(C339=Master!$H$6,B339="2012-2013",E339&gt;1000,G339="NPN05"),H339,"")</f>
        <v/>
      </c>
      <c r="BB339" s="44" t="str">
        <f>IF(AND(C339=Master!$H$6,B339="2012-2013",E339="",G339="NPN05"),H339,"")</f>
        <v/>
      </c>
      <c r="BC339" s="44" t="str">
        <f>IF(AND(C339=Master!$H$7,B339="2012-2013",E339&gt;1000,G339="NPN05"),H339,"")</f>
        <v/>
      </c>
      <c r="BD339" s="44" t="str">
        <f>IF(AND(C339=Master!$H$7,B339="2012-2013",E339="",G339="NPN05"),H339,"")</f>
        <v/>
      </c>
      <c r="BE339" s="44" t="str">
        <f>IF(AND(C339=Master!$H$8,B339="2012-2013",E339&gt;1000,G339="NPN05"),H339,"")</f>
        <v/>
      </c>
      <c r="BF339" s="44" t="str">
        <f>IF(AND(C339=Master!$H$8,B339="2012-2013",E339="",G339="NPN05"),H339,"")</f>
        <v/>
      </c>
      <c r="BG339" s="44" t="str">
        <f>IF(AND(C339=Master!$H$9,B339="2012-2013",E339&gt;1000,G339="NPN05"),H339,"")</f>
        <v/>
      </c>
      <c r="BH339" s="44" t="str">
        <f>IF(AND(C339=Master!$H$9,B339="2012-2013",E339="",G339="NPN05"),H339,"")</f>
        <v/>
      </c>
    </row>
    <row r="340" spans="1:60" x14ac:dyDescent="0.25">
      <c r="A340" s="3">
        <v>338</v>
      </c>
      <c r="B340" s="12"/>
      <c r="C340" s="12"/>
      <c r="D340" s="31"/>
      <c r="E340" s="4"/>
      <c r="F340" s="13"/>
      <c r="G340" s="21"/>
      <c r="H340" s="35"/>
      <c r="I340" s="21"/>
      <c r="J340" s="25" t="str">
        <f>IF(NOT(I340=""),INDEX(Master!$B$1:$B$46,MATCH(I340,Master!$A$1:$A$46,0)),"")</f>
        <v/>
      </c>
      <c r="K340" s="18"/>
      <c r="L340" s="86"/>
      <c r="M340" s="13"/>
      <c r="N340" s="13"/>
      <c r="O340" s="18"/>
      <c r="P340" s="35"/>
      <c r="Q340" s="21"/>
      <c r="R340" s="21"/>
      <c r="S340" s="13"/>
      <c r="T340" s="12"/>
      <c r="U340" s="12"/>
      <c r="V340" s="12"/>
      <c r="W340" s="14"/>
      <c r="Y340" s="42" t="str">
        <f>IF(AND(C340=Master!$H$1,B340="2012-2013",E340&gt;1000,G340="PLN03"),H340,"")</f>
        <v/>
      </c>
      <c r="Z340" s="42" t="str">
        <f>IF(AND(C340=Master!$H$1,B340="2012-2013",E340="",G340="PLN03"),H340,"")</f>
        <v/>
      </c>
      <c r="AA340" s="42" t="str">
        <f>IF(AND(C340=Master!$H$2,B340="2012-2013",E340&gt;1000,G340="PLN03"),H340,"")</f>
        <v/>
      </c>
      <c r="AB340" s="42" t="str">
        <f>IF(AND(C340=Master!$H$2,B340="2012-2013",E340="",G340="PLN03"),H340,"")</f>
        <v/>
      </c>
      <c r="AC340" s="42" t="str">
        <f>IF(AND(C340=Master!$H$3,B340="2012-2013",E340&gt;1000,G340="PLN03"),H340,"")</f>
        <v/>
      </c>
      <c r="AD340" s="42" t="str">
        <f>IF(AND(C340=Master!$H$3,B340="2012-2013",E340="",G340="PLN03"),H340,"")</f>
        <v/>
      </c>
      <c r="AE340" s="42" t="str">
        <f>IF(AND(C340=Master!$H$4,B340="2012-2013",E340&gt;1000,G340="PLN03"),H340,"")</f>
        <v/>
      </c>
      <c r="AF340" s="42" t="str">
        <f>IF(AND(C340=Master!$H$4,B340="2012-2013",E340="",G340="PLN03"),H340,"")</f>
        <v/>
      </c>
      <c r="AG340" s="42" t="str">
        <f>IF(AND(C340=Master!$H$5,B340="2012-2013",E340&gt;1000,G340="PLN03"),H340,"")</f>
        <v/>
      </c>
      <c r="AH340" s="42" t="str">
        <f>IF(AND(C340=Master!$H$5,B340="2012-2013",E340="",G340="PLN03"),H340,"")</f>
        <v/>
      </c>
      <c r="AI340" s="42" t="str">
        <f>IF(AND(C340=Master!$H$6,B340="2012-2013",E340&gt;1000,G340="PLN03"),H340,"")</f>
        <v/>
      </c>
      <c r="AJ340" s="42" t="str">
        <f>IF(AND(C340=Master!$H$6,B340="2012-2013",E340="",G340="PLN03"),H340,"")</f>
        <v/>
      </c>
      <c r="AK340" s="42" t="str">
        <f>IF(AND(C340=Master!$H$7,B340="2012-2013",E340&gt;1000,G340="PLN03"),H340,"")</f>
        <v/>
      </c>
      <c r="AL340" s="42" t="str">
        <f>IF(AND(C340=Master!$H$7,B340="2012-2013",E340="",G340="PLN03"),H340,"")</f>
        <v/>
      </c>
      <c r="AM340" s="42" t="str">
        <f>IF(AND(C340=Master!$H$8,B340="2012-2013",E340&gt;1000,G340="PLN03"),H340,"")</f>
        <v/>
      </c>
      <c r="AN340" s="42" t="str">
        <f>IF(AND(C340=Master!$H$8,B340="2012-2013",E340="",G340="PLN03"),H340,"")</f>
        <v/>
      </c>
      <c r="AO340" s="42" t="str">
        <f>IF(AND(C340=Master!$H$9,B340="2012-2013",E340&gt;1000,G340="PLN03"),H340,"")</f>
        <v/>
      </c>
      <c r="AP340" s="42" t="str">
        <f>IF(AND(C340=Master!$H$9,B340="2012-2013",E340="",G340="PLN03"),H340,"")</f>
        <v/>
      </c>
      <c r="AQ340" s="44" t="str">
        <f>IF(AND(C340=Master!$H$1,B340="2012-2013",E340&gt;1000,G340="NPN05"),H340,"")</f>
        <v/>
      </c>
      <c r="AR340" s="44" t="str">
        <f>IF(AND(C340=Master!$H$1,B340="2012-2013",E340="",G340="NPN05"),H340,"")</f>
        <v/>
      </c>
      <c r="AS340" s="44" t="str">
        <f>IF(AND(C340=Master!$H$2,B340="2012-2013",E340&gt;1000,G340="NPN05"),H340,"")</f>
        <v/>
      </c>
      <c r="AT340" s="44" t="str">
        <f>IF(AND(C340=Master!$H$2,B340="2012-2013",E340="",G340="NPN05"),H340,"")</f>
        <v/>
      </c>
      <c r="AU340" s="44" t="str">
        <f>IF(AND(C340=Master!$H$3,B340="2012-2013",E340&gt;1000,G340="NPN05"),H340,"")</f>
        <v/>
      </c>
      <c r="AV340" s="44" t="str">
        <f>IF(AND(C340=Master!$H$3,B340="2012-2013",E340="",G340="NPN05"),H340,"")</f>
        <v/>
      </c>
      <c r="AW340" s="44" t="str">
        <f>IF(AND(C340=Master!$H$4,B340="2012-2013",E340&gt;1000,G340="NPN05"),H340,"")</f>
        <v/>
      </c>
      <c r="AX340" s="44" t="str">
        <f>IF(AND(C340=Master!$H$4,B340="2012-2013",E340="",G340="NPN05"),H340,"")</f>
        <v/>
      </c>
      <c r="AY340" s="44" t="str">
        <f>IF(AND(C340=Master!$H$5,B340="2012-2013",E340&gt;1000,G340="NPN05"),H340,"")</f>
        <v/>
      </c>
      <c r="AZ340" s="44" t="str">
        <f>IF(AND(C340=Master!$H$5,B340="2012-2013",E340="",G340="NPN05"),H340,"")</f>
        <v/>
      </c>
      <c r="BA340" s="44" t="str">
        <f>IF(AND(C340=Master!$H$6,B340="2012-2013",E340&gt;1000,G340="NPN05"),H340,"")</f>
        <v/>
      </c>
      <c r="BB340" s="44" t="str">
        <f>IF(AND(C340=Master!$H$6,B340="2012-2013",E340="",G340="NPN05"),H340,"")</f>
        <v/>
      </c>
      <c r="BC340" s="44" t="str">
        <f>IF(AND(C340=Master!$H$7,B340="2012-2013",E340&gt;1000,G340="NPN05"),H340,"")</f>
        <v/>
      </c>
      <c r="BD340" s="44" t="str">
        <f>IF(AND(C340=Master!$H$7,B340="2012-2013",E340="",G340="NPN05"),H340,"")</f>
        <v/>
      </c>
      <c r="BE340" s="44" t="str">
        <f>IF(AND(C340=Master!$H$8,B340="2012-2013",E340&gt;1000,G340="NPN05"),H340,"")</f>
        <v/>
      </c>
      <c r="BF340" s="44" t="str">
        <f>IF(AND(C340=Master!$H$8,B340="2012-2013",E340="",G340="NPN05"),H340,"")</f>
        <v/>
      </c>
      <c r="BG340" s="44" t="str">
        <f>IF(AND(C340=Master!$H$9,B340="2012-2013",E340&gt;1000,G340="NPN05"),H340,"")</f>
        <v/>
      </c>
      <c r="BH340" s="44" t="str">
        <f>IF(AND(C340=Master!$H$9,B340="2012-2013",E340="",G340="NPN05"),H340,"")</f>
        <v/>
      </c>
    </row>
    <row r="341" spans="1:60" x14ac:dyDescent="0.25">
      <c r="A341" s="3">
        <v>339</v>
      </c>
      <c r="B341" s="12"/>
      <c r="C341" s="12"/>
      <c r="D341" s="31"/>
      <c r="E341" s="4"/>
      <c r="F341" s="13"/>
      <c r="G341" s="21"/>
      <c r="H341" s="35"/>
      <c r="I341" s="21"/>
      <c r="J341" s="25" t="str">
        <f>IF(NOT(I341=""),INDEX(Master!$B$1:$B$46,MATCH(I341,Master!$A$1:$A$46,0)),"")</f>
        <v/>
      </c>
      <c r="K341" s="18"/>
      <c r="L341" s="86"/>
      <c r="M341" s="13"/>
      <c r="N341" s="13"/>
      <c r="O341" s="18"/>
      <c r="P341" s="35"/>
      <c r="Q341" s="21"/>
      <c r="R341" s="21"/>
      <c r="S341" s="13"/>
      <c r="T341" s="12"/>
      <c r="U341" s="12"/>
      <c r="V341" s="12"/>
      <c r="W341" s="14"/>
      <c r="Y341" s="42" t="str">
        <f>IF(AND(C341=Master!$H$1,B341="2012-2013",E341&gt;1000,G341="PLN03"),H341,"")</f>
        <v/>
      </c>
      <c r="Z341" s="42" t="str">
        <f>IF(AND(C341=Master!$H$1,B341="2012-2013",E341="",G341="PLN03"),H341,"")</f>
        <v/>
      </c>
      <c r="AA341" s="42" t="str">
        <f>IF(AND(C341=Master!$H$2,B341="2012-2013",E341&gt;1000,G341="PLN03"),H341,"")</f>
        <v/>
      </c>
      <c r="AB341" s="42" t="str">
        <f>IF(AND(C341=Master!$H$2,B341="2012-2013",E341="",G341="PLN03"),H341,"")</f>
        <v/>
      </c>
      <c r="AC341" s="42" t="str">
        <f>IF(AND(C341=Master!$H$3,B341="2012-2013",E341&gt;1000,G341="PLN03"),H341,"")</f>
        <v/>
      </c>
      <c r="AD341" s="42" t="str">
        <f>IF(AND(C341=Master!$H$3,B341="2012-2013",E341="",G341="PLN03"),H341,"")</f>
        <v/>
      </c>
      <c r="AE341" s="42" t="str">
        <f>IF(AND(C341=Master!$H$4,B341="2012-2013",E341&gt;1000,G341="PLN03"),H341,"")</f>
        <v/>
      </c>
      <c r="AF341" s="42" t="str">
        <f>IF(AND(C341=Master!$H$4,B341="2012-2013",E341="",G341="PLN03"),H341,"")</f>
        <v/>
      </c>
      <c r="AG341" s="42" t="str">
        <f>IF(AND(C341=Master!$H$5,B341="2012-2013",E341&gt;1000,G341="PLN03"),H341,"")</f>
        <v/>
      </c>
      <c r="AH341" s="42" t="str">
        <f>IF(AND(C341=Master!$H$5,B341="2012-2013",E341="",G341="PLN03"),H341,"")</f>
        <v/>
      </c>
      <c r="AI341" s="42" t="str">
        <f>IF(AND(C341=Master!$H$6,B341="2012-2013",E341&gt;1000,G341="PLN03"),H341,"")</f>
        <v/>
      </c>
      <c r="AJ341" s="42" t="str">
        <f>IF(AND(C341=Master!$H$6,B341="2012-2013",E341="",G341="PLN03"),H341,"")</f>
        <v/>
      </c>
      <c r="AK341" s="42" t="str">
        <f>IF(AND(C341=Master!$H$7,B341="2012-2013",E341&gt;1000,G341="PLN03"),H341,"")</f>
        <v/>
      </c>
      <c r="AL341" s="42" t="str">
        <f>IF(AND(C341=Master!$H$7,B341="2012-2013",E341="",G341="PLN03"),H341,"")</f>
        <v/>
      </c>
      <c r="AM341" s="42" t="str">
        <f>IF(AND(C341=Master!$H$8,B341="2012-2013",E341&gt;1000,G341="PLN03"),H341,"")</f>
        <v/>
      </c>
      <c r="AN341" s="42" t="str">
        <f>IF(AND(C341=Master!$H$8,B341="2012-2013",E341="",G341="PLN03"),H341,"")</f>
        <v/>
      </c>
      <c r="AO341" s="42" t="str">
        <f>IF(AND(C341=Master!$H$9,B341="2012-2013",E341&gt;1000,G341="PLN03"),H341,"")</f>
        <v/>
      </c>
      <c r="AP341" s="42" t="str">
        <f>IF(AND(C341=Master!$H$9,B341="2012-2013",E341="",G341="PLN03"),H341,"")</f>
        <v/>
      </c>
      <c r="AQ341" s="44" t="str">
        <f>IF(AND(C341=Master!$H$1,B341="2012-2013",E341&gt;1000,G341="NPN05"),H341,"")</f>
        <v/>
      </c>
      <c r="AR341" s="44" t="str">
        <f>IF(AND(C341=Master!$H$1,B341="2012-2013",E341="",G341="NPN05"),H341,"")</f>
        <v/>
      </c>
      <c r="AS341" s="44" t="str">
        <f>IF(AND(C341=Master!$H$2,B341="2012-2013",E341&gt;1000,G341="NPN05"),H341,"")</f>
        <v/>
      </c>
      <c r="AT341" s="44" t="str">
        <f>IF(AND(C341=Master!$H$2,B341="2012-2013",E341="",G341="NPN05"),H341,"")</f>
        <v/>
      </c>
      <c r="AU341" s="44" t="str">
        <f>IF(AND(C341=Master!$H$3,B341="2012-2013",E341&gt;1000,G341="NPN05"),H341,"")</f>
        <v/>
      </c>
      <c r="AV341" s="44" t="str">
        <f>IF(AND(C341=Master!$H$3,B341="2012-2013",E341="",G341="NPN05"),H341,"")</f>
        <v/>
      </c>
      <c r="AW341" s="44" t="str">
        <f>IF(AND(C341=Master!$H$4,B341="2012-2013",E341&gt;1000,G341="NPN05"),H341,"")</f>
        <v/>
      </c>
      <c r="AX341" s="44" t="str">
        <f>IF(AND(C341=Master!$H$4,B341="2012-2013",E341="",G341="NPN05"),H341,"")</f>
        <v/>
      </c>
      <c r="AY341" s="44" t="str">
        <f>IF(AND(C341=Master!$H$5,B341="2012-2013",E341&gt;1000,G341="NPN05"),H341,"")</f>
        <v/>
      </c>
      <c r="AZ341" s="44" t="str">
        <f>IF(AND(C341=Master!$H$5,B341="2012-2013",E341="",G341="NPN05"),H341,"")</f>
        <v/>
      </c>
      <c r="BA341" s="44" t="str">
        <f>IF(AND(C341=Master!$H$6,B341="2012-2013",E341&gt;1000,G341="NPN05"),H341,"")</f>
        <v/>
      </c>
      <c r="BB341" s="44" t="str">
        <f>IF(AND(C341=Master!$H$6,B341="2012-2013",E341="",G341="NPN05"),H341,"")</f>
        <v/>
      </c>
      <c r="BC341" s="44" t="str">
        <f>IF(AND(C341=Master!$H$7,B341="2012-2013",E341&gt;1000,G341="NPN05"),H341,"")</f>
        <v/>
      </c>
      <c r="BD341" s="44" t="str">
        <f>IF(AND(C341=Master!$H$7,B341="2012-2013",E341="",G341="NPN05"),H341,"")</f>
        <v/>
      </c>
      <c r="BE341" s="44" t="str">
        <f>IF(AND(C341=Master!$H$8,B341="2012-2013",E341&gt;1000,G341="NPN05"),H341,"")</f>
        <v/>
      </c>
      <c r="BF341" s="44" t="str">
        <f>IF(AND(C341=Master!$H$8,B341="2012-2013",E341="",G341="NPN05"),H341,"")</f>
        <v/>
      </c>
      <c r="BG341" s="44" t="str">
        <f>IF(AND(C341=Master!$H$9,B341="2012-2013",E341&gt;1000,G341="NPN05"),H341,"")</f>
        <v/>
      </c>
      <c r="BH341" s="44" t="str">
        <f>IF(AND(C341=Master!$H$9,B341="2012-2013",E341="",G341="NPN05"),H341,"")</f>
        <v/>
      </c>
    </row>
    <row r="342" spans="1:60" x14ac:dyDescent="0.25">
      <c r="A342" s="3">
        <v>340</v>
      </c>
      <c r="B342" s="12"/>
      <c r="C342" s="12"/>
      <c r="D342" s="31"/>
      <c r="E342" s="4"/>
      <c r="F342" s="13"/>
      <c r="G342" s="21"/>
      <c r="H342" s="35"/>
      <c r="I342" s="21"/>
      <c r="J342" s="25" t="str">
        <f>IF(NOT(I342=""),INDEX(Master!$B$1:$B$46,MATCH(I342,Master!$A$1:$A$46,0)),"")</f>
        <v/>
      </c>
      <c r="K342" s="18"/>
      <c r="L342" s="86"/>
      <c r="M342" s="13"/>
      <c r="N342" s="13"/>
      <c r="O342" s="18"/>
      <c r="P342" s="35"/>
      <c r="Q342" s="21"/>
      <c r="R342" s="21"/>
      <c r="S342" s="13"/>
      <c r="T342" s="12"/>
      <c r="U342" s="12"/>
      <c r="V342" s="12"/>
      <c r="W342" s="14"/>
      <c r="Y342" s="42" t="str">
        <f>IF(AND(C342=Master!$H$1,B342="2012-2013",E342&gt;1000,G342="PLN03"),H342,"")</f>
        <v/>
      </c>
      <c r="Z342" s="42" t="str">
        <f>IF(AND(C342=Master!$H$1,B342="2012-2013",E342="",G342="PLN03"),H342,"")</f>
        <v/>
      </c>
      <c r="AA342" s="42" t="str">
        <f>IF(AND(C342=Master!$H$2,B342="2012-2013",E342&gt;1000,G342="PLN03"),H342,"")</f>
        <v/>
      </c>
      <c r="AB342" s="42" t="str">
        <f>IF(AND(C342=Master!$H$2,B342="2012-2013",E342="",G342="PLN03"),H342,"")</f>
        <v/>
      </c>
      <c r="AC342" s="42" t="str">
        <f>IF(AND(C342=Master!$H$3,B342="2012-2013",E342&gt;1000,G342="PLN03"),H342,"")</f>
        <v/>
      </c>
      <c r="AD342" s="42" t="str">
        <f>IF(AND(C342=Master!$H$3,B342="2012-2013",E342="",G342="PLN03"),H342,"")</f>
        <v/>
      </c>
      <c r="AE342" s="42" t="str">
        <f>IF(AND(C342=Master!$H$4,B342="2012-2013",E342&gt;1000,G342="PLN03"),H342,"")</f>
        <v/>
      </c>
      <c r="AF342" s="42" t="str">
        <f>IF(AND(C342=Master!$H$4,B342="2012-2013",E342="",G342="PLN03"),H342,"")</f>
        <v/>
      </c>
      <c r="AG342" s="42" t="str">
        <f>IF(AND(C342=Master!$H$5,B342="2012-2013",E342&gt;1000,G342="PLN03"),H342,"")</f>
        <v/>
      </c>
      <c r="AH342" s="42" t="str">
        <f>IF(AND(C342=Master!$H$5,B342="2012-2013",E342="",G342="PLN03"),H342,"")</f>
        <v/>
      </c>
      <c r="AI342" s="42" t="str">
        <f>IF(AND(C342=Master!$H$6,B342="2012-2013",E342&gt;1000,G342="PLN03"),H342,"")</f>
        <v/>
      </c>
      <c r="AJ342" s="42" t="str">
        <f>IF(AND(C342=Master!$H$6,B342="2012-2013",E342="",G342="PLN03"),H342,"")</f>
        <v/>
      </c>
      <c r="AK342" s="42" t="str">
        <f>IF(AND(C342=Master!$H$7,B342="2012-2013",E342&gt;1000,G342="PLN03"),H342,"")</f>
        <v/>
      </c>
      <c r="AL342" s="42" t="str">
        <f>IF(AND(C342=Master!$H$7,B342="2012-2013",E342="",G342="PLN03"),H342,"")</f>
        <v/>
      </c>
      <c r="AM342" s="42" t="str">
        <f>IF(AND(C342=Master!$H$8,B342="2012-2013",E342&gt;1000,G342="PLN03"),H342,"")</f>
        <v/>
      </c>
      <c r="AN342" s="42" t="str">
        <f>IF(AND(C342=Master!$H$8,B342="2012-2013",E342="",G342="PLN03"),H342,"")</f>
        <v/>
      </c>
      <c r="AO342" s="42" t="str">
        <f>IF(AND(C342=Master!$H$9,B342="2012-2013",E342&gt;1000,G342="PLN03"),H342,"")</f>
        <v/>
      </c>
      <c r="AP342" s="42" t="str">
        <f>IF(AND(C342=Master!$H$9,B342="2012-2013",E342="",G342="PLN03"),H342,"")</f>
        <v/>
      </c>
      <c r="AQ342" s="44" t="str">
        <f>IF(AND(C342=Master!$H$1,B342="2012-2013",E342&gt;1000,G342="NPN05"),H342,"")</f>
        <v/>
      </c>
      <c r="AR342" s="44" t="str">
        <f>IF(AND(C342=Master!$H$1,B342="2012-2013",E342="",G342="NPN05"),H342,"")</f>
        <v/>
      </c>
      <c r="AS342" s="44" t="str">
        <f>IF(AND(C342=Master!$H$2,B342="2012-2013",E342&gt;1000,G342="NPN05"),H342,"")</f>
        <v/>
      </c>
      <c r="AT342" s="44" t="str">
        <f>IF(AND(C342=Master!$H$2,B342="2012-2013",E342="",G342="NPN05"),H342,"")</f>
        <v/>
      </c>
      <c r="AU342" s="44" t="str">
        <f>IF(AND(C342=Master!$H$3,B342="2012-2013",E342&gt;1000,G342="NPN05"),H342,"")</f>
        <v/>
      </c>
      <c r="AV342" s="44" t="str">
        <f>IF(AND(C342=Master!$H$3,B342="2012-2013",E342="",G342="NPN05"),H342,"")</f>
        <v/>
      </c>
      <c r="AW342" s="44" t="str">
        <f>IF(AND(C342=Master!$H$4,B342="2012-2013",E342&gt;1000,G342="NPN05"),H342,"")</f>
        <v/>
      </c>
      <c r="AX342" s="44" t="str">
        <f>IF(AND(C342=Master!$H$4,B342="2012-2013",E342="",G342="NPN05"),H342,"")</f>
        <v/>
      </c>
      <c r="AY342" s="44" t="str">
        <f>IF(AND(C342=Master!$H$5,B342="2012-2013",E342&gt;1000,G342="NPN05"),H342,"")</f>
        <v/>
      </c>
      <c r="AZ342" s="44" t="str">
        <f>IF(AND(C342=Master!$H$5,B342="2012-2013",E342="",G342="NPN05"),H342,"")</f>
        <v/>
      </c>
      <c r="BA342" s="44" t="str">
        <f>IF(AND(C342=Master!$H$6,B342="2012-2013",E342&gt;1000,G342="NPN05"),H342,"")</f>
        <v/>
      </c>
      <c r="BB342" s="44" t="str">
        <f>IF(AND(C342=Master!$H$6,B342="2012-2013",E342="",G342="NPN05"),H342,"")</f>
        <v/>
      </c>
      <c r="BC342" s="44" t="str">
        <f>IF(AND(C342=Master!$H$7,B342="2012-2013",E342&gt;1000,G342="NPN05"),H342,"")</f>
        <v/>
      </c>
      <c r="BD342" s="44" t="str">
        <f>IF(AND(C342=Master!$H$7,B342="2012-2013",E342="",G342="NPN05"),H342,"")</f>
        <v/>
      </c>
      <c r="BE342" s="44" t="str">
        <f>IF(AND(C342=Master!$H$8,B342="2012-2013",E342&gt;1000,G342="NPN05"),H342,"")</f>
        <v/>
      </c>
      <c r="BF342" s="44" t="str">
        <f>IF(AND(C342=Master!$H$8,B342="2012-2013",E342="",G342="NPN05"),H342,"")</f>
        <v/>
      </c>
      <c r="BG342" s="44" t="str">
        <f>IF(AND(C342=Master!$H$9,B342="2012-2013",E342&gt;1000,G342="NPN05"),H342,"")</f>
        <v/>
      </c>
      <c r="BH342" s="44" t="str">
        <f>IF(AND(C342=Master!$H$9,B342="2012-2013",E342="",G342="NPN05"),H342,"")</f>
        <v/>
      </c>
    </row>
    <row r="343" spans="1:60" x14ac:dyDescent="0.25">
      <c r="A343" s="3">
        <v>341</v>
      </c>
      <c r="B343" s="12"/>
      <c r="C343" s="12"/>
      <c r="D343" s="31"/>
      <c r="E343" s="4"/>
      <c r="F343" s="13"/>
      <c r="G343" s="21"/>
      <c r="H343" s="35"/>
      <c r="I343" s="21"/>
      <c r="J343" s="25" t="str">
        <f>IF(NOT(I343=""),INDEX(Master!$B$1:$B$46,MATCH(I343,Master!$A$1:$A$46,0)),"")</f>
        <v/>
      </c>
      <c r="K343" s="18"/>
      <c r="L343" s="86"/>
      <c r="M343" s="13"/>
      <c r="N343" s="13"/>
      <c r="O343" s="18"/>
      <c r="P343" s="35"/>
      <c r="Q343" s="21"/>
      <c r="R343" s="21"/>
      <c r="S343" s="13"/>
      <c r="T343" s="12"/>
      <c r="U343" s="12"/>
      <c r="V343" s="12"/>
      <c r="W343" s="14"/>
      <c r="Y343" s="42" t="str">
        <f>IF(AND(C343=Master!$H$1,B343="2012-2013",E343&gt;1000,G343="PLN03"),H343,"")</f>
        <v/>
      </c>
      <c r="Z343" s="42" t="str">
        <f>IF(AND(C343=Master!$H$1,B343="2012-2013",E343="",G343="PLN03"),H343,"")</f>
        <v/>
      </c>
      <c r="AA343" s="42" t="str">
        <f>IF(AND(C343=Master!$H$2,B343="2012-2013",E343&gt;1000,G343="PLN03"),H343,"")</f>
        <v/>
      </c>
      <c r="AB343" s="42" t="str">
        <f>IF(AND(C343=Master!$H$2,B343="2012-2013",E343="",G343="PLN03"),H343,"")</f>
        <v/>
      </c>
      <c r="AC343" s="42" t="str">
        <f>IF(AND(C343=Master!$H$3,B343="2012-2013",E343&gt;1000,G343="PLN03"),H343,"")</f>
        <v/>
      </c>
      <c r="AD343" s="42" t="str">
        <f>IF(AND(C343=Master!$H$3,B343="2012-2013",E343="",G343="PLN03"),H343,"")</f>
        <v/>
      </c>
      <c r="AE343" s="42" t="str">
        <f>IF(AND(C343=Master!$H$4,B343="2012-2013",E343&gt;1000,G343="PLN03"),H343,"")</f>
        <v/>
      </c>
      <c r="AF343" s="42" t="str">
        <f>IF(AND(C343=Master!$H$4,B343="2012-2013",E343="",G343="PLN03"),H343,"")</f>
        <v/>
      </c>
      <c r="AG343" s="42" t="str">
        <f>IF(AND(C343=Master!$H$5,B343="2012-2013",E343&gt;1000,G343="PLN03"),H343,"")</f>
        <v/>
      </c>
      <c r="AH343" s="42" t="str">
        <f>IF(AND(C343=Master!$H$5,B343="2012-2013",E343="",G343="PLN03"),H343,"")</f>
        <v/>
      </c>
      <c r="AI343" s="42" t="str">
        <f>IF(AND(C343=Master!$H$6,B343="2012-2013",E343&gt;1000,G343="PLN03"),H343,"")</f>
        <v/>
      </c>
      <c r="AJ343" s="42" t="str">
        <f>IF(AND(C343=Master!$H$6,B343="2012-2013",E343="",G343="PLN03"),H343,"")</f>
        <v/>
      </c>
      <c r="AK343" s="42" t="str">
        <f>IF(AND(C343=Master!$H$7,B343="2012-2013",E343&gt;1000,G343="PLN03"),H343,"")</f>
        <v/>
      </c>
      <c r="AL343" s="42" t="str">
        <f>IF(AND(C343=Master!$H$7,B343="2012-2013",E343="",G343="PLN03"),H343,"")</f>
        <v/>
      </c>
      <c r="AM343" s="42" t="str">
        <f>IF(AND(C343=Master!$H$8,B343="2012-2013",E343&gt;1000,G343="PLN03"),H343,"")</f>
        <v/>
      </c>
      <c r="AN343" s="42" t="str">
        <f>IF(AND(C343=Master!$H$8,B343="2012-2013",E343="",G343="PLN03"),H343,"")</f>
        <v/>
      </c>
      <c r="AO343" s="42" t="str">
        <f>IF(AND(C343=Master!$H$9,B343="2012-2013",E343&gt;1000,G343="PLN03"),H343,"")</f>
        <v/>
      </c>
      <c r="AP343" s="42" t="str">
        <f>IF(AND(C343=Master!$H$9,B343="2012-2013",E343="",G343="PLN03"),H343,"")</f>
        <v/>
      </c>
      <c r="AQ343" s="44" t="str">
        <f>IF(AND(C343=Master!$H$1,B343="2012-2013",E343&gt;1000,G343="NPN05"),H343,"")</f>
        <v/>
      </c>
      <c r="AR343" s="44" t="str">
        <f>IF(AND(C343=Master!$H$1,B343="2012-2013",E343="",G343="NPN05"),H343,"")</f>
        <v/>
      </c>
      <c r="AS343" s="44" t="str">
        <f>IF(AND(C343=Master!$H$2,B343="2012-2013",E343&gt;1000,G343="NPN05"),H343,"")</f>
        <v/>
      </c>
      <c r="AT343" s="44" t="str">
        <f>IF(AND(C343=Master!$H$2,B343="2012-2013",E343="",G343="NPN05"),H343,"")</f>
        <v/>
      </c>
      <c r="AU343" s="44" t="str">
        <f>IF(AND(C343=Master!$H$3,B343="2012-2013",E343&gt;1000,G343="NPN05"),H343,"")</f>
        <v/>
      </c>
      <c r="AV343" s="44" t="str">
        <f>IF(AND(C343=Master!$H$3,B343="2012-2013",E343="",G343="NPN05"),H343,"")</f>
        <v/>
      </c>
      <c r="AW343" s="44" t="str">
        <f>IF(AND(C343=Master!$H$4,B343="2012-2013",E343&gt;1000,G343="NPN05"),H343,"")</f>
        <v/>
      </c>
      <c r="AX343" s="44" t="str">
        <f>IF(AND(C343=Master!$H$4,B343="2012-2013",E343="",G343="NPN05"),H343,"")</f>
        <v/>
      </c>
      <c r="AY343" s="44" t="str">
        <f>IF(AND(C343=Master!$H$5,B343="2012-2013",E343&gt;1000,G343="NPN05"),H343,"")</f>
        <v/>
      </c>
      <c r="AZ343" s="44" t="str">
        <f>IF(AND(C343=Master!$H$5,B343="2012-2013",E343="",G343="NPN05"),H343,"")</f>
        <v/>
      </c>
      <c r="BA343" s="44" t="str">
        <f>IF(AND(C343=Master!$H$6,B343="2012-2013",E343&gt;1000,G343="NPN05"),H343,"")</f>
        <v/>
      </c>
      <c r="BB343" s="44" t="str">
        <f>IF(AND(C343=Master!$H$6,B343="2012-2013",E343="",G343="NPN05"),H343,"")</f>
        <v/>
      </c>
      <c r="BC343" s="44" t="str">
        <f>IF(AND(C343=Master!$H$7,B343="2012-2013",E343&gt;1000,G343="NPN05"),H343,"")</f>
        <v/>
      </c>
      <c r="BD343" s="44" t="str">
        <f>IF(AND(C343=Master!$H$7,B343="2012-2013",E343="",G343="NPN05"),H343,"")</f>
        <v/>
      </c>
      <c r="BE343" s="44" t="str">
        <f>IF(AND(C343=Master!$H$8,B343="2012-2013",E343&gt;1000,G343="NPN05"),H343,"")</f>
        <v/>
      </c>
      <c r="BF343" s="44" t="str">
        <f>IF(AND(C343=Master!$H$8,B343="2012-2013",E343="",G343="NPN05"),H343,"")</f>
        <v/>
      </c>
      <c r="BG343" s="44" t="str">
        <f>IF(AND(C343=Master!$H$9,B343="2012-2013",E343&gt;1000,G343="NPN05"),H343,"")</f>
        <v/>
      </c>
      <c r="BH343" s="44" t="str">
        <f>IF(AND(C343=Master!$H$9,B343="2012-2013",E343="",G343="NPN05"),H343,"")</f>
        <v/>
      </c>
    </row>
    <row r="344" spans="1:60" x14ac:dyDescent="0.25">
      <c r="A344" s="3">
        <v>342</v>
      </c>
      <c r="B344" s="12"/>
      <c r="C344" s="12"/>
      <c r="D344" s="31"/>
      <c r="E344" s="4"/>
      <c r="F344" s="13"/>
      <c r="G344" s="21"/>
      <c r="H344" s="35"/>
      <c r="I344" s="21"/>
      <c r="J344" s="25" t="str">
        <f>IF(NOT(I344=""),INDEX(Master!$B$1:$B$46,MATCH(I344,Master!$A$1:$A$46,0)),"")</f>
        <v/>
      </c>
      <c r="K344" s="18"/>
      <c r="L344" s="86"/>
      <c r="M344" s="13"/>
      <c r="N344" s="13"/>
      <c r="O344" s="18"/>
      <c r="P344" s="35"/>
      <c r="Q344" s="21"/>
      <c r="R344" s="21"/>
      <c r="S344" s="13"/>
      <c r="T344" s="12"/>
      <c r="U344" s="12"/>
      <c r="V344" s="12"/>
      <c r="W344" s="14"/>
      <c r="Y344" s="42" t="str">
        <f>IF(AND(C344=Master!$H$1,B344="2012-2013",E344&gt;1000,G344="PLN03"),H344,"")</f>
        <v/>
      </c>
      <c r="Z344" s="42" t="str">
        <f>IF(AND(C344=Master!$H$1,B344="2012-2013",E344="",G344="PLN03"),H344,"")</f>
        <v/>
      </c>
      <c r="AA344" s="42" t="str">
        <f>IF(AND(C344=Master!$H$2,B344="2012-2013",E344&gt;1000,G344="PLN03"),H344,"")</f>
        <v/>
      </c>
      <c r="AB344" s="42" t="str">
        <f>IF(AND(C344=Master!$H$2,B344="2012-2013",E344="",G344="PLN03"),H344,"")</f>
        <v/>
      </c>
      <c r="AC344" s="42" t="str">
        <f>IF(AND(C344=Master!$H$3,B344="2012-2013",E344&gt;1000,G344="PLN03"),H344,"")</f>
        <v/>
      </c>
      <c r="AD344" s="42" t="str">
        <f>IF(AND(C344=Master!$H$3,B344="2012-2013",E344="",G344="PLN03"),H344,"")</f>
        <v/>
      </c>
      <c r="AE344" s="42" t="str">
        <f>IF(AND(C344=Master!$H$4,B344="2012-2013",E344&gt;1000,G344="PLN03"),H344,"")</f>
        <v/>
      </c>
      <c r="AF344" s="42" t="str">
        <f>IF(AND(C344=Master!$H$4,B344="2012-2013",E344="",G344="PLN03"),H344,"")</f>
        <v/>
      </c>
      <c r="AG344" s="42" t="str">
        <f>IF(AND(C344=Master!$H$5,B344="2012-2013",E344&gt;1000,G344="PLN03"),H344,"")</f>
        <v/>
      </c>
      <c r="AH344" s="42" t="str">
        <f>IF(AND(C344=Master!$H$5,B344="2012-2013",E344="",G344="PLN03"),H344,"")</f>
        <v/>
      </c>
      <c r="AI344" s="42" t="str">
        <f>IF(AND(C344=Master!$H$6,B344="2012-2013",E344&gt;1000,G344="PLN03"),H344,"")</f>
        <v/>
      </c>
      <c r="AJ344" s="42" t="str">
        <f>IF(AND(C344=Master!$H$6,B344="2012-2013",E344="",G344="PLN03"),H344,"")</f>
        <v/>
      </c>
      <c r="AK344" s="42" t="str">
        <f>IF(AND(C344=Master!$H$7,B344="2012-2013",E344&gt;1000,G344="PLN03"),H344,"")</f>
        <v/>
      </c>
      <c r="AL344" s="42" t="str">
        <f>IF(AND(C344=Master!$H$7,B344="2012-2013",E344="",G344="PLN03"),H344,"")</f>
        <v/>
      </c>
      <c r="AM344" s="42" t="str">
        <f>IF(AND(C344=Master!$H$8,B344="2012-2013",E344&gt;1000,G344="PLN03"),H344,"")</f>
        <v/>
      </c>
      <c r="AN344" s="42" t="str">
        <f>IF(AND(C344=Master!$H$8,B344="2012-2013",E344="",G344="PLN03"),H344,"")</f>
        <v/>
      </c>
      <c r="AO344" s="42" t="str">
        <f>IF(AND(C344=Master!$H$9,B344="2012-2013",E344&gt;1000,G344="PLN03"),H344,"")</f>
        <v/>
      </c>
      <c r="AP344" s="42" t="str">
        <f>IF(AND(C344=Master!$H$9,B344="2012-2013",E344="",G344="PLN03"),H344,"")</f>
        <v/>
      </c>
      <c r="AQ344" s="44" t="str">
        <f>IF(AND(C344=Master!$H$1,B344="2012-2013",E344&gt;1000,G344="NPN05"),H344,"")</f>
        <v/>
      </c>
      <c r="AR344" s="44" t="str">
        <f>IF(AND(C344=Master!$H$1,B344="2012-2013",E344="",G344="NPN05"),H344,"")</f>
        <v/>
      </c>
      <c r="AS344" s="44" t="str">
        <f>IF(AND(C344=Master!$H$2,B344="2012-2013",E344&gt;1000,G344="NPN05"),H344,"")</f>
        <v/>
      </c>
      <c r="AT344" s="44" t="str">
        <f>IF(AND(C344=Master!$H$2,B344="2012-2013",E344="",G344="NPN05"),H344,"")</f>
        <v/>
      </c>
      <c r="AU344" s="44" t="str">
        <f>IF(AND(C344=Master!$H$3,B344="2012-2013",E344&gt;1000,G344="NPN05"),H344,"")</f>
        <v/>
      </c>
      <c r="AV344" s="44" t="str">
        <f>IF(AND(C344=Master!$H$3,B344="2012-2013",E344="",G344="NPN05"),H344,"")</f>
        <v/>
      </c>
      <c r="AW344" s="44" t="str">
        <f>IF(AND(C344=Master!$H$4,B344="2012-2013",E344&gt;1000,G344="NPN05"),H344,"")</f>
        <v/>
      </c>
      <c r="AX344" s="44" t="str">
        <f>IF(AND(C344=Master!$H$4,B344="2012-2013",E344="",G344="NPN05"),H344,"")</f>
        <v/>
      </c>
      <c r="AY344" s="44" t="str">
        <f>IF(AND(C344=Master!$H$5,B344="2012-2013",E344&gt;1000,G344="NPN05"),H344,"")</f>
        <v/>
      </c>
      <c r="AZ344" s="44" t="str">
        <f>IF(AND(C344=Master!$H$5,B344="2012-2013",E344="",G344="NPN05"),H344,"")</f>
        <v/>
      </c>
      <c r="BA344" s="44" t="str">
        <f>IF(AND(C344=Master!$H$6,B344="2012-2013",E344&gt;1000,G344="NPN05"),H344,"")</f>
        <v/>
      </c>
      <c r="BB344" s="44" t="str">
        <f>IF(AND(C344=Master!$H$6,B344="2012-2013",E344="",G344="NPN05"),H344,"")</f>
        <v/>
      </c>
      <c r="BC344" s="44" t="str">
        <f>IF(AND(C344=Master!$H$7,B344="2012-2013",E344&gt;1000,G344="NPN05"),H344,"")</f>
        <v/>
      </c>
      <c r="BD344" s="44" t="str">
        <f>IF(AND(C344=Master!$H$7,B344="2012-2013",E344="",G344="NPN05"),H344,"")</f>
        <v/>
      </c>
      <c r="BE344" s="44" t="str">
        <f>IF(AND(C344=Master!$H$8,B344="2012-2013",E344&gt;1000,G344="NPN05"),H344,"")</f>
        <v/>
      </c>
      <c r="BF344" s="44" t="str">
        <f>IF(AND(C344=Master!$H$8,B344="2012-2013",E344="",G344="NPN05"),H344,"")</f>
        <v/>
      </c>
      <c r="BG344" s="44" t="str">
        <f>IF(AND(C344=Master!$H$9,B344="2012-2013",E344&gt;1000,G344="NPN05"),H344,"")</f>
        <v/>
      </c>
      <c r="BH344" s="44" t="str">
        <f>IF(AND(C344=Master!$H$9,B344="2012-2013",E344="",G344="NPN05"),H344,"")</f>
        <v/>
      </c>
    </row>
    <row r="345" spans="1:60" x14ac:dyDescent="0.25">
      <c r="A345" s="3">
        <v>343</v>
      </c>
      <c r="B345" s="12"/>
      <c r="C345" s="12"/>
      <c r="D345" s="31"/>
      <c r="E345" s="4"/>
      <c r="F345" s="13"/>
      <c r="G345" s="21"/>
      <c r="H345" s="35"/>
      <c r="I345" s="21"/>
      <c r="J345" s="25" t="str">
        <f>IF(NOT(I345=""),INDEX(Master!$B$1:$B$46,MATCH(I345,Master!$A$1:$A$46,0)),"")</f>
        <v/>
      </c>
      <c r="K345" s="18"/>
      <c r="L345" s="86"/>
      <c r="M345" s="13"/>
      <c r="N345" s="13"/>
      <c r="O345" s="18"/>
      <c r="P345" s="35"/>
      <c r="Q345" s="21"/>
      <c r="R345" s="21"/>
      <c r="S345" s="13"/>
      <c r="T345" s="12"/>
      <c r="U345" s="12"/>
      <c r="V345" s="12"/>
      <c r="W345" s="14"/>
      <c r="Y345" s="42" t="str">
        <f>IF(AND(C345=Master!$H$1,B345="2012-2013",E345&gt;1000,G345="PLN03"),H345,"")</f>
        <v/>
      </c>
      <c r="Z345" s="42" t="str">
        <f>IF(AND(C345=Master!$H$1,B345="2012-2013",E345="",G345="PLN03"),H345,"")</f>
        <v/>
      </c>
      <c r="AA345" s="42" t="str">
        <f>IF(AND(C345=Master!$H$2,B345="2012-2013",E345&gt;1000,G345="PLN03"),H345,"")</f>
        <v/>
      </c>
      <c r="AB345" s="42" t="str">
        <f>IF(AND(C345=Master!$H$2,B345="2012-2013",E345="",G345="PLN03"),H345,"")</f>
        <v/>
      </c>
      <c r="AC345" s="42" t="str">
        <f>IF(AND(C345=Master!$H$3,B345="2012-2013",E345&gt;1000,G345="PLN03"),H345,"")</f>
        <v/>
      </c>
      <c r="AD345" s="42" t="str">
        <f>IF(AND(C345=Master!$H$3,B345="2012-2013",E345="",G345="PLN03"),H345,"")</f>
        <v/>
      </c>
      <c r="AE345" s="42" t="str">
        <f>IF(AND(C345=Master!$H$4,B345="2012-2013",E345&gt;1000,G345="PLN03"),H345,"")</f>
        <v/>
      </c>
      <c r="AF345" s="42" t="str">
        <f>IF(AND(C345=Master!$H$4,B345="2012-2013",E345="",G345="PLN03"),H345,"")</f>
        <v/>
      </c>
      <c r="AG345" s="42" t="str">
        <f>IF(AND(C345=Master!$H$5,B345="2012-2013",E345&gt;1000,G345="PLN03"),H345,"")</f>
        <v/>
      </c>
      <c r="AH345" s="42" t="str">
        <f>IF(AND(C345=Master!$H$5,B345="2012-2013",E345="",G345="PLN03"),H345,"")</f>
        <v/>
      </c>
      <c r="AI345" s="42" t="str">
        <f>IF(AND(C345=Master!$H$6,B345="2012-2013",E345&gt;1000,G345="PLN03"),H345,"")</f>
        <v/>
      </c>
      <c r="AJ345" s="42" t="str">
        <f>IF(AND(C345=Master!$H$6,B345="2012-2013",E345="",G345="PLN03"),H345,"")</f>
        <v/>
      </c>
      <c r="AK345" s="42" t="str">
        <f>IF(AND(C345=Master!$H$7,B345="2012-2013",E345&gt;1000,G345="PLN03"),H345,"")</f>
        <v/>
      </c>
      <c r="AL345" s="42" t="str">
        <f>IF(AND(C345=Master!$H$7,B345="2012-2013",E345="",G345="PLN03"),H345,"")</f>
        <v/>
      </c>
      <c r="AM345" s="42" t="str">
        <f>IF(AND(C345=Master!$H$8,B345="2012-2013",E345&gt;1000,G345="PLN03"),H345,"")</f>
        <v/>
      </c>
      <c r="AN345" s="42" t="str">
        <f>IF(AND(C345=Master!$H$8,B345="2012-2013",E345="",G345="PLN03"),H345,"")</f>
        <v/>
      </c>
      <c r="AO345" s="42" t="str">
        <f>IF(AND(C345=Master!$H$9,B345="2012-2013",E345&gt;1000,G345="PLN03"),H345,"")</f>
        <v/>
      </c>
      <c r="AP345" s="42" t="str">
        <f>IF(AND(C345=Master!$H$9,B345="2012-2013",E345="",G345="PLN03"),H345,"")</f>
        <v/>
      </c>
      <c r="AQ345" s="44" t="str">
        <f>IF(AND(C345=Master!$H$1,B345="2012-2013",E345&gt;1000,G345="NPN05"),H345,"")</f>
        <v/>
      </c>
      <c r="AR345" s="44" t="str">
        <f>IF(AND(C345=Master!$H$1,B345="2012-2013",E345="",G345="NPN05"),H345,"")</f>
        <v/>
      </c>
      <c r="AS345" s="44" t="str">
        <f>IF(AND(C345=Master!$H$2,B345="2012-2013",E345&gt;1000,G345="NPN05"),H345,"")</f>
        <v/>
      </c>
      <c r="AT345" s="44" t="str">
        <f>IF(AND(C345=Master!$H$2,B345="2012-2013",E345="",G345="NPN05"),H345,"")</f>
        <v/>
      </c>
      <c r="AU345" s="44" t="str">
        <f>IF(AND(C345=Master!$H$3,B345="2012-2013",E345&gt;1000,G345="NPN05"),H345,"")</f>
        <v/>
      </c>
      <c r="AV345" s="44" t="str">
        <f>IF(AND(C345=Master!$H$3,B345="2012-2013",E345="",G345="NPN05"),H345,"")</f>
        <v/>
      </c>
      <c r="AW345" s="44" t="str">
        <f>IF(AND(C345=Master!$H$4,B345="2012-2013",E345&gt;1000,G345="NPN05"),H345,"")</f>
        <v/>
      </c>
      <c r="AX345" s="44" t="str">
        <f>IF(AND(C345=Master!$H$4,B345="2012-2013",E345="",G345="NPN05"),H345,"")</f>
        <v/>
      </c>
      <c r="AY345" s="44" t="str">
        <f>IF(AND(C345=Master!$H$5,B345="2012-2013",E345&gt;1000,G345="NPN05"),H345,"")</f>
        <v/>
      </c>
      <c r="AZ345" s="44" t="str">
        <f>IF(AND(C345=Master!$H$5,B345="2012-2013",E345="",G345="NPN05"),H345,"")</f>
        <v/>
      </c>
      <c r="BA345" s="44" t="str">
        <f>IF(AND(C345=Master!$H$6,B345="2012-2013",E345&gt;1000,G345="NPN05"),H345,"")</f>
        <v/>
      </c>
      <c r="BB345" s="44" t="str">
        <f>IF(AND(C345=Master!$H$6,B345="2012-2013",E345="",G345="NPN05"),H345,"")</f>
        <v/>
      </c>
      <c r="BC345" s="44" t="str">
        <f>IF(AND(C345=Master!$H$7,B345="2012-2013",E345&gt;1000,G345="NPN05"),H345,"")</f>
        <v/>
      </c>
      <c r="BD345" s="44" t="str">
        <f>IF(AND(C345=Master!$H$7,B345="2012-2013",E345="",G345="NPN05"),H345,"")</f>
        <v/>
      </c>
      <c r="BE345" s="44" t="str">
        <f>IF(AND(C345=Master!$H$8,B345="2012-2013",E345&gt;1000,G345="NPN05"),H345,"")</f>
        <v/>
      </c>
      <c r="BF345" s="44" t="str">
        <f>IF(AND(C345=Master!$H$8,B345="2012-2013",E345="",G345="NPN05"),H345,"")</f>
        <v/>
      </c>
      <c r="BG345" s="44" t="str">
        <f>IF(AND(C345=Master!$H$9,B345="2012-2013",E345&gt;1000,G345="NPN05"),H345,"")</f>
        <v/>
      </c>
      <c r="BH345" s="44" t="str">
        <f>IF(AND(C345=Master!$H$9,B345="2012-2013",E345="",G345="NPN05"),H345,"")</f>
        <v/>
      </c>
    </row>
    <row r="346" spans="1:60" x14ac:dyDescent="0.25">
      <c r="A346" s="5">
        <v>344</v>
      </c>
      <c r="B346" s="12"/>
      <c r="C346" s="12"/>
      <c r="D346" s="31"/>
      <c r="E346" s="4"/>
      <c r="F346" s="13"/>
      <c r="G346" s="21"/>
      <c r="H346" s="35"/>
      <c r="I346" s="21"/>
      <c r="J346" s="25" t="str">
        <f>IF(NOT(I346=""),INDEX(Master!$B$1:$B$46,MATCH(I346,Master!$A$1:$A$46,0)),"")</f>
        <v/>
      </c>
      <c r="K346" s="18"/>
      <c r="L346" s="86"/>
      <c r="M346" s="13"/>
      <c r="N346" s="13"/>
      <c r="O346" s="18"/>
      <c r="P346" s="35"/>
      <c r="Q346" s="21"/>
      <c r="R346" s="21"/>
      <c r="S346" s="13"/>
      <c r="T346" s="12"/>
      <c r="U346" s="12"/>
      <c r="V346" s="12"/>
      <c r="W346" s="14"/>
      <c r="Y346" s="42" t="str">
        <f>IF(AND(C346=Master!$H$1,B346="2012-2013",E346&gt;1000,G346="PLN03"),H346,"")</f>
        <v/>
      </c>
      <c r="Z346" s="42" t="str">
        <f>IF(AND(C346=Master!$H$1,B346="2012-2013",E346="",G346="PLN03"),H346,"")</f>
        <v/>
      </c>
      <c r="AA346" s="42" t="str">
        <f>IF(AND(C346=Master!$H$2,B346="2012-2013",E346&gt;1000,G346="PLN03"),H346,"")</f>
        <v/>
      </c>
      <c r="AB346" s="42" t="str">
        <f>IF(AND(C346=Master!$H$2,B346="2012-2013",E346="",G346="PLN03"),H346,"")</f>
        <v/>
      </c>
      <c r="AC346" s="42" t="str">
        <f>IF(AND(C346=Master!$H$3,B346="2012-2013",E346&gt;1000,G346="PLN03"),H346,"")</f>
        <v/>
      </c>
      <c r="AD346" s="42" t="str">
        <f>IF(AND(C346=Master!$H$3,B346="2012-2013",E346="",G346="PLN03"),H346,"")</f>
        <v/>
      </c>
      <c r="AE346" s="42" t="str">
        <f>IF(AND(C346=Master!$H$4,B346="2012-2013",E346&gt;1000,G346="PLN03"),H346,"")</f>
        <v/>
      </c>
      <c r="AF346" s="42" t="str">
        <f>IF(AND(C346=Master!$H$4,B346="2012-2013",E346="",G346="PLN03"),H346,"")</f>
        <v/>
      </c>
      <c r="AG346" s="42" t="str">
        <f>IF(AND(C346=Master!$H$5,B346="2012-2013",E346&gt;1000,G346="PLN03"),H346,"")</f>
        <v/>
      </c>
      <c r="AH346" s="42" t="str">
        <f>IF(AND(C346=Master!$H$5,B346="2012-2013",E346="",G346="PLN03"),H346,"")</f>
        <v/>
      </c>
      <c r="AI346" s="42" t="str">
        <f>IF(AND(C346=Master!$H$6,B346="2012-2013",E346&gt;1000,G346="PLN03"),H346,"")</f>
        <v/>
      </c>
      <c r="AJ346" s="42" t="str">
        <f>IF(AND(C346=Master!$H$6,B346="2012-2013",E346="",G346="PLN03"),H346,"")</f>
        <v/>
      </c>
      <c r="AK346" s="42" t="str">
        <f>IF(AND(C346=Master!$H$7,B346="2012-2013",E346&gt;1000,G346="PLN03"),H346,"")</f>
        <v/>
      </c>
      <c r="AL346" s="42" t="str">
        <f>IF(AND(C346=Master!$H$7,B346="2012-2013",E346="",G346="PLN03"),H346,"")</f>
        <v/>
      </c>
      <c r="AM346" s="42" t="str">
        <f>IF(AND(C346=Master!$H$8,B346="2012-2013",E346&gt;1000,G346="PLN03"),H346,"")</f>
        <v/>
      </c>
      <c r="AN346" s="42" t="str">
        <f>IF(AND(C346=Master!$H$8,B346="2012-2013",E346="",G346="PLN03"),H346,"")</f>
        <v/>
      </c>
      <c r="AO346" s="42" t="str">
        <f>IF(AND(C346=Master!$H$9,B346="2012-2013",E346&gt;1000,G346="PLN03"),H346,"")</f>
        <v/>
      </c>
      <c r="AP346" s="42" t="str">
        <f>IF(AND(C346=Master!$H$9,B346="2012-2013",E346="",G346="PLN03"),H346,"")</f>
        <v/>
      </c>
      <c r="AQ346" s="44" t="str">
        <f>IF(AND(C346=Master!$H$1,B346="2012-2013",E346&gt;1000,G346="NPN05"),H346,"")</f>
        <v/>
      </c>
      <c r="AR346" s="44" t="str">
        <f>IF(AND(C346=Master!$H$1,B346="2012-2013",E346="",G346="NPN05"),H346,"")</f>
        <v/>
      </c>
      <c r="AS346" s="44" t="str">
        <f>IF(AND(C346=Master!$H$2,B346="2012-2013",E346&gt;1000,G346="NPN05"),H346,"")</f>
        <v/>
      </c>
      <c r="AT346" s="44" t="str">
        <f>IF(AND(C346=Master!$H$2,B346="2012-2013",E346="",G346="NPN05"),H346,"")</f>
        <v/>
      </c>
      <c r="AU346" s="44" t="str">
        <f>IF(AND(C346=Master!$H$3,B346="2012-2013",E346&gt;1000,G346="NPN05"),H346,"")</f>
        <v/>
      </c>
      <c r="AV346" s="44" t="str">
        <f>IF(AND(C346=Master!$H$3,B346="2012-2013",E346="",G346="NPN05"),H346,"")</f>
        <v/>
      </c>
      <c r="AW346" s="44" t="str">
        <f>IF(AND(C346=Master!$H$4,B346="2012-2013",E346&gt;1000,G346="NPN05"),H346,"")</f>
        <v/>
      </c>
      <c r="AX346" s="44" t="str">
        <f>IF(AND(C346=Master!$H$4,B346="2012-2013",E346="",G346="NPN05"),H346,"")</f>
        <v/>
      </c>
      <c r="AY346" s="44" t="str">
        <f>IF(AND(C346=Master!$H$5,B346="2012-2013",E346&gt;1000,G346="NPN05"),H346,"")</f>
        <v/>
      </c>
      <c r="AZ346" s="44" t="str">
        <f>IF(AND(C346=Master!$H$5,B346="2012-2013",E346="",G346="NPN05"),H346,"")</f>
        <v/>
      </c>
      <c r="BA346" s="44" t="str">
        <f>IF(AND(C346=Master!$H$6,B346="2012-2013",E346&gt;1000,G346="NPN05"),H346,"")</f>
        <v/>
      </c>
      <c r="BB346" s="44" t="str">
        <f>IF(AND(C346=Master!$H$6,B346="2012-2013",E346="",G346="NPN05"),H346,"")</f>
        <v/>
      </c>
      <c r="BC346" s="44" t="str">
        <f>IF(AND(C346=Master!$H$7,B346="2012-2013",E346&gt;1000,G346="NPN05"),H346,"")</f>
        <v/>
      </c>
      <c r="BD346" s="44" t="str">
        <f>IF(AND(C346=Master!$H$7,B346="2012-2013",E346="",G346="NPN05"),H346,"")</f>
        <v/>
      </c>
      <c r="BE346" s="44" t="str">
        <f>IF(AND(C346=Master!$H$8,B346="2012-2013",E346&gt;1000,G346="NPN05"),H346,"")</f>
        <v/>
      </c>
      <c r="BF346" s="44" t="str">
        <f>IF(AND(C346=Master!$H$8,B346="2012-2013",E346="",G346="NPN05"),H346,"")</f>
        <v/>
      </c>
      <c r="BG346" s="44" t="str">
        <f>IF(AND(C346=Master!$H$9,B346="2012-2013",E346&gt;1000,G346="NPN05"),H346,"")</f>
        <v/>
      </c>
      <c r="BH346" s="44" t="str">
        <f>IF(AND(C346=Master!$H$9,B346="2012-2013",E346="",G346="NPN05"),H346,"")</f>
        <v/>
      </c>
    </row>
    <row r="347" spans="1:60" x14ac:dyDescent="0.25">
      <c r="A347" s="3">
        <v>345</v>
      </c>
      <c r="B347" s="12"/>
      <c r="C347" s="12"/>
      <c r="D347" s="31"/>
      <c r="E347" s="4"/>
      <c r="F347" s="13"/>
      <c r="G347" s="21"/>
      <c r="H347" s="35"/>
      <c r="I347" s="21"/>
      <c r="J347" s="25" t="str">
        <f>IF(NOT(I347=""),INDEX(Master!$B$1:$B$46,MATCH(I347,Master!$A$1:$A$46,0)),"")</f>
        <v/>
      </c>
      <c r="K347" s="18"/>
      <c r="L347" s="86"/>
      <c r="M347" s="13"/>
      <c r="N347" s="13"/>
      <c r="O347" s="18"/>
      <c r="P347" s="35"/>
      <c r="Q347" s="21"/>
      <c r="R347" s="21"/>
      <c r="S347" s="13"/>
      <c r="T347" s="12"/>
      <c r="U347" s="12"/>
      <c r="V347" s="12"/>
      <c r="W347" s="14"/>
      <c r="Y347" s="42" t="str">
        <f>IF(AND(C347=Master!$H$1,B347="2012-2013",E347&gt;1000,G347="PLN03"),H347,"")</f>
        <v/>
      </c>
      <c r="Z347" s="42" t="str">
        <f>IF(AND(C347=Master!$H$1,B347="2012-2013",E347="",G347="PLN03"),H347,"")</f>
        <v/>
      </c>
      <c r="AA347" s="42" t="str">
        <f>IF(AND(C347=Master!$H$2,B347="2012-2013",E347&gt;1000,G347="PLN03"),H347,"")</f>
        <v/>
      </c>
      <c r="AB347" s="42" t="str">
        <f>IF(AND(C347=Master!$H$2,B347="2012-2013",E347="",G347="PLN03"),H347,"")</f>
        <v/>
      </c>
      <c r="AC347" s="42" t="str">
        <f>IF(AND(C347=Master!$H$3,B347="2012-2013",E347&gt;1000,G347="PLN03"),H347,"")</f>
        <v/>
      </c>
      <c r="AD347" s="42" t="str">
        <f>IF(AND(C347=Master!$H$3,B347="2012-2013",E347="",G347="PLN03"),H347,"")</f>
        <v/>
      </c>
      <c r="AE347" s="42" t="str">
        <f>IF(AND(C347=Master!$H$4,B347="2012-2013",E347&gt;1000,G347="PLN03"),H347,"")</f>
        <v/>
      </c>
      <c r="AF347" s="42" t="str">
        <f>IF(AND(C347=Master!$H$4,B347="2012-2013",E347="",G347="PLN03"),H347,"")</f>
        <v/>
      </c>
      <c r="AG347" s="42" t="str">
        <f>IF(AND(C347=Master!$H$5,B347="2012-2013",E347&gt;1000,G347="PLN03"),H347,"")</f>
        <v/>
      </c>
      <c r="AH347" s="42" t="str">
        <f>IF(AND(C347=Master!$H$5,B347="2012-2013",E347="",G347="PLN03"),H347,"")</f>
        <v/>
      </c>
      <c r="AI347" s="42" t="str">
        <f>IF(AND(C347=Master!$H$6,B347="2012-2013",E347&gt;1000,G347="PLN03"),H347,"")</f>
        <v/>
      </c>
      <c r="AJ347" s="42" t="str">
        <f>IF(AND(C347=Master!$H$6,B347="2012-2013",E347="",G347="PLN03"),H347,"")</f>
        <v/>
      </c>
      <c r="AK347" s="42" t="str">
        <f>IF(AND(C347=Master!$H$7,B347="2012-2013",E347&gt;1000,G347="PLN03"),H347,"")</f>
        <v/>
      </c>
      <c r="AL347" s="42" t="str">
        <f>IF(AND(C347=Master!$H$7,B347="2012-2013",E347="",G347="PLN03"),H347,"")</f>
        <v/>
      </c>
      <c r="AM347" s="42" t="str">
        <f>IF(AND(C347=Master!$H$8,B347="2012-2013",E347&gt;1000,G347="PLN03"),H347,"")</f>
        <v/>
      </c>
      <c r="AN347" s="42" t="str">
        <f>IF(AND(C347=Master!$H$8,B347="2012-2013",E347="",G347="PLN03"),H347,"")</f>
        <v/>
      </c>
      <c r="AO347" s="42" t="str">
        <f>IF(AND(C347=Master!$H$9,B347="2012-2013",E347&gt;1000,G347="PLN03"),H347,"")</f>
        <v/>
      </c>
      <c r="AP347" s="42" t="str">
        <f>IF(AND(C347=Master!$H$9,B347="2012-2013",E347="",G347="PLN03"),H347,"")</f>
        <v/>
      </c>
      <c r="AQ347" s="44" t="str">
        <f>IF(AND(C347=Master!$H$1,B347="2012-2013",E347&gt;1000,G347="NPN05"),H347,"")</f>
        <v/>
      </c>
      <c r="AR347" s="44" t="str">
        <f>IF(AND(C347=Master!$H$1,B347="2012-2013",E347="",G347="NPN05"),H347,"")</f>
        <v/>
      </c>
      <c r="AS347" s="44" t="str">
        <f>IF(AND(C347=Master!$H$2,B347="2012-2013",E347&gt;1000,G347="NPN05"),H347,"")</f>
        <v/>
      </c>
      <c r="AT347" s="44" t="str">
        <f>IF(AND(C347=Master!$H$2,B347="2012-2013",E347="",G347="NPN05"),H347,"")</f>
        <v/>
      </c>
      <c r="AU347" s="44" t="str">
        <f>IF(AND(C347=Master!$H$3,B347="2012-2013",E347&gt;1000,G347="NPN05"),H347,"")</f>
        <v/>
      </c>
      <c r="AV347" s="44" t="str">
        <f>IF(AND(C347=Master!$H$3,B347="2012-2013",E347="",G347="NPN05"),H347,"")</f>
        <v/>
      </c>
      <c r="AW347" s="44" t="str">
        <f>IF(AND(C347=Master!$H$4,B347="2012-2013",E347&gt;1000,G347="NPN05"),H347,"")</f>
        <v/>
      </c>
      <c r="AX347" s="44" t="str">
        <f>IF(AND(C347=Master!$H$4,B347="2012-2013",E347="",G347="NPN05"),H347,"")</f>
        <v/>
      </c>
      <c r="AY347" s="44" t="str">
        <f>IF(AND(C347=Master!$H$5,B347="2012-2013",E347&gt;1000,G347="NPN05"),H347,"")</f>
        <v/>
      </c>
      <c r="AZ347" s="44" t="str">
        <f>IF(AND(C347=Master!$H$5,B347="2012-2013",E347="",G347="NPN05"),H347,"")</f>
        <v/>
      </c>
      <c r="BA347" s="44" t="str">
        <f>IF(AND(C347=Master!$H$6,B347="2012-2013",E347&gt;1000,G347="NPN05"),H347,"")</f>
        <v/>
      </c>
      <c r="BB347" s="44" t="str">
        <f>IF(AND(C347=Master!$H$6,B347="2012-2013",E347="",G347="NPN05"),H347,"")</f>
        <v/>
      </c>
      <c r="BC347" s="44" t="str">
        <f>IF(AND(C347=Master!$H$7,B347="2012-2013",E347&gt;1000,G347="NPN05"),H347,"")</f>
        <v/>
      </c>
      <c r="BD347" s="44" t="str">
        <f>IF(AND(C347=Master!$H$7,B347="2012-2013",E347="",G347="NPN05"),H347,"")</f>
        <v/>
      </c>
      <c r="BE347" s="44" t="str">
        <f>IF(AND(C347=Master!$H$8,B347="2012-2013",E347&gt;1000,G347="NPN05"),H347,"")</f>
        <v/>
      </c>
      <c r="BF347" s="44" t="str">
        <f>IF(AND(C347=Master!$H$8,B347="2012-2013",E347="",G347="NPN05"),H347,"")</f>
        <v/>
      </c>
      <c r="BG347" s="44" t="str">
        <f>IF(AND(C347=Master!$H$9,B347="2012-2013",E347&gt;1000,G347="NPN05"),H347,"")</f>
        <v/>
      </c>
      <c r="BH347" s="44" t="str">
        <f>IF(AND(C347=Master!$H$9,B347="2012-2013",E347="",G347="NPN05"),H347,"")</f>
        <v/>
      </c>
    </row>
    <row r="348" spans="1:60" x14ac:dyDescent="0.25">
      <c r="A348" s="3">
        <v>346</v>
      </c>
      <c r="B348" s="12"/>
      <c r="C348" s="12"/>
      <c r="D348" s="31"/>
      <c r="E348" s="4"/>
      <c r="F348" s="13"/>
      <c r="G348" s="21"/>
      <c r="H348" s="35"/>
      <c r="I348" s="21"/>
      <c r="J348" s="25" t="str">
        <f>IF(NOT(I348=""),INDEX(Master!$B$1:$B$46,MATCH(I348,Master!$A$1:$A$46,0)),"")</f>
        <v/>
      </c>
      <c r="K348" s="18"/>
      <c r="L348" s="86"/>
      <c r="M348" s="13"/>
      <c r="N348" s="13"/>
      <c r="O348" s="18"/>
      <c r="P348" s="35"/>
      <c r="Q348" s="21"/>
      <c r="R348" s="21"/>
      <c r="S348" s="13"/>
      <c r="T348" s="12"/>
      <c r="U348" s="12"/>
      <c r="V348" s="12"/>
      <c r="W348" s="14"/>
      <c r="Y348" s="42" t="str">
        <f>IF(AND(C348=Master!$H$1,B348="2012-2013",E348&gt;1000,G348="PLN03"),H348,"")</f>
        <v/>
      </c>
      <c r="Z348" s="42" t="str">
        <f>IF(AND(C348=Master!$H$1,B348="2012-2013",E348="",G348="PLN03"),H348,"")</f>
        <v/>
      </c>
      <c r="AA348" s="42" t="str">
        <f>IF(AND(C348=Master!$H$2,B348="2012-2013",E348&gt;1000,G348="PLN03"),H348,"")</f>
        <v/>
      </c>
      <c r="AB348" s="42" t="str">
        <f>IF(AND(C348=Master!$H$2,B348="2012-2013",E348="",G348="PLN03"),H348,"")</f>
        <v/>
      </c>
      <c r="AC348" s="42" t="str">
        <f>IF(AND(C348=Master!$H$3,B348="2012-2013",E348&gt;1000,G348="PLN03"),H348,"")</f>
        <v/>
      </c>
      <c r="AD348" s="42" t="str">
        <f>IF(AND(C348=Master!$H$3,B348="2012-2013",E348="",G348="PLN03"),H348,"")</f>
        <v/>
      </c>
      <c r="AE348" s="42" t="str">
        <f>IF(AND(C348=Master!$H$4,B348="2012-2013",E348&gt;1000,G348="PLN03"),H348,"")</f>
        <v/>
      </c>
      <c r="AF348" s="42" t="str">
        <f>IF(AND(C348=Master!$H$4,B348="2012-2013",E348="",G348="PLN03"),H348,"")</f>
        <v/>
      </c>
      <c r="AG348" s="42" t="str">
        <f>IF(AND(C348=Master!$H$5,B348="2012-2013",E348&gt;1000,G348="PLN03"),H348,"")</f>
        <v/>
      </c>
      <c r="AH348" s="42" t="str">
        <f>IF(AND(C348=Master!$H$5,B348="2012-2013",E348="",G348="PLN03"),H348,"")</f>
        <v/>
      </c>
      <c r="AI348" s="42" t="str">
        <f>IF(AND(C348=Master!$H$6,B348="2012-2013",E348&gt;1000,G348="PLN03"),H348,"")</f>
        <v/>
      </c>
      <c r="AJ348" s="42" t="str">
        <f>IF(AND(C348=Master!$H$6,B348="2012-2013",E348="",G348="PLN03"),H348,"")</f>
        <v/>
      </c>
      <c r="AK348" s="42" t="str">
        <f>IF(AND(C348=Master!$H$7,B348="2012-2013",E348&gt;1000,G348="PLN03"),H348,"")</f>
        <v/>
      </c>
      <c r="AL348" s="42" t="str">
        <f>IF(AND(C348=Master!$H$7,B348="2012-2013",E348="",G348="PLN03"),H348,"")</f>
        <v/>
      </c>
      <c r="AM348" s="42" t="str">
        <f>IF(AND(C348=Master!$H$8,B348="2012-2013",E348&gt;1000,G348="PLN03"),H348,"")</f>
        <v/>
      </c>
      <c r="AN348" s="42" t="str">
        <f>IF(AND(C348=Master!$H$8,B348="2012-2013",E348="",G348="PLN03"),H348,"")</f>
        <v/>
      </c>
      <c r="AO348" s="42" t="str">
        <f>IF(AND(C348=Master!$H$9,B348="2012-2013",E348&gt;1000,G348="PLN03"),H348,"")</f>
        <v/>
      </c>
      <c r="AP348" s="42" t="str">
        <f>IF(AND(C348=Master!$H$9,B348="2012-2013",E348="",G348="PLN03"),H348,"")</f>
        <v/>
      </c>
      <c r="AQ348" s="44" t="str">
        <f>IF(AND(C348=Master!$H$1,B348="2012-2013",E348&gt;1000,G348="NPN05"),H348,"")</f>
        <v/>
      </c>
      <c r="AR348" s="44" t="str">
        <f>IF(AND(C348=Master!$H$1,B348="2012-2013",E348="",G348="NPN05"),H348,"")</f>
        <v/>
      </c>
      <c r="AS348" s="44" t="str">
        <f>IF(AND(C348=Master!$H$2,B348="2012-2013",E348&gt;1000,G348="NPN05"),H348,"")</f>
        <v/>
      </c>
      <c r="AT348" s="44" t="str">
        <f>IF(AND(C348=Master!$H$2,B348="2012-2013",E348="",G348="NPN05"),H348,"")</f>
        <v/>
      </c>
      <c r="AU348" s="44" t="str">
        <f>IF(AND(C348=Master!$H$3,B348="2012-2013",E348&gt;1000,G348="NPN05"),H348,"")</f>
        <v/>
      </c>
      <c r="AV348" s="44" t="str">
        <f>IF(AND(C348=Master!$H$3,B348="2012-2013",E348="",G348="NPN05"),H348,"")</f>
        <v/>
      </c>
      <c r="AW348" s="44" t="str">
        <f>IF(AND(C348=Master!$H$4,B348="2012-2013",E348&gt;1000,G348="NPN05"),H348,"")</f>
        <v/>
      </c>
      <c r="AX348" s="44" t="str">
        <f>IF(AND(C348=Master!$H$4,B348="2012-2013",E348="",G348="NPN05"),H348,"")</f>
        <v/>
      </c>
      <c r="AY348" s="44" t="str">
        <f>IF(AND(C348=Master!$H$5,B348="2012-2013",E348&gt;1000,G348="NPN05"),H348,"")</f>
        <v/>
      </c>
      <c r="AZ348" s="44" t="str">
        <f>IF(AND(C348=Master!$H$5,B348="2012-2013",E348="",G348="NPN05"),H348,"")</f>
        <v/>
      </c>
      <c r="BA348" s="44" t="str">
        <f>IF(AND(C348=Master!$H$6,B348="2012-2013",E348&gt;1000,G348="NPN05"),H348,"")</f>
        <v/>
      </c>
      <c r="BB348" s="44" t="str">
        <f>IF(AND(C348=Master!$H$6,B348="2012-2013",E348="",G348="NPN05"),H348,"")</f>
        <v/>
      </c>
      <c r="BC348" s="44" t="str">
        <f>IF(AND(C348=Master!$H$7,B348="2012-2013",E348&gt;1000,G348="NPN05"),H348,"")</f>
        <v/>
      </c>
      <c r="BD348" s="44" t="str">
        <f>IF(AND(C348=Master!$H$7,B348="2012-2013",E348="",G348="NPN05"),H348,"")</f>
        <v/>
      </c>
      <c r="BE348" s="44" t="str">
        <f>IF(AND(C348=Master!$H$8,B348="2012-2013",E348&gt;1000,G348="NPN05"),H348,"")</f>
        <v/>
      </c>
      <c r="BF348" s="44" t="str">
        <f>IF(AND(C348=Master!$H$8,B348="2012-2013",E348="",G348="NPN05"),H348,"")</f>
        <v/>
      </c>
      <c r="BG348" s="44" t="str">
        <f>IF(AND(C348=Master!$H$9,B348="2012-2013",E348&gt;1000,G348="NPN05"),H348,"")</f>
        <v/>
      </c>
      <c r="BH348" s="44" t="str">
        <f>IF(AND(C348=Master!$H$9,B348="2012-2013",E348="",G348="NPN05"),H348,"")</f>
        <v/>
      </c>
    </row>
    <row r="349" spans="1:60" x14ac:dyDescent="0.25">
      <c r="A349" s="3">
        <v>347</v>
      </c>
      <c r="B349" s="12"/>
      <c r="C349" s="12"/>
      <c r="D349" s="31"/>
      <c r="E349" s="4"/>
      <c r="F349" s="13"/>
      <c r="G349" s="21"/>
      <c r="H349" s="35"/>
      <c r="I349" s="21"/>
      <c r="J349" s="25" t="str">
        <f>IF(NOT(I349=""),INDEX(Master!$B$1:$B$46,MATCH(I349,Master!$A$1:$A$46,0)),"")</f>
        <v/>
      </c>
      <c r="K349" s="18"/>
      <c r="L349" s="86"/>
      <c r="M349" s="13"/>
      <c r="N349" s="13"/>
      <c r="O349" s="18"/>
      <c r="P349" s="35"/>
      <c r="Q349" s="21"/>
      <c r="R349" s="21"/>
      <c r="S349" s="13"/>
      <c r="T349" s="12"/>
      <c r="U349" s="12"/>
      <c r="V349" s="12"/>
      <c r="W349" s="14"/>
      <c r="Y349" s="42" t="str">
        <f>IF(AND(C349=Master!$H$1,B349="2012-2013",E349&gt;1000,G349="PLN03"),H349,"")</f>
        <v/>
      </c>
      <c r="Z349" s="42" t="str">
        <f>IF(AND(C349=Master!$H$1,B349="2012-2013",E349="",G349="PLN03"),H349,"")</f>
        <v/>
      </c>
      <c r="AA349" s="42" t="str">
        <f>IF(AND(C349=Master!$H$2,B349="2012-2013",E349&gt;1000,G349="PLN03"),H349,"")</f>
        <v/>
      </c>
      <c r="AB349" s="42" t="str">
        <f>IF(AND(C349=Master!$H$2,B349="2012-2013",E349="",G349="PLN03"),H349,"")</f>
        <v/>
      </c>
      <c r="AC349" s="42" t="str">
        <f>IF(AND(C349=Master!$H$3,B349="2012-2013",E349&gt;1000,G349="PLN03"),H349,"")</f>
        <v/>
      </c>
      <c r="AD349" s="42" t="str">
        <f>IF(AND(C349=Master!$H$3,B349="2012-2013",E349="",G349="PLN03"),H349,"")</f>
        <v/>
      </c>
      <c r="AE349" s="42" t="str">
        <f>IF(AND(C349=Master!$H$4,B349="2012-2013",E349&gt;1000,G349="PLN03"),H349,"")</f>
        <v/>
      </c>
      <c r="AF349" s="42" t="str">
        <f>IF(AND(C349=Master!$H$4,B349="2012-2013",E349="",G349="PLN03"),H349,"")</f>
        <v/>
      </c>
      <c r="AG349" s="42" t="str">
        <f>IF(AND(C349=Master!$H$5,B349="2012-2013",E349&gt;1000,G349="PLN03"),H349,"")</f>
        <v/>
      </c>
      <c r="AH349" s="42" t="str">
        <f>IF(AND(C349=Master!$H$5,B349="2012-2013",E349="",G349="PLN03"),H349,"")</f>
        <v/>
      </c>
      <c r="AI349" s="42" t="str">
        <f>IF(AND(C349=Master!$H$6,B349="2012-2013",E349&gt;1000,G349="PLN03"),H349,"")</f>
        <v/>
      </c>
      <c r="AJ349" s="42" t="str">
        <f>IF(AND(C349=Master!$H$6,B349="2012-2013",E349="",G349="PLN03"),H349,"")</f>
        <v/>
      </c>
      <c r="AK349" s="42" t="str">
        <f>IF(AND(C349=Master!$H$7,B349="2012-2013",E349&gt;1000,G349="PLN03"),H349,"")</f>
        <v/>
      </c>
      <c r="AL349" s="42" t="str">
        <f>IF(AND(C349=Master!$H$7,B349="2012-2013",E349="",G349="PLN03"),H349,"")</f>
        <v/>
      </c>
      <c r="AM349" s="42" t="str">
        <f>IF(AND(C349=Master!$H$8,B349="2012-2013",E349&gt;1000,G349="PLN03"),H349,"")</f>
        <v/>
      </c>
      <c r="AN349" s="42" t="str">
        <f>IF(AND(C349=Master!$H$8,B349="2012-2013",E349="",G349="PLN03"),H349,"")</f>
        <v/>
      </c>
      <c r="AO349" s="42" t="str">
        <f>IF(AND(C349=Master!$H$9,B349="2012-2013",E349&gt;1000,G349="PLN03"),H349,"")</f>
        <v/>
      </c>
      <c r="AP349" s="42" t="str">
        <f>IF(AND(C349=Master!$H$9,B349="2012-2013",E349="",G349="PLN03"),H349,"")</f>
        <v/>
      </c>
      <c r="AQ349" s="44" t="str">
        <f>IF(AND(C349=Master!$H$1,B349="2012-2013",E349&gt;1000,G349="NPN05"),H349,"")</f>
        <v/>
      </c>
      <c r="AR349" s="44" t="str">
        <f>IF(AND(C349=Master!$H$1,B349="2012-2013",E349="",G349="NPN05"),H349,"")</f>
        <v/>
      </c>
      <c r="AS349" s="44" t="str">
        <f>IF(AND(C349=Master!$H$2,B349="2012-2013",E349&gt;1000,G349="NPN05"),H349,"")</f>
        <v/>
      </c>
      <c r="AT349" s="44" t="str">
        <f>IF(AND(C349=Master!$H$2,B349="2012-2013",E349="",G349="NPN05"),H349,"")</f>
        <v/>
      </c>
      <c r="AU349" s="44" t="str">
        <f>IF(AND(C349=Master!$H$3,B349="2012-2013",E349&gt;1000,G349="NPN05"),H349,"")</f>
        <v/>
      </c>
      <c r="AV349" s="44" t="str">
        <f>IF(AND(C349=Master!$H$3,B349="2012-2013",E349="",G349="NPN05"),H349,"")</f>
        <v/>
      </c>
      <c r="AW349" s="44" t="str">
        <f>IF(AND(C349=Master!$H$4,B349="2012-2013",E349&gt;1000,G349="NPN05"),H349,"")</f>
        <v/>
      </c>
      <c r="AX349" s="44" t="str">
        <f>IF(AND(C349=Master!$H$4,B349="2012-2013",E349="",G349="NPN05"),H349,"")</f>
        <v/>
      </c>
      <c r="AY349" s="44" t="str">
        <f>IF(AND(C349=Master!$H$5,B349="2012-2013",E349&gt;1000,G349="NPN05"),H349,"")</f>
        <v/>
      </c>
      <c r="AZ349" s="44" t="str">
        <f>IF(AND(C349=Master!$H$5,B349="2012-2013",E349="",G349="NPN05"),H349,"")</f>
        <v/>
      </c>
      <c r="BA349" s="44" t="str">
        <f>IF(AND(C349=Master!$H$6,B349="2012-2013",E349&gt;1000,G349="NPN05"),H349,"")</f>
        <v/>
      </c>
      <c r="BB349" s="44" t="str">
        <f>IF(AND(C349=Master!$H$6,B349="2012-2013",E349="",G349="NPN05"),H349,"")</f>
        <v/>
      </c>
      <c r="BC349" s="44" t="str">
        <f>IF(AND(C349=Master!$H$7,B349="2012-2013",E349&gt;1000,G349="NPN05"),H349,"")</f>
        <v/>
      </c>
      <c r="BD349" s="44" t="str">
        <f>IF(AND(C349=Master!$H$7,B349="2012-2013",E349="",G349="NPN05"),H349,"")</f>
        <v/>
      </c>
      <c r="BE349" s="44" t="str">
        <f>IF(AND(C349=Master!$H$8,B349="2012-2013",E349&gt;1000,G349="NPN05"),H349,"")</f>
        <v/>
      </c>
      <c r="BF349" s="44" t="str">
        <f>IF(AND(C349=Master!$H$8,B349="2012-2013",E349="",G349="NPN05"),H349,"")</f>
        <v/>
      </c>
      <c r="BG349" s="44" t="str">
        <f>IF(AND(C349=Master!$H$9,B349="2012-2013",E349&gt;1000,G349="NPN05"),H349,"")</f>
        <v/>
      </c>
      <c r="BH349" s="44" t="str">
        <f>IF(AND(C349=Master!$H$9,B349="2012-2013",E349="",G349="NPN05"),H349,"")</f>
        <v/>
      </c>
    </row>
    <row r="350" spans="1:60" x14ac:dyDescent="0.25">
      <c r="A350" s="3">
        <v>348</v>
      </c>
      <c r="B350" s="12"/>
      <c r="C350" s="12"/>
      <c r="D350" s="31"/>
      <c r="E350" s="4"/>
      <c r="F350" s="13"/>
      <c r="G350" s="21"/>
      <c r="H350" s="35"/>
      <c r="I350" s="21"/>
      <c r="J350" s="25" t="str">
        <f>IF(NOT(I350=""),INDEX(Master!$B$1:$B$46,MATCH(I350,Master!$A$1:$A$46,0)),"")</f>
        <v/>
      </c>
      <c r="K350" s="18"/>
      <c r="L350" s="86"/>
      <c r="M350" s="13"/>
      <c r="N350" s="13"/>
      <c r="O350" s="18"/>
      <c r="P350" s="35"/>
      <c r="Q350" s="21"/>
      <c r="R350" s="21"/>
      <c r="S350" s="13"/>
      <c r="T350" s="12"/>
      <c r="U350" s="12"/>
      <c r="V350" s="12"/>
      <c r="W350" s="14"/>
      <c r="Y350" s="42" t="str">
        <f>IF(AND(C350=Master!$H$1,B350="2012-2013",E350&gt;1000,G350="PLN03"),H350,"")</f>
        <v/>
      </c>
      <c r="Z350" s="42" t="str">
        <f>IF(AND(C350=Master!$H$1,B350="2012-2013",E350="",G350="PLN03"),H350,"")</f>
        <v/>
      </c>
      <c r="AA350" s="42" t="str">
        <f>IF(AND(C350=Master!$H$2,B350="2012-2013",E350&gt;1000,G350="PLN03"),H350,"")</f>
        <v/>
      </c>
      <c r="AB350" s="42" t="str">
        <f>IF(AND(C350=Master!$H$2,B350="2012-2013",E350="",G350="PLN03"),H350,"")</f>
        <v/>
      </c>
      <c r="AC350" s="42" t="str">
        <f>IF(AND(C350=Master!$H$3,B350="2012-2013",E350&gt;1000,G350="PLN03"),H350,"")</f>
        <v/>
      </c>
      <c r="AD350" s="42" t="str">
        <f>IF(AND(C350=Master!$H$3,B350="2012-2013",E350="",G350="PLN03"),H350,"")</f>
        <v/>
      </c>
      <c r="AE350" s="42" t="str">
        <f>IF(AND(C350=Master!$H$4,B350="2012-2013",E350&gt;1000,G350="PLN03"),H350,"")</f>
        <v/>
      </c>
      <c r="AF350" s="42" t="str">
        <f>IF(AND(C350=Master!$H$4,B350="2012-2013",E350="",G350="PLN03"),H350,"")</f>
        <v/>
      </c>
      <c r="AG350" s="42" t="str">
        <f>IF(AND(C350=Master!$H$5,B350="2012-2013",E350&gt;1000,G350="PLN03"),H350,"")</f>
        <v/>
      </c>
      <c r="AH350" s="42" t="str">
        <f>IF(AND(C350=Master!$H$5,B350="2012-2013",E350="",G350="PLN03"),H350,"")</f>
        <v/>
      </c>
      <c r="AI350" s="42" t="str">
        <f>IF(AND(C350=Master!$H$6,B350="2012-2013",E350&gt;1000,G350="PLN03"),H350,"")</f>
        <v/>
      </c>
      <c r="AJ350" s="42" t="str">
        <f>IF(AND(C350=Master!$H$6,B350="2012-2013",E350="",G350="PLN03"),H350,"")</f>
        <v/>
      </c>
      <c r="AK350" s="42" t="str">
        <f>IF(AND(C350=Master!$H$7,B350="2012-2013",E350&gt;1000,G350="PLN03"),H350,"")</f>
        <v/>
      </c>
      <c r="AL350" s="42" t="str">
        <f>IF(AND(C350=Master!$H$7,B350="2012-2013",E350="",G350="PLN03"),H350,"")</f>
        <v/>
      </c>
      <c r="AM350" s="42" t="str">
        <f>IF(AND(C350=Master!$H$8,B350="2012-2013",E350&gt;1000,G350="PLN03"),H350,"")</f>
        <v/>
      </c>
      <c r="AN350" s="42" t="str">
        <f>IF(AND(C350=Master!$H$8,B350="2012-2013",E350="",G350="PLN03"),H350,"")</f>
        <v/>
      </c>
      <c r="AO350" s="42" t="str">
        <f>IF(AND(C350=Master!$H$9,B350="2012-2013",E350&gt;1000,G350="PLN03"),H350,"")</f>
        <v/>
      </c>
      <c r="AP350" s="42" t="str">
        <f>IF(AND(C350=Master!$H$9,B350="2012-2013",E350="",G350="PLN03"),H350,"")</f>
        <v/>
      </c>
      <c r="AQ350" s="44" t="str">
        <f>IF(AND(C350=Master!$H$1,B350="2012-2013",E350&gt;1000,G350="NPN05"),H350,"")</f>
        <v/>
      </c>
      <c r="AR350" s="44" t="str">
        <f>IF(AND(C350=Master!$H$1,B350="2012-2013",E350="",G350="NPN05"),H350,"")</f>
        <v/>
      </c>
      <c r="AS350" s="44" t="str">
        <f>IF(AND(C350=Master!$H$2,B350="2012-2013",E350&gt;1000,G350="NPN05"),H350,"")</f>
        <v/>
      </c>
      <c r="AT350" s="44" t="str">
        <f>IF(AND(C350=Master!$H$2,B350="2012-2013",E350="",G350="NPN05"),H350,"")</f>
        <v/>
      </c>
      <c r="AU350" s="44" t="str">
        <f>IF(AND(C350=Master!$H$3,B350="2012-2013",E350&gt;1000,G350="NPN05"),H350,"")</f>
        <v/>
      </c>
      <c r="AV350" s="44" t="str">
        <f>IF(AND(C350=Master!$H$3,B350="2012-2013",E350="",G350="NPN05"),H350,"")</f>
        <v/>
      </c>
      <c r="AW350" s="44" t="str">
        <f>IF(AND(C350=Master!$H$4,B350="2012-2013",E350&gt;1000,G350="NPN05"),H350,"")</f>
        <v/>
      </c>
      <c r="AX350" s="44" t="str">
        <f>IF(AND(C350=Master!$H$4,B350="2012-2013",E350="",G350="NPN05"),H350,"")</f>
        <v/>
      </c>
      <c r="AY350" s="44" t="str">
        <f>IF(AND(C350=Master!$H$5,B350="2012-2013",E350&gt;1000,G350="NPN05"),H350,"")</f>
        <v/>
      </c>
      <c r="AZ350" s="44" t="str">
        <f>IF(AND(C350=Master!$H$5,B350="2012-2013",E350="",G350="NPN05"),H350,"")</f>
        <v/>
      </c>
      <c r="BA350" s="44" t="str">
        <f>IF(AND(C350=Master!$H$6,B350="2012-2013",E350&gt;1000,G350="NPN05"),H350,"")</f>
        <v/>
      </c>
      <c r="BB350" s="44" t="str">
        <f>IF(AND(C350=Master!$H$6,B350="2012-2013",E350="",G350="NPN05"),H350,"")</f>
        <v/>
      </c>
      <c r="BC350" s="44" t="str">
        <f>IF(AND(C350=Master!$H$7,B350="2012-2013",E350&gt;1000,G350="NPN05"),H350,"")</f>
        <v/>
      </c>
      <c r="BD350" s="44" t="str">
        <f>IF(AND(C350=Master!$H$7,B350="2012-2013",E350="",G350="NPN05"),H350,"")</f>
        <v/>
      </c>
      <c r="BE350" s="44" t="str">
        <f>IF(AND(C350=Master!$H$8,B350="2012-2013",E350&gt;1000,G350="NPN05"),H350,"")</f>
        <v/>
      </c>
      <c r="BF350" s="44" t="str">
        <f>IF(AND(C350=Master!$H$8,B350="2012-2013",E350="",G350="NPN05"),H350,"")</f>
        <v/>
      </c>
      <c r="BG350" s="44" t="str">
        <f>IF(AND(C350=Master!$H$9,B350="2012-2013",E350&gt;1000,G350="NPN05"),H350,"")</f>
        <v/>
      </c>
      <c r="BH350" s="44" t="str">
        <f>IF(AND(C350=Master!$H$9,B350="2012-2013",E350="",G350="NPN05"),H350,"")</f>
        <v/>
      </c>
    </row>
    <row r="351" spans="1:60" x14ac:dyDescent="0.25">
      <c r="A351" s="3">
        <v>349</v>
      </c>
      <c r="B351" s="12"/>
      <c r="C351" s="12"/>
      <c r="D351" s="31"/>
      <c r="E351" s="4"/>
      <c r="F351" s="13"/>
      <c r="G351" s="21"/>
      <c r="H351" s="35"/>
      <c r="I351" s="21"/>
      <c r="J351" s="25" t="str">
        <f>IF(NOT(I351=""),INDEX(Master!$B$1:$B$46,MATCH(I351,Master!$A$1:$A$46,0)),"")</f>
        <v/>
      </c>
      <c r="K351" s="18"/>
      <c r="L351" s="86"/>
      <c r="M351" s="13"/>
      <c r="N351" s="13"/>
      <c r="O351" s="18"/>
      <c r="P351" s="35"/>
      <c r="Q351" s="21"/>
      <c r="R351" s="21"/>
      <c r="S351" s="13"/>
      <c r="T351" s="12"/>
      <c r="U351" s="12"/>
      <c r="V351" s="12"/>
      <c r="W351" s="14"/>
      <c r="Y351" s="42" t="str">
        <f>IF(AND(C351=Master!$H$1,B351="2012-2013",E351&gt;1000,G351="PLN03"),H351,"")</f>
        <v/>
      </c>
      <c r="Z351" s="42" t="str">
        <f>IF(AND(C351=Master!$H$1,B351="2012-2013",E351="",G351="PLN03"),H351,"")</f>
        <v/>
      </c>
      <c r="AA351" s="42" t="str">
        <f>IF(AND(C351=Master!$H$2,B351="2012-2013",E351&gt;1000,G351="PLN03"),H351,"")</f>
        <v/>
      </c>
      <c r="AB351" s="42" t="str">
        <f>IF(AND(C351=Master!$H$2,B351="2012-2013",E351="",G351="PLN03"),H351,"")</f>
        <v/>
      </c>
      <c r="AC351" s="42" t="str">
        <f>IF(AND(C351=Master!$H$3,B351="2012-2013",E351&gt;1000,G351="PLN03"),H351,"")</f>
        <v/>
      </c>
      <c r="AD351" s="42" t="str">
        <f>IF(AND(C351=Master!$H$3,B351="2012-2013",E351="",G351="PLN03"),H351,"")</f>
        <v/>
      </c>
      <c r="AE351" s="42" t="str">
        <f>IF(AND(C351=Master!$H$4,B351="2012-2013",E351&gt;1000,G351="PLN03"),H351,"")</f>
        <v/>
      </c>
      <c r="AF351" s="42" t="str">
        <f>IF(AND(C351=Master!$H$4,B351="2012-2013",E351="",G351="PLN03"),H351,"")</f>
        <v/>
      </c>
      <c r="AG351" s="42" t="str">
        <f>IF(AND(C351=Master!$H$5,B351="2012-2013",E351&gt;1000,G351="PLN03"),H351,"")</f>
        <v/>
      </c>
      <c r="AH351" s="42" t="str">
        <f>IF(AND(C351=Master!$H$5,B351="2012-2013",E351="",G351="PLN03"),H351,"")</f>
        <v/>
      </c>
      <c r="AI351" s="42" t="str">
        <f>IF(AND(C351=Master!$H$6,B351="2012-2013",E351&gt;1000,G351="PLN03"),H351,"")</f>
        <v/>
      </c>
      <c r="AJ351" s="42" t="str">
        <f>IF(AND(C351=Master!$H$6,B351="2012-2013",E351="",G351="PLN03"),H351,"")</f>
        <v/>
      </c>
      <c r="AK351" s="42" t="str">
        <f>IF(AND(C351=Master!$H$7,B351="2012-2013",E351&gt;1000,G351="PLN03"),H351,"")</f>
        <v/>
      </c>
      <c r="AL351" s="42" t="str">
        <f>IF(AND(C351=Master!$H$7,B351="2012-2013",E351="",G351="PLN03"),H351,"")</f>
        <v/>
      </c>
      <c r="AM351" s="42" t="str">
        <f>IF(AND(C351=Master!$H$8,B351="2012-2013",E351&gt;1000,G351="PLN03"),H351,"")</f>
        <v/>
      </c>
      <c r="AN351" s="42" t="str">
        <f>IF(AND(C351=Master!$H$8,B351="2012-2013",E351="",G351="PLN03"),H351,"")</f>
        <v/>
      </c>
      <c r="AO351" s="42" t="str">
        <f>IF(AND(C351=Master!$H$9,B351="2012-2013",E351&gt;1000,G351="PLN03"),H351,"")</f>
        <v/>
      </c>
      <c r="AP351" s="42" t="str">
        <f>IF(AND(C351=Master!$H$9,B351="2012-2013",E351="",G351="PLN03"),H351,"")</f>
        <v/>
      </c>
      <c r="AQ351" s="44" t="str">
        <f>IF(AND(C351=Master!$H$1,B351="2012-2013",E351&gt;1000,G351="NPN05"),H351,"")</f>
        <v/>
      </c>
      <c r="AR351" s="44" t="str">
        <f>IF(AND(C351=Master!$H$1,B351="2012-2013",E351="",G351="NPN05"),H351,"")</f>
        <v/>
      </c>
      <c r="AS351" s="44" t="str">
        <f>IF(AND(C351=Master!$H$2,B351="2012-2013",E351&gt;1000,G351="NPN05"),H351,"")</f>
        <v/>
      </c>
      <c r="AT351" s="44" t="str">
        <f>IF(AND(C351=Master!$H$2,B351="2012-2013",E351="",G351="NPN05"),H351,"")</f>
        <v/>
      </c>
      <c r="AU351" s="44" t="str">
        <f>IF(AND(C351=Master!$H$3,B351="2012-2013",E351&gt;1000,G351="NPN05"),H351,"")</f>
        <v/>
      </c>
      <c r="AV351" s="44" t="str">
        <f>IF(AND(C351=Master!$H$3,B351="2012-2013",E351="",G351="NPN05"),H351,"")</f>
        <v/>
      </c>
      <c r="AW351" s="44" t="str">
        <f>IF(AND(C351=Master!$H$4,B351="2012-2013",E351&gt;1000,G351="NPN05"),H351,"")</f>
        <v/>
      </c>
      <c r="AX351" s="44" t="str">
        <f>IF(AND(C351=Master!$H$4,B351="2012-2013",E351="",G351="NPN05"),H351,"")</f>
        <v/>
      </c>
      <c r="AY351" s="44" t="str">
        <f>IF(AND(C351=Master!$H$5,B351="2012-2013",E351&gt;1000,G351="NPN05"),H351,"")</f>
        <v/>
      </c>
      <c r="AZ351" s="44" t="str">
        <f>IF(AND(C351=Master!$H$5,B351="2012-2013",E351="",G351="NPN05"),H351,"")</f>
        <v/>
      </c>
      <c r="BA351" s="44" t="str">
        <f>IF(AND(C351=Master!$H$6,B351="2012-2013",E351&gt;1000,G351="NPN05"),H351,"")</f>
        <v/>
      </c>
      <c r="BB351" s="44" t="str">
        <f>IF(AND(C351=Master!$H$6,B351="2012-2013",E351="",G351="NPN05"),H351,"")</f>
        <v/>
      </c>
      <c r="BC351" s="44" t="str">
        <f>IF(AND(C351=Master!$H$7,B351="2012-2013",E351&gt;1000,G351="NPN05"),H351,"")</f>
        <v/>
      </c>
      <c r="BD351" s="44" t="str">
        <f>IF(AND(C351=Master!$H$7,B351="2012-2013",E351="",G351="NPN05"),H351,"")</f>
        <v/>
      </c>
      <c r="BE351" s="44" t="str">
        <f>IF(AND(C351=Master!$H$8,B351="2012-2013",E351&gt;1000,G351="NPN05"),H351,"")</f>
        <v/>
      </c>
      <c r="BF351" s="44" t="str">
        <f>IF(AND(C351=Master!$H$8,B351="2012-2013",E351="",G351="NPN05"),H351,"")</f>
        <v/>
      </c>
      <c r="BG351" s="44" t="str">
        <f>IF(AND(C351=Master!$H$9,B351="2012-2013",E351&gt;1000,G351="NPN05"),H351,"")</f>
        <v/>
      </c>
      <c r="BH351" s="44" t="str">
        <f>IF(AND(C351=Master!$H$9,B351="2012-2013",E351="",G351="NPN05"),H351,"")</f>
        <v/>
      </c>
    </row>
    <row r="352" spans="1:60" x14ac:dyDescent="0.25">
      <c r="A352" s="3">
        <v>350</v>
      </c>
      <c r="B352" s="12"/>
      <c r="C352" s="12"/>
      <c r="D352" s="31"/>
      <c r="E352" s="4"/>
      <c r="F352" s="13"/>
      <c r="G352" s="21"/>
      <c r="H352" s="35"/>
      <c r="I352" s="21"/>
      <c r="J352" s="25" t="str">
        <f>IF(NOT(I352=""),INDEX(Master!$B$1:$B$46,MATCH(I352,Master!$A$1:$A$46,0)),"")</f>
        <v/>
      </c>
      <c r="K352" s="18"/>
      <c r="L352" s="86"/>
      <c r="M352" s="13"/>
      <c r="N352" s="13"/>
      <c r="O352" s="18"/>
      <c r="P352" s="35"/>
      <c r="Q352" s="21"/>
      <c r="R352" s="21"/>
      <c r="S352" s="13"/>
      <c r="T352" s="12"/>
      <c r="U352" s="12"/>
      <c r="V352" s="12"/>
      <c r="W352" s="14"/>
      <c r="Y352" s="42" t="str">
        <f>IF(AND(C352=Master!$H$1,B352="2012-2013",E352&gt;1000,G352="PLN03"),H352,"")</f>
        <v/>
      </c>
      <c r="Z352" s="42" t="str">
        <f>IF(AND(C352=Master!$H$1,B352="2012-2013",E352="",G352="PLN03"),H352,"")</f>
        <v/>
      </c>
      <c r="AA352" s="42" t="str">
        <f>IF(AND(C352=Master!$H$2,B352="2012-2013",E352&gt;1000,G352="PLN03"),H352,"")</f>
        <v/>
      </c>
      <c r="AB352" s="42" t="str">
        <f>IF(AND(C352=Master!$H$2,B352="2012-2013",E352="",G352="PLN03"),H352,"")</f>
        <v/>
      </c>
      <c r="AC352" s="42" t="str">
        <f>IF(AND(C352=Master!$H$3,B352="2012-2013",E352&gt;1000,G352="PLN03"),H352,"")</f>
        <v/>
      </c>
      <c r="AD352" s="42" t="str">
        <f>IF(AND(C352=Master!$H$3,B352="2012-2013",E352="",G352="PLN03"),H352,"")</f>
        <v/>
      </c>
      <c r="AE352" s="42" t="str">
        <f>IF(AND(C352=Master!$H$4,B352="2012-2013",E352&gt;1000,G352="PLN03"),H352,"")</f>
        <v/>
      </c>
      <c r="AF352" s="42" t="str">
        <f>IF(AND(C352=Master!$H$4,B352="2012-2013",E352="",G352="PLN03"),H352,"")</f>
        <v/>
      </c>
      <c r="AG352" s="42" t="str">
        <f>IF(AND(C352=Master!$H$5,B352="2012-2013",E352&gt;1000,G352="PLN03"),H352,"")</f>
        <v/>
      </c>
      <c r="AH352" s="42" t="str">
        <f>IF(AND(C352=Master!$H$5,B352="2012-2013",E352="",G352="PLN03"),H352,"")</f>
        <v/>
      </c>
      <c r="AI352" s="42" t="str">
        <f>IF(AND(C352=Master!$H$6,B352="2012-2013",E352&gt;1000,G352="PLN03"),H352,"")</f>
        <v/>
      </c>
      <c r="AJ352" s="42" t="str">
        <f>IF(AND(C352=Master!$H$6,B352="2012-2013",E352="",G352="PLN03"),H352,"")</f>
        <v/>
      </c>
      <c r="AK352" s="42" t="str">
        <f>IF(AND(C352=Master!$H$7,B352="2012-2013",E352&gt;1000,G352="PLN03"),H352,"")</f>
        <v/>
      </c>
      <c r="AL352" s="42" t="str">
        <f>IF(AND(C352=Master!$H$7,B352="2012-2013",E352="",G352="PLN03"),H352,"")</f>
        <v/>
      </c>
      <c r="AM352" s="42" t="str">
        <f>IF(AND(C352=Master!$H$8,B352="2012-2013",E352&gt;1000,G352="PLN03"),H352,"")</f>
        <v/>
      </c>
      <c r="AN352" s="42" t="str">
        <f>IF(AND(C352=Master!$H$8,B352="2012-2013",E352="",G352="PLN03"),H352,"")</f>
        <v/>
      </c>
      <c r="AO352" s="42" t="str">
        <f>IF(AND(C352=Master!$H$9,B352="2012-2013",E352&gt;1000,G352="PLN03"),H352,"")</f>
        <v/>
      </c>
      <c r="AP352" s="42" t="str">
        <f>IF(AND(C352=Master!$H$9,B352="2012-2013",E352="",G352="PLN03"),H352,"")</f>
        <v/>
      </c>
      <c r="AQ352" s="44" t="str">
        <f>IF(AND(C352=Master!$H$1,B352="2012-2013",E352&gt;1000,G352="NPN05"),H352,"")</f>
        <v/>
      </c>
      <c r="AR352" s="44" t="str">
        <f>IF(AND(C352=Master!$H$1,B352="2012-2013",E352="",G352="NPN05"),H352,"")</f>
        <v/>
      </c>
      <c r="AS352" s="44" t="str">
        <f>IF(AND(C352=Master!$H$2,B352="2012-2013",E352&gt;1000,G352="NPN05"),H352,"")</f>
        <v/>
      </c>
      <c r="AT352" s="44" t="str">
        <f>IF(AND(C352=Master!$H$2,B352="2012-2013",E352="",G352="NPN05"),H352,"")</f>
        <v/>
      </c>
      <c r="AU352" s="44" t="str">
        <f>IF(AND(C352=Master!$H$3,B352="2012-2013",E352&gt;1000,G352="NPN05"),H352,"")</f>
        <v/>
      </c>
      <c r="AV352" s="44" t="str">
        <f>IF(AND(C352=Master!$H$3,B352="2012-2013",E352="",G352="NPN05"),H352,"")</f>
        <v/>
      </c>
      <c r="AW352" s="44" t="str">
        <f>IF(AND(C352=Master!$H$4,B352="2012-2013",E352&gt;1000,G352="NPN05"),H352,"")</f>
        <v/>
      </c>
      <c r="AX352" s="44" t="str">
        <f>IF(AND(C352=Master!$H$4,B352="2012-2013",E352="",G352="NPN05"),H352,"")</f>
        <v/>
      </c>
      <c r="AY352" s="44" t="str">
        <f>IF(AND(C352=Master!$H$5,B352="2012-2013",E352&gt;1000,G352="NPN05"),H352,"")</f>
        <v/>
      </c>
      <c r="AZ352" s="44" t="str">
        <f>IF(AND(C352=Master!$H$5,B352="2012-2013",E352="",G352="NPN05"),H352,"")</f>
        <v/>
      </c>
      <c r="BA352" s="44" t="str">
        <f>IF(AND(C352=Master!$H$6,B352="2012-2013",E352&gt;1000,G352="NPN05"),H352,"")</f>
        <v/>
      </c>
      <c r="BB352" s="44" t="str">
        <f>IF(AND(C352=Master!$H$6,B352="2012-2013",E352="",G352="NPN05"),H352,"")</f>
        <v/>
      </c>
      <c r="BC352" s="44" t="str">
        <f>IF(AND(C352=Master!$H$7,B352="2012-2013",E352&gt;1000,G352="NPN05"),H352,"")</f>
        <v/>
      </c>
      <c r="BD352" s="44" t="str">
        <f>IF(AND(C352=Master!$H$7,B352="2012-2013",E352="",G352="NPN05"),H352,"")</f>
        <v/>
      </c>
      <c r="BE352" s="44" t="str">
        <f>IF(AND(C352=Master!$H$8,B352="2012-2013",E352&gt;1000,G352="NPN05"),H352,"")</f>
        <v/>
      </c>
      <c r="BF352" s="44" t="str">
        <f>IF(AND(C352=Master!$H$8,B352="2012-2013",E352="",G352="NPN05"),H352,"")</f>
        <v/>
      </c>
      <c r="BG352" s="44" t="str">
        <f>IF(AND(C352=Master!$H$9,B352="2012-2013",E352&gt;1000,G352="NPN05"),H352,"")</f>
        <v/>
      </c>
      <c r="BH352" s="44" t="str">
        <f>IF(AND(C352=Master!$H$9,B352="2012-2013",E352="",G352="NPN05"),H352,"")</f>
        <v/>
      </c>
    </row>
    <row r="353" spans="1:60" x14ac:dyDescent="0.25">
      <c r="A353" s="3">
        <v>351</v>
      </c>
      <c r="B353" s="12"/>
      <c r="C353" s="12"/>
      <c r="D353" s="31"/>
      <c r="E353" s="4"/>
      <c r="F353" s="13"/>
      <c r="G353" s="21"/>
      <c r="H353" s="35"/>
      <c r="I353" s="21"/>
      <c r="J353" s="25" t="str">
        <f>IF(NOT(I353=""),INDEX(Master!$B$1:$B$46,MATCH(I353,Master!$A$1:$A$46,0)),"")</f>
        <v/>
      </c>
      <c r="K353" s="18"/>
      <c r="L353" s="86"/>
      <c r="M353" s="13"/>
      <c r="N353" s="13"/>
      <c r="O353" s="18"/>
      <c r="P353" s="35"/>
      <c r="Q353" s="21"/>
      <c r="R353" s="21"/>
      <c r="S353" s="13"/>
      <c r="T353" s="12"/>
      <c r="U353" s="12"/>
      <c r="V353" s="12"/>
      <c r="W353" s="14"/>
      <c r="Y353" s="42" t="str">
        <f>IF(AND(C353=Master!$H$1,B353="2012-2013",E353&gt;1000,G353="PLN03"),H353,"")</f>
        <v/>
      </c>
      <c r="Z353" s="42" t="str">
        <f>IF(AND(C353=Master!$H$1,B353="2012-2013",E353="",G353="PLN03"),H353,"")</f>
        <v/>
      </c>
      <c r="AA353" s="42" t="str">
        <f>IF(AND(C353=Master!$H$2,B353="2012-2013",E353&gt;1000,G353="PLN03"),H353,"")</f>
        <v/>
      </c>
      <c r="AB353" s="42" t="str">
        <f>IF(AND(C353=Master!$H$2,B353="2012-2013",E353="",G353="PLN03"),H353,"")</f>
        <v/>
      </c>
      <c r="AC353" s="42" t="str">
        <f>IF(AND(C353=Master!$H$3,B353="2012-2013",E353&gt;1000,G353="PLN03"),H353,"")</f>
        <v/>
      </c>
      <c r="AD353" s="42" t="str">
        <f>IF(AND(C353=Master!$H$3,B353="2012-2013",E353="",G353="PLN03"),H353,"")</f>
        <v/>
      </c>
      <c r="AE353" s="42" t="str">
        <f>IF(AND(C353=Master!$H$4,B353="2012-2013",E353&gt;1000,G353="PLN03"),H353,"")</f>
        <v/>
      </c>
      <c r="AF353" s="42" t="str">
        <f>IF(AND(C353=Master!$H$4,B353="2012-2013",E353="",G353="PLN03"),H353,"")</f>
        <v/>
      </c>
      <c r="AG353" s="42" t="str">
        <f>IF(AND(C353=Master!$H$5,B353="2012-2013",E353&gt;1000,G353="PLN03"),H353,"")</f>
        <v/>
      </c>
      <c r="AH353" s="42" t="str">
        <f>IF(AND(C353=Master!$H$5,B353="2012-2013",E353="",G353="PLN03"),H353,"")</f>
        <v/>
      </c>
      <c r="AI353" s="42" t="str">
        <f>IF(AND(C353=Master!$H$6,B353="2012-2013",E353&gt;1000,G353="PLN03"),H353,"")</f>
        <v/>
      </c>
      <c r="AJ353" s="42" t="str">
        <f>IF(AND(C353=Master!$H$6,B353="2012-2013",E353="",G353="PLN03"),H353,"")</f>
        <v/>
      </c>
      <c r="AK353" s="42" t="str">
        <f>IF(AND(C353=Master!$H$7,B353="2012-2013",E353&gt;1000,G353="PLN03"),H353,"")</f>
        <v/>
      </c>
      <c r="AL353" s="42" t="str">
        <f>IF(AND(C353=Master!$H$7,B353="2012-2013",E353="",G353="PLN03"),H353,"")</f>
        <v/>
      </c>
      <c r="AM353" s="42" t="str">
        <f>IF(AND(C353=Master!$H$8,B353="2012-2013",E353&gt;1000,G353="PLN03"),H353,"")</f>
        <v/>
      </c>
      <c r="AN353" s="42" t="str">
        <f>IF(AND(C353=Master!$H$8,B353="2012-2013",E353="",G353="PLN03"),H353,"")</f>
        <v/>
      </c>
      <c r="AO353" s="42" t="str">
        <f>IF(AND(C353=Master!$H$9,B353="2012-2013",E353&gt;1000,G353="PLN03"),H353,"")</f>
        <v/>
      </c>
      <c r="AP353" s="42" t="str">
        <f>IF(AND(C353=Master!$H$9,B353="2012-2013",E353="",G353="PLN03"),H353,"")</f>
        <v/>
      </c>
      <c r="AQ353" s="44" t="str">
        <f>IF(AND(C353=Master!$H$1,B353="2012-2013",E353&gt;1000,G353="NPN05"),H353,"")</f>
        <v/>
      </c>
      <c r="AR353" s="44" t="str">
        <f>IF(AND(C353=Master!$H$1,B353="2012-2013",E353="",G353="NPN05"),H353,"")</f>
        <v/>
      </c>
      <c r="AS353" s="44" t="str">
        <f>IF(AND(C353=Master!$H$2,B353="2012-2013",E353&gt;1000,G353="NPN05"),H353,"")</f>
        <v/>
      </c>
      <c r="AT353" s="44" t="str">
        <f>IF(AND(C353=Master!$H$2,B353="2012-2013",E353="",G353="NPN05"),H353,"")</f>
        <v/>
      </c>
      <c r="AU353" s="44" t="str">
        <f>IF(AND(C353=Master!$H$3,B353="2012-2013",E353&gt;1000,G353="NPN05"),H353,"")</f>
        <v/>
      </c>
      <c r="AV353" s="44" t="str">
        <f>IF(AND(C353=Master!$H$3,B353="2012-2013",E353="",G353="NPN05"),H353,"")</f>
        <v/>
      </c>
      <c r="AW353" s="44" t="str">
        <f>IF(AND(C353=Master!$H$4,B353="2012-2013",E353&gt;1000,G353="NPN05"),H353,"")</f>
        <v/>
      </c>
      <c r="AX353" s="44" t="str">
        <f>IF(AND(C353=Master!$H$4,B353="2012-2013",E353="",G353="NPN05"),H353,"")</f>
        <v/>
      </c>
      <c r="AY353" s="44" t="str">
        <f>IF(AND(C353=Master!$H$5,B353="2012-2013",E353&gt;1000,G353="NPN05"),H353,"")</f>
        <v/>
      </c>
      <c r="AZ353" s="44" t="str">
        <f>IF(AND(C353=Master!$H$5,B353="2012-2013",E353="",G353="NPN05"),H353,"")</f>
        <v/>
      </c>
      <c r="BA353" s="44" t="str">
        <f>IF(AND(C353=Master!$H$6,B353="2012-2013",E353&gt;1000,G353="NPN05"),H353,"")</f>
        <v/>
      </c>
      <c r="BB353" s="44" t="str">
        <f>IF(AND(C353=Master!$H$6,B353="2012-2013",E353="",G353="NPN05"),H353,"")</f>
        <v/>
      </c>
      <c r="BC353" s="44" t="str">
        <f>IF(AND(C353=Master!$H$7,B353="2012-2013",E353&gt;1000,G353="NPN05"),H353,"")</f>
        <v/>
      </c>
      <c r="BD353" s="44" t="str">
        <f>IF(AND(C353=Master!$H$7,B353="2012-2013",E353="",G353="NPN05"),H353,"")</f>
        <v/>
      </c>
      <c r="BE353" s="44" t="str">
        <f>IF(AND(C353=Master!$H$8,B353="2012-2013",E353&gt;1000,G353="NPN05"),H353,"")</f>
        <v/>
      </c>
      <c r="BF353" s="44" t="str">
        <f>IF(AND(C353=Master!$H$8,B353="2012-2013",E353="",G353="NPN05"),H353,"")</f>
        <v/>
      </c>
      <c r="BG353" s="44" t="str">
        <f>IF(AND(C353=Master!$H$9,B353="2012-2013",E353&gt;1000,G353="NPN05"),H353,"")</f>
        <v/>
      </c>
      <c r="BH353" s="44" t="str">
        <f>IF(AND(C353=Master!$H$9,B353="2012-2013",E353="",G353="NPN05"),H353,"")</f>
        <v/>
      </c>
    </row>
    <row r="354" spans="1:60" x14ac:dyDescent="0.25">
      <c r="A354" s="3">
        <v>352</v>
      </c>
      <c r="B354" s="12"/>
      <c r="C354" s="12"/>
      <c r="D354" s="31"/>
      <c r="E354" s="4"/>
      <c r="F354" s="13"/>
      <c r="G354" s="21"/>
      <c r="H354" s="35"/>
      <c r="I354" s="21"/>
      <c r="J354" s="25" t="str">
        <f>IF(NOT(I354=""),INDEX(Master!$B$1:$B$46,MATCH(I354,Master!$A$1:$A$46,0)),"")</f>
        <v/>
      </c>
      <c r="K354" s="18"/>
      <c r="L354" s="86"/>
      <c r="M354" s="13"/>
      <c r="N354" s="13"/>
      <c r="O354" s="18"/>
      <c r="P354" s="35"/>
      <c r="Q354" s="21"/>
      <c r="R354" s="21"/>
      <c r="S354" s="13"/>
      <c r="T354" s="12"/>
      <c r="U354" s="12"/>
      <c r="V354" s="12"/>
      <c r="W354" s="14"/>
      <c r="Y354" s="42" t="str">
        <f>IF(AND(C354=Master!$H$1,B354="2012-2013",E354&gt;1000,G354="PLN03"),H354,"")</f>
        <v/>
      </c>
      <c r="Z354" s="42" t="str">
        <f>IF(AND(C354=Master!$H$1,B354="2012-2013",E354="",G354="PLN03"),H354,"")</f>
        <v/>
      </c>
      <c r="AA354" s="42" t="str">
        <f>IF(AND(C354=Master!$H$2,B354="2012-2013",E354&gt;1000,G354="PLN03"),H354,"")</f>
        <v/>
      </c>
      <c r="AB354" s="42" t="str">
        <f>IF(AND(C354=Master!$H$2,B354="2012-2013",E354="",G354="PLN03"),H354,"")</f>
        <v/>
      </c>
      <c r="AC354" s="42" t="str">
        <f>IF(AND(C354=Master!$H$3,B354="2012-2013",E354&gt;1000,G354="PLN03"),H354,"")</f>
        <v/>
      </c>
      <c r="AD354" s="42" t="str">
        <f>IF(AND(C354=Master!$H$3,B354="2012-2013",E354="",G354="PLN03"),H354,"")</f>
        <v/>
      </c>
      <c r="AE354" s="42" t="str">
        <f>IF(AND(C354=Master!$H$4,B354="2012-2013",E354&gt;1000,G354="PLN03"),H354,"")</f>
        <v/>
      </c>
      <c r="AF354" s="42" t="str">
        <f>IF(AND(C354=Master!$H$4,B354="2012-2013",E354="",G354="PLN03"),H354,"")</f>
        <v/>
      </c>
      <c r="AG354" s="42" t="str">
        <f>IF(AND(C354=Master!$H$5,B354="2012-2013",E354&gt;1000,G354="PLN03"),H354,"")</f>
        <v/>
      </c>
      <c r="AH354" s="42" t="str">
        <f>IF(AND(C354=Master!$H$5,B354="2012-2013",E354="",G354="PLN03"),H354,"")</f>
        <v/>
      </c>
      <c r="AI354" s="42" t="str">
        <f>IF(AND(C354=Master!$H$6,B354="2012-2013",E354&gt;1000,G354="PLN03"),H354,"")</f>
        <v/>
      </c>
      <c r="AJ354" s="42" t="str">
        <f>IF(AND(C354=Master!$H$6,B354="2012-2013",E354="",G354="PLN03"),H354,"")</f>
        <v/>
      </c>
      <c r="AK354" s="42" t="str">
        <f>IF(AND(C354=Master!$H$7,B354="2012-2013",E354&gt;1000,G354="PLN03"),H354,"")</f>
        <v/>
      </c>
      <c r="AL354" s="42" t="str">
        <f>IF(AND(C354=Master!$H$7,B354="2012-2013",E354="",G354="PLN03"),H354,"")</f>
        <v/>
      </c>
      <c r="AM354" s="42" t="str">
        <f>IF(AND(C354=Master!$H$8,B354="2012-2013",E354&gt;1000,G354="PLN03"),H354,"")</f>
        <v/>
      </c>
      <c r="AN354" s="42" t="str">
        <f>IF(AND(C354=Master!$H$8,B354="2012-2013",E354="",G354="PLN03"),H354,"")</f>
        <v/>
      </c>
      <c r="AO354" s="42" t="str">
        <f>IF(AND(C354=Master!$H$9,B354="2012-2013",E354&gt;1000,G354="PLN03"),H354,"")</f>
        <v/>
      </c>
      <c r="AP354" s="42" t="str">
        <f>IF(AND(C354=Master!$H$9,B354="2012-2013",E354="",G354="PLN03"),H354,"")</f>
        <v/>
      </c>
      <c r="AQ354" s="44" t="str">
        <f>IF(AND(C354=Master!$H$1,B354="2012-2013",E354&gt;1000,G354="NPN05"),H354,"")</f>
        <v/>
      </c>
      <c r="AR354" s="44" t="str">
        <f>IF(AND(C354=Master!$H$1,B354="2012-2013",E354="",G354="NPN05"),H354,"")</f>
        <v/>
      </c>
      <c r="AS354" s="44" t="str">
        <f>IF(AND(C354=Master!$H$2,B354="2012-2013",E354&gt;1000,G354="NPN05"),H354,"")</f>
        <v/>
      </c>
      <c r="AT354" s="44" t="str">
        <f>IF(AND(C354=Master!$H$2,B354="2012-2013",E354="",G354="NPN05"),H354,"")</f>
        <v/>
      </c>
      <c r="AU354" s="44" t="str">
        <f>IF(AND(C354=Master!$H$3,B354="2012-2013",E354&gt;1000,G354="NPN05"),H354,"")</f>
        <v/>
      </c>
      <c r="AV354" s="44" t="str">
        <f>IF(AND(C354=Master!$H$3,B354="2012-2013",E354="",G354="NPN05"),H354,"")</f>
        <v/>
      </c>
      <c r="AW354" s="44" t="str">
        <f>IF(AND(C354=Master!$H$4,B354="2012-2013",E354&gt;1000,G354="NPN05"),H354,"")</f>
        <v/>
      </c>
      <c r="AX354" s="44" t="str">
        <f>IF(AND(C354=Master!$H$4,B354="2012-2013",E354="",G354="NPN05"),H354,"")</f>
        <v/>
      </c>
      <c r="AY354" s="44" t="str">
        <f>IF(AND(C354=Master!$H$5,B354="2012-2013",E354&gt;1000,G354="NPN05"),H354,"")</f>
        <v/>
      </c>
      <c r="AZ354" s="44" t="str">
        <f>IF(AND(C354=Master!$H$5,B354="2012-2013",E354="",G354="NPN05"),H354,"")</f>
        <v/>
      </c>
      <c r="BA354" s="44" t="str">
        <f>IF(AND(C354=Master!$H$6,B354="2012-2013",E354&gt;1000,G354="NPN05"),H354,"")</f>
        <v/>
      </c>
      <c r="BB354" s="44" t="str">
        <f>IF(AND(C354=Master!$H$6,B354="2012-2013",E354="",G354="NPN05"),H354,"")</f>
        <v/>
      </c>
      <c r="BC354" s="44" t="str">
        <f>IF(AND(C354=Master!$H$7,B354="2012-2013",E354&gt;1000,G354="NPN05"),H354,"")</f>
        <v/>
      </c>
      <c r="BD354" s="44" t="str">
        <f>IF(AND(C354=Master!$H$7,B354="2012-2013",E354="",G354="NPN05"),H354,"")</f>
        <v/>
      </c>
      <c r="BE354" s="44" t="str">
        <f>IF(AND(C354=Master!$H$8,B354="2012-2013",E354&gt;1000,G354="NPN05"),H354,"")</f>
        <v/>
      </c>
      <c r="BF354" s="44" t="str">
        <f>IF(AND(C354=Master!$H$8,B354="2012-2013",E354="",G354="NPN05"),H354,"")</f>
        <v/>
      </c>
      <c r="BG354" s="44" t="str">
        <f>IF(AND(C354=Master!$H$9,B354="2012-2013",E354&gt;1000,G354="NPN05"),H354,"")</f>
        <v/>
      </c>
      <c r="BH354" s="44" t="str">
        <f>IF(AND(C354=Master!$H$9,B354="2012-2013",E354="",G354="NPN05"),H354,"")</f>
        <v/>
      </c>
    </row>
    <row r="355" spans="1:60" x14ac:dyDescent="0.25">
      <c r="A355" s="5">
        <v>353</v>
      </c>
      <c r="B355" s="12"/>
      <c r="C355" s="12"/>
      <c r="D355" s="31"/>
      <c r="E355" s="4"/>
      <c r="F355" s="13"/>
      <c r="G355" s="21"/>
      <c r="H355" s="35"/>
      <c r="I355" s="21"/>
      <c r="J355" s="25" t="str">
        <f>IF(NOT(I355=""),INDEX(Master!$B$1:$B$46,MATCH(I355,Master!$A$1:$A$46,0)),"")</f>
        <v/>
      </c>
      <c r="K355" s="18"/>
      <c r="L355" s="86"/>
      <c r="M355" s="13"/>
      <c r="N355" s="13"/>
      <c r="O355" s="18"/>
      <c r="P355" s="35"/>
      <c r="Q355" s="21"/>
      <c r="R355" s="21"/>
      <c r="S355" s="13"/>
      <c r="T355" s="12"/>
      <c r="U355" s="12"/>
      <c r="V355" s="12"/>
      <c r="W355" s="14"/>
      <c r="Y355" s="42" t="str">
        <f>IF(AND(C355=Master!$H$1,B355="2012-2013",E355&gt;1000,G355="PLN03"),H355,"")</f>
        <v/>
      </c>
      <c r="Z355" s="42" t="str">
        <f>IF(AND(C355=Master!$H$1,B355="2012-2013",E355="",G355="PLN03"),H355,"")</f>
        <v/>
      </c>
      <c r="AA355" s="42" t="str">
        <f>IF(AND(C355=Master!$H$2,B355="2012-2013",E355&gt;1000,G355="PLN03"),H355,"")</f>
        <v/>
      </c>
      <c r="AB355" s="42" t="str">
        <f>IF(AND(C355=Master!$H$2,B355="2012-2013",E355="",G355="PLN03"),H355,"")</f>
        <v/>
      </c>
      <c r="AC355" s="42" t="str">
        <f>IF(AND(C355=Master!$H$3,B355="2012-2013",E355&gt;1000,G355="PLN03"),H355,"")</f>
        <v/>
      </c>
      <c r="AD355" s="42" t="str">
        <f>IF(AND(C355=Master!$H$3,B355="2012-2013",E355="",G355="PLN03"),H355,"")</f>
        <v/>
      </c>
      <c r="AE355" s="42" t="str">
        <f>IF(AND(C355=Master!$H$4,B355="2012-2013",E355&gt;1000,G355="PLN03"),H355,"")</f>
        <v/>
      </c>
      <c r="AF355" s="42" t="str">
        <f>IF(AND(C355=Master!$H$4,B355="2012-2013",E355="",G355="PLN03"),H355,"")</f>
        <v/>
      </c>
      <c r="AG355" s="42" t="str">
        <f>IF(AND(C355=Master!$H$5,B355="2012-2013",E355&gt;1000,G355="PLN03"),H355,"")</f>
        <v/>
      </c>
      <c r="AH355" s="42" t="str">
        <f>IF(AND(C355=Master!$H$5,B355="2012-2013",E355="",G355="PLN03"),H355,"")</f>
        <v/>
      </c>
      <c r="AI355" s="42" t="str">
        <f>IF(AND(C355=Master!$H$6,B355="2012-2013",E355&gt;1000,G355="PLN03"),H355,"")</f>
        <v/>
      </c>
      <c r="AJ355" s="42" t="str">
        <f>IF(AND(C355=Master!$H$6,B355="2012-2013",E355="",G355="PLN03"),H355,"")</f>
        <v/>
      </c>
      <c r="AK355" s="42" t="str">
        <f>IF(AND(C355=Master!$H$7,B355="2012-2013",E355&gt;1000,G355="PLN03"),H355,"")</f>
        <v/>
      </c>
      <c r="AL355" s="42" t="str">
        <f>IF(AND(C355=Master!$H$7,B355="2012-2013",E355="",G355="PLN03"),H355,"")</f>
        <v/>
      </c>
      <c r="AM355" s="42" t="str">
        <f>IF(AND(C355=Master!$H$8,B355="2012-2013",E355&gt;1000,G355="PLN03"),H355,"")</f>
        <v/>
      </c>
      <c r="AN355" s="42" t="str">
        <f>IF(AND(C355=Master!$H$8,B355="2012-2013",E355="",G355="PLN03"),H355,"")</f>
        <v/>
      </c>
      <c r="AO355" s="42" t="str">
        <f>IF(AND(C355=Master!$H$9,B355="2012-2013",E355&gt;1000,G355="PLN03"),H355,"")</f>
        <v/>
      </c>
      <c r="AP355" s="42" t="str">
        <f>IF(AND(C355=Master!$H$9,B355="2012-2013",E355="",G355="PLN03"),H355,"")</f>
        <v/>
      </c>
      <c r="AQ355" s="44" t="str">
        <f>IF(AND(C355=Master!$H$1,B355="2012-2013",E355&gt;1000,G355="NPN05"),H355,"")</f>
        <v/>
      </c>
      <c r="AR355" s="44" t="str">
        <f>IF(AND(C355=Master!$H$1,B355="2012-2013",E355="",G355="NPN05"),H355,"")</f>
        <v/>
      </c>
      <c r="AS355" s="44" t="str">
        <f>IF(AND(C355=Master!$H$2,B355="2012-2013",E355&gt;1000,G355="NPN05"),H355,"")</f>
        <v/>
      </c>
      <c r="AT355" s="44" t="str">
        <f>IF(AND(C355=Master!$H$2,B355="2012-2013",E355="",G355="NPN05"),H355,"")</f>
        <v/>
      </c>
      <c r="AU355" s="44" t="str">
        <f>IF(AND(C355=Master!$H$3,B355="2012-2013",E355&gt;1000,G355="NPN05"),H355,"")</f>
        <v/>
      </c>
      <c r="AV355" s="44" t="str">
        <f>IF(AND(C355=Master!$H$3,B355="2012-2013",E355="",G355="NPN05"),H355,"")</f>
        <v/>
      </c>
      <c r="AW355" s="44" t="str">
        <f>IF(AND(C355=Master!$H$4,B355="2012-2013",E355&gt;1000,G355="NPN05"),H355,"")</f>
        <v/>
      </c>
      <c r="AX355" s="44" t="str">
        <f>IF(AND(C355=Master!$H$4,B355="2012-2013",E355="",G355="NPN05"),H355,"")</f>
        <v/>
      </c>
      <c r="AY355" s="44" t="str">
        <f>IF(AND(C355=Master!$H$5,B355="2012-2013",E355&gt;1000,G355="NPN05"),H355,"")</f>
        <v/>
      </c>
      <c r="AZ355" s="44" t="str">
        <f>IF(AND(C355=Master!$H$5,B355="2012-2013",E355="",G355="NPN05"),H355,"")</f>
        <v/>
      </c>
      <c r="BA355" s="44" t="str">
        <f>IF(AND(C355=Master!$H$6,B355="2012-2013",E355&gt;1000,G355="NPN05"),H355,"")</f>
        <v/>
      </c>
      <c r="BB355" s="44" t="str">
        <f>IF(AND(C355=Master!$H$6,B355="2012-2013",E355="",G355="NPN05"),H355,"")</f>
        <v/>
      </c>
      <c r="BC355" s="44" t="str">
        <f>IF(AND(C355=Master!$H$7,B355="2012-2013",E355&gt;1000,G355="NPN05"),H355,"")</f>
        <v/>
      </c>
      <c r="BD355" s="44" t="str">
        <f>IF(AND(C355=Master!$H$7,B355="2012-2013",E355="",G355="NPN05"),H355,"")</f>
        <v/>
      </c>
      <c r="BE355" s="44" t="str">
        <f>IF(AND(C355=Master!$H$8,B355="2012-2013",E355&gt;1000,G355="NPN05"),H355,"")</f>
        <v/>
      </c>
      <c r="BF355" s="44" t="str">
        <f>IF(AND(C355=Master!$H$8,B355="2012-2013",E355="",G355="NPN05"),H355,"")</f>
        <v/>
      </c>
      <c r="BG355" s="44" t="str">
        <f>IF(AND(C355=Master!$H$9,B355="2012-2013",E355&gt;1000,G355="NPN05"),H355,"")</f>
        <v/>
      </c>
      <c r="BH355" s="44" t="str">
        <f>IF(AND(C355=Master!$H$9,B355="2012-2013",E355="",G355="NPN05"),H355,"")</f>
        <v/>
      </c>
    </row>
    <row r="356" spans="1:60" x14ac:dyDescent="0.25">
      <c r="A356" s="3">
        <v>354</v>
      </c>
      <c r="B356" s="12"/>
      <c r="C356" s="12"/>
      <c r="D356" s="31"/>
      <c r="E356" s="4"/>
      <c r="F356" s="13"/>
      <c r="G356" s="21"/>
      <c r="H356" s="35"/>
      <c r="I356" s="21"/>
      <c r="J356" s="25" t="str">
        <f>IF(NOT(I356=""),INDEX(Master!$B$1:$B$46,MATCH(I356,Master!$A$1:$A$46,0)),"")</f>
        <v/>
      </c>
      <c r="K356" s="18"/>
      <c r="L356" s="86"/>
      <c r="M356" s="13"/>
      <c r="N356" s="13"/>
      <c r="O356" s="18"/>
      <c r="P356" s="35"/>
      <c r="Q356" s="21"/>
      <c r="R356" s="21"/>
      <c r="S356" s="13"/>
      <c r="T356" s="12"/>
      <c r="U356" s="12"/>
      <c r="V356" s="12"/>
      <c r="W356" s="14"/>
      <c r="Y356" s="42" t="str">
        <f>IF(AND(C356=Master!$H$1,B356="2012-2013",E356&gt;1000,G356="PLN03"),H356,"")</f>
        <v/>
      </c>
      <c r="Z356" s="42" t="str">
        <f>IF(AND(C356=Master!$H$1,B356="2012-2013",E356="",G356="PLN03"),H356,"")</f>
        <v/>
      </c>
      <c r="AA356" s="42" t="str">
        <f>IF(AND(C356=Master!$H$2,B356="2012-2013",E356&gt;1000,G356="PLN03"),H356,"")</f>
        <v/>
      </c>
      <c r="AB356" s="42" t="str">
        <f>IF(AND(C356=Master!$H$2,B356="2012-2013",E356="",G356="PLN03"),H356,"")</f>
        <v/>
      </c>
      <c r="AC356" s="42" t="str">
        <f>IF(AND(C356=Master!$H$3,B356="2012-2013",E356&gt;1000,G356="PLN03"),H356,"")</f>
        <v/>
      </c>
      <c r="AD356" s="42" t="str">
        <f>IF(AND(C356=Master!$H$3,B356="2012-2013",E356="",G356="PLN03"),H356,"")</f>
        <v/>
      </c>
      <c r="AE356" s="42" t="str">
        <f>IF(AND(C356=Master!$H$4,B356="2012-2013",E356&gt;1000,G356="PLN03"),H356,"")</f>
        <v/>
      </c>
      <c r="AF356" s="42" t="str">
        <f>IF(AND(C356=Master!$H$4,B356="2012-2013",E356="",G356="PLN03"),H356,"")</f>
        <v/>
      </c>
      <c r="AG356" s="42" t="str">
        <f>IF(AND(C356=Master!$H$5,B356="2012-2013",E356&gt;1000,G356="PLN03"),H356,"")</f>
        <v/>
      </c>
      <c r="AH356" s="42" t="str">
        <f>IF(AND(C356=Master!$H$5,B356="2012-2013",E356="",G356="PLN03"),H356,"")</f>
        <v/>
      </c>
      <c r="AI356" s="42" t="str">
        <f>IF(AND(C356=Master!$H$6,B356="2012-2013",E356&gt;1000,G356="PLN03"),H356,"")</f>
        <v/>
      </c>
      <c r="AJ356" s="42" t="str">
        <f>IF(AND(C356=Master!$H$6,B356="2012-2013",E356="",G356="PLN03"),H356,"")</f>
        <v/>
      </c>
      <c r="AK356" s="42" t="str">
        <f>IF(AND(C356=Master!$H$7,B356="2012-2013",E356&gt;1000,G356="PLN03"),H356,"")</f>
        <v/>
      </c>
      <c r="AL356" s="42" t="str">
        <f>IF(AND(C356=Master!$H$7,B356="2012-2013",E356="",G356="PLN03"),H356,"")</f>
        <v/>
      </c>
      <c r="AM356" s="42" t="str">
        <f>IF(AND(C356=Master!$H$8,B356="2012-2013",E356&gt;1000,G356="PLN03"),H356,"")</f>
        <v/>
      </c>
      <c r="AN356" s="42" t="str">
        <f>IF(AND(C356=Master!$H$8,B356="2012-2013",E356="",G356="PLN03"),H356,"")</f>
        <v/>
      </c>
      <c r="AO356" s="42" t="str">
        <f>IF(AND(C356=Master!$H$9,B356="2012-2013",E356&gt;1000,G356="PLN03"),H356,"")</f>
        <v/>
      </c>
      <c r="AP356" s="42" t="str">
        <f>IF(AND(C356=Master!$H$9,B356="2012-2013",E356="",G356="PLN03"),H356,"")</f>
        <v/>
      </c>
      <c r="AQ356" s="44" t="str">
        <f>IF(AND(C356=Master!$H$1,B356="2012-2013",E356&gt;1000,G356="NPN05"),H356,"")</f>
        <v/>
      </c>
      <c r="AR356" s="44" t="str">
        <f>IF(AND(C356=Master!$H$1,B356="2012-2013",E356="",G356="NPN05"),H356,"")</f>
        <v/>
      </c>
      <c r="AS356" s="44" t="str">
        <f>IF(AND(C356=Master!$H$2,B356="2012-2013",E356&gt;1000,G356="NPN05"),H356,"")</f>
        <v/>
      </c>
      <c r="AT356" s="44" t="str">
        <f>IF(AND(C356=Master!$H$2,B356="2012-2013",E356="",G356="NPN05"),H356,"")</f>
        <v/>
      </c>
      <c r="AU356" s="44" t="str">
        <f>IF(AND(C356=Master!$H$3,B356="2012-2013",E356&gt;1000,G356="NPN05"),H356,"")</f>
        <v/>
      </c>
      <c r="AV356" s="44" t="str">
        <f>IF(AND(C356=Master!$H$3,B356="2012-2013",E356="",G356="NPN05"),H356,"")</f>
        <v/>
      </c>
      <c r="AW356" s="44" t="str">
        <f>IF(AND(C356=Master!$H$4,B356="2012-2013",E356&gt;1000,G356="NPN05"),H356,"")</f>
        <v/>
      </c>
      <c r="AX356" s="44" t="str">
        <f>IF(AND(C356=Master!$H$4,B356="2012-2013",E356="",G356="NPN05"),H356,"")</f>
        <v/>
      </c>
      <c r="AY356" s="44" t="str">
        <f>IF(AND(C356=Master!$H$5,B356="2012-2013",E356&gt;1000,G356="NPN05"),H356,"")</f>
        <v/>
      </c>
      <c r="AZ356" s="44" t="str">
        <f>IF(AND(C356=Master!$H$5,B356="2012-2013",E356="",G356="NPN05"),H356,"")</f>
        <v/>
      </c>
      <c r="BA356" s="44" t="str">
        <f>IF(AND(C356=Master!$H$6,B356="2012-2013",E356&gt;1000,G356="NPN05"),H356,"")</f>
        <v/>
      </c>
      <c r="BB356" s="44" t="str">
        <f>IF(AND(C356=Master!$H$6,B356="2012-2013",E356="",G356="NPN05"),H356,"")</f>
        <v/>
      </c>
      <c r="BC356" s="44" t="str">
        <f>IF(AND(C356=Master!$H$7,B356="2012-2013",E356&gt;1000,G356="NPN05"),H356,"")</f>
        <v/>
      </c>
      <c r="BD356" s="44" t="str">
        <f>IF(AND(C356=Master!$H$7,B356="2012-2013",E356="",G356="NPN05"),H356,"")</f>
        <v/>
      </c>
      <c r="BE356" s="44" t="str">
        <f>IF(AND(C356=Master!$H$8,B356="2012-2013",E356&gt;1000,G356="NPN05"),H356,"")</f>
        <v/>
      </c>
      <c r="BF356" s="44" t="str">
        <f>IF(AND(C356=Master!$H$8,B356="2012-2013",E356="",G356="NPN05"),H356,"")</f>
        <v/>
      </c>
      <c r="BG356" s="44" t="str">
        <f>IF(AND(C356=Master!$H$9,B356="2012-2013",E356&gt;1000,G356="NPN05"),H356,"")</f>
        <v/>
      </c>
      <c r="BH356" s="44" t="str">
        <f>IF(AND(C356=Master!$H$9,B356="2012-2013",E356="",G356="NPN05"),H356,"")</f>
        <v/>
      </c>
    </row>
    <row r="357" spans="1:60" x14ac:dyDescent="0.25">
      <c r="A357" s="3">
        <v>355</v>
      </c>
      <c r="B357" s="12"/>
      <c r="C357" s="12"/>
      <c r="D357" s="31"/>
      <c r="E357" s="4"/>
      <c r="F357" s="13"/>
      <c r="G357" s="21"/>
      <c r="H357" s="35"/>
      <c r="I357" s="21"/>
      <c r="J357" s="25" t="str">
        <f>IF(NOT(I357=""),INDEX(Master!$B$1:$B$46,MATCH(I357,Master!$A$1:$A$46,0)),"")</f>
        <v/>
      </c>
      <c r="K357" s="18"/>
      <c r="L357" s="86"/>
      <c r="M357" s="13"/>
      <c r="N357" s="13"/>
      <c r="O357" s="18"/>
      <c r="P357" s="35"/>
      <c r="Q357" s="21"/>
      <c r="R357" s="21"/>
      <c r="S357" s="13"/>
      <c r="T357" s="12"/>
      <c r="U357" s="12"/>
      <c r="V357" s="12"/>
      <c r="W357" s="14"/>
      <c r="Y357" s="42" t="str">
        <f>IF(AND(C357=Master!$H$1,B357="2012-2013",E357&gt;1000,G357="PLN03"),H357,"")</f>
        <v/>
      </c>
      <c r="Z357" s="42" t="str">
        <f>IF(AND(C357=Master!$H$1,B357="2012-2013",E357="",G357="PLN03"),H357,"")</f>
        <v/>
      </c>
      <c r="AA357" s="42" t="str">
        <f>IF(AND(C357=Master!$H$2,B357="2012-2013",E357&gt;1000,G357="PLN03"),H357,"")</f>
        <v/>
      </c>
      <c r="AB357" s="42" t="str">
        <f>IF(AND(C357=Master!$H$2,B357="2012-2013",E357="",G357="PLN03"),H357,"")</f>
        <v/>
      </c>
      <c r="AC357" s="42" t="str">
        <f>IF(AND(C357=Master!$H$3,B357="2012-2013",E357&gt;1000,G357="PLN03"),H357,"")</f>
        <v/>
      </c>
      <c r="AD357" s="42" t="str">
        <f>IF(AND(C357=Master!$H$3,B357="2012-2013",E357="",G357="PLN03"),H357,"")</f>
        <v/>
      </c>
      <c r="AE357" s="42" t="str">
        <f>IF(AND(C357=Master!$H$4,B357="2012-2013",E357&gt;1000,G357="PLN03"),H357,"")</f>
        <v/>
      </c>
      <c r="AF357" s="42" t="str">
        <f>IF(AND(C357=Master!$H$4,B357="2012-2013",E357="",G357="PLN03"),H357,"")</f>
        <v/>
      </c>
      <c r="AG357" s="42" t="str">
        <f>IF(AND(C357=Master!$H$5,B357="2012-2013",E357&gt;1000,G357="PLN03"),H357,"")</f>
        <v/>
      </c>
      <c r="AH357" s="42" t="str">
        <f>IF(AND(C357=Master!$H$5,B357="2012-2013",E357="",G357="PLN03"),H357,"")</f>
        <v/>
      </c>
      <c r="AI357" s="42" t="str">
        <f>IF(AND(C357=Master!$H$6,B357="2012-2013",E357&gt;1000,G357="PLN03"),H357,"")</f>
        <v/>
      </c>
      <c r="AJ357" s="42" t="str">
        <f>IF(AND(C357=Master!$H$6,B357="2012-2013",E357="",G357="PLN03"),H357,"")</f>
        <v/>
      </c>
      <c r="AK357" s="42" t="str">
        <f>IF(AND(C357=Master!$H$7,B357="2012-2013",E357&gt;1000,G357="PLN03"),H357,"")</f>
        <v/>
      </c>
      <c r="AL357" s="42" t="str">
        <f>IF(AND(C357=Master!$H$7,B357="2012-2013",E357="",G357="PLN03"),H357,"")</f>
        <v/>
      </c>
      <c r="AM357" s="42" t="str">
        <f>IF(AND(C357=Master!$H$8,B357="2012-2013",E357&gt;1000,G357="PLN03"),H357,"")</f>
        <v/>
      </c>
      <c r="AN357" s="42" t="str">
        <f>IF(AND(C357=Master!$H$8,B357="2012-2013",E357="",G357="PLN03"),H357,"")</f>
        <v/>
      </c>
      <c r="AO357" s="42" t="str">
        <f>IF(AND(C357=Master!$H$9,B357="2012-2013",E357&gt;1000,G357="PLN03"),H357,"")</f>
        <v/>
      </c>
      <c r="AP357" s="42" t="str">
        <f>IF(AND(C357=Master!$H$9,B357="2012-2013",E357="",G357="PLN03"),H357,"")</f>
        <v/>
      </c>
      <c r="AQ357" s="44" t="str">
        <f>IF(AND(C357=Master!$H$1,B357="2012-2013",E357&gt;1000,G357="NPN05"),H357,"")</f>
        <v/>
      </c>
      <c r="AR357" s="44" t="str">
        <f>IF(AND(C357=Master!$H$1,B357="2012-2013",E357="",G357="NPN05"),H357,"")</f>
        <v/>
      </c>
      <c r="AS357" s="44" t="str">
        <f>IF(AND(C357=Master!$H$2,B357="2012-2013",E357&gt;1000,G357="NPN05"),H357,"")</f>
        <v/>
      </c>
      <c r="AT357" s="44" t="str">
        <f>IF(AND(C357=Master!$H$2,B357="2012-2013",E357="",G357="NPN05"),H357,"")</f>
        <v/>
      </c>
      <c r="AU357" s="44" t="str">
        <f>IF(AND(C357=Master!$H$3,B357="2012-2013",E357&gt;1000,G357="NPN05"),H357,"")</f>
        <v/>
      </c>
      <c r="AV357" s="44" t="str">
        <f>IF(AND(C357=Master!$H$3,B357="2012-2013",E357="",G357="NPN05"),H357,"")</f>
        <v/>
      </c>
      <c r="AW357" s="44" t="str">
        <f>IF(AND(C357=Master!$H$4,B357="2012-2013",E357&gt;1000,G357="NPN05"),H357,"")</f>
        <v/>
      </c>
      <c r="AX357" s="44" t="str">
        <f>IF(AND(C357=Master!$H$4,B357="2012-2013",E357="",G357="NPN05"),H357,"")</f>
        <v/>
      </c>
      <c r="AY357" s="44" t="str">
        <f>IF(AND(C357=Master!$H$5,B357="2012-2013",E357&gt;1000,G357="NPN05"),H357,"")</f>
        <v/>
      </c>
      <c r="AZ357" s="44" t="str">
        <f>IF(AND(C357=Master!$H$5,B357="2012-2013",E357="",G357="NPN05"),H357,"")</f>
        <v/>
      </c>
      <c r="BA357" s="44" t="str">
        <f>IF(AND(C357=Master!$H$6,B357="2012-2013",E357&gt;1000,G357="NPN05"),H357,"")</f>
        <v/>
      </c>
      <c r="BB357" s="44" t="str">
        <f>IF(AND(C357=Master!$H$6,B357="2012-2013",E357="",G357="NPN05"),H357,"")</f>
        <v/>
      </c>
      <c r="BC357" s="44" t="str">
        <f>IF(AND(C357=Master!$H$7,B357="2012-2013",E357&gt;1000,G357="NPN05"),H357,"")</f>
        <v/>
      </c>
      <c r="BD357" s="44" t="str">
        <f>IF(AND(C357=Master!$H$7,B357="2012-2013",E357="",G357="NPN05"),H357,"")</f>
        <v/>
      </c>
      <c r="BE357" s="44" t="str">
        <f>IF(AND(C357=Master!$H$8,B357="2012-2013",E357&gt;1000,G357="NPN05"),H357,"")</f>
        <v/>
      </c>
      <c r="BF357" s="44" t="str">
        <f>IF(AND(C357=Master!$H$8,B357="2012-2013",E357="",G357="NPN05"),H357,"")</f>
        <v/>
      </c>
      <c r="BG357" s="44" t="str">
        <f>IF(AND(C357=Master!$H$9,B357="2012-2013",E357&gt;1000,G357="NPN05"),H357,"")</f>
        <v/>
      </c>
      <c r="BH357" s="44" t="str">
        <f>IF(AND(C357=Master!$H$9,B357="2012-2013",E357="",G357="NPN05"),H357,"")</f>
        <v/>
      </c>
    </row>
    <row r="358" spans="1:60" x14ac:dyDescent="0.25">
      <c r="A358" s="3">
        <v>356</v>
      </c>
      <c r="B358" s="12"/>
      <c r="C358" s="12"/>
      <c r="D358" s="31"/>
      <c r="E358" s="4"/>
      <c r="F358" s="13"/>
      <c r="G358" s="21"/>
      <c r="H358" s="35"/>
      <c r="I358" s="21"/>
      <c r="J358" s="25" t="str">
        <f>IF(NOT(I358=""),INDEX(Master!$B$1:$B$46,MATCH(I358,Master!$A$1:$A$46,0)),"")</f>
        <v/>
      </c>
      <c r="K358" s="18"/>
      <c r="L358" s="86"/>
      <c r="M358" s="13"/>
      <c r="N358" s="13"/>
      <c r="O358" s="18"/>
      <c r="P358" s="35"/>
      <c r="Q358" s="21"/>
      <c r="R358" s="21"/>
      <c r="S358" s="13"/>
      <c r="T358" s="12"/>
      <c r="U358" s="12"/>
      <c r="V358" s="12"/>
      <c r="W358" s="14"/>
      <c r="Y358" s="42" t="str">
        <f>IF(AND(C358=Master!$H$1,B358="2012-2013",E358&gt;1000,G358="PLN03"),H358,"")</f>
        <v/>
      </c>
      <c r="Z358" s="42" t="str">
        <f>IF(AND(C358=Master!$H$1,B358="2012-2013",E358="",G358="PLN03"),H358,"")</f>
        <v/>
      </c>
      <c r="AA358" s="42" t="str">
        <f>IF(AND(C358=Master!$H$2,B358="2012-2013",E358&gt;1000,G358="PLN03"),H358,"")</f>
        <v/>
      </c>
      <c r="AB358" s="42" t="str">
        <f>IF(AND(C358=Master!$H$2,B358="2012-2013",E358="",G358="PLN03"),H358,"")</f>
        <v/>
      </c>
      <c r="AC358" s="42" t="str">
        <f>IF(AND(C358=Master!$H$3,B358="2012-2013",E358&gt;1000,G358="PLN03"),H358,"")</f>
        <v/>
      </c>
      <c r="AD358" s="42" t="str">
        <f>IF(AND(C358=Master!$H$3,B358="2012-2013",E358="",G358="PLN03"),H358,"")</f>
        <v/>
      </c>
      <c r="AE358" s="42" t="str">
        <f>IF(AND(C358=Master!$H$4,B358="2012-2013",E358&gt;1000,G358="PLN03"),H358,"")</f>
        <v/>
      </c>
      <c r="AF358" s="42" t="str">
        <f>IF(AND(C358=Master!$H$4,B358="2012-2013",E358="",G358="PLN03"),H358,"")</f>
        <v/>
      </c>
      <c r="AG358" s="42" t="str">
        <f>IF(AND(C358=Master!$H$5,B358="2012-2013",E358&gt;1000,G358="PLN03"),H358,"")</f>
        <v/>
      </c>
      <c r="AH358" s="42" t="str">
        <f>IF(AND(C358=Master!$H$5,B358="2012-2013",E358="",G358="PLN03"),H358,"")</f>
        <v/>
      </c>
      <c r="AI358" s="42" t="str">
        <f>IF(AND(C358=Master!$H$6,B358="2012-2013",E358&gt;1000,G358="PLN03"),H358,"")</f>
        <v/>
      </c>
      <c r="AJ358" s="42" t="str">
        <f>IF(AND(C358=Master!$H$6,B358="2012-2013",E358="",G358="PLN03"),H358,"")</f>
        <v/>
      </c>
      <c r="AK358" s="42" t="str">
        <f>IF(AND(C358=Master!$H$7,B358="2012-2013",E358&gt;1000,G358="PLN03"),H358,"")</f>
        <v/>
      </c>
      <c r="AL358" s="42" t="str">
        <f>IF(AND(C358=Master!$H$7,B358="2012-2013",E358="",G358="PLN03"),H358,"")</f>
        <v/>
      </c>
      <c r="AM358" s="42" t="str">
        <f>IF(AND(C358=Master!$H$8,B358="2012-2013",E358&gt;1000,G358="PLN03"),H358,"")</f>
        <v/>
      </c>
      <c r="AN358" s="42" t="str">
        <f>IF(AND(C358=Master!$H$8,B358="2012-2013",E358="",G358="PLN03"),H358,"")</f>
        <v/>
      </c>
      <c r="AO358" s="42" t="str">
        <f>IF(AND(C358=Master!$H$9,B358="2012-2013",E358&gt;1000,G358="PLN03"),H358,"")</f>
        <v/>
      </c>
      <c r="AP358" s="42" t="str">
        <f>IF(AND(C358=Master!$H$9,B358="2012-2013",E358="",G358="PLN03"),H358,"")</f>
        <v/>
      </c>
      <c r="AQ358" s="44" t="str">
        <f>IF(AND(C358=Master!$H$1,B358="2012-2013",E358&gt;1000,G358="NPN05"),H358,"")</f>
        <v/>
      </c>
      <c r="AR358" s="44" t="str">
        <f>IF(AND(C358=Master!$H$1,B358="2012-2013",E358="",G358="NPN05"),H358,"")</f>
        <v/>
      </c>
      <c r="AS358" s="44" t="str">
        <f>IF(AND(C358=Master!$H$2,B358="2012-2013",E358&gt;1000,G358="NPN05"),H358,"")</f>
        <v/>
      </c>
      <c r="AT358" s="44" t="str">
        <f>IF(AND(C358=Master!$H$2,B358="2012-2013",E358="",G358="NPN05"),H358,"")</f>
        <v/>
      </c>
      <c r="AU358" s="44" t="str">
        <f>IF(AND(C358=Master!$H$3,B358="2012-2013",E358&gt;1000,G358="NPN05"),H358,"")</f>
        <v/>
      </c>
      <c r="AV358" s="44" t="str">
        <f>IF(AND(C358=Master!$H$3,B358="2012-2013",E358="",G358="NPN05"),H358,"")</f>
        <v/>
      </c>
      <c r="AW358" s="44" t="str">
        <f>IF(AND(C358=Master!$H$4,B358="2012-2013",E358&gt;1000,G358="NPN05"),H358,"")</f>
        <v/>
      </c>
      <c r="AX358" s="44" t="str">
        <f>IF(AND(C358=Master!$H$4,B358="2012-2013",E358="",G358="NPN05"),H358,"")</f>
        <v/>
      </c>
      <c r="AY358" s="44" t="str">
        <f>IF(AND(C358=Master!$H$5,B358="2012-2013",E358&gt;1000,G358="NPN05"),H358,"")</f>
        <v/>
      </c>
      <c r="AZ358" s="44" t="str">
        <f>IF(AND(C358=Master!$H$5,B358="2012-2013",E358="",G358="NPN05"),H358,"")</f>
        <v/>
      </c>
      <c r="BA358" s="44" t="str">
        <f>IF(AND(C358=Master!$H$6,B358="2012-2013",E358&gt;1000,G358="NPN05"),H358,"")</f>
        <v/>
      </c>
      <c r="BB358" s="44" t="str">
        <f>IF(AND(C358=Master!$H$6,B358="2012-2013",E358="",G358="NPN05"),H358,"")</f>
        <v/>
      </c>
      <c r="BC358" s="44" t="str">
        <f>IF(AND(C358=Master!$H$7,B358="2012-2013",E358&gt;1000,G358="NPN05"),H358,"")</f>
        <v/>
      </c>
      <c r="BD358" s="44" t="str">
        <f>IF(AND(C358=Master!$H$7,B358="2012-2013",E358="",G358="NPN05"),H358,"")</f>
        <v/>
      </c>
      <c r="BE358" s="44" t="str">
        <f>IF(AND(C358=Master!$H$8,B358="2012-2013",E358&gt;1000,G358="NPN05"),H358,"")</f>
        <v/>
      </c>
      <c r="BF358" s="44" t="str">
        <f>IF(AND(C358=Master!$H$8,B358="2012-2013",E358="",G358="NPN05"),H358,"")</f>
        <v/>
      </c>
      <c r="BG358" s="44" t="str">
        <f>IF(AND(C358=Master!$H$9,B358="2012-2013",E358&gt;1000,G358="NPN05"),H358,"")</f>
        <v/>
      </c>
      <c r="BH358" s="44" t="str">
        <f>IF(AND(C358=Master!$H$9,B358="2012-2013",E358="",G358="NPN05"),H358,"")</f>
        <v/>
      </c>
    </row>
    <row r="359" spans="1:60" x14ac:dyDescent="0.25">
      <c r="A359" s="3">
        <v>357</v>
      </c>
      <c r="B359" s="12"/>
      <c r="C359" s="12"/>
      <c r="D359" s="31"/>
      <c r="E359" s="4"/>
      <c r="F359" s="13"/>
      <c r="G359" s="21"/>
      <c r="H359" s="35"/>
      <c r="I359" s="21"/>
      <c r="J359" s="25" t="str">
        <f>IF(NOT(I359=""),INDEX(Master!$B$1:$B$46,MATCH(I359,Master!$A$1:$A$46,0)),"")</f>
        <v/>
      </c>
      <c r="K359" s="18"/>
      <c r="L359" s="86"/>
      <c r="M359" s="13"/>
      <c r="N359" s="13"/>
      <c r="O359" s="18"/>
      <c r="P359" s="35"/>
      <c r="Q359" s="21"/>
      <c r="R359" s="21"/>
      <c r="S359" s="13"/>
      <c r="T359" s="12"/>
      <c r="U359" s="12"/>
      <c r="V359" s="12"/>
      <c r="W359" s="14"/>
      <c r="Y359" s="42" t="str">
        <f>IF(AND(C359=Master!$H$1,B359="2012-2013",E359&gt;1000,G359="PLN03"),H359,"")</f>
        <v/>
      </c>
      <c r="Z359" s="42" t="str">
        <f>IF(AND(C359=Master!$H$1,B359="2012-2013",E359="",G359="PLN03"),H359,"")</f>
        <v/>
      </c>
      <c r="AA359" s="42" t="str">
        <f>IF(AND(C359=Master!$H$2,B359="2012-2013",E359&gt;1000,G359="PLN03"),H359,"")</f>
        <v/>
      </c>
      <c r="AB359" s="42" t="str">
        <f>IF(AND(C359=Master!$H$2,B359="2012-2013",E359="",G359="PLN03"),H359,"")</f>
        <v/>
      </c>
      <c r="AC359" s="42" t="str">
        <f>IF(AND(C359=Master!$H$3,B359="2012-2013",E359&gt;1000,G359="PLN03"),H359,"")</f>
        <v/>
      </c>
      <c r="AD359" s="42" t="str">
        <f>IF(AND(C359=Master!$H$3,B359="2012-2013",E359="",G359="PLN03"),H359,"")</f>
        <v/>
      </c>
      <c r="AE359" s="42" t="str">
        <f>IF(AND(C359=Master!$H$4,B359="2012-2013",E359&gt;1000,G359="PLN03"),H359,"")</f>
        <v/>
      </c>
      <c r="AF359" s="42" t="str">
        <f>IF(AND(C359=Master!$H$4,B359="2012-2013",E359="",G359="PLN03"),H359,"")</f>
        <v/>
      </c>
      <c r="AG359" s="42" t="str">
        <f>IF(AND(C359=Master!$H$5,B359="2012-2013",E359&gt;1000,G359="PLN03"),H359,"")</f>
        <v/>
      </c>
      <c r="AH359" s="42" t="str">
        <f>IF(AND(C359=Master!$H$5,B359="2012-2013",E359="",G359="PLN03"),H359,"")</f>
        <v/>
      </c>
      <c r="AI359" s="42" t="str">
        <f>IF(AND(C359=Master!$H$6,B359="2012-2013",E359&gt;1000,G359="PLN03"),H359,"")</f>
        <v/>
      </c>
      <c r="AJ359" s="42" t="str">
        <f>IF(AND(C359=Master!$H$6,B359="2012-2013",E359="",G359="PLN03"),H359,"")</f>
        <v/>
      </c>
      <c r="AK359" s="42" t="str">
        <f>IF(AND(C359=Master!$H$7,B359="2012-2013",E359&gt;1000,G359="PLN03"),H359,"")</f>
        <v/>
      </c>
      <c r="AL359" s="42" t="str">
        <f>IF(AND(C359=Master!$H$7,B359="2012-2013",E359="",G359="PLN03"),H359,"")</f>
        <v/>
      </c>
      <c r="AM359" s="42" t="str">
        <f>IF(AND(C359=Master!$H$8,B359="2012-2013",E359&gt;1000,G359="PLN03"),H359,"")</f>
        <v/>
      </c>
      <c r="AN359" s="42" t="str">
        <f>IF(AND(C359=Master!$H$8,B359="2012-2013",E359="",G359="PLN03"),H359,"")</f>
        <v/>
      </c>
      <c r="AO359" s="42" t="str">
        <f>IF(AND(C359=Master!$H$9,B359="2012-2013",E359&gt;1000,G359="PLN03"),H359,"")</f>
        <v/>
      </c>
      <c r="AP359" s="42" t="str">
        <f>IF(AND(C359=Master!$H$9,B359="2012-2013",E359="",G359="PLN03"),H359,"")</f>
        <v/>
      </c>
      <c r="AQ359" s="44" t="str">
        <f>IF(AND(C359=Master!$H$1,B359="2012-2013",E359&gt;1000,G359="NPN05"),H359,"")</f>
        <v/>
      </c>
      <c r="AR359" s="44" t="str">
        <f>IF(AND(C359=Master!$H$1,B359="2012-2013",E359="",G359="NPN05"),H359,"")</f>
        <v/>
      </c>
      <c r="AS359" s="44" t="str">
        <f>IF(AND(C359=Master!$H$2,B359="2012-2013",E359&gt;1000,G359="NPN05"),H359,"")</f>
        <v/>
      </c>
      <c r="AT359" s="44" t="str">
        <f>IF(AND(C359=Master!$H$2,B359="2012-2013",E359="",G359="NPN05"),H359,"")</f>
        <v/>
      </c>
      <c r="AU359" s="44" t="str">
        <f>IF(AND(C359=Master!$H$3,B359="2012-2013",E359&gt;1000,G359="NPN05"),H359,"")</f>
        <v/>
      </c>
      <c r="AV359" s="44" t="str">
        <f>IF(AND(C359=Master!$H$3,B359="2012-2013",E359="",G359="NPN05"),H359,"")</f>
        <v/>
      </c>
      <c r="AW359" s="44" t="str">
        <f>IF(AND(C359=Master!$H$4,B359="2012-2013",E359&gt;1000,G359="NPN05"),H359,"")</f>
        <v/>
      </c>
      <c r="AX359" s="44" t="str">
        <f>IF(AND(C359=Master!$H$4,B359="2012-2013",E359="",G359="NPN05"),H359,"")</f>
        <v/>
      </c>
      <c r="AY359" s="44" t="str">
        <f>IF(AND(C359=Master!$H$5,B359="2012-2013",E359&gt;1000,G359="NPN05"),H359,"")</f>
        <v/>
      </c>
      <c r="AZ359" s="44" t="str">
        <f>IF(AND(C359=Master!$H$5,B359="2012-2013",E359="",G359="NPN05"),H359,"")</f>
        <v/>
      </c>
      <c r="BA359" s="44" t="str">
        <f>IF(AND(C359=Master!$H$6,B359="2012-2013",E359&gt;1000,G359="NPN05"),H359,"")</f>
        <v/>
      </c>
      <c r="BB359" s="44" t="str">
        <f>IF(AND(C359=Master!$H$6,B359="2012-2013",E359="",G359="NPN05"),H359,"")</f>
        <v/>
      </c>
      <c r="BC359" s="44" t="str">
        <f>IF(AND(C359=Master!$H$7,B359="2012-2013",E359&gt;1000,G359="NPN05"),H359,"")</f>
        <v/>
      </c>
      <c r="BD359" s="44" t="str">
        <f>IF(AND(C359=Master!$H$7,B359="2012-2013",E359="",G359="NPN05"),H359,"")</f>
        <v/>
      </c>
      <c r="BE359" s="44" t="str">
        <f>IF(AND(C359=Master!$H$8,B359="2012-2013",E359&gt;1000,G359="NPN05"),H359,"")</f>
        <v/>
      </c>
      <c r="BF359" s="44" t="str">
        <f>IF(AND(C359=Master!$H$8,B359="2012-2013",E359="",G359="NPN05"),H359,"")</f>
        <v/>
      </c>
      <c r="BG359" s="44" t="str">
        <f>IF(AND(C359=Master!$H$9,B359="2012-2013",E359&gt;1000,G359="NPN05"),H359,"")</f>
        <v/>
      </c>
      <c r="BH359" s="44" t="str">
        <f>IF(AND(C359=Master!$H$9,B359="2012-2013",E359="",G359="NPN05"),H359,"")</f>
        <v/>
      </c>
    </row>
    <row r="360" spans="1:60" x14ac:dyDescent="0.25">
      <c r="A360" s="3">
        <v>358</v>
      </c>
      <c r="B360" s="12"/>
      <c r="C360" s="12"/>
      <c r="D360" s="31"/>
      <c r="E360" s="4"/>
      <c r="F360" s="13"/>
      <c r="G360" s="21"/>
      <c r="H360" s="35"/>
      <c r="I360" s="21"/>
      <c r="J360" s="25" t="str">
        <f>IF(NOT(I360=""),INDEX(Master!$B$1:$B$46,MATCH(I360,Master!$A$1:$A$46,0)),"")</f>
        <v/>
      </c>
      <c r="K360" s="18"/>
      <c r="L360" s="86"/>
      <c r="M360" s="13"/>
      <c r="N360" s="13"/>
      <c r="O360" s="18"/>
      <c r="P360" s="35"/>
      <c r="Q360" s="21"/>
      <c r="R360" s="21"/>
      <c r="S360" s="13"/>
      <c r="T360" s="12"/>
      <c r="U360" s="12"/>
      <c r="V360" s="12"/>
      <c r="W360" s="14"/>
      <c r="Y360" s="42" t="str">
        <f>IF(AND(C360=Master!$H$1,B360="2012-2013",E360&gt;1000,G360="PLN03"),H360,"")</f>
        <v/>
      </c>
      <c r="Z360" s="42" t="str">
        <f>IF(AND(C360=Master!$H$1,B360="2012-2013",E360="",G360="PLN03"),H360,"")</f>
        <v/>
      </c>
      <c r="AA360" s="42" t="str">
        <f>IF(AND(C360=Master!$H$2,B360="2012-2013",E360&gt;1000,G360="PLN03"),H360,"")</f>
        <v/>
      </c>
      <c r="AB360" s="42" t="str">
        <f>IF(AND(C360=Master!$H$2,B360="2012-2013",E360="",G360="PLN03"),H360,"")</f>
        <v/>
      </c>
      <c r="AC360" s="42" t="str">
        <f>IF(AND(C360=Master!$H$3,B360="2012-2013",E360&gt;1000,G360="PLN03"),H360,"")</f>
        <v/>
      </c>
      <c r="AD360" s="42" t="str">
        <f>IF(AND(C360=Master!$H$3,B360="2012-2013",E360="",G360="PLN03"),H360,"")</f>
        <v/>
      </c>
      <c r="AE360" s="42" t="str">
        <f>IF(AND(C360=Master!$H$4,B360="2012-2013",E360&gt;1000,G360="PLN03"),H360,"")</f>
        <v/>
      </c>
      <c r="AF360" s="42" t="str">
        <f>IF(AND(C360=Master!$H$4,B360="2012-2013",E360="",G360="PLN03"),H360,"")</f>
        <v/>
      </c>
      <c r="AG360" s="42" t="str">
        <f>IF(AND(C360=Master!$H$5,B360="2012-2013",E360&gt;1000,G360="PLN03"),H360,"")</f>
        <v/>
      </c>
      <c r="AH360" s="42" t="str">
        <f>IF(AND(C360=Master!$H$5,B360="2012-2013",E360="",G360="PLN03"),H360,"")</f>
        <v/>
      </c>
      <c r="AI360" s="42" t="str">
        <f>IF(AND(C360=Master!$H$6,B360="2012-2013",E360&gt;1000,G360="PLN03"),H360,"")</f>
        <v/>
      </c>
      <c r="AJ360" s="42" t="str">
        <f>IF(AND(C360=Master!$H$6,B360="2012-2013",E360="",G360="PLN03"),H360,"")</f>
        <v/>
      </c>
      <c r="AK360" s="42" t="str">
        <f>IF(AND(C360=Master!$H$7,B360="2012-2013",E360&gt;1000,G360="PLN03"),H360,"")</f>
        <v/>
      </c>
      <c r="AL360" s="42" t="str">
        <f>IF(AND(C360=Master!$H$7,B360="2012-2013",E360="",G360="PLN03"),H360,"")</f>
        <v/>
      </c>
      <c r="AM360" s="42" t="str">
        <f>IF(AND(C360=Master!$H$8,B360="2012-2013",E360&gt;1000,G360="PLN03"),H360,"")</f>
        <v/>
      </c>
      <c r="AN360" s="42" t="str">
        <f>IF(AND(C360=Master!$H$8,B360="2012-2013",E360="",G360="PLN03"),H360,"")</f>
        <v/>
      </c>
      <c r="AO360" s="42" t="str">
        <f>IF(AND(C360=Master!$H$9,B360="2012-2013",E360&gt;1000,G360="PLN03"),H360,"")</f>
        <v/>
      </c>
      <c r="AP360" s="42" t="str">
        <f>IF(AND(C360=Master!$H$9,B360="2012-2013",E360="",G360="PLN03"),H360,"")</f>
        <v/>
      </c>
      <c r="AQ360" s="44" t="str">
        <f>IF(AND(C360=Master!$H$1,B360="2012-2013",E360&gt;1000,G360="NPN05"),H360,"")</f>
        <v/>
      </c>
      <c r="AR360" s="44" t="str">
        <f>IF(AND(C360=Master!$H$1,B360="2012-2013",E360="",G360="NPN05"),H360,"")</f>
        <v/>
      </c>
      <c r="AS360" s="44" t="str">
        <f>IF(AND(C360=Master!$H$2,B360="2012-2013",E360&gt;1000,G360="NPN05"),H360,"")</f>
        <v/>
      </c>
      <c r="AT360" s="44" t="str">
        <f>IF(AND(C360=Master!$H$2,B360="2012-2013",E360="",G360="NPN05"),H360,"")</f>
        <v/>
      </c>
      <c r="AU360" s="44" t="str">
        <f>IF(AND(C360=Master!$H$3,B360="2012-2013",E360&gt;1000,G360="NPN05"),H360,"")</f>
        <v/>
      </c>
      <c r="AV360" s="44" t="str">
        <f>IF(AND(C360=Master!$H$3,B360="2012-2013",E360="",G360="NPN05"),H360,"")</f>
        <v/>
      </c>
      <c r="AW360" s="44" t="str">
        <f>IF(AND(C360=Master!$H$4,B360="2012-2013",E360&gt;1000,G360="NPN05"),H360,"")</f>
        <v/>
      </c>
      <c r="AX360" s="44" t="str">
        <f>IF(AND(C360=Master!$H$4,B360="2012-2013",E360="",G360="NPN05"),H360,"")</f>
        <v/>
      </c>
      <c r="AY360" s="44" t="str">
        <f>IF(AND(C360=Master!$H$5,B360="2012-2013",E360&gt;1000,G360="NPN05"),H360,"")</f>
        <v/>
      </c>
      <c r="AZ360" s="44" t="str">
        <f>IF(AND(C360=Master!$H$5,B360="2012-2013",E360="",G360="NPN05"),H360,"")</f>
        <v/>
      </c>
      <c r="BA360" s="44" t="str">
        <f>IF(AND(C360=Master!$H$6,B360="2012-2013",E360&gt;1000,G360="NPN05"),H360,"")</f>
        <v/>
      </c>
      <c r="BB360" s="44" t="str">
        <f>IF(AND(C360=Master!$H$6,B360="2012-2013",E360="",G360="NPN05"),H360,"")</f>
        <v/>
      </c>
      <c r="BC360" s="44" t="str">
        <f>IF(AND(C360=Master!$H$7,B360="2012-2013",E360&gt;1000,G360="NPN05"),H360,"")</f>
        <v/>
      </c>
      <c r="BD360" s="44" t="str">
        <f>IF(AND(C360=Master!$H$7,B360="2012-2013",E360="",G360="NPN05"),H360,"")</f>
        <v/>
      </c>
      <c r="BE360" s="44" t="str">
        <f>IF(AND(C360=Master!$H$8,B360="2012-2013",E360&gt;1000,G360="NPN05"),H360,"")</f>
        <v/>
      </c>
      <c r="BF360" s="44" t="str">
        <f>IF(AND(C360=Master!$H$8,B360="2012-2013",E360="",G360="NPN05"),H360,"")</f>
        <v/>
      </c>
      <c r="BG360" s="44" t="str">
        <f>IF(AND(C360=Master!$H$9,B360="2012-2013",E360&gt;1000,G360="NPN05"),H360,"")</f>
        <v/>
      </c>
      <c r="BH360" s="44" t="str">
        <f>IF(AND(C360=Master!$H$9,B360="2012-2013",E360="",G360="NPN05"),H360,"")</f>
        <v/>
      </c>
    </row>
    <row r="361" spans="1:60" x14ac:dyDescent="0.25">
      <c r="A361" s="3">
        <v>359</v>
      </c>
      <c r="B361" s="12"/>
      <c r="C361" s="12"/>
      <c r="D361" s="31"/>
      <c r="E361" s="4"/>
      <c r="F361" s="13"/>
      <c r="G361" s="21"/>
      <c r="H361" s="35"/>
      <c r="I361" s="21"/>
      <c r="J361" s="25" t="str">
        <f>IF(NOT(I361=""),INDEX(Master!$B$1:$B$46,MATCH(I361,Master!$A$1:$A$46,0)),"")</f>
        <v/>
      </c>
      <c r="K361" s="18"/>
      <c r="L361" s="86"/>
      <c r="M361" s="13"/>
      <c r="N361" s="13"/>
      <c r="O361" s="18"/>
      <c r="P361" s="35"/>
      <c r="Q361" s="21"/>
      <c r="R361" s="21"/>
      <c r="S361" s="13"/>
      <c r="T361" s="12"/>
      <c r="U361" s="12"/>
      <c r="V361" s="12"/>
      <c r="W361" s="14"/>
      <c r="Y361" s="42" t="str">
        <f>IF(AND(C361=Master!$H$1,B361="2012-2013",E361&gt;1000,G361="PLN03"),H361,"")</f>
        <v/>
      </c>
      <c r="Z361" s="42" t="str">
        <f>IF(AND(C361=Master!$H$1,B361="2012-2013",E361="",G361="PLN03"),H361,"")</f>
        <v/>
      </c>
      <c r="AA361" s="42" t="str">
        <f>IF(AND(C361=Master!$H$2,B361="2012-2013",E361&gt;1000,G361="PLN03"),H361,"")</f>
        <v/>
      </c>
      <c r="AB361" s="42" t="str">
        <f>IF(AND(C361=Master!$H$2,B361="2012-2013",E361="",G361="PLN03"),H361,"")</f>
        <v/>
      </c>
      <c r="AC361" s="42" t="str">
        <f>IF(AND(C361=Master!$H$3,B361="2012-2013",E361&gt;1000,G361="PLN03"),H361,"")</f>
        <v/>
      </c>
      <c r="AD361" s="42" t="str">
        <f>IF(AND(C361=Master!$H$3,B361="2012-2013",E361="",G361="PLN03"),H361,"")</f>
        <v/>
      </c>
      <c r="AE361" s="42" t="str">
        <f>IF(AND(C361=Master!$H$4,B361="2012-2013",E361&gt;1000,G361="PLN03"),H361,"")</f>
        <v/>
      </c>
      <c r="AF361" s="42" t="str">
        <f>IF(AND(C361=Master!$H$4,B361="2012-2013",E361="",G361="PLN03"),H361,"")</f>
        <v/>
      </c>
      <c r="AG361" s="42" t="str">
        <f>IF(AND(C361=Master!$H$5,B361="2012-2013",E361&gt;1000,G361="PLN03"),H361,"")</f>
        <v/>
      </c>
      <c r="AH361" s="42" t="str">
        <f>IF(AND(C361=Master!$H$5,B361="2012-2013",E361="",G361="PLN03"),H361,"")</f>
        <v/>
      </c>
      <c r="AI361" s="42" t="str">
        <f>IF(AND(C361=Master!$H$6,B361="2012-2013",E361&gt;1000,G361="PLN03"),H361,"")</f>
        <v/>
      </c>
      <c r="AJ361" s="42" t="str">
        <f>IF(AND(C361=Master!$H$6,B361="2012-2013",E361="",G361="PLN03"),H361,"")</f>
        <v/>
      </c>
      <c r="AK361" s="42" t="str">
        <f>IF(AND(C361=Master!$H$7,B361="2012-2013",E361&gt;1000,G361="PLN03"),H361,"")</f>
        <v/>
      </c>
      <c r="AL361" s="42" t="str">
        <f>IF(AND(C361=Master!$H$7,B361="2012-2013",E361="",G361="PLN03"),H361,"")</f>
        <v/>
      </c>
      <c r="AM361" s="42" t="str">
        <f>IF(AND(C361=Master!$H$8,B361="2012-2013",E361&gt;1000,G361="PLN03"),H361,"")</f>
        <v/>
      </c>
      <c r="AN361" s="42" t="str">
        <f>IF(AND(C361=Master!$H$8,B361="2012-2013",E361="",G361="PLN03"),H361,"")</f>
        <v/>
      </c>
      <c r="AO361" s="42" t="str">
        <f>IF(AND(C361=Master!$H$9,B361="2012-2013",E361&gt;1000,G361="PLN03"),H361,"")</f>
        <v/>
      </c>
      <c r="AP361" s="42" t="str">
        <f>IF(AND(C361=Master!$H$9,B361="2012-2013",E361="",G361="PLN03"),H361,"")</f>
        <v/>
      </c>
      <c r="AQ361" s="44" t="str">
        <f>IF(AND(C361=Master!$H$1,B361="2012-2013",E361&gt;1000,G361="NPN05"),H361,"")</f>
        <v/>
      </c>
      <c r="AR361" s="44" t="str">
        <f>IF(AND(C361=Master!$H$1,B361="2012-2013",E361="",G361="NPN05"),H361,"")</f>
        <v/>
      </c>
      <c r="AS361" s="44" t="str">
        <f>IF(AND(C361=Master!$H$2,B361="2012-2013",E361&gt;1000,G361="NPN05"),H361,"")</f>
        <v/>
      </c>
      <c r="AT361" s="44" t="str">
        <f>IF(AND(C361=Master!$H$2,B361="2012-2013",E361="",G361="NPN05"),H361,"")</f>
        <v/>
      </c>
      <c r="AU361" s="44" t="str">
        <f>IF(AND(C361=Master!$H$3,B361="2012-2013",E361&gt;1000,G361="NPN05"),H361,"")</f>
        <v/>
      </c>
      <c r="AV361" s="44" t="str">
        <f>IF(AND(C361=Master!$H$3,B361="2012-2013",E361="",G361="NPN05"),H361,"")</f>
        <v/>
      </c>
      <c r="AW361" s="44" t="str">
        <f>IF(AND(C361=Master!$H$4,B361="2012-2013",E361&gt;1000,G361="NPN05"),H361,"")</f>
        <v/>
      </c>
      <c r="AX361" s="44" t="str">
        <f>IF(AND(C361=Master!$H$4,B361="2012-2013",E361="",G361="NPN05"),H361,"")</f>
        <v/>
      </c>
      <c r="AY361" s="44" t="str">
        <f>IF(AND(C361=Master!$H$5,B361="2012-2013",E361&gt;1000,G361="NPN05"),H361,"")</f>
        <v/>
      </c>
      <c r="AZ361" s="44" t="str">
        <f>IF(AND(C361=Master!$H$5,B361="2012-2013",E361="",G361="NPN05"),H361,"")</f>
        <v/>
      </c>
      <c r="BA361" s="44" t="str">
        <f>IF(AND(C361=Master!$H$6,B361="2012-2013",E361&gt;1000,G361="NPN05"),H361,"")</f>
        <v/>
      </c>
      <c r="BB361" s="44" t="str">
        <f>IF(AND(C361=Master!$H$6,B361="2012-2013",E361="",G361="NPN05"),H361,"")</f>
        <v/>
      </c>
      <c r="BC361" s="44" t="str">
        <f>IF(AND(C361=Master!$H$7,B361="2012-2013",E361&gt;1000,G361="NPN05"),H361,"")</f>
        <v/>
      </c>
      <c r="BD361" s="44" t="str">
        <f>IF(AND(C361=Master!$H$7,B361="2012-2013",E361="",G361="NPN05"),H361,"")</f>
        <v/>
      </c>
      <c r="BE361" s="44" t="str">
        <f>IF(AND(C361=Master!$H$8,B361="2012-2013",E361&gt;1000,G361="NPN05"),H361,"")</f>
        <v/>
      </c>
      <c r="BF361" s="44" t="str">
        <f>IF(AND(C361=Master!$H$8,B361="2012-2013",E361="",G361="NPN05"),H361,"")</f>
        <v/>
      </c>
      <c r="BG361" s="44" t="str">
        <f>IF(AND(C361=Master!$H$9,B361="2012-2013",E361&gt;1000,G361="NPN05"),H361,"")</f>
        <v/>
      </c>
      <c r="BH361" s="44" t="str">
        <f>IF(AND(C361=Master!$H$9,B361="2012-2013",E361="",G361="NPN05"),H361,"")</f>
        <v/>
      </c>
    </row>
    <row r="362" spans="1:60" x14ac:dyDescent="0.25">
      <c r="A362" s="3">
        <v>360</v>
      </c>
      <c r="B362" s="12"/>
      <c r="C362" s="12"/>
      <c r="D362" s="31"/>
      <c r="E362" s="4"/>
      <c r="F362" s="13"/>
      <c r="G362" s="21"/>
      <c r="H362" s="35"/>
      <c r="I362" s="21"/>
      <c r="J362" s="25" t="str">
        <f>IF(NOT(I362=""),INDEX(Master!$B$1:$B$46,MATCH(I362,Master!$A$1:$A$46,0)),"")</f>
        <v/>
      </c>
      <c r="K362" s="18"/>
      <c r="L362" s="86"/>
      <c r="M362" s="13"/>
      <c r="N362" s="13"/>
      <c r="O362" s="18"/>
      <c r="P362" s="35"/>
      <c r="Q362" s="21"/>
      <c r="R362" s="21"/>
      <c r="S362" s="13"/>
      <c r="T362" s="12"/>
      <c r="U362" s="12"/>
      <c r="V362" s="12"/>
      <c r="W362" s="14"/>
      <c r="Y362" s="42" t="str">
        <f>IF(AND(C362=Master!$H$1,B362="2012-2013",E362&gt;1000,G362="PLN03"),H362,"")</f>
        <v/>
      </c>
      <c r="Z362" s="42" t="str">
        <f>IF(AND(C362=Master!$H$1,B362="2012-2013",E362="",G362="PLN03"),H362,"")</f>
        <v/>
      </c>
      <c r="AA362" s="42" t="str">
        <f>IF(AND(C362=Master!$H$2,B362="2012-2013",E362&gt;1000,G362="PLN03"),H362,"")</f>
        <v/>
      </c>
      <c r="AB362" s="42" t="str">
        <f>IF(AND(C362=Master!$H$2,B362="2012-2013",E362="",G362="PLN03"),H362,"")</f>
        <v/>
      </c>
      <c r="AC362" s="42" t="str">
        <f>IF(AND(C362=Master!$H$3,B362="2012-2013",E362&gt;1000,G362="PLN03"),H362,"")</f>
        <v/>
      </c>
      <c r="AD362" s="42" t="str">
        <f>IF(AND(C362=Master!$H$3,B362="2012-2013",E362="",G362="PLN03"),H362,"")</f>
        <v/>
      </c>
      <c r="AE362" s="42" t="str">
        <f>IF(AND(C362=Master!$H$4,B362="2012-2013",E362&gt;1000,G362="PLN03"),H362,"")</f>
        <v/>
      </c>
      <c r="AF362" s="42" t="str">
        <f>IF(AND(C362=Master!$H$4,B362="2012-2013",E362="",G362="PLN03"),H362,"")</f>
        <v/>
      </c>
      <c r="AG362" s="42" t="str">
        <f>IF(AND(C362=Master!$H$5,B362="2012-2013",E362&gt;1000,G362="PLN03"),H362,"")</f>
        <v/>
      </c>
      <c r="AH362" s="42" t="str">
        <f>IF(AND(C362=Master!$H$5,B362="2012-2013",E362="",G362="PLN03"),H362,"")</f>
        <v/>
      </c>
      <c r="AI362" s="42" t="str">
        <f>IF(AND(C362=Master!$H$6,B362="2012-2013",E362&gt;1000,G362="PLN03"),H362,"")</f>
        <v/>
      </c>
      <c r="AJ362" s="42" t="str">
        <f>IF(AND(C362=Master!$H$6,B362="2012-2013",E362="",G362="PLN03"),H362,"")</f>
        <v/>
      </c>
      <c r="AK362" s="42" t="str">
        <f>IF(AND(C362=Master!$H$7,B362="2012-2013",E362&gt;1000,G362="PLN03"),H362,"")</f>
        <v/>
      </c>
      <c r="AL362" s="42" t="str">
        <f>IF(AND(C362=Master!$H$7,B362="2012-2013",E362="",G362="PLN03"),H362,"")</f>
        <v/>
      </c>
      <c r="AM362" s="42" t="str">
        <f>IF(AND(C362=Master!$H$8,B362="2012-2013",E362&gt;1000,G362="PLN03"),H362,"")</f>
        <v/>
      </c>
      <c r="AN362" s="42" t="str">
        <f>IF(AND(C362=Master!$H$8,B362="2012-2013",E362="",G362="PLN03"),H362,"")</f>
        <v/>
      </c>
      <c r="AO362" s="42" t="str">
        <f>IF(AND(C362=Master!$H$9,B362="2012-2013",E362&gt;1000,G362="PLN03"),H362,"")</f>
        <v/>
      </c>
      <c r="AP362" s="42" t="str">
        <f>IF(AND(C362=Master!$H$9,B362="2012-2013",E362="",G362="PLN03"),H362,"")</f>
        <v/>
      </c>
      <c r="AQ362" s="44" t="str">
        <f>IF(AND(C362=Master!$H$1,B362="2012-2013",E362&gt;1000,G362="NPN05"),H362,"")</f>
        <v/>
      </c>
      <c r="AR362" s="44" t="str">
        <f>IF(AND(C362=Master!$H$1,B362="2012-2013",E362="",G362="NPN05"),H362,"")</f>
        <v/>
      </c>
      <c r="AS362" s="44" t="str">
        <f>IF(AND(C362=Master!$H$2,B362="2012-2013",E362&gt;1000,G362="NPN05"),H362,"")</f>
        <v/>
      </c>
      <c r="AT362" s="44" t="str">
        <f>IF(AND(C362=Master!$H$2,B362="2012-2013",E362="",G362="NPN05"),H362,"")</f>
        <v/>
      </c>
      <c r="AU362" s="44" t="str">
        <f>IF(AND(C362=Master!$H$3,B362="2012-2013",E362&gt;1000,G362="NPN05"),H362,"")</f>
        <v/>
      </c>
      <c r="AV362" s="44" t="str">
        <f>IF(AND(C362=Master!$H$3,B362="2012-2013",E362="",G362="NPN05"),H362,"")</f>
        <v/>
      </c>
      <c r="AW362" s="44" t="str">
        <f>IF(AND(C362=Master!$H$4,B362="2012-2013",E362&gt;1000,G362="NPN05"),H362,"")</f>
        <v/>
      </c>
      <c r="AX362" s="44" t="str">
        <f>IF(AND(C362=Master!$H$4,B362="2012-2013",E362="",G362="NPN05"),H362,"")</f>
        <v/>
      </c>
      <c r="AY362" s="44" t="str">
        <f>IF(AND(C362=Master!$H$5,B362="2012-2013",E362&gt;1000,G362="NPN05"),H362,"")</f>
        <v/>
      </c>
      <c r="AZ362" s="44" t="str">
        <f>IF(AND(C362=Master!$H$5,B362="2012-2013",E362="",G362="NPN05"),H362,"")</f>
        <v/>
      </c>
      <c r="BA362" s="44" t="str">
        <f>IF(AND(C362=Master!$H$6,B362="2012-2013",E362&gt;1000,G362="NPN05"),H362,"")</f>
        <v/>
      </c>
      <c r="BB362" s="44" t="str">
        <f>IF(AND(C362=Master!$H$6,B362="2012-2013",E362="",G362="NPN05"),H362,"")</f>
        <v/>
      </c>
      <c r="BC362" s="44" t="str">
        <f>IF(AND(C362=Master!$H$7,B362="2012-2013",E362&gt;1000,G362="NPN05"),H362,"")</f>
        <v/>
      </c>
      <c r="BD362" s="44" t="str">
        <f>IF(AND(C362=Master!$H$7,B362="2012-2013",E362="",G362="NPN05"),H362,"")</f>
        <v/>
      </c>
      <c r="BE362" s="44" t="str">
        <f>IF(AND(C362=Master!$H$8,B362="2012-2013",E362&gt;1000,G362="NPN05"),H362,"")</f>
        <v/>
      </c>
      <c r="BF362" s="44" t="str">
        <f>IF(AND(C362=Master!$H$8,B362="2012-2013",E362="",G362="NPN05"),H362,"")</f>
        <v/>
      </c>
      <c r="BG362" s="44" t="str">
        <f>IF(AND(C362=Master!$H$9,B362="2012-2013",E362&gt;1000,G362="NPN05"),H362,"")</f>
        <v/>
      </c>
      <c r="BH362" s="44" t="str">
        <f>IF(AND(C362=Master!$H$9,B362="2012-2013",E362="",G362="NPN05"),H362,"")</f>
        <v/>
      </c>
    </row>
    <row r="363" spans="1:60" x14ac:dyDescent="0.25">
      <c r="A363" s="3">
        <v>361</v>
      </c>
      <c r="B363" s="12"/>
      <c r="C363" s="12"/>
      <c r="D363" s="31"/>
      <c r="E363" s="4"/>
      <c r="F363" s="13"/>
      <c r="G363" s="21"/>
      <c r="H363" s="35"/>
      <c r="I363" s="21"/>
      <c r="J363" s="25" t="str">
        <f>IF(NOT(I363=""),INDEX(Master!$B$1:$B$46,MATCH(I363,Master!$A$1:$A$46,0)),"")</f>
        <v/>
      </c>
      <c r="K363" s="18"/>
      <c r="L363" s="86"/>
      <c r="M363" s="13"/>
      <c r="N363" s="13"/>
      <c r="O363" s="18"/>
      <c r="P363" s="35"/>
      <c r="Q363" s="21"/>
      <c r="R363" s="21"/>
      <c r="S363" s="13"/>
      <c r="T363" s="12"/>
      <c r="U363" s="12"/>
      <c r="V363" s="12"/>
      <c r="W363" s="14"/>
      <c r="Y363" s="42" t="str">
        <f>IF(AND(C363=Master!$H$1,B363="2012-2013",E363&gt;1000,G363="PLN03"),H363,"")</f>
        <v/>
      </c>
      <c r="Z363" s="42" t="str">
        <f>IF(AND(C363=Master!$H$1,B363="2012-2013",E363="",G363="PLN03"),H363,"")</f>
        <v/>
      </c>
      <c r="AA363" s="42" t="str">
        <f>IF(AND(C363=Master!$H$2,B363="2012-2013",E363&gt;1000,G363="PLN03"),H363,"")</f>
        <v/>
      </c>
      <c r="AB363" s="42" t="str">
        <f>IF(AND(C363=Master!$H$2,B363="2012-2013",E363="",G363="PLN03"),H363,"")</f>
        <v/>
      </c>
      <c r="AC363" s="42" t="str">
        <f>IF(AND(C363=Master!$H$3,B363="2012-2013",E363&gt;1000,G363="PLN03"),H363,"")</f>
        <v/>
      </c>
      <c r="AD363" s="42" t="str">
        <f>IF(AND(C363=Master!$H$3,B363="2012-2013",E363="",G363="PLN03"),H363,"")</f>
        <v/>
      </c>
      <c r="AE363" s="42" t="str">
        <f>IF(AND(C363=Master!$H$4,B363="2012-2013",E363&gt;1000,G363="PLN03"),H363,"")</f>
        <v/>
      </c>
      <c r="AF363" s="42" t="str">
        <f>IF(AND(C363=Master!$H$4,B363="2012-2013",E363="",G363="PLN03"),H363,"")</f>
        <v/>
      </c>
      <c r="AG363" s="42" t="str">
        <f>IF(AND(C363=Master!$H$5,B363="2012-2013",E363&gt;1000,G363="PLN03"),H363,"")</f>
        <v/>
      </c>
      <c r="AH363" s="42" t="str">
        <f>IF(AND(C363=Master!$H$5,B363="2012-2013",E363="",G363="PLN03"),H363,"")</f>
        <v/>
      </c>
      <c r="AI363" s="42" t="str">
        <f>IF(AND(C363=Master!$H$6,B363="2012-2013",E363&gt;1000,G363="PLN03"),H363,"")</f>
        <v/>
      </c>
      <c r="AJ363" s="42" t="str">
        <f>IF(AND(C363=Master!$H$6,B363="2012-2013",E363="",G363="PLN03"),H363,"")</f>
        <v/>
      </c>
      <c r="AK363" s="42" t="str">
        <f>IF(AND(C363=Master!$H$7,B363="2012-2013",E363&gt;1000,G363="PLN03"),H363,"")</f>
        <v/>
      </c>
      <c r="AL363" s="42" t="str">
        <f>IF(AND(C363=Master!$H$7,B363="2012-2013",E363="",G363="PLN03"),H363,"")</f>
        <v/>
      </c>
      <c r="AM363" s="42" t="str">
        <f>IF(AND(C363=Master!$H$8,B363="2012-2013",E363&gt;1000,G363="PLN03"),H363,"")</f>
        <v/>
      </c>
      <c r="AN363" s="42" t="str">
        <f>IF(AND(C363=Master!$H$8,B363="2012-2013",E363="",G363="PLN03"),H363,"")</f>
        <v/>
      </c>
      <c r="AO363" s="42" t="str">
        <f>IF(AND(C363=Master!$H$9,B363="2012-2013",E363&gt;1000,G363="PLN03"),H363,"")</f>
        <v/>
      </c>
      <c r="AP363" s="42" t="str">
        <f>IF(AND(C363=Master!$H$9,B363="2012-2013",E363="",G363="PLN03"),H363,"")</f>
        <v/>
      </c>
      <c r="AQ363" s="44" t="str">
        <f>IF(AND(C363=Master!$H$1,B363="2012-2013",E363&gt;1000,G363="NPN05"),H363,"")</f>
        <v/>
      </c>
      <c r="AR363" s="44" t="str">
        <f>IF(AND(C363=Master!$H$1,B363="2012-2013",E363="",G363="NPN05"),H363,"")</f>
        <v/>
      </c>
      <c r="AS363" s="44" t="str">
        <f>IF(AND(C363=Master!$H$2,B363="2012-2013",E363&gt;1000,G363="NPN05"),H363,"")</f>
        <v/>
      </c>
      <c r="AT363" s="44" t="str">
        <f>IF(AND(C363=Master!$H$2,B363="2012-2013",E363="",G363="NPN05"),H363,"")</f>
        <v/>
      </c>
      <c r="AU363" s="44" t="str">
        <f>IF(AND(C363=Master!$H$3,B363="2012-2013",E363&gt;1000,G363="NPN05"),H363,"")</f>
        <v/>
      </c>
      <c r="AV363" s="44" t="str">
        <f>IF(AND(C363=Master!$H$3,B363="2012-2013",E363="",G363="NPN05"),H363,"")</f>
        <v/>
      </c>
      <c r="AW363" s="44" t="str">
        <f>IF(AND(C363=Master!$H$4,B363="2012-2013",E363&gt;1000,G363="NPN05"),H363,"")</f>
        <v/>
      </c>
      <c r="AX363" s="44" t="str">
        <f>IF(AND(C363=Master!$H$4,B363="2012-2013",E363="",G363="NPN05"),H363,"")</f>
        <v/>
      </c>
      <c r="AY363" s="44" t="str">
        <f>IF(AND(C363=Master!$H$5,B363="2012-2013",E363&gt;1000,G363="NPN05"),H363,"")</f>
        <v/>
      </c>
      <c r="AZ363" s="44" t="str">
        <f>IF(AND(C363=Master!$H$5,B363="2012-2013",E363="",G363="NPN05"),H363,"")</f>
        <v/>
      </c>
      <c r="BA363" s="44" t="str">
        <f>IF(AND(C363=Master!$H$6,B363="2012-2013",E363&gt;1000,G363="NPN05"),H363,"")</f>
        <v/>
      </c>
      <c r="BB363" s="44" t="str">
        <f>IF(AND(C363=Master!$H$6,B363="2012-2013",E363="",G363="NPN05"),H363,"")</f>
        <v/>
      </c>
      <c r="BC363" s="44" t="str">
        <f>IF(AND(C363=Master!$H$7,B363="2012-2013",E363&gt;1000,G363="NPN05"),H363,"")</f>
        <v/>
      </c>
      <c r="BD363" s="44" t="str">
        <f>IF(AND(C363=Master!$H$7,B363="2012-2013",E363="",G363="NPN05"),H363,"")</f>
        <v/>
      </c>
      <c r="BE363" s="44" t="str">
        <f>IF(AND(C363=Master!$H$8,B363="2012-2013",E363&gt;1000,G363="NPN05"),H363,"")</f>
        <v/>
      </c>
      <c r="BF363" s="44" t="str">
        <f>IF(AND(C363=Master!$H$8,B363="2012-2013",E363="",G363="NPN05"),H363,"")</f>
        <v/>
      </c>
      <c r="BG363" s="44" t="str">
        <f>IF(AND(C363=Master!$H$9,B363="2012-2013",E363&gt;1000,G363="NPN05"),H363,"")</f>
        <v/>
      </c>
      <c r="BH363" s="44" t="str">
        <f>IF(AND(C363=Master!$H$9,B363="2012-2013",E363="",G363="NPN05"),H363,"")</f>
        <v/>
      </c>
    </row>
    <row r="364" spans="1:60" x14ac:dyDescent="0.25">
      <c r="A364" s="5">
        <v>362</v>
      </c>
      <c r="B364" s="12"/>
      <c r="C364" s="12"/>
      <c r="D364" s="31"/>
      <c r="E364" s="4"/>
      <c r="F364" s="13"/>
      <c r="G364" s="21"/>
      <c r="H364" s="35"/>
      <c r="I364" s="21"/>
      <c r="J364" s="25" t="str">
        <f>IF(NOT(I364=""),INDEX(Master!$B$1:$B$46,MATCH(I364,Master!$A$1:$A$46,0)),"")</f>
        <v/>
      </c>
      <c r="K364" s="18"/>
      <c r="L364" s="86"/>
      <c r="M364" s="13"/>
      <c r="N364" s="13"/>
      <c r="O364" s="18"/>
      <c r="P364" s="35"/>
      <c r="Q364" s="21"/>
      <c r="R364" s="21"/>
      <c r="S364" s="13"/>
      <c r="T364" s="12"/>
      <c r="U364" s="12"/>
      <c r="V364" s="12"/>
      <c r="W364" s="14"/>
      <c r="Y364" s="42" t="str">
        <f>IF(AND(C364=Master!$H$1,B364="2012-2013",E364&gt;1000,G364="PLN03"),H364,"")</f>
        <v/>
      </c>
      <c r="Z364" s="42" t="str">
        <f>IF(AND(C364=Master!$H$1,B364="2012-2013",E364="",G364="PLN03"),H364,"")</f>
        <v/>
      </c>
      <c r="AA364" s="42" t="str">
        <f>IF(AND(C364=Master!$H$2,B364="2012-2013",E364&gt;1000,G364="PLN03"),H364,"")</f>
        <v/>
      </c>
      <c r="AB364" s="42" t="str">
        <f>IF(AND(C364=Master!$H$2,B364="2012-2013",E364="",G364="PLN03"),H364,"")</f>
        <v/>
      </c>
      <c r="AC364" s="42" t="str">
        <f>IF(AND(C364=Master!$H$3,B364="2012-2013",E364&gt;1000,G364="PLN03"),H364,"")</f>
        <v/>
      </c>
      <c r="AD364" s="42" t="str">
        <f>IF(AND(C364=Master!$H$3,B364="2012-2013",E364="",G364="PLN03"),H364,"")</f>
        <v/>
      </c>
      <c r="AE364" s="42" t="str">
        <f>IF(AND(C364=Master!$H$4,B364="2012-2013",E364&gt;1000,G364="PLN03"),H364,"")</f>
        <v/>
      </c>
      <c r="AF364" s="42" t="str">
        <f>IF(AND(C364=Master!$H$4,B364="2012-2013",E364="",G364="PLN03"),H364,"")</f>
        <v/>
      </c>
      <c r="AG364" s="42" t="str">
        <f>IF(AND(C364=Master!$H$5,B364="2012-2013",E364&gt;1000,G364="PLN03"),H364,"")</f>
        <v/>
      </c>
      <c r="AH364" s="42" t="str">
        <f>IF(AND(C364=Master!$H$5,B364="2012-2013",E364="",G364="PLN03"),H364,"")</f>
        <v/>
      </c>
      <c r="AI364" s="42" t="str">
        <f>IF(AND(C364=Master!$H$6,B364="2012-2013",E364&gt;1000,G364="PLN03"),H364,"")</f>
        <v/>
      </c>
      <c r="AJ364" s="42" t="str">
        <f>IF(AND(C364=Master!$H$6,B364="2012-2013",E364="",G364="PLN03"),H364,"")</f>
        <v/>
      </c>
      <c r="AK364" s="42" t="str">
        <f>IF(AND(C364=Master!$H$7,B364="2012-2013",E364&gt;1000,G364="PLN03"),H364,"")</f>
        <v/>
      </c>
      <c r="AL364" s="42" t="str">
        <f>IF(AND(C364=Master!$H$7,B364="2012-2013",E364="",G364="PLN03"),H364,"")</f>
        <v/>
      </c>
      <c r="AM364" s="42" t="str">
        <f>IF(AND(C364=Master!$H$8,B364="2012-2013",E364&gt;1000,G364="PLN03"),H364,"")</f>
        <v/>
      </c>
      <c r="AN364" s="42" t="str">
        <f>IF(AND(C364=Master!$H$8,B364="2012-2013",E364="",G364="PLN03"),H364,"")</f>
        <v/>
      </c>
      <c r="AO364" s="42" t="str">
        <f>IF(AND(C364=Master!$H$9,B364="2012-2013",E364&gt;1000,G364="PLN03"),H364,"")</f>
        <v/>
      </c>
      <c r="AP364" s="42" t="str">
        <f>IF(AND(C364=Master!$H$9,B364="2012-2013",E364="",G364="PLN03"),H364,"")</f>
        <v/>
      </c>
      <c r="AQ364" s="44" t="str">
        <f>IF(AND(C364=Master!$H$1,B364="2012-2013",E364&gt;1000,G364="NPN05"),H364,"")</f>
        <v/>
      </c>
      <c r="AR364" s="44" t="str">
        <f>IF(AND(C364=Master!$H$1,B364="2012-2013",E364="",G364="NPN05"),H364,"")</f>
        <v/>
      </c>
      <c r="AS364" s="44" t="str">
        <f>IF(AND(C364=Master!$H$2,B364="2012-2013",E364&gt;1000,G364="NPN05"),H364,"")</f>
        <v/>
      </c>
      <c r="AT364" s="44" t="str">
        <f>IF(AND(C364=Master!$H$2,B364="2012-2013",E364="",G364="NPN05"),H364,"")</f>
        <v/>
      </c>
      <c r="AU364" s="44" t="str">
        <f>IF(AND(C364=Master!$H$3,B364="2012-2013",E364&gt;1000,G364="NPN05"),H364,"")</f>
        <v/>
      </c>
      <c r="AV364" s="44" t="str">
        <f>IF(AND(C364=Master!$H$3,B364="2012-2013",E364="",G364="NPN05"),H364,"")</f>
        <v/>
      </c>
      <c r="AW364" s="44" t="str">
        <f>IF(AND(C364=Master!$H$4,B364="2012-2013",E364&gt;1000,G364="NPN05"),H364,"")</f>
        <v/>
      </c>
      <c r="AX364" s="44" t="str">
        <f>IF(AND(C364=Master!$H$4,B364="2012-2013",E364="",G364="NPN05"),H364,"")</f>
        <v/>
      </c>
      <c r="AY364" s="44" t="str">
        <f>IF(AND(C364=Master!$H$5,B364="2012-2013",E364&gt;1000,G364="NPN05"),H364,"")</f>
        <v/>
      </c>
      <c r="AZ364" s="44" t="str">
        <f>IF(AND(C364=Master!$H$5,B364="2012-2013",E364="",G364="NPN05"),H364,"")</f>
        <v/>
      </c>
      <c r="BA364" s="44" t="str">
        <f>IF(AND(C364=Master!$H$6,B364="2012-2013",E364&gt;1000,G364="NPN05"),H364,"")</f>
        <v/>
      </c>
      <c r="BB364" s="44" t="str">
        <f>IF(AND(C364=Master!$H$6,B364="2012-2013",E364="",G364="NPN05"),H364,"")</f>
        <v/>
      </c>
      <c r="BC364" s="44" t="str">
        <f>IF(AND(C364=Master!$H$7,B364="2012-2013",E364&gt;1000,G364="NPN05"),H364,"")</f>
        <v/>
      </c>
      <c r="BD364" s="44" t="str">
        <f>IF(AND(C364=Master!$H$7,B364="2012-2013",E364="",G364="NPN05"),H364,"")</f>
        <v/>
      </c>
      <c r="BE364" s="44" t="str">
        <f>IF(AND(C364=Master!$H$8,B364="2012-2013",E364&gt;1000,G364="NPN05"),H364,"")</f>
        <v/>
      </c>
      <c r="BF364" s="44" t="str">
        <f>IF(AND(C364=Master!$H$8,B364="2012-2013",E364="",G364="NPN05"),H364,"")</f>
        <v/>
      </c>
      <c r="BG364" s="44" t="str">
        <f>IF(AND(C364=Master!$H$9,B364="2012-2013",E364&gt;1000,G364="NPN05"),H364,"")</f>
        <v/>
      </c>
      <c r="BH364" s="44" t="str">
        <f>IF(AND(C364=Master!$H$9,B364="2012-2013",E364="",G364="NPN05"),H364,"")</f>
        <v/>
      </c>
    </row>
    <row r="365" spans="1:60" x14ac:dyDescent="0.25">
      <c r="A365" s="3">
        <v>363</v>
      </c>
      <c r="B365" s="12"/>
      <c r="C365" s="12"/>
      <c r="D365" s="31"/>
      <c r="E365" s="4"/>
      <c r="F365" s="13"/>
      <c r="G365" s="21"/>
      <c r="H365" s="35"/>
      <c r="I365" s="21"/>
      <c r="J365" s="25" t="str">
        <f>IF(NOT(I365=""),INDEX(Master!$B$1:$B$46,MATCH(I365,Master!$A$1:$A$46,0)),"")</f>
        <v/>
      </c>
      <c r="K365" s="18"/>
      <c r="L365" s="86"/>
      <c r="M365" s="13"/>
      <c r="N365" s="13"/>
      <c r="O365" s="18"/>
      <c r="P365" s="35"/>
      <c r="Q365" s="21"/>
      <c r="R365" s="21"/>
      <c r="S365" s="13"/>
      <c r="T365" s="12"/>
      <c r="U365" s="12"/>
      <c r="V365" s="12"/>
      <c r="W365" s="14"/>
      <c r="Y365" s="42" t="str">
        <f>IF(AND(C365=Master!$H$1,B365="2012-2013",E365&gt;1000,G365="PLN03"),H365,"")</f>
        <v/>
      </c>
      <c r="Z365" s="42" t="str">
        <f>IF(AND(C365=Master!$H$1,B365="2012-2013",E365="",G365="PLN03"),H365,"")</f>
        <v/>
      </c>
      <c r="AA365" s="42" t="str">
        <f>IF(AND(C365=Master!$H$2,B365="2012-2013",E365&gt;1000,G365="PLN03"),H365,"")</f>
        <v/>
      </c>
      <c r="AB365" s="42" t="str">
        <f>IF(AND(C365=Master!$H$2,B365="2012-2013",E365="",G365="PLN03"),H365,"")</f>
        <v/>
      </c>
      <c r="AC365" s="42" t="str">
        <f>IF(AND(C365=Master!$H$3,B365="2012-2013",E365&gt;1000,G365="PLN03"),H365,"")</f>
        <v/>
      </c>
      <c r="AD365" s="42" t="str">
        <f>IF(AND(C365=Master!$H$3,B365="2012-2013",E365="",G365="PLN03"),H365,"")</f>
        <v/>
      </c>
      <c r="AE365" s="42" t="str">
        <f>IF(AND(C365=Master!$H$4,B365="2012-2013",E365&gt;1000,G365="PLN03"),H365,"")</f>
        <v/>
      </c>
      <c r="AF365" s="42" t="str">
        <f>IF(AND(C365=Master!$H$4,B365="2012-2013",E365="",G365="PLN03"),H365,"")</f>
        <v/>
      </c>
      <c r="AG365" s="42" t="str">
        <f>IF(AND(C365=Master!$H$5,B365="2012-2013",E365&gt;1000,G365="PLN03"),H365,"")</f>
        <v/>
      </c>
      <c r="AH365" s="42" t="str">
        <f>IF(AND(C365=Master!$H$5,B365="2012-2013",E365="",G365="PLN03"),H365,"")</f>
        <v/>
      </c>
      <c r="AI365" s="42" t="str">
        <f>IF(AND(C365=Master!$H$6,B365="2012-2013",E365&gt;1000,G365="PLN03"),H365,"")</f>
        <v/>
      </c>
      <c r="AJ365" s="42" t="str">
        <f>IF(AND(C365=Master!$H$6,B365="2012-2013",E365="",G365="PLN03"),H365,"")</f>
        <v/>
      </c>
      <c r="AK365" s="42" t="str">
        <f>IF(AND(C365=Master!$H$7,B365="2012-2013",E365&gt;1000,G365="PLN03"),H365,"")</f>
        <v/>
      </c>
      <c r="AL365" s="42" t="str">
        <f>IF(AND(C365=Master!$H$7,B365="2012-2013",E365="",G365="PLN03"),H365,"")</f>
        <v/>
      </c>
      <c r="AM365" s="42" t="str">
        <f>IF(AND(C365=Master!$H$8,B365="2012-2013",E365&gt;1000,G365="PLN03"),H365,"")</f>
        <v/>
      </c>
      <c r="AN365" s="42" t="str">
        <f>IF(AND(C365=Master!$H$8,B365="2012-2013",E365="",G365="PLN03"),H365,"")</f>
        <v/>
      </c>
      <c r="AO365" s="42" t="str">
        <f>IF(AND(C365=Master!$H$9,B365="2012-2013",E365&gt;1000,G365="PLN03"),H365,"")</f>
        <v/>
      </c>
      <c r="AP365" s="42" t="str">
        <f>IF(AND(C365=Master!$H$9,B365="2012-2013",E365="",G365="PLN03"),H365,"")</f>
        <v/>
      </c>
      <c r="AQ365" s="44" t="str">
        <f>IF(AND(C365=Master!$H$1,B365="2012-2013",E365&gt;1000,G365="NPN05"),H365,"")</f>
        <v/>
      </c>
      <c r="AR365" s="44" t="str">
        <f>IF(AND(C365=Master!$H$1,B365="2012-2013",E365="",G365="NPN05"),H365,"")</f>
        <v/>
      </c>
      <c r="AS365" s="44" t="str">
        <f>IF(AND(C365=Master!$H$2,B365="2012-2013",E365&gt;1000,G365="NPN05"),H365,"")</f>
        <v/>
      </c>
      <c r="AT365" s="44" t="str">
        <f>IF(AND(C365=Master!$H$2,B365="2012-2013",E365="",G365="NPN05"),H365,"")</f>
        <v/>
      </c>
      <c r="AU365" s="44" t="str">
        <f>IF(AND(C365=Master!$H$3,B365="2012-2013",E365&gt;1000,G365="NPN05"),H365,"")</f>
        <v/>
      </c>
      <c r="AV365" s="44" t="str">
        <f>IF(AND(C365=Master!$H$3,B365="2012-2013",E365="",G365="NPN05"),H365,"")</f>
        <v/>
      </c>
      <c r="AW365" s="44" t="str">
        <f>IF(AND(C365=Master!$H$4,B365="2012-2013",E365&gt;1000,G365="NPN05"),H365,"")</f>
        <v/>
      </c>
      <c r="AX365" s="44" t="str">
        <f>IF(AND(C365=Master!$H$4,B365="2012-2013",E365="",G365="NPN05"),H365,"")</f>
        <v/>
      </c>
      <c r="AY365" s="44" t="str">
        <f>IF(AND(C365=Master!$H$5,B365="2012-2013",E365&gt;1000,G365="NPN05"),H365,"")</f>
        <v/>
      </c>
      <c r="AZ365" s="44" t="str">
        <f>IF(AND(C365=Master!$H$5,B365="2012-2013",E365="",G365="NPN05"),H365,"")</f>
        <v/>
      </c>
      <c r="BA365" s="44" t="str">
        <f>IF(AND(C365=Master!$H$6,B365="2012-2013",E365&gt;1000,G365="NPN05"),H365,"")</f>
        <v/>
      </c>
      <c r="BB365" s="44" t="str">
        <f>IF(AND(C365=Master!$H$6,B365="2012-2013",E365="",G365="NPN05"),H365,"")</f>
        <v/>
      </c>
      <c r="BC365" s="44" t="str">
        <f>IF(AND(C365=Master!$H$7,B365="2012-2013",E365&gt;1000,G365="NPN05"),H365,"")</f>
        <v/>
      </c>
      <c r="BD365" s="44" t="str">
        <f>IF(AND(C365=Master!$H$7,B365="2012-2013",E365="",G365="NPN05"),H365,"")</f>
        <v/>
      </c>
      <c r="BE365" s="44" t="str">
        <f>IF(AND(C365=Master!$H$8,B365="2012-2013",E365&gt;1000,G365="NPN05"),H365,"")</f>
        <v/>
      </c>
      <c r="BF365" s="44" t="str">
        <f>IF(AND(C365=Master!$H$8,B365="2012-2013",E365="",G365="NPN05"),H365,"")</f>
        <v/>
      </c>
      <c r="BG365" s="44" t="str">
        <f>IF(AND(C365=Master!$H$9,B365="2012-2013",E365&gt;1000,G365="NPN05"),H365,"")</f>
        <v/>
      </c>
      <c r="BH365" s="44" t="str">
        <f>IF(AND(C365=Master!$H$9,B365="2012-2013",E365="",G365="NPN05"),H365,"")</f>
        <v/>
      </c>
    </row>
    <row r="366" spans="1:60" x14ac:dyDescent="0.25">
      <c r="A366" s="3">
        <v>364</v>
      </c>
      <c r="B366" s="12"/>
      <c r="C366" s="12"/>
      <c r="D366" s="31"/>
      <c r="E366" s="4"/>
      <c r="F366" s="13"/>
      <c r="G366" s="21"/>
      <c r="H366" s="35"/>
      <c r="I366" s="21"/>
      <c r="J366" s="25" t="str">
        <f>IF(NOT(I366=""),INDEX(Master!$B$1:$B$46,MATCH(I366,Master!$A$1:$A$46,0)),"")</f>
        <v/>
      </c>
      <c r="K366" s="18"/>
      <c r="L366" s="86"/>
      <c r="M366" s="13"/>
      <c r="N366" s="13"/>
      <c r="O366" s="18"/>
      <c r="P366" s="35"/>
      <c r="Q366" s="21"/>
      <c r="R366" s="21"/>
      <c r="S366" s="13"/>
      <c r="T366" s="12"/>
      <c r="U366" s="12"/>
      <c r="V366" s="12"/>
      <c r="W366" s="14"/>
      <c r="Y366" s="42" t="str">
        <f>IF(AND(C366=Master!$H$1,B366="2012-2013",E366&gt;1000,G366="PLN03"),H366,"")</f>
        <v/>
      </c>
      <c r="Z366" s="42" t="str">
        <f>IF(AND(C366=Master!$H$1,B366="2012-2013",E366="",G366="PLN03"),H366,"")</f>
        <v/>
      </c>
      <c r="AA366" s="42" t="str">
        <f>IF(AND(C366=Master!$H$2,B366="2012-2013",E366&gt;1000,G366="PLN03"),H366,"")</f>
        <v/>
      </c>
      <c r="AB366" s="42" t="str">
        <f>IF(AND(C366=Master!$H$2,B366="2012-2013",E366="",G366="PLN03"),H366,"")</f>
        <v/>
      </c>
      <c r="AC366" s="42" t="str">
        <f>IF(AND(C366=Master!$H$3,B366="2012-2013",E366&gt;1000,G366="PLN03"),H366,"")</f>
        <v/>
      </c>
      <c r="AD366" s="42" t="str">
        <f>IF(AND(C366=Master!$H$3,B366="2012-2013",E366="",G366="PLN03"),H366,"")</f>
        <v/>
      </c>
      <c r="AE366" s="42" t="str">
        <f>IF(AND(C366=Master!$H$4,B366="2012-2013",E366&gt;1000,G366="PLN03"),H366,"")</f>
        <v/>
      </c>
      <c r="AF366" s="42" t="str">
        <f>IF(AND(C366=Master!$H$4,B366="2012-2013",E366="",G366="PLN03"),H366,"")</f>
        <v/>
      </c>
      <c r="AG366" s="42" t="str">
        <f>IF(AND(C366=Master!$H$5,B366="2012-2013",E366&gt;1000,G366="PLN03"),H366,"")</f>
        <v/>
      </c>
      <c r="AH366" s="42" t="str">
        <f>IF(AND(C366=Master!$H$5,B366="2012-2013",E366="",G366="PLN03"),H366,"")</f>
        <v/>
      </c>
      <c r="AI366" s="42" t="str">
        <f>IF(AND(C366=Master!$H$6,B366="2012-2013",E366&gt;1000,G366="PLN03"),H366,"")</f>
        <v/>
      </c>
      <c r="AJ366" s="42" t="str">
        <f>IF(AND(C366=Master!$H$6,B366="2012-2013",E366="",G366="PLN03"),H366,"")</f>
        <v/>
      </c>
      <c r="AK366" s="42" t="str">
        <f>IF(AND(C366=Master!$H$7,B366="2012-2013",E366&gt;1000,G366="PLN03"),H366,"")</f>
        <v/>
      </c>
      <c r="AL366" s="42" t="str">
        <f>IF(AND(C366=Master!$H$7,B366="2012-2013",E366="",G366="PLN03"),H366,"")</f>
        <v/>
      </c>
      <c r="AM366" s="42" t="str">
        <f>IF(AND(C366=Master!$H$8,B366="2012-2013",E366&gt;1000,G366="PLN03"),H366,"")</f>
        <v/>
      </c>
      <c r="AN366" s="42" t="str">
        <f>IF(AND(C366=Master!$H$8,B366="2012-2013",E366="",G366="PLN03"),H366,"")</f>
        <v/>
      </c>
      <c r="AO366" s="42" t="str">
        <f>IF(AND(C366=Master!$H$9,B366="2012-2013",E366&gt;1000,G366="PLN03"),H366,"")</f>
        <v/>
      </c>
      <c r="AP366" s="42" t="str">
        <f>IF(AND(C366=Master!$H$9,B366="2012-2013",E366="",G366="PLN03"),H366,"")</f>
        <v/>
      </c>
      <c r="AQ366" s="44" t="str">
        <f>IF(AND(C366=Master!$H$1,B366="2012-2013",E366&gt;1000,G366="NPN05"),H366,"")</f>
        <v/>
      </c>
      <c r="AR366" s="44" t="str">
        <f>IF(AND(C366=Master!$H$1,B366="2012-2013",E366="",G366="NPN05"),H366,"")</f>
        <v/>
      </c>
      <c r="AS366" s="44" t="str">
        <f>IF(AND(C366=Master!$H$2,B366="2012-2013",E366&gt;1000,G366="NPN05"),H366,"")</f>
        <v/>
      </c>
      <c r="AT366" s="44" t="str">
        <f>IF(AND(C366=Master!$H$2,B366="2012-2013",E366="",G366="NPN05"),H366,"")</f>
        <v/>
      </c>
      <c r="AU366" s="44" t="str">
        <f>IF(AND(C366=Master!$H$3,B366="2012-2013",E366&gt;1000,G366="NPN05"),H366,"")</f>
        <v/>
      </c>
      <c r="AV366" s="44" t="str">
        <f>IF(AND(C366=Master!$H$3,B366="2012-2013",E366="",G366="NPN05"),H366,"")</f>
        <v/>
      </c>
      <c r="AW366" s="44" t="str">
        <f>IF(AND(C366=Master!$H$4,B366="2012-2013",E366&gt;1000,G366="NPN05"),H366,"")</f>
        <v/>
      </c>
      <c r="AX366" s="44" t="str">
        <f>IF(AND(C366=Master!$H$4,B366="2012-2013",E366="",G366="NPN05"),H366,"")</f>
        <v/>
      </c>
      <c r="AY366" s="44" t="str">
        <f>IF(AND(C366=Master!$H$5,B366="2012-2013",E366&gt;1000,G366="NPN05"),H366,"")</f>
        <v/>
      </c>
      <c r="AZ366" s="44" t="str">
        <f>IF(AND(C366=Master!$H$5,B366="2012-2013",E366="",G366="NPN05"),H366,"")</f>
        <v/>
      </c>
      <c r="BA366" s="44" t="str">
        <f>IF(AND(C366=Master!$H$6,B366="2012-2013",E366&gt;1000,G366="NPN05"),H366,"")</f>
        <v/>
      </c>
      <c r="BB366" s="44" t="str">
        <f>IF(AND(C366=Master!$H$6,B366="2012-2013",E366="",G366="NPN05"),H366,"")</f>
        <v/>
      </c>
      <c r="BC366" s="44" t="str">
        <f>IF(AND(C366=Master!$H$7,B366="2012-2013",E366&gt;1000,G366="NPN05"),H366,"")</f>
        <v/>
      </c>
      <c r="BD366" s="44" t="str">
        <f>IF(AND(C366=Master!$H$7,B366="2012-2013",E366="",G366="NPN05"),H366,"")</f>
        <v/>
      </c>
      <c r="BE366" s="44" t="str">
        <f>IF(AND(C366=Master!$H$8,B366="2012-2013",E366&gt;1000,G366="NPN05"),H366,"")</f>
        <v/>
      </c>
      <c r="BF366" s="44" t="str">
        <f>IF(AND(C366=Master!$H$8,B366="2012-2013",E366="",G366="NPN05"),H366,"")</f>
        <v/>
      </c>
      <c r="BG366" s="44" t="str">
        <f>IF(AND(C366=Master!$H$9,B366="2012-2013",E366&gt;1000,G366="NPN05"),H366,"")</f>
        <v/>
      </c>
      <c r="BH366" s="44" t="str">
        <f>IF(AND(C366=Master!$H$9,B366="2012-2013",E366="",G366="NPN05"),H366,"")</f>
        <v/>
      </c>
    </row>
    <row r="367" spans="1:60" x14ac:dyDescent="0.25">
      <c r="A367" s="3">
        <v>365</v>
      </c>
      <c r="B367" s="12"/>
      <c r="C367" s="12"/>
      <c r="D367" s="31"/>
      <c r="E367" s="4"/>
      <c r="F367" s="13"/>
      <c r="G367" s="21"/>
      <c r="H367" s="35"/>
      <c r="I367" s="21"/>
      <c r="J367" s="25" t="str">
        <f>IF(NOT(I367=""),INDEX(Master!$B$1:$B$46,MATCH(I367,Master!$A$1:$A$46,0)),"")</f>
        <v/>
      </c>
      <c r="K367" s="18"/>
      <c r="L367" s="86"/>
      <c r="M367" s="13"/>
      <c r="N367" s="13"/>
      <c r="O367" s="18"/>
      <c r="P367" s="35"/>
      <c r="Q367" s="21"/>
      <c r="R367" s="21"/>
      <c r="S367" s="13"/>
      <c r="T367" s="12"/>
      <c r="U367" s="12"/>
      <c r="V367" s="12"/>
      <c r="W367" s="14"/>
      <c r="Y367" s="42" t="str">
        <f>IF(AND(C367=Master!$H$1,B367="2012-2013",E367&gt;1000,G367="PLN03"),H367,"")</f>
        <v/>
      </c>
      <c r="Z367" s="42" t="str">
        <f>IF(AND(C367=Master!$H$1,B367="2012-2013",E367="",G367="PLN03"),H367,"")</f>
        <v/>
      </c>
      <c r="AA367" s="42" t="str">
        <f>IF(AND(C367=Master!$H$2,B367="2012-2013",E367&gt;1000,G367="PLN03"),H367,"")</f>
        <v/>
      </c>
      <c r="AB367" s="42" t="str">
        <f>IF(AND(C367=Master!$H$2,B367="2012-2013",E367="",G367="PLN03"),H367,"")</f>
        <v/>
      </c>
      <c r="AC367" s="42" t="str">
        <f>IF(AND(C367=Master!$H$3,B367="2012-2013",E367&gt;1000,G367="PLN03"),H367,"")</f>
        <v/>
      </c>
      <c r="AD367" s="42" t="str">
        <f>IF(AND(C367=Master!$H$3,B367="2012-2013",E367="",G367="PLN03"),H367,"")</f>
        <v/>
      </c>
      <c r="AE367" s="42" t="str">
        <f>IF(AND(C367=Master!$H$4,B367="2012-2013",E367&gt;1000,G367="PLN03"),H367,"")</f>
        <v/>
      </c>
      <c r="AF367" s="42" t="str">
        <f>IF(AND(C367=Master!$H$4,B367="2012-2013",E367="",G367="PLN03"),H367,"")</f>
        <v/>
      </c>
      <c r="AG367" s="42" t="str">
        <f>IF(AND(C367=Master!$H$5,B367="2012-2013",E367&gt;1000,G367="PLN03"),H367,"")</f>
        <v/>
      </c>
      <c r="AH367" s="42" t="str">
        <f>IF(AND(C367=Master!$H$5,B367="2012-2013",E367="",G367="PLN03"),H367,"")</f>
        <v/>
      </c>
      <c r="AI367" s="42" t="str">
        <f>IF(AND(C367=Master!$H$6,B367="2012-2013",E367&gt;1000,G367="PLN03"),H367,"")</f>
        <v/>
      </c>
      <c r="AJ367" s="42" t="str">
        <f>IF(AND(C367=Master!$H$6,B367="2012-2013",E367="",G367="PLN03"),H367,"")</f>
        <v/>
      </c>
      <c r="AK367" s="42" t="str">
        <f>IF(AND(C367=Master!$H$7,B367="2012-2013",E367&gt;1000,G367="PLN03"),H367,"")</f>
        <v/>
      </c>
      <c r="AL367" s="42" t="str">
        <f>IF(AND(C367=Master!$H$7,B367="2012-2013",E367="",G367="PLN03"),H367,"")</f>
        <v/>
      </c>
      <c r="AM367" s="42" t="str">
        <f>IF(AND(C367=Master!$H$8,B367="2012-2013",E367&gt;1000,G367="PLN03"),H367,"")</f>
        <v/>
      </c>
      <c r="AN367" s="42" t="str">
        <f>IF(AND(C367=Master!$H$8,B367="2012-2013",E367="",G367="PLN03"),H367,"")</f>
        <v/>
      </c>
      <c r="AO367" s="42" t="str">
        <f>IF(AND(C367=Master!$H$9,B367="2012-2013",E367&gt;1000,G367="PLN03"),H367,"")</f>
        <v/>
      </c>
      <c r="AP367" s="42" t="str">
        <f>IF(AND(C367=Master!$H$9,B367="2012-2013",E367="",G367="PLN03"),H367,"")</f>
        <v/>
      </c>
      <c r="AQ367" s="44" t="str">
        <f>IF(AND(C367=Master!$H$1,B367="2012-2013",E367&gt;1000,G367="NPN05"),H367,"")</f>
        <v/>
      </c>
      <c r="AR367" s="44" t="str">
        <f>IF(AND(C367=Master!$H$1,B367="2012-2013",E367="",G367="NPN05"),H367,"")</f>
        <v/>
      </c>
      <c r="AS367" s="44" t="str">
        <f>IF(AND(C367=Master!$H$2,B367="2012-2013",E367&gt;1000,G367="NPN05"),H367,"")</f>
        <v/>
      </c>
      <c r="AT367" s="44" t="str">
        <f>IF(AND(C367=Master!$H$2,B367="2012-2013",E367="",G367="NPN05"),H367,"")</f>
        <v/>
      </c>
      <c r="AU367" s="44" t="str">
        <f>IF(AND(C367=Master!$H$3,B367="2012-2013",E367&gt;1000,G367="NPN05"),H367,"")</f>
        <v/>
      </c>
      <c r="AV367" s="44" t="str">
        <f>IF(AND(C367=Master!$H$3,B367="2012-2013",E367="",G367="NPN05"),H367,"")</f>
        <v/>
      </c>
      <c r="AW367" s="44" t="str">
        <f>IF(AND(C367=Master!$H$4,B367="2012-2013",E367&gt;1000,G367="NPN05"),H367,"")</f>
        <v/>
      </c>
      <c r="AX367" s="44" t="str">
        <f>IF(AND(C367=Master!$H$4,B367="2012-2013",E367="",G367="NPN05"),H367,"")</f>
        <v/>
      </c>
      <c r="AY367" s="44" t="str">
        <f>IF(AND(C367=Master!$H$5,B367="2012-2013",E367&gt;1000,G367="NPN05"),H367,"")</f>
        <v/>
      </c>
      <c r="AZ367" s="44" t="str">
        <f>IF(AND(C367=Master!$H$5,B367="2012-2013",E367="",G367="NPN05"),H367,"")</f>
        <v/>
      </c>
      <c r="BA367" s="44" t="str">
        <f>IF(AND(C367=Master!$H$6,B367="2012-2013",E367&gt;1000,G367="NPN05"),H367,"")</f>
        <v/>
      </c>
      <c r="BB367" s="44" t="str">
        <f>IF(AND(C367=Master!$H$6,B367="2012-2013",E367="",G367="NPN05"),H367,"")</f>
        <v/>
      </c>
      <c r="BC367" s="44" t="str">
        <f>IF(AND(C367=Master!$H$7,B367="2012-2013",E367&gt;1000,G367="NPN05"),H367,"")</f>
        <v/>
      </c>
      <c r="BD367" s="44" t="str">
        <f>IF(AND(C367=Master!$H$7,B367="2012-2013",E367="",G367="NPN05"),H367,"")</f>
        <v/>
      </c>
      <c r="BE367" s="44" t="str">
        <f>IF(AND(C367=Master!$H$8,B367="2012-2013",E367&gt;1000,G367="NPN05"),H367,"")</f>
        <v/>
      </c>
      <c r="BF367" s="44" t="str">
        <f>IF(AND(C367=Master!$H$8,B367="2012-2013",E367="",G367="NPN05"),H367,"")</f>
        <v/>
      </c>
      <c r="BG367" s="44" t="str">
        <f>IF(AND(C367=Master!$H$9,B367="2012-2013",E367&gt;1000,G367="NPN05"),H367,"")</f>
        <v/>
      </c>
      <c r="BH367" s="44" t="str">
        <f>IF(AND(C367=Master!$H$9,B367="2012-2013",E367="",G367="NPN05"),H367,"")</f>
        <v/>
      </c>
    </row>
    <row r="368" spans="1:60" x14ac:dyDescent="0.25">
      <c r="A368" s="3">
        <v>366</v>
      </c>
      <c r="B368" s="12"/>
      <c r="C368" s="12"/>
      <c r="D368" s="31"/>
      <c r="E368" s="4"/>
      <c r="F368" s="13"/>
      <c r="G368" s="21"/>
      <c r="H368" s="35"/>
      <c r="I368" s="21"/>
      <c r="J368" s="25" t="str">
        <f>IF(NOT(I368=""),INDEX(Master!$B$1:$B$46,MATCH(I368,Master!$A$1:$A$46,0)),"")</f>
        <v/>
      </c>
      <c r="K368" s="18"/>
      <c r="L368" s="86"/>
      <c r="M368" s="13"/>
      <c r="N368" s="13"/>
      <c r="O368" s="18"/>
      <c r="P368" s="35"/>
      <c r="Q368" s="21"/>
      <c r="R368" s="21"/>
      <c r="S368" s="13"/>
      <c r="T368" s="12"/>
      <c r="U368" s="12"/>
      <c r="V368" s="12"/>
      <c r="W368" s="14"/>
      <c r="Y368" s="42" t="str">
        <f>IF(AND(C368=Master!$H$1,B368="2012-2013",E368&gt;1000,G368="PLN03"),H368,"")</f>
        <v/>
      </c>
      <c r="Z368" s="42" t="str">
        <f>IF(AND(C368=Master!$H$1,B368="2012-2013",E368="",G368="PLN03"),H368,"")</f>
        <v/>
      </c>
      <c r="AA368" s="42" t="str">
        <f>IF(AND(C368=Master!$H$2,B368="2012-2013",E368&gt;1000,G368="PLN03"),H368,"")</f>
        <v/>
      </c>
      <c r="AB368" s="42" t="str">
        <f>IF(AND(C368=Master!$H$2,B368="2012-2013",E368="",G368="PLN03"),H368,"")</f>
        <v/>
      </c>
      <c r="AC368" s="42" t="str">
        <f>IF(AND(C368=Master!$H$3,B368="2012-2013",E368&gt;1000,G368="PLN03"),H368,"")</f>
        <v/>
      </c>
      <c r="AD368" s="42" t="str">
        <f>IF(AND(C368=Master!$H$3,B368="2012-2013",E368="",G368="PLN03"),H368,"")</f>
        <v/>
      </c>
      <c r="AE368" s="42" t="str">
        <f>IF(AND(C368=Master!$H$4,B368="2012-2013",E368&gt;1000,G368="PLN03"),H368,"")</f>
        <v/>
      </c>
      <c r="AF368" s="42" t="str">
        <f>IF(AND(C368=Master!$H$4,B368="2012-2013",E368="",G368="PLN03"),H368,"")</f>
        <v/>
      </c>
      <c r="AG368" s="42" t="str">
        <f>IF(AND(C368=Master!$H$5,B368="2012-2013",E368&gt;1000,G368="PLN03"),H368,"")</f>
        <v/>
      </c>
      <c r="AH368" s="42" t="str">
        <f>IF(AND(C368=Master!$H$5,B368="2012-2013",E368="",G368="PLN03"),H368,"")</f>
        <v/>
      </c>
      <c r="AI368" s="42" t="str">
        <f>IF(AND(C368=Master!$H$6,B368="2012-2013",E368&gt;1000,G368="PLN03"),H368,"")</f>
        <v/>
      </c>
      <c r="AJ368" s="42" t="str">
        <f>IF(AND(C368=Master!$H$6,B368="2012-2013",E368="",G368="PLN03"),H368,"")</f>
        <v/>
      </c>
      <c r="AK368" s="42" t="str">
        <f>IF(AND(C368=Master!$H$7,B368="2012-2013",E368&gt;1000,G368="PLN03"),H368,"")</f>
        <v/>
      </c>
      <c r="AL368" s="42" t="str">
        <f>IF(AND(C368=Master!$H$7,B368="2012-2013",E368="",G368="PLN03"),H368,"")</f>
        <v/>
      </c>
      <c r="AM368" s="42" t="str">
        <f>IF(AND(C368=Master!$H$8,B368="2012-2013",E368&gt;1000,G368="PLN03"),H368,"")</f>
        <v/>
      </c>
      <c r="AN368" s="42" t="str">
        <f>IF(AND(C368=Master!$H$8,B368="2012-2013",E368="",G368="PLN03"),H368,"")</f>
        <v/>
      </c>
      <c r="AO368" s="42" t="str">
        <f>IF(AND(C368=Master!$H$9,B368="2012-2013",E368&gt;1000,G368="PLN03"),H368,"")</f>
        <v/>
      </c>
      <c r="AP368" s="42" t="str">
        <f>IF(AND(C368=Master!$H$9,B368="2012-2013",E368="",G368="PLN03"),H368,"")</f>
        <v/>
      </c>
      <c r="AQ368" s="44" t="str">
        <f>IF(AND(C368=Master!$H$1,B368="2012-2013",E368&gt;1000,G368="NPN05"),H368,"")</f>
        <v/>
      </c>
      <c r="AR368" s="44" t="str">
        <f>IF(AND(C368=Master!$H$1,B368="2012-2013",E368="",G368="NPN05"),H368,"")</f>
        <v/>
      </c>
      <c r="AS368" s="44" t="str">
        <f>IF(AND(C368=Master!$H$2,B368="2012-2013",E368&gt;1000,G368="NPN05"),H368,"")</f>
        <v/>
      </c>
      <c r="AT368" s="44" t="str">
        <f>IF(AND(C368=Master!$H$2,B368="2012-2013",E368="",G368="NPN05"),H368,"")</f>
        <v/>
      </c>
      <c r="AU368" s="44" t="str">
        <f>IF(AND(C368=Master!$H$3,B368="2012-2013",E368&gt;1000,G368="NPN05"),H368,"")</f>
        <v/>
      </c>
      <c r="AV368" s="44" t="str">
        <f>IF(AND(C368=Master!$H$3,B368="2012-2013",E368="",G368="NPN05"),H368,"")</f>
        <v/>
      </c>
      <c r="AW368" s="44" t="str">
        <f>IF(AND(C368=Master!$H$4,B368="2012-2013",E368&gt;1000,G368="NPN05"),H368,"")</f>
        <v/>
      </c>
      <c r="AX368" s="44" t="str">
        <f>IF(AND(C368=Master!$H$4,B368="2012-2013",E368="",G368="NPN05"),H368,"")</f>
        <v/>
      </c>
      <c r="AY368" s="44" t="str">
        <f>IF(AND(C368=Master!$H$5,B368="2012-2013",E368&gt;1000,G368="NPN05"),H368,"")</f>
        <v/>
      </c>
      <c r="AZ368" s="44" t="str">
        <f>IF(AND(C368=Master!$H$5,B368="2012-2013",E368="",G368="NPN05"),H368,"")</f>
        <v/>
      </c>
      <c r="BA368" s="44" t="str">
        <f>IF(AND(C368=Master!$H$6,B368="2012-2013",E368&gt;1000,G368="NPN05"),H368,"")</f>
        <v/>
      </c>
      <c r="BB368" s="44" t="str">
        <f>IF(AND(C368=Master!$H$6,B368="2012-2013",E368="",G368="NPN05"),H368,"")</f>
        <v/>
      </c>
      <c r="BC368" s="44" t="str">
        <f>IF(AND(C368=Master!$H$7,B368="2012-2013",E368&gt;1000,G368="NPN05"),H368,"")</f>
        <v/>
      </c>
      <c r="BD368" s="44" t="str">
        <f>IF(AND(C368=Master!$H$7,B368="2012-2013",E368="",G368="NPN05"),H368,"")</f>
        <v/>
      </c>
      <c r="BE368" s="44" t="str">
        <f>IF(AND(C368=Master!$H$8,B368="2012-2013",E368&gt;1000,G368="NPN05"),H368,"")</f>
        <v/>
      </c>
      <c r="BF368" s="44" t="str">
        <f>IF(AND(C368=Master!$H$8,B368="2012-2013",E368="",G368="NPN05"),H368,"")</f>
        <v/>
      </c>
      <c r="BG368" s="44" t="str">
        <f>IF(AND(C368=Master!$H$9,B368="2012-2013",E368&gt;1000,G368="NPN05"),H368,"")</f>
        <v/>
      </c>
      <c r="BH368" s="44" t="str">
        <f>IF(AND(C368=Master!$H$9,B368="2012-2013",E368="",G368="NPN05"),H368,"")</f>
        <v/>
      </c>
    </row>
    <row r="369" spans="1:60" x14ac:dyDescent="0.25">
      <c r="A369" s="3">
        <v>367</v>
      </c>
      <c r="B369" s="12"/>
      <c r="C369" s="12"/>
      <c r="D369" s="31"/>
      <c r="E369" s="4"/>
      <c r="F369" s="13"/>
      <c r="G369" s="21"/>
      <c r="H369" s="35"/>
      <c r="I369" s="21"/>
      <c r="J369" s="25" t="str">
        <f>IF(NOT(I369=""),INDEX(Master!$B$1:$B$46,MATCH(I369,Master!$A$1:$A$46,0)),"")</f>
        <v/>
      </c>
      <c r="K369" s="18"/>
      <c r="L369" s="86"/>
      <c r="M369" s="13"/>
      <c r="N369" s="13"/>
      <c r="O369" s="18"/>
      <c r="P369" s="35"/>
      <c r="Q369" s="21"/>
      <c r="R369" s="21"/>
      <c r="S369" s="13"/>
      <c r="T369" s="12"/>
      <c r="U369" s="12"/>
      <c r="V369" s="12"/>
      <c r="W369" s="14"/>
      <c r="Y369" s="42" t="str">
        <f>IF(AND(C369=Master!$H$1,B369="2012-2013",E369&gt;1000,G369="PLN03"),H369,"")</f>
        <v/>
      </c>
      <c r="Z369" s="42" t="str">
        <f>IF(AND(C369=Master!$H$1,B369="2012-2013",E369="",G369="PLN03"),H369,"")</f>
        <v/>
      </c>
      <c r="AA369" s="42" t="str">
        <f>IF(AND(C369=Master!$H$2,B369="2012-2013",E369&gt;1000,G369="PLN03"),H369,"")</f>
        <v/>
      </c>
      <c r="AB369" s="42" t="str">
        <f>IF(AND(C369=Master!$H$2,B369="2012-2013",E369="",G369="PLN03"),H369,"")</f>
        <v/>
      </c>
      <c r="AC369" s="42" t="str">
        <f>IF(AND(C369=Master!$H$3,B369="2012-2013",E369&gt;1000,G369="PLN03"),H369,"")</f>
        <v/>
      </c>
      <c r="AD369" s="42" t="str">
        <f>IF(AND(C369=Master!$H$3,B369="2012-2013",E369="",G369="PLN03"),H369,"")</f>
        <v/>
      </c>
      <c r="AE369" s="42" t="str">
        <f>IF(AND(C369=Master!$H$4,B369="2012-2013",E369&gt;1000,G369="PLN03"),H369,"")</f>
        <v/>
      </c>
      <c r="AF369" s="42" t="str">
        <f>IF(AND(C369=Master!$H$4,B369="2012-2013",E369="",G369="PLN03"),H369,"")</f>
        <v/>
      </c>
      <c r="AG369" s="42" t="str">
        <f>IF(AND(C369=Master!$H$5,B369="2012-2013",E369&gt;1000,G369="PLN03"),H369,"")</f>
        <v/>
      </c>
      <c r="AH369" s="42" t="str">
        <f>IF(AND(C369=Master!$H$5,B369="2012-2013",E369="",G369="PLN03"),H369,"")</f>
        <v/>
      </c>
      <c r="AI369" s="42" t="str">
        <f>IF(AND(C369=Master!$H$6,B369="2012-2013",E369&gt;1000,G369="PLN03"),H369,"")</f>
        <v/>
      </c>
      <c r="AJ369" s="42" t="str">
        <f>IF(AND(C369=Master!$H$6,B369="2012-2013",E369="",G369="PLN03"),H369,"")</f>
        <v/>
      </c>
      <c r="AK369" s="42" t="str">
        <f>IF(AND(C369=Master!$H$7,B369="2012-2013",E369&gt;1000,G369="PLN03"),H369,"")</f>
        <v/>
      </c>
      <c r="AL369" s="42" t="str">
        <f>IF(AND(C369=Master!$H$7,B369="2012-2013",E369="",G369="PLN03"),H369,"")</f>
        <v/>
      </c>
      <c r="AM369" s="42" t="str">
        <f>IF(AND(C369=Master!$H$8,B369="2012-2013",E369&gt;1000,G369="PLN03"),H369,"")</f>
        <v/>
      </c>
      <c r="AN369" s="42" t="str">
        <f>IF(AND(C369=Master!$H$8,B369="2012-2013",E369="",G369="PLN03"),H369,"")</f>
        <v/>
      </c>
      <c r="AO369" s="42" t="str">
        <f>IF(AND(C369=Master!$H$9,B369="2012-2013",E369&gt;1000,G369="PLN03"),H369,"")</f>
        <v/>
      </c>
      <c r="AP369" s="42" t="str">
        <f>IF(AND(C369=Master!$H$9,B369="2012-2013",E369="",G369="PLN03"),H369,"")</f>
        <v/>
      </c>
      <c r="AQ369" s="44" t="str">
        <f>IF(AND(C369=Master!$H$1,B369="2012-2013",E369&gt;1000,G369="NPN05"),H369,"")</f>
        <v/>
      </c>
      <c r="AR369" s="44" t="str">
        <f>IF(AND(C369=Master!$H$1,B369="2012-2013",E369="",G369="NPN05"),H369,"")</f>
        <v/>
      </c>
      <c r="AS369" s="44" t="str">
        <f>IF(AND(C369=Master!$H$2,B369="2012-2013",E369&gt;1000,G369="NPN05"),H369,"")</f>
        <v/>
      </c>
      <c r="AT369" s="44" t="str">
        <f>IF(AND(C369=Master!$H$2,B369="2012-2013",E369="",G369="NPN05"),H369,"")</f>
        <v/>
      </c>
      <c r="AU369" s="44" t="str">
        <f>IF(AND(C369=Master!$H$3,B369="2012-2013",E369&gt;1000,G369="NPN05"),H369,"")</f>
        <v/>
      </c>
      <c r="AV369" s="44" t="str">
        <f>IF(AND(C369=Master!$H$3,B369="2012-2013",E369="",G369="NPN05"),H369,"")</f>
        <v/>
      </c>
      <c r="AW369" s="44" t="str">
        <f>IF(AND(C369=Master!$H$4,B369="2012-2013",E369&gt;1000,G369="NPN05"),H369,"")</f>
        <v/>
      </c>
      <c r="AX369" s="44" t="str">
        <f>IF(AND(C369=Master!$H$4,B369="2012-2013",E369="",G369="NPN05"),H369,"")</f>
        <v/>
      </c>
      <c r="AY369" s="44" t="str">
        <f>IF(AND(C369=Master!$H$5,B369="2012-2013",E369&gt;1000,G369="NPN05"),H369,"")</f>
        <v/>
      </c>
      <c r="AZ369" s="44" t="str">
        <f>IF(AND(C369=Master!$H$5,B369="2012-2013",E369="",G369="NPN05"),H369,"")</f>
        <v/>
      </c>
      <c r="BA369" s="44" t="str">
        <f>IF(AND(C369=Master!$H$6,B369="2012-2013",E369&gt;1000,G369="NPN05"),H369,"")</f>
        <v/>
      </c>
      <c r="BB369" s="44" t="str">
        <f>IF(AND(C369=Master!$H$6,B369="2012-2013",E369="",G369="NPN05"),H369,"")</f>
        <v/>
      </c>
      <c r="BC369" s="44" t="str">
        <f>IF(AND(C369=Master!$H$7,B369="2012-2013",E369&gt;1000,G369="NPN05"),H369,"")</f>
        <v/>
      </c>
      <c r="BD369" s="44" t="str">
        <f>IF(AND(C369=Master!$H$7,B369="2012-2013",E369="",G369="NPN05"),H369,"")</f>
        <v/>
      </c>
      <c r="BE369" s="44" t="str">
        <f>IF(AND(C369=Master!$H$8,B369="2012-2013",E369&gt;1000,G369="NPN05"),H369,"")</f>
        <v/>
      </c>
      <c r="BF369" s="44" t="str">
        <f>IF(AND(C369=Master!$H$8,B369="2012-2013",E369="",G369="NPN05"),H369,"")</f>
        <v/>
      </c>
      <c r="BG369" s="44" t="str">
        <f>IF(AND(C369=Master!$H$9,B369="2012-2013",E369&gt;1000,G369="NPN05"),H369,"")</f>
        <v/>
      </c>
      <c r="BH369" s="44" t="str">
        <f>IF(AND(C369=Master!$H$9,B369="2012-2013",E369="",G369="NPN05"),H369,"")</f>
        <v/>
      </c>
    </row>
    <row r="370" spans="1:60" x14ac:dyDescent="0.25">
      <c r="A370" s="3">
        <v>368</v>
      </c>
      <c r="B370" s="12"/>
      <c r="C370" s="12"/>
      <c r="D370" s="31"/>
      <c r="E370" s="4"/>
      <c r="F370" s="13"/>
      <c r="G370" s="21"/>
      <c r="H370" s="35"/>
      <c r="I370" s="21"/>
      <c r="J370" s="25" t="str">
        <f>IF(NOT(I370=""),INDEX(Master!$B$1:$B$46,MATCH(I370,Master!$A$1:$A$46,0)),"")</f>
        <v/>
      </c>
      <c r="K370" s="18"/>
      <c r="L370" s="86"/>
      <c r="M370" s="13"/>
      <c r="N370" s="13"/>
      <c r="O370" s="18"/>
      <c r="P370" s="35"/>
      <c r="Q370" s="21"/>
      <c r="R370" s="21"/>
      <c r="S370" s="13"/>
      <c r="T370" s="12"/>
      <c r="U370" s="12"/>
      <c r="V370" s="12"/>
      <c r="W370" s="14"/>
      <c r="Y370" s="42" t="str">
        <f>IF(AND(C370=Master!$H$1,B370="2012-2013",E370&gt;1000,G370="PLN03"),H370,"")</f>
        <v/>
      </c>
      <c r="Z370" s="42" t="str">
        <f>IF(AND(C370=Master!$H$1,B370="2012-2013",E370="",G370="PLN03"),H370,"")</f>
        <v/>
      </c>
      <c r="AA370" s="42" t="str">
        <f>IF(AND(C370=Master!$H$2,B370="2012-2013",E370&gt;1000,G370="PLN03"),H370,"")</f>
        <v/>
      </c>
      <c r="AB370" s="42" t="str">
        <f>IF(AND(C370=Master!$H$2,B370="2012-2013",E370="",G370="PLN03"),H370,"")</f>
        <v/>
      </c>
      <c r="AC370" s="42" t="str">
        <f>IF(AND(C370=Master!$H$3,B370="2012-2013",E370&gt;1000,G370="PLN03"),H370,"")</f>
        <v/>
      </c>
      <c r="AD370" s="42" t="str">
        <f>IF(AND(C370=Master!$H$3,B370="2012-2013",E370="",G370="PLN03"),H370,"")</f>
        <v/>
      </c>
      <c r="AE370" s="42" t="str">
        <f>IF(AND(C370=Master!$H$4,B370="2012-2013",E370&gt;1000,G370="PLN03"),H370,"")</f>
        <v/>
      </c>
      <c r="AF370" s="42" t="str">
        <f>IF(AND(C370=Master!$H$4,B370="2012-2013",E370="",G370="PLN03"),H370,"")</f>
        <v/>
      </c>
      <c r="AG370" s="42" t="str">
        <f>IF(AND(C370=Master!$H$5,B370="2012-2013",E370&gt;1000,G370="PLN03"),H370,"")</f>
        <v/>
      </c>
      <c r="AH370" s="42" t="str">
        <f>IF(AND(C370=Master!$H$5,B370="2012-2013",E370="",G370="PLN03"),H370,"")</f>
        <v/>
      </c>
      <c r="AI370" s="42" t="str">
        <f>IF(AND(C370=Master!$H$6,B370="2012-2013",E370&gt;1000,G370="PLN03"),H370,"")</f>
        <v/>
      </c>
      <c r="AJ370" s="42" t="str">
        <f>IF(AND(C370=Master!$H$6,B370="2012-2013",E370="",G370="PLN03"),H370,"")</f>
        <v/>
      </c>
      <c r="AK370" s="42" t="str">
        <f>IF(AND(C370=Master!$H$7,B370="2012-2013",E370&gt;1000,G370="PLN03"),H370,"")</f>
        <v/>
      </c>
      <c r="AL370" s="42" t="str">
        <f>IF(AND(C370=Master!$H$7,B370="2012-2013",E370="",G370="PLN03"),H370,"")</f>
        <v/>
      </c>
      <c r="AM370" s="42" t="str">
        <f>IF(AND(C370=Master!$H$8,B370="2012-2013",E370&gt;1000,G370="PLN03"),H370,"")</f>
        <v/>
      </c>
      <c r="AN370" s="42" t="str">
        <f>IF(AND(C370=Master!$H$8,B370="2012-2013",E370="",G370="PLN03"),H370,"")</f>
        <v/>
      </c>
      <c r="AO370" s="42" t="str">
        <f>IF(AND(C370=Master!$H$9,B370="2012-2013",E370&gt;1000,G370="PLN03"),H370,"")</f>
        <v/>
      </c>
      <c r="AP370" s="42" t="str">
        <f>IF(AND(C370=Master!$H$9,B370="2012-2013",E370="",G370="PLN03"),H370,"")</f>
        <v/>
      </c>
      <c r="AQ370" s="44" t="str">
        <f>IF(AND(C370=Master!$H$1,B370="2012-2013",E370&gt;1000,G370="NPN05"),H370,"")</f>
        <v/>
      </c>
      <c r="AR370" s="44" t="str">
        <f>IF(AND(C370=Master!$H$1,B370="2012-2013",E370="",G370="NPN05"),H370,"")</f>
        <v/>
      </c>
      <c r="AS370" s="44" t="str">
        <f>IF(AND(C370=Master!$H$2,B370="2012-2013",E370&gt;1000,G370="NPN05"),H370,"")</f>
        <v/>
      </c>
      <c r="AT370" s="44" t="str">
        <f>IF(AND(C370=Master!$H$2,B370="2012-2013",E370="",G370="NPN05"),H370,"")</f>
        <v/>
      </c>
      <c r="AU370" s="44" t="str">
        <f>IF(AND(C370=Master!$H$3,B370="2012-2013",E370&gt;1000,G370="NPN05"),H370,"")</f>
        <v/>
      </c>
      <c r="AV370" s="44" t="str">
        <f>IF(AND(C370=Master!$H$3,B370="2012-2013",E370="",G370="NPN05"),H370,"")</f>
        <v/>
      </c>
      <c r="AW370" s="44" t="str">
        <f>IF(AND(C370=Master!$H$4,B370="2012-2013",E370&gt;1000,G370="NPN05"),H370,"")</f>
        <v/>
      </c>
      <c r="AX370" s="44" t="str">
        <f>IF(AND(C370=Master!$H$4,B370="2012-2013",E370="",G370="NPN05"),H370,"")</f>
        <v/>
      </c>
      <c r="AY370" s="44" t="str">
        <f>IF(AND(C370=Master!$H$5,B370="2012-2013",E370&gt;1000,G370="NPN05"),H370,"")</f>
        <v/>
      </c>
      <c r="AZ370" s="44" t="str">
        <f>IF(AND(C370=Master!$H$5,B370="2012-2013",E370="",G370="NPN05"),H370,"")</f>
        <v/>
      </c>
      <c r="BA370" s="44" t="str">
        <f>IF(AND(C370=Master!$H$6,B370="2012-2013",E370&gt;1000,G370="NPN05"),H370,"")</f>
        <v/>
      </c>
      <c r="BB370" s="44" t="str">
        <f>IF(AND(C370=Master!$H$6,B370="2012-2013",E370="",G370="NPN05"),H370,"")</f>
        <v/>
      </c>
      <c r="BC370" s="44" t="str">
        <f>IF(AND(C370=Master!$H$7,B370="2012-2013",E370&gt;1000,G370="NPN05"),H370,"")</f>
        <v/>
      </c>
      <c r="BD370" s="44" t="str">
        <f>IF(AND(C370=Master!$H$7,B370="2012-2013",E370="",G370="NPN05"),H370,"")</f>
        <v/>
      </c>
      <c r="BE370" s="44" t="str">
        <f>IF(AND(C370=Master!$H$8,B370="2012-2013",E370&gt;1000,G370="NPN05"),H370,"")</f>
        <v/>
      </c>
      <c r="BF370" s="44" t="str">
        <f>IF(AND(C370=Master!$H$8,B370="2012-2013",E370="",G370="NPN05"),H370,"")</f>
        <v/>
      </c>
      <c r="BG370" s="44" t="str">
        <f>IF(AND(C370=Master!$H$9,B370="2012-2013",E370&gt;1000,G370="NPN05"),H370,"")</f>
        <v/>
      </c>
      <c r="BH370" s="44" t="str">
        <f>IF(AND(C370=Master!$H$9,B370="2012-2013",E370="",G370="NPN05"),H370,"")</f>
        <v/>
      </c>
    </row>
    <row r="371" spans="1:60" x14ac:dyDescent="0.25">
      <c r="A371" s="3">
        <v>369</v>
      </c>
      <c r="B371" s="12"/>
      <c r="C371" s="12"/>
      <c r="D371" s="31"/>
      <c r="E371" s="4"/>
      <c r="F371" s="13"/>
      <c r="G371" s="21"/>
      <c r="H371" s="35"/>
      <c r="I371" s="21"/>
      <c r="J371" s="25" t="str">
        <f>IF(NOT(I371=""),INDEX(Master!$B$1:$B$46,MATCH(I371,Master!$A$1:$A$46,0)),"")</f>
        <v/>
      </c>
      <c r="K371" s="18"/>
      <c r="L371" s="86"/>
      <c r="M371" s="13"/>
      <c r="N371" s="13"/>
      <c r="O371" s="18"/>
      <c r="P371" s="35"/>
      <c r="Q371" s="21"/>
      <c r="R371" s="21"/>
      <c r="S371" s="13"/>
      <c r="T371" s="12"/>
      <c r="U371" s="12"/>
      <c r="V371" s="12"/>
      <c r="W371" s="14"/>
      <c r="Y371" s="42" t="str">
        <f>IF(AND(C371=Master!$H$1,B371="2012-2013",E371&gt;1000,G371="PLN03"),H371,"")</f>
        <v/>
      </c>
      <c r="Z371" s="42" t="str">
        <f>IF(AND(C371=Master!$H$1,B371="2012-2013",E371="",G371="PLN03"),H371,"")</f>
        <v/>
      </c>
      <c r="AA371" s="42" t="str">
        <f>IF(AND(C371=Master!$H$2,B371="2012-2013",E371&gt;1000,G371="PLN03"),H371,"")</f>
        <v/>
      </c>
      <c r="AB371" s="42" t="str">
        <f>IF(AND(C371=Master!$H$2,B371="2012-2013",E371="",G371="PLN03"),H371,"")</f>
        <v/>
      </c>
      <c r="AC371" s="42" t="str">
        <f>IF(AND(C371=Master!$H$3,B371="2012-2013",E371&gt;1000,G371="PLN03"),H371,"")</f>
        <v/>
      </c>
      <c r="AD371" s="42" t="str">
        <f>IF(AND(C371=Master!$H$3,B371="2012-2013",E371="",G371="PLN03"),H371,"")</f>
        <v/>
      </c>
      <c r="AE371" s="42" t="str">
        <f>IF(AND(C371=Master!$H$4,B371="2012-2013",E371&gt;1000,G371="PLN03"),H371,"")</f>
        <v/>
      </c>
      <c r="AF371" s="42" t="str">
        <f>IF(AND(C371=Master!$H$4,B371="2012-2013",E371="",G371="PLN03"),H371,"")</f>
        <v/>
      </c>
      <c r="AG371" s="42" t="str">
        <f>IF(AND(C371=Master!$H$5,B371="2012-2013",E371&gt;1000,G371="PLN03"),H371,"")</f>
        <v/>
      </c>
      <c r="AH371" s="42" t="str">
        <f>IF(AND(C371=Master!$H$5,B371="2012-2013",E371="",G371="PLN03"),H371,"")</f>
        <v/>
      </c>
      <c r="AI371" s="42" t="str">
        <f>IF(AND(C371=Master!$H$6,B371="2012-2013",E371&gt;1000,G371="PLN03"),H371,"")</f>
        <v/>
      </c>
      <c r="AJ371" s="42" t="str">
        <f>IF(AND(C371=Master!$H$6,B371="2012-2013",E371="",G371="PLN03"),H371,"")</f>
        <v/>
      </c>
      <c r="AK371" s="42" t="str">
        <f>IF(AND(C371=Master!$H$7,B371="2012-2013",E371&gt;1000,G371="PLN03"),H371,"")</f>
        <v/>
      </c>
      <c r="AL371" s="42" t="str">
        <f>IF(AND(C371=Master!$H$7,B371="2012-2013",E371="",G371="PLN03"),H371,"")</f>
        <v/>
      </c>
      <c r="AM371" s="42" t="str">
        <f>IF(AND(C371=Master!$H$8,B371="2012-2013",E371&gt;1000,G371="PLN03"),H371,"")</f>
        <v/>
      </c>
      <c r="AN371" s="42" t="str">
        <f>IF(AND(C371=Master!$H$8,B371="2012-2013",E371="",G371="PLN03"),H371,"")</f>
        <v/>
      </c>
      <c r="AO371" s="42" t="str">
        <f>IF(AND(C371=Master!$H$9,B371="2012-2013",E371&gt;1000,G371="PLN03"),H371,"")</f>
        <v/>
      </c>
      <c r="AP371" s="42" t="str">
        <f>IF(AND(C371=Master!$H$9,B371="2012-2013",E371="",G371="PLN03"),H371,"")</f>
        <v/>
      </c>
      <c r="AQ371" s="44" t="str">
        <f>IF(AND(C371=Master!$H$1,B371="2012-2013",E371&gt;1000,G371="NPN05"),H371,"")</f>
        <v/>
      </c>
      <c r="AR371" s="44" t="str">
        <f>IF(AND(C371=Master!$H$1,B371="2012-2013",E371="",G371="NPN05"),H371,"")</f>
        <v/>
      </c>
      <c r="AS371" s="44" t="str">
        <f>IF(AND(C371=Master!$H$2,B371="2012-2013",E371&gt;1000,G371="NPN05"),H371,"")</f>
        <v/>
      </c>
      <c r="AT371" s="44" t="str">
        <f>IF(AND(C371=Master!$H$2,B371="2012-2013",E371="",G371="NPN05"),H371,"")</f>
        <v/>
      </c>
      <c r="AU371" s="44" t="str">
        <f>IF(AND(C371=Master!$H$3,B371="2012-2013",E371&gt;1000,G371="NPN05"),H371,"")</f>
        <v/>
      </c>
      <c r="AV371" s="44" t="str">
        <f>IF(AND(C371=Master!$H$3,B371="2012-2013",E371="",G371="NPN05"),H371,"")</f>
        <v/>
      </c>
      <c r="AW371" s="44" t="str">
        <f>IF(AND(C371=Master!$H$4,B371="2012-2013",E371&gt;1000,G371="NPN05"),H371,"")</f>
        <v/>
      </c>
      <c r="AX371" s="44" t="str">
        <f>IF(AND(C371=Master!$H$4,B371="2012-2013",E371="",G371="NPN05"),H371,"")</f>
        <v/>
      </c>
      <c r="AY371" s="44" t="str">
        <f>IF(AND(C371=Master!$H$5,B371="2012-2013",E371&gt;1000,G371="NPN05"),H371,"")</f>
        <v/>
      </c>
      <c r="AZ371" s="44" t="str">
        <f>IF(AND(C371=Master!$H$5,B371="2012-2013",E371="",G371="NPN05"),H371,"")</f>
        <v/>
      </c>
      <c r="BA371" s="44" t="str">
        <f>IF(AND(C371=Master!$H$6,B371="2012-2013",E371&gt;1000,G371="NPN05"),H371,"")</f>
        <v/>
      </c>
      <c r="BB371" s="44" t="str">
        <f>IF(AND(C371=Master!$H$6,B371="2012-2013",E371="",G371="NPN05"),H371,"")</f>
        <v/>
      </c>
      <c r="BC371" s="44" t="str">
        <f>IF(AND(C371=Master!$H$7,B371="2012-2013",E371&gt;1000,G371="NPN05"),H371,"")</f>
        <v/>
      </c>
      <c r="BD371" s="44" t="str">
        <f>IF(AND(C371=Master!$H$7,B371="2012-2013",E371="",G371="NPN05"),H371,"")</f>
        <v/>
      </c>
      <c r="BE371" s="44" t="str">
        <f>IF(AND(C371=Master!$H$8,B371="2012-2013",E371&gt;1000,G371="NPN05"),H371,"")</f>
        <v/>
      </c>
      <c r="BF371" s="44" t="str">
        <f>IF(AND(C371=Master!$H$8,B371="2012-2013",E371="",G371="NPN05"),H371,"")</f>
        <v/>
      </c>
      <c r="BG371" s="44" t="str">
        <f>IF(AND(C371=Master!$H$9,B371="2012-2013",E371&gt;1000,G371="NPN05"),H371,"")</f>
        <v/>
      </c>
      <c r="BH371" s="44" t="str">
        <f>IF(AND(C371=Master!$H$9,B371="2012-2013",E371="",G371="NPN05"),H371,"")</f>
        <v/>
      </c>
    </row>
    <row r="372" spans="1:60" x14ac:dyDescent="0.25">
      <c r="A372" s="3">
        <v>370</v>
      </c>
      <c r="B372" s="12"/>
      <c r="C372" s="12"/>
      <c r="D372" s="31"/>
      <c r="E372" s="4"/>
      <c r="F372" s="13"/>
      <c r="G372" s="21"/>
      <c r="H372" s="35"/>
      <c r="I372" s="21"/>
      <c r="J372" s="25" t="str">
        <f>IF(NOT(I372=""),INDEX(Master!$B$1:$B$46,MATCH(I372,Master!$A$1:$A$46,0)),"")</f>
        <v/>
      </c>
      <c r="K372" s="18"/>
      <c r="L372" s="86"/>
      <c r="M372" s="13"/>
      <c r="N372" s="13"/>
      <c r="O372" s="18"/>
      <c r="P372" s="35"/>
      <c r="Q372" s="21"/>
      <c r="R372" s="21"/>
      <c r="S372" s="13"/>
      <c r="T372" s="12"/>
      <c r="U372" s="12"/>
      <c r="V372" s="12"/>
      <c r="W372" s="14"/>
      <c r="Y372" s="42" t="str">
        <f>IF(AND(C372=Master!$H$1,B372="2012-2013",E372&gt;1000,G372="PLN03"),H372,"")</f>
        <v/>
      </c>
      <c r="Z372" s="42" t="str">
        <f>IF(AND(C372=Master!$H$1,B372="2012-2013",E372="",G372="PLN03"),H372,"")</f>
        <v/>
      </c>
      <c r="AA372" s="42" t="str">
        <f>IF(AND(C372=Master!$H$2,B372="2012-2013",E372&gt;1000,G372="PLN03"),H372,"")</f>
        <v/>
      </c>
      <c r="AB372" s="42" t="str">
        <f>IF(AND(C372=Master!$H$2,B372="2012-2013",E372="",G372="PLN03"),H372,"")</f>
        <v/>
      </c>
      <c r="AC372" s="42" t="str">
        <f>IF(AND(C372=Master!$H$3,B372="2012-2013",E372&gt;1000,G372="PLN03"),H372,"")</f>
        <v/>
      </c>
      <c r="AD372" s="42" t="str">
        <f>IF(AND(C372=Master!$H$3,B372="2012-2013",E372="",G372="PLN03"),H372,"")</f>
        <v/>
      </c>
      <c r="AE372" s="42" t="str">
        <f>IF(AND(C372=Master!$H$4,B372="2012-2013",E372&gt;1000,G372="PLN03"),H372,"")</f>
        <v/>
      </c>
      <c r="AF372" s="42" t="str">
        <f>IF(AND(C372=Master!$H$4,B372="2012-2013",E372="",G372="PLN03"),H372,"")</f>
        <v/>
      </c>
      <c r="AG372" s="42" t="str">
        <f>IF(AND(C372=Master!$H$5,B372="2012-2013",E372&gt;1000,G372="PLN03"),H372,"")</f>
        <v/>
      </c>
      <c r="AH372" s="42" t="str">
        <f>IF(AND(C372=Master!$H$5,B372="2012-2013",E372="",G372="PLN03"),H372,"")</f>
        <v/>
      </c>
      <c r="AI372" s="42" t="str">
        <f>IF(AND(C372=Master!$H$6,B372="2012-2013",E372&gt;1000,G372="PLN03"),H372,"")</f>
        <v/>
      </c>
      <c r="AJ372" s="42" t="str">
        <f>IF(AND(C372=Master!$H$6,B372="2012-2013",E372="",G372="PLN03"),H372,"")</f>
        <v/>
      </c>
      <c r="AK372" s="42" t="str">
        <f>IF(AND(C372=Master!$H$7,B372="2012-2013",E372&gt;1000,G372="PLN03"),H372,"")</f>
        <v/>
      </c>
      <c r="AL372" s="42" t="str">
        <f>IF(AND(C372=Master!$H$7,B372="2012-2013",E372="",G372="PLN03"),H372,"")</f>
        <v/>
      </c>
      <c r="AM372" s="42" t="str">
        <f>IF(AND(C372=Master!$H$8,B372="2012-2013",E372&gt;1000,G372="PLN03"),H372,"")</f>
        <v/>
      </c>
      <c r="AN372" s="42" t="str">
        <f>IF(AND(C372=Master!$H$8,B372="2012-2013",E372="",G372="PLN03"),H372,"")</f>
        <v/>
      </c>
      <c r="AO372" s="42" t="str">
        <f>IF(AND(C372=Master!$H$9,B372="2012-2013",E372&gt;1000,G372="PLN03"),H372,"")</f>
        <v/>
      </c>
      <c r="AP372" s="42" t="str">
        <f>IF(AND(C372=Master!$H$9,B372="2012-2013",E372="",G372="PLN03"),H372,"")</f>
        <v/>
      </c>
      <c r="AQ372" s="44" t="str">
        <f>IF(AND(C372=Master!$H$1,B372="2012-2013",E372&gt;1000,G372="NPN05"),H372,"")</f>
        <v/>
      </c>
      <c r="AR372" s="44" t="str">
        <f>IF(AND(C372=Master!$H$1,B372="2012-2013",E372="",G372="NPN05"),H372,"")</f>
        <v/>
      </c>
      <c r="AS372" s="44" t="str">
        <f>IF(AND(C372=Master!$H$2,B372="2012-2013",E372&gt;1000,G372="NPN05"),H372,"")</f>
        <v/>
      </c>
      <c r="AT372" s="44" t="str">
        <f>IF(AND(C372=Master!$H$2,B372="2012-2013",E372="",G372="NPN05"),H372,"")</f>
        <v/>
      </c>
      <c r="AU372" s="44" t="str">
        <f>IF(AND(C372=Master!$H$3,B372="2012-2013",E372&gt;1000,G372="NPN05"),H372,"")</f>
        <v/>
      </c>
      <c r="AV372" s="44" t="str">
        <f>IF(AND(C372=Master!$H$3,B372="2012-2013",E372="",G372="NPN05"),H372,"")</f>
        <v/>
      </c>
      <c r="AW372" s="44" t="str">
        <f>IF(AND(C372=Master!$H$4,B372="2012-2013",E372&gt;1000,G372="NPN05"),H372,"")</f>
        <v/>
      </c>
      <c r="AX372" s="44" t="str">
        <f>IF(AND(C372=Master!$H$4,B372="2012-2013",E372="",G372="NPN05"),H372,"")</f>
        <v/>
      </c>
      <c r="AY372" s="44" t="str">
        <f>IF(AND(C372=Master!$H$5,B372="2012-2013",E372&gt;1000,G372="NPN05"),H372,"")</f>
        <v/>
      </c>
      <c r="AZ372" s="44" t="str">
        <f>IF(AND(C372=Master!$H$5,B372="2012-2013",E372="",G372="NPN05"),H372,"")</f>
        <v/>
      </c>
      <c r="BA372" s="44" t="str">
        <f>IF(AND(C372=Master!$H$6,B372="2012-2013",E372&gt;1000,G372="NPN05"),H372,"")</f>
        <v/>
      </c>
      <c r="BB372" s="44" t="str">
        <f>IF(AND(C372=Master!$H$6,B372="2012-2013",E372="",G372="NPN05"),H372,"")</f>
        <v/>
      </c>
      <c r="BC372" s="44" t="str">
        <f>IF(AND(C372=Master!$H$7,B372="2012-2013",E372&gt;1000,G372="NPN05"),H372,"")</f>
        <v/>
      </c>
      <c r="BD372" s="44" t="str">
        <f>IF(AND(C372=Master!$H$7,B372="2012-2013",E372="",G372="NPN05"),H372,"")</f>
        <v/>
      </c>
      <c r="BE372" s="44" t="str">
        <f>IF(AND(C372=Master!$H$8,B372="2012-2013",E372&gt;1000,G372="NPN05"),H372,"")</f>
        <v/>
      </c>
      <c r="BF372" s="44" t="str">
        <f>IF(AND(C372=Master!$H$8,B372="2012-2013",E372="",G372="NPN05"),H372,"")</f>
        <v/>
      </c>
      <c r="BG372" s="44" t="str">
        <f>IF(AND(C372=Master!$H$9,B372="2012-2013",E372&gt;1000,G372="NPN05"),H372,"")</f>
        <v/>
      </c>
      <c r="BH372" s="44" t="str">
        <f>IF(AND(C372=Master!$H$9,B372="2012-2013",E372="",G372="NPN05"),H372,"")</f>
        <v/>
      </c>
    </row>
    <row r="373" spans="1:60" x14ac:dyDescent="0.25">
      <c r="A373" s="5">
        <v>371</v>
      </c>
      <c r="B373" s="12"/>
      <c r="C373" s="12"/>
      <c r="D373" s="31"/>
      <c r="E373" s="4"/>
      <c r="F373" s="13"/>
      <c r="G373" s="21"/>
      <c r="H373" s="35"/>
      <c r="I373" s="21"/>
      <c r="J373" s="25" t="str">
        <f>IF(NOT(I373=""),INDEX(Master!$B$1:$B$46,MATCH(I373,Master!$A$1:$A$46,0)),"")</f>
        <v/>
      </c>
      <c r="K373" s="18"/>
      <c r="L373" s="86"/>
      <c r="M373" s="13"/>
      <c r="N373" s="13"/>
      <c r="O373" s="18"/>
      <c r="P373" s="35"/>
      <c r="Q373" s="21"/>
      <c r="R373" s="21"/>
      <c r="S373" s="13"/>
      <c r="T373" s="12"/>
      <c r="U373" s="12"/>
      <c r="V373" s="12"/>
      <c r="W373" s="14"/>
      <c r="Y373" s="42" t="str">
        <f>IF(AND(C373=Master!$H$1,B373="2012-2013",E373&gt;1000,G373="PLN03"),H373,"")</f>
        <v/>
      </c>
      <c r="Z373" s="42" t="str">
        <f>IF(AND(C373=Master!$H$1,B373="2012-2013",E373="",G373="PLN03"),H373,"")</f>
        <v/>
      </c>
      <c r="AA373" s="42" t="str">
        <f>IF(AND(C373=Master!$H$2,B373="2012-2013",E373&gt;1000,G373="PLN03"),H373,"")</f>
        <v/>
      </c>
      <c r="AB373" s="42" t="str">
        <f>IF(AND(C373=Master!$H$2,B373="2012-2013",E373="",G373="PLN03"),H373,"")</f>
        <v/>
      </c>
      <c r="AC373" s="42" t="str">
        <f>IF(AND(C373=Master!$H$3,B373="2012-2013",E373&gt;1000,G373="PLN03"),H373,"")</f>
        <v/>
      </c>
      <c r="AD373" s="42" t="str">
        <f>IF(AND(C373=Master!$H$3,B373="2012-2013",E373="",G373="PLN03"),H373,"")</f>
        <v/>
      </c>
      <c r="AE373" s="42" t="str">
        <f>IF(AND(C373=Master!$H$4,B373="2012-2013",E373&gt;1000,G373="PLN03"),H373,"")</f>
        <v/>
      </c>
      <c r="AF373" s="42" t="str">
        <f>IF(AND(C373=Master!$H$4,B373="2012-2013",E373="",G373="PLN03"),H373,"")</f>
        <v/>
      </c>
      <c r="AG373" s="42" t="str">
        <f>IF(AND(C373=Master!$H$5,B373="2012-2013",E373&gt;1000,G373="PLN03"),H373,"")</f>
        <v/>
      </c>
      <c r="AH373" s="42" t="str">
        <f>IF(AND(C373=Master!$H$5,B373="2012-2013",E373="",G373="PLN03"),H373,"")</f>
        <v/>
      </c>
      <c r="AI373" s="42" t="str">
        <f>IF(AND(C373=Master!$H$6,B373="2012-2013",E373&gt;1000,G373="PLN03"),H373,"")</f>
        <v/>
      </c>
      <c r="AJ373" s="42" t="str">
        <f>IF(AND(C373=Master!$H$6,B373="2012-2013",E373="",G373="PLN03"),H373,"")</f>
        <v/>
      </c>
      <c r="AK373" s="42" t="str">
        <f>IF(AND(C373=Master!$H$7,B373="2012-2013",E373&gt;1000,G373="PLN03"),H373,"")</f>
        <v/>
      </c>
      <c r="AL373" s="42" t="str">
        <f>IF(AND(C373=Master!$H$7,B373="2012-2013",E373="",G373="PLN03"),H373,"")</f>
        <v/>
      </c>
      <c r="AM373" s="42" t="str">
        <f>IF(AND(C373=Master!$H$8,B373="2012-2013",E373&gt;1000,G373="PLN03"),H373,"")</f>
        <v/>
      </c>
      <c r="AN373" s="42" t="str">
        <f>IF(AND(C373=Master!$H$8,B373="2012-2013",E373="",G373="PLN03"),H373,"")</f>
        <v/>
      </c>
      <c r="AO373" s="42" t="str">
        <f>IF(AND(C373=Master!$H$9,B373="2012-2013",E373&gt;1000,G373="PLN03"),H373,"")</f>
        <v/>
      </c>
      <c r="AP373" s="42" t="str">
        <f>IF(AND(C373=Master!$H$9,B373="2012-2013",E373="",G373="PLN03"),H373,"")</f>
        <v/>
      </c>
      <c r="AQ373" s="44" t="str">
        <f>IF(AND(C373=Master!$H$1,B373="2012-2013",E373&gt;1000,G373="NPN05"),H373,"")</f>
        <v/>
      </c>
      <c r="AR373" s="44" t="str">
        <f>IF(AND(C373=Master!$H$1,B373="2012-2013",E373="",G373="NPN05"),H373,"")</f>
        <v/>
      </c>
      <c r="AS373" s="44" t="str">
        <f>IF(AND(C373=Master!$H$2,B373="2012-2013",E373&gt;1000,G373="NPN05"),H373,"")</f>
        <v/>
      </c>
      <c r="AT373" s="44" t="str">
        <f>IF(AND(C373=Master!$H$2,B373="2012-2013",E373="",G373="NPN05"),H373,"")</f>
        <v/>
      </c>
      <c r="AU373" s="44" t="str">
        <f>IF(AND(C373=Master!$H$3,B373="2012-2013",E373&gt;1000,G373="NPN05"),H373,"")</f>
        <v/>
      </c>
      <c r="AV373" s="44" t="str">
        <f>IF(AND(C373=Master!$H$3,B373="2012-2013",E373="",G373="NPN05"),H373,"")</f>
        <v/>
      </c>
      <c r="AW373" s="44" t="str">
        <f>IF(AND(C373=Master!$H$4,B373="2012-2013",E373&gt;1000,G373="NPN05"),H373,"")</f>
        <v/>
      </c>
      <c r="AX373" s="44" t="str">
        <f>IF(AND(C373=Master!$H$4,B373="2012-2013",E373="",G373="NPN05"),H373,"")</f>
        <v/>
      </c>
      <c r="AY373" s="44" t="str">
        <f>IF(AND(C373=Master!$H$5,B373="2012-2013",E373&gt;1000,G373="NPN05"),H373,"")</f>
        <v/>
      </c>
      <c r="AZ373" s="44" t="str">
        <f>IF(AND(C373=Master!$H$5,B373="2012-2013",E373="",G373="NPN05"),H373,"")</f>
        <v/>
      </c>
      <c r="BA373" s="44" t="str">
        <f>IF(AND(C373=Master!$H$6,B373="2012-2013",E373&gt;1000,G373="NPN05"),H373,"")</f>
        <v/>
      </c>
      <c r="BB373" s="44" t="str">
        <f>IF(AND(C373=Master!$H$6,B373="2012-2013",E373="",G373="NPN05"),H373,"")</f>
        <v/>
      </c>
      <c r="BC373" s="44" t="str">
        <f>IF(AND(C373=Master!$H$7,B373="2012-2013",E373&gt;1000,G373="NPN05"),H373,"")</f>
        <v/>
      </c>
      <c r="BD373" s="44" t="str">
        <f>IF(AND(C373=Master!$H$7,B373="2012-2013",E373="",G373="NPN05"),H373,"")</f>
        <v/>
      </c>
      <c r="BE373" s="44" t="str">
        <f>IF(AND(C373=Master!$H$8,B373="2012-2013",E373&gt;1000,G373="NPN05"),H373,"")</f>
        <v/>
      </c>
      <c r="BF373" s="44" t="str">
        <f>IF(AND(C373=Master!$H$8,B373="2012-2013",E373="",G373="NPN05"),H373,"")</f>
        <v/>
      </c>
      <c r="BG373" s="44" t="str">
        <f>IF(AND(C373=Master!$H$9,B373="2012-2013",E373&gt;1000,G373="NPN05"),H373,"")</f>
        <v/>
      </c>
      <c r="BH373" s="44" t="str">
        <f>IF(AND(C373=Master!$H$9,B373="2012-2013",E373="",G373="NPN05"),H373,"")</f>
        <v/>
      </c>
    </row>
    <row r="374" spans="1:60" x14ac:dyDescent="0.25">
      <c r="A374" s="3">
        <v>372</v>
      </c>
      <c r="B374" s="12"/>
      <c r="C374" s="12"/>
      <c r="D374" s="31"/>
      <c r="E374" s="4"/>
      <c r="F374" s="13"/>
      <c r="G374" s="21"/>
      <c r="H374" s="35"/>
      <c r="I374" s="21"/>
      <c r="J374" s="25" t="str">
        <f>IF(NOT(I374=""),INDEX(Master!$B$1:$B$46,MATCH(I374,Master!$A$1:$A$46,0)),"")</f>
        <v/>
      </c>
      <c r="K374" s="18"/>
      <c r="L374" s="86"/>
      <c r="M374" s="13"/>
      <c r="N374" s="13"/>
      <c r="O374" s="18"/>
      <c r="P374" s="35"/>
      <c r="Q374" s="21"/>
      <c r="R374" s="21"/>
      <c r="S374" s="13"/>
      <c r="T374" s="12"/>
      <c r="U374" s="12"/>
      <c r="V374" s="12"/>
      <c r="W374" s="14"/>
      <c r="Y374" s="42" t="str">
        <f>IF(AND(C374=Master!$H$1,B374="2012-2013",E374&gt;1000,G374="PLN03"),H374,"")</f>
        <v/>
      </c>
      <c r="Z374" s="42" t="str">
        <f>IF(AND(C374=Master!$H$1,B374="2012-2013",E374="",G374="PLN03"),H374,"")</f>
        <v/>
      </c>
      <c r="AA374" s="42" t="str">
        <f>IF(AND(C374=Master!$H$2,B374="2012-2013",E374&gt;1000,G374="PLN03"),H374,"")</f>
        <v/>
      </c>
      <c r="AB374" s="42" t="str">
        <f>IF(AND(C374=Master!$H$2,B374="2012-2013",E374="",G374="PLN03"),H374,"")</f>
        <v/>
      </c>
      <c r="AC374" s="42" t="str">
        <f>IF(AND(C374=Master!$H$3,B374="2012-2013",E374&gt;1000,G374="PLN03"),H374,"")</f>
        <v/>
      </c>
      <c r="AD374" s="42" t="str">
        <f>IF(AND(C374=Master!$H$3,B374="2012-2013",E374="",G374="PLN03"),H374,"")</f>
        <v/>
      </c>
      <c r="AE374" s="42" t="str">
        <f>IF(AND(C374=Master!$H$4,B374="2012-2013",E374&gt;1000,G374="PLN03"),H374,"")</f>
        <v/>
      </c>
      <c r="AF374" s="42" t="str">
        <f>IF(AND(C374=Master!$H$4,B374="2012-2013",E374="",G374="PLN03"),H374,"")</f>
        <v/>
      </c>
      <c r="AG374" s="42" t="str">
        <f>IF(AND(C374=Master!$H$5,B374="2012-2013",E374&gt;1000,G374="PLN03"),H374,"")</f>
        <v/>
      </c>
      <c r="AH374" s="42" t="str">
        <f>IF(AND(C374=Master!$H$5,B374="2012-2013",E374="",G374="PLN03"),H374,"")</f>
        <v/>
      </c>
      <c r="AI374" s="42" t="str">
        <f>IF(AND(C374=Master!$H$6,B374="2012-2013",E374&gt;1000,G374="PLN03"),H374,"")</f>
        <v/>
      </c>
      <c r="AJ374" s="42" t="str">
        <f>IF(AND(C374=Master!$H$6,B374="2012-2013",E374="",G374="PLN03"),H374,"")</f>
        <v/>
      </c>
      <c r="AK374" s="42" t="str">
        <f>IF(AND(C374=Master!$H$7,B374="2012-2013",E374&gt;1000,G374="PLN03"),H374,"")</f>
        <v/>
      </c>
      <c r="AL374" s="42" t="str">
        <f>IF(AND(C374=Master!$H$7,B374="2012-2013",E374="",G374="PLN03"),H374,"")</f>
        <v/>
      </c>
      <c r="AM374" s="42" t="str">
        <f>IF(AND(C374=Master!$H$8,B374="2012-2013",E374&gt;1000,G374="PLN03"),H374,"")</f>
        <v/>
      </c>
      <c r="AN374" s="42" t="str">
        <f>IF(AND(C374=Master!$H$8,B374="2012-2013",E374="",G374="PLN03"),H374,"")</f>
        <v/>
      </c>
      <c r="AO374" s="42" t="str">
        <f>IF(AND(C374=Master!$H$9,B374="2012-2013",E374&gt;1000,G374="PLN03"),H374,"")</f>
        <v/>
      </c>
      <c r="AP374" s="42" t="str">
        <f>IF(AND(C374=Master!$H$9,B374="2012-2013",E374="",G374="PLN03"),H374,"")</f>
        <v/>
      </c>
      <c r="AQ374" s="44" t="str">
        <f>IF(AND(C374=Master!$H$1,B374="2012-2013",E374&gt;1000,G374="NPN05"),H374,"")</f>
        <v/>
      </c>
      <c r="AR374" s="44" t="str">
        <f>IF(AND(C374=Master!$H$1,B374="2012-2013",E374="",G374="NPN05"),H374,"")</f>
        <v/>
      </c>
      <c r="AS374" s="44" t="str">
        <f>IF(AND(C374=Master!$H$2,B374="2012-2013",E374&gt;1000,G374="NPN05"),H374,"")</f>
        <v/>
      </c>
      <c r="AT374" s="44" t="str">
        <f>IF(AND(C374=Master!$H$2,B374="2012-2013",E374="",G374="NPN05"),H374,"")</f>
        <v/>
      </c>
      <c r="AU374" s="44" t="str">
        <f>IF(AND(C374=Master!$H$3,B374="2012-2013",E374&gt;1000,G374="NPN05"),H374,"")</f>
        <v/>
      </c>
      <c r="AV374" s="44" t="str">
        <f>IF(AND(C374=Master!$H$3,B374="2012-2013",E374="",G374="NPN05"),H374,"")</f>
        <v/>
      </c>
      <c r="AW374" s="44" t="str">
        <f>IF(AND(C374=Master!$H$4,B374="2012-2013",E374&gt;1000,G374="NPN05"),H374,"")</f>
        <v/>
      </c>
      <c r="AX374" s="44" t="str">
        <f>IF(AND(C374=Master!$H$4,B374="2012-2013",E374="",G374="NPN05"),H374,"")</f>
        <v/>
      </c>
      <c r="AY374" s="44" t="str">
        <f>IF(AND(C374=Master!$H$5,B374="2012-2013",E374&gt;1000,G374="NPN05"),H374,"")</f>
        <v/>
      </c>
      <c r="AZ374" s="44" t="str">
        <f>IF(AND(C374=Master!$H$5,B374="2012-2013",E374="",G374="NPN05"),H374,"")</f>
        <v/>
      </c>
      <c r="BA374" s="44" t="str">
        <f>IF(AND(C374=Master!$H$6,B374="2012-2013",E374&gt;1000,G374="NPN05"),H374,"")</f>
        <v/>
      </c>
      <c r="BB374" s="44" t="str">
        <f>IF(AND(C374=Master!$H$6,B374="2012-2013",E374="",G374="NPN05"),H374,"")</f>
        <v/>
      </c>
      <c r="BC374" s="44" t="str">
        <f>IF(AND(C374=Master!$H$7,B374="2012-2013",E374&gt;1000,G374="NPN05"),H374,"")</f>
        <v/>
      </c>
      <c r="BD374" s="44" t="str">
        <f>IF(AND(C374=Master!$H$7,B374="2012-2013",E374="",G374="NPN05"),H374,"")</f>
        <v/>
      </c>
      <c r="BE374" s="44" t="str">
        <f>IF(AND(C374=Master!$H$8,B374="2012-2013",E374&gt;1000,G374="NPN05"),H374,"")</f>
        <v/>
      </c>
      <c r="BF374" s="44" t="str">
        <f>IF(AND(C374=Master!$H$8,B374="2012-2013",E374="",G374="NPN05"),H374,"")</f>
        <v/>
      </c>
      <c r="BG374" s="44" t="str">
        <f>IF(AND(C374=Master!$H$9,B374="2012-2013",E374&gt;1000,G374="NPN05"),H374,"")</f>
        <v/>
      </c>
      <c r="BH374" s="44" t="str">
        <f>IF(AND(C374=Master!$H$9,B374="2012-2013",E374="",G374="NPN05"),H374,"")</f>
        <v/>
      </c>
    </row>
    <row r="375" spans="1:60" x14ac:dyDescent="0.25">
      <c r="A375" s="3">
        <v>373</v>
      </c>
      <c r="B375" s="12"/>
      <c r="C375" s="12"/>
      <c r="D375" s="31"/>
      <c r="E375" s="4"/>
      <c r="F375" s="13"/>
      <c r="G375" s="21"/>
      <c r="H375" s="35"/>
      <c r="I375" s="21"/>
      <c r="J375" s="25" t="str">
        <f>IF(NOT(I375=""),INDEX(Master!$B$1:$B$46,MATCH(I375,Master!$A$1:$A$46,0)),"")</f>
        <v/>
      </c>
      <c r="K375" s="18"/>
      <c r="L375" s="86"/>
      <c r="M375" s="13"/>
      <c r="N375" s="13"/>
      <c r="O375" s="18"/>
      <c r="P375" s="35"/>
      <c r="Q375" s="21"/>
      <c r="R375" s="21"/>
      <c r="S375" s="13"/>
      <c r="T375" s="12"/>
      <c r="U375" s="12"/>
      <c r="V375" s="12"/>
      <c r="W375" s="14"/>
      <c r="Y375" s="42" t="str">
        <f>IF(AND(C375=Master!$H$1,B375="2012-2013",E375&gt;1000,G375="PLN03"),H375,"")</f>
        <v/>
      </c>
      <c r="Z375" s="42" t="str">
        <f>IF(AND(C375=Master!$H$1,B375="2012-2013",E375="",G375="PLN03"),H375,"")</f>
        <v/>
      </c>
      <c r="AA375" s="42" t="str">
        <f>IF(AND(C375=Master!$H$2,B375="2012-2013",E375&gt;1000,G375="PLN03"),H375,"")</f>
        <v/>
      </c>
      <c r="AB375" s="42" t="str">
        <f>IF(AND(C375=Master!$H$2,B375="2012-2013",E375="",G375="PLN03"),H375,"")</f>
        <v/>
      </c>
      <c r="AC375" s="42" t="str">
        <f>IF(AND(C375=Master!$H$3,B375="2012-2013",E375&gt;1000,G375="PLN03"),H375,"")</f>
        <v/>
      </c>
      <c r="AD375" s="42" t="str">
        <f>IF(AND(C375=Master!$H$3,B375="2012-2013",E375="",G375="PLN03"),H375,"")</f>
        <v/>
      </c>
      <c r="AE375" s="42" t="str">
        <f>IF(AND(C375=Master!$H$4,B375="2012-2013",E375&gt;1000,G375="PLN03"),H375,"")</f>
        <v/>
      </c>
      <c r="AF375" s="42" t="str">
        <f>IF(AND(C375=Master!$H$4,B375="2012-2013",E375="",G375="PLN03"),H375,"")</f>
        <v/>
      </c>
      <c r="AG375" s="42" t="str">
        <f>IF(AND(C375=Master!$H$5,B375="2012-2013",E375&gt;1000,G375="PLN03"),H375,"")</f>
        <v/>
      </c>
      <c r="AH375" s="42" t="str">
        <f>IF(AND(C375=Master!$H$5,B375="2012-2013",E375="",G375="PLN03"),H375,"")</f>
        <v/>
      </c>
      <c r="AI375" s="42" t="str">
        <f>IF(AND(C375=Master!$H$6,B375="2012-2013",E375&gt;1000,G375="PLN03"),H375,"")</f>
        <v/>
      </c>
      <c r="AJ375" s="42" t="str">
        <f>IF(AND(C375=Master!$H$6,B375="2012-2013",E375="",G375="PLN03"),H375,"")</f>
        <v/>
      </c>
      <c r="AK375" s="42" t="str">
        <f>IF(AND(C375=Master!$H$7,B375="2012-2013",E375&gt;1000,G375="PLN03"),H375,"")</f>
        <v/>
      </c>
      <c r="AL375" s="42" t="str">
        <f>IF(AND(C375=Master!$H$7,B375="2012-2013",E375="",G375="PLN03"),H375,"")</f>
        <v/>
      </c>
      <c r="AM375" s="42" t="str">
        <f>IF(AND(C375=Master!$H$8,B375="2012-2013",E375&gt;1000,G375="PLN03"),H375,"")</f>
        <v/>
      </c>
      <c r="AN375" s="42" t="str">
        <f>IF(AND(C375=Master!$H$8,B375="2012-2013",E375="",G375="PLN03"),H375,"")</f>
        <v/>
      </c>
      <c r="AO375" s="42" t="str">
        <f>IF(AND(C375=Master!$H$9,B375="2012-2013",E375&gt;1000,G375="PLN03"),H375,"")</f>
        <v/>
      </c>
      <c r="AP375" s="42" t="str">
        <f>IF(AND(C375=Master!$H$9,B375="2012-2013",E375="",G375="PLN03"),H375,"")</f>
        <v/>
      </c>
      <c r="AQ375" s="44" t="str">
        <f>IF(AND(C375=Master!$H$1,B375="2012-2013",E375&gt;1000,G375="NPN05"),H375,"")</f>
        <v/>
      </c>
      <c r="AR375" s="44" t="str">
        <f>IF(AND(C375=Master!$H$1,B375="2012-2013",E375="",G375="NPN05"),H375,"")</f>
        <v/>
      </c>
      <c r="AS375" s="44" t="str">
        <f>IF(AND(C375=Master!$H$2,B375="2012-2013",E375&gt;1000,G375="NPN05"),H375,"")</f>
        <v/>
      </c>
      <c r="AT375" s="44" t="str">
        <f>IF(AND(C375=Master!$H$2,B375="2012-2013",E375="",G375="NPN05"),H375,"")</f>
        <v/>
      </c>
      <c r="AU375" s="44" t="str">
        <f>IF(AND(C375=Master!$H$3,B375="2012-2013",E375&gt;1000,G375="NPN05"),H375,"")</f>
        <v/>
      </c>
      <c r="AV375" s="44" t="str">
        <f>IF(AND(C375=Master!$H$3,B375="2012-2013",E375="",G375="NPN05"),H375,"")</f>
        <v/>
      </c>
      <c r="AW375" s="44" t="str">
        <f>IF(AND(C375=Master!$H$4,B375="2012-2013",E375&gt;1000,G375="NPN05"),H375,"")</f>
        <v/>
      </c>
      <c r="AX375" s="44" t="str">
        <f>IF(AND(C375=Master!$H$4,B375="2012-2013",E375="",G375="NPN05"),H375,"")</f>
        <v/>
      </c>
      <c r="AY375" s="44" t="str">
        <f>IF(AND(C375=Master!$H$5,B375="2012-2013",E375&gt;1000,G375="NPN05"),H375,"")</f>
        <v/>
      </c>
      <c r="AZ375" s="44" t="str">
        <f>IF(AND(C375=Master!$H$5,B375="2012-2013",E375="",G375="NPN05"),H375,"")</f>
        <v/>
      </c>
      <c r="BA375" s="44" t="str">
        <f>IF(AND(C375=Master!$H$6,B375="2012-2013",E375&gt;1000,G375="NPN05"),H375,"")</f>
        <v/>
      </c>
      <c r="BB375" s="44" t="str">
        <f>IF(AND(C375=Master!$H$6,B375="2012-2013",E375="",G375="NPN05"),H375,"")</f>
        <v/>
      </c>
      <c r="BC375" s="44" t="str">
        <f>IF(AND(C375=Master!$H$7,B375="2012-2013",E375&gt;1000,G375="NPN05"),H375,"")</f>
        <v/>
      </c>
      <c r="BD375" s="44" t="str">
        <f>IF(AND(C375=Master!$H$7,B375="2012-2013",E375="",G375="NPN05"),H375,"")</f>
        <v/>
      </c>
      <c r="BE375" s="44" t="str">
        <f>IF(AND(C375=Master!$H$8,B375="2012-2013",E375&gt;1000,G375="NPN05"),H375,"")</f>
        <v/>
      </c>
      <c r="BF375" s="44" t="str">
        <f>IF(AND(C375=Master!$H$8,B375="2012-2013",E375="",G375="NPN05"),H375,"")</f>
        <v/>
      </c>
      <c r="BG375" s="44" t="str">
        <f>IF(AND(C375=Master!$H$9,B375="2012-2013",E375&gt;1000,G375="NPN05"),H375,"")</f>
        <v/>
      </c>
      <c r="BH375" s="44" t="str">
        <f>IF(AND(C375=Master!$H$9,B375="2012-2013",E375="",G375="NPN05"),H375,"")</f>
        <v/>
      </c>
    </row>
    <row r="376" spans="1:60" x14ac:dyDescent="0.25">
      <c r="A376" s="3">
        <v>374</v>
      </c>
      <c r="B376" s="12"/>
      <c r="C376" s="12"/>
      <c r="D376" s="31"/>
      <c r="E376" s="4"/>
      <c r="F376" s="13"/>
      <c r="G376" s="21"/>
      <c r="H376" s="35"/>
      <c r="I376" s="21"/>
      <c r="J376" s="25" t="str">
        <f>IF(NOT(I376=""),INDEX(Master!$B$1:$B$46,MATCH(I376,Master!$A$1:$A$46,0)),"")</f>
        <v/>
      </c>
      <c r="K376" s="18"/>
      <c r="L376" s="86"/>
      <c r="M376" s="13"/>
      <c r="N376" s="13"/>
      <c r="O376" s="18"/>
      <c r="P376" s="35"/>
      <c r="Q376" s="21"/>
      <c r="R376" s="21"/>
      <c r="S376" s="13"/>
      <c r="T376" s="12"/>
      <c r="U376" s="12"/>
      <c r="V376" s="12"/>
      <c r="W376" s="14"/>
      <c r="Y376" s="42" t="str">
        <f>IF(AND(C376=Master!$H$1,B376="2012-2013",E376&gt;1000,G376="PLN03"),H376,"")</f>
        <v/>
      </c>
      <c r="Z376" s="42" t="str">
        <f>IF(AND(C376=Master!$H$1,B376="2012-2013",E376="",G376="PLN03"),H376,"")</f>
        <v/>
      </c>
      <c r="AA376" s="42" t="str">
        <f>IF(AND(C376=Master!$H$2,B376="2012-2013",E376&gt;1000,G376="PLN03"),H376,"")</f>
        <v/>
      </c>
      <c r="AB376" s="42" t="str">
        <f>IF(AND(C376=Master!$H$2,B376="2012-2013",E376="",G376="PLN03"),H376,"")</f>
        <v/>
      </c>
      <c r="AC376" s="42" t="str">
        <f>IF(AND(C376=Master!$H$3,B376="2012-2013",E376&gt;1000,G376="PLN03"),H376,"")</f>
        <v/>
      </c>
      <c r="AD376" s="42" t="str">
        <f>IF(AND(C376=Master!$H$3,B376="2012-2013",E376="",G376="PLN03"),H376,"")</f>
        <v/>
      </c>
      <c r="AE376" s="42" t="str">
        <f>IF(AND(C376=Master!$H$4,B376="2012-2013",E376&gt;1000,G376="PLN03"),H376,"")</f>
        <v/>
      </c>
      <c r="AF376" s="42" t="str">
        <f>IF(AND(C376=Master!$H$4,B376="2012-2013",E376="",G376="PLN03"),H376,"")</f>
        <v/>
      </c>
      <c r="AG376" s="42" t="str">
        <f>IF(AND(C376=Master!$H$5,B376="2012-2013",E376&gt;1000,G376="PLN03"),H376,"")</f>
        <v/>
      </c>
      <c r="AH376" s="42" t="str">
        <f>IF(AND(C376=Master!$H$5,B376="2012-2013",E376="",G376="PLN03"),H376,"")</f>
        <v/>
      </c>
      <c r="AI376" s="42" t="str">
        <f>IF(AND(C376=Master!$H$6,B376="2012-2013",E376&gt;1000,G376="PLN03"),H376,"")</f>
        <v/>
      </c>
      <c r="AJ376" s="42" t="str">
        <f>IF(AND(C376=Master!$H$6,B376="2012-2013",E376="",G376="PLN03"),H376,"")</f>
        <v/>
      </c>
      <c r="AK376" s="42" t="str">
        <f>IF(AND(C376=Master!$H$7,B376="2012-2013",E376&gt;1000,G376="PLN03"),H376,"")</f>
        <v/>
      </c>
      <c r="AL376" s="42" t="str">
        <f>IF(AND(C376=Master!$H$7,B376="2012-2013",E376="",G376="PLN03"),H376,"")</f>
        <v/>
      </c>
      <c r="AM376" s="42" t="str">
        <f>IF(AND(C376=Master!$H$8,B376="2012-2013",E376&gt;1000,G376="PLN03"),H376,"")</f>
        <v/>
      </c>
      <c r="AN376" s="42" t="str">
        <f>IF(AND(C376=Master!$H$8,B376="2012-2013",E376="",G376="PLN03"),H376,"")</f>
        <v/>
      </c>
      <c r="AO376" s="42" t="str">
        <f>IF(AND(C376=Master!$H$9,B376="2012-2013",E376&gt;1000,G376="PLN03"),H376,"")</f>
        <v/>
      </c>
      <c r="AP376" s="42" t="str">
        <f>IF(AND(C376=Master!$H$9,B376="2012-2013",E376="",G376="PLN03"),H376,"")</f>
        <v/>
      </c>
      <c r="AQ376" s="44" t="str">
        <f>IF(AND(C376=Master!$H$1,B376="2012-2013",E376&gt;1000,G376="NPN05"),H376,"")</f>
        <v/>
      </c>
      <c r="AR376" s="44" t="str">
        <f>IF(AND(C376=Master!$H$1,B376="2012-2013",E376="",G376="NPN05"),H376,"")</f>
        <v/>
      </c>
      <c r="AS376" s="44" t="str">
        <f>IF(AND(C376=Master!$H$2,B376="2012-2013",E376&gt;1000,G376="NPN05"),H376,"")</f>
        <v/>
      </c>
      <c r="AT376" s="44" t="str">
        <f>IF(AND(C376=Master!$H$2,B376="2012-2013",E376="",G376="NPN05"),H376,"")</f>
        <v/>
      </c>
      <c r="AU376" s="44" t="str">
        <f>IF(AND(C376=Master!$H$3,B376="2012-2013",E376&gt;1000,G376="NPN05"),H376,"")</f>
        <v/>
      </c>
      <c r="AV376" s="44" t="str">
        <f>IF(AND(C376=Master!$H$3,B376="2012-2013",E376="",G376="NPN05"),H376,"")</f>
        <v/>
      </c>
      <c r="AW376" s="44" t="str">
        <f>IF(AND(C376=Master!$H$4,B376="2012-2013",E376&gt;1000,G376="NPN05"),H376,"")</f>
        <v/>
      </c>
      <c r="AX376" s="44" t="str">
        <f>IF(AND(C376=Master!$H$4,B376="2012-2013",E376="",G376="NPN05"),H376,"")</f>
        <v/>
      </c>
      <c r="AY376" s="44" t="str">
        <f>IF(AND(C376=Master!$H$5,B376="2012-2013",E376&gt;1000,G376="NPN05"),H376,"")</f>
        <v/>
      </c>
      <c r="AZ376" s="44" t="str">
        <f>IF(AND(C376=Master!$H$5,B376="2012-2013",E376="",G376="NPN05"),H376,"")</f>
        <v/>
      </c>
      <c r="BA376" s="44" t="str">
        <f>IF(AND(C376=Master!$H$6,B376="2012-2013",E376&gt;1000,G376="NPN05"),H376,"")</f>
        <v/>
      </c>
      <c r="BB376" s="44" t="str">
        <f>IF(AND(C376=Master!$H$6,B376="2012-2013",E376="",G376="NPN05"),H376,"")</f>
        <v/>
      </c>
      <c r="BC376" s="44" t="str">
        <f>IF(AND(C376=Master!$H$7,B376="2012-2013",E376&gt;1000,G376="NPN05"),H376,"")</f>
        <v/>
      </c>
      <c r="BD376" s="44" t="str">
        <f>IF(AND(C376=Master!$H$7,B376="2012-2013",E376="",G376="NPN05"),H376,"")</f>
        <v/>
      </c>
      <c r="BE376" s="44" t="str">
        <f>IF(AND(C376=Master!$H$8,B376="2012-2013",E376&gt;1000,G376="NPN05"),H376,"")</f>
        <v/>
      </c>
      <c r="BF376" s="44" t="str">
        <f>IF(AND(C376=Master!$H$8,B376="2012-2013",E376="",G376="NPN05"),H376,"")</f>
        <v/>
      </c>
      <c r="BG376" s="44" t="str">
        <f>IF(AND(C376=Master!$H$9,B376="2012-2013",E376&gt;1000,G376="NPN05"),H376,"")</f>
        <v/>
      </c>
      <c r="BH376" s="44" t="str">
        <f>IF(AND(C376=Master!$H$9,B376="2012-2013",E376="",G376="NPN05"),H376,"")</f>
        <v/>
      </c>
    </row>
    <row r="377" spans="1:60" x14ac:dyDescent="0.25">
      <c r="A377" s="3">
        <v>375</v>
      </c>
      <c r="B377" s="12"/>
      <c r="C377" s="12"/>
      <c r="D377" s="31"/>
      <c r="E377" s="4"/>
      <c r="F377" s="13"/>
      <c r="G377" s="21"/>
      <c r="H377" s="35"/>
      <c r="I377" s="21"/>
      <c r="J377" s="25" t="str">
        <f>IF(NOT(I377=""),INDEX(Master!$B$1:$B$46,MATCH(I377,Master!$A$1:$A$46,0)),"")</f>
        <v/>
      </c>
      <c r="K377" s="18"/>
      <c r="L377" s="86"/>
      <c r="M377" s="13"/>
      <c r="N377" s="13"/>
      <c r="O377" s="18"/>
      <c r="P377" s="35"/>
      <c r="Q377" s="21"/>
      <c r="R377" s="21"/>
      <c r="S377" s="13"/>
      <c r="T377" s="12"/>
      <c r="U377" s="12"/>
      <c r="V377" s="12"/>
      <c r="W377" s="14"/>
      <c r="Y377" s="42" t="str">
        <f>IF(AND(C377=Master!$H$1,B377="2012-2013",E377&gt;1000,G377="PLN03"),H377,"")</f>
        <v/>
      </c>
      <c r="Z377" s="42" t="str">
        <f>IF(AND(C377=Master!$H$1,B377="2012-2013",E377="",G377="PLN03"),H377,"")</f>
        <v/>
      </c>
      <c r="AA377" s="42" t="str">
        <f>IF(AND(C377=Master!$H$2,B377="2012-2013",E377&gt;1000,G377="PLN03"),H377,"")</f>
        <v/>
      </c>
      <c r="AB377" s="42" t="str">
        <f>IF(AND(C377=Master!$H$2,B377="2012-2013",E377="",G377="PLN03"),H377,"")</f>
        <v/>
      </c>
      <c r="AC377" s="42" t="str">
        <f>IF(AND(C377=Master!$H$3,B377="2012-2013",E377&gt;1000,G377="PLN03"),H377,"")</f>
        <v/>
      </c>
      <c r="AD377" s="42" t="str">
        <f>IF(AND(C377=Master!$H$3,B377="2012-2013",E377="",G377="PLN03"),H377,"")</f>
        <v/>
      </c>
      <c r="AE377" s="42" t="str">
        <f>IF(AND(C377=Master!$H$4,B377="2012-2013",E377&gt;1000,G377="PLN03"),H377,"")</f>
        <v/>
      </c>
      <c r="AF377" s="42" t="str">
        <f>IF(AND(C377=Master!$H$4,B377="2012-2013",E377="",G377="PLN03"),H377,"")</f>
        <v/>
      </c>
      <c r="AG377" s="42" t="str">
        <f>IF(AND(C377=Master!$H$5,B377="2012-2013",E377&gt;1000,G377="PLN03"),H377,"")</f>
        <v/>
      </c>
      <c r="AH377" s="42" t="str">
        <f>IF(AND(C377=Master!$H$5,B377="2012-2013",E377="",G377="PLN03"),H377,"")</f>
        <v/>
      </c>
      <c r="AI377" s="42" t="str">
        <f>IF(AND(C377=Master!$H$6,B377="2012-2013",E377&gt;1000,G377="PLN03"),H377,"")</f>
        <v/>
      </c>
      <c r="AJ377" s="42" t="str">
        <f>IF(AND(C377=Master!$H$6,B377="2012-2013",E377="",G377="PLN03"),H377,"")</f>
        <v/>
      </c>
      <c r="AK377" s="42" t="str">
        <f>IF(AND(C377=Master!$H$7,B377="2012-2013",E377&gt;1000,G377="PLN03"),H377,"")</f>
        <v/>
      </c>
      <c r="AL377" s="42" t="str">
        <f>IF(AND(C377=Master!$H$7,B377="2012-2013",E377="",G377="PLN03"),H377,"")</f>
        <v/>
      </c>
      <c r="AM377" s="42" t="str">
        <f>IF(AND(C377=Master!$H$8,B377="2012-2013",E377&gt;1000,G377="PLN03"),H377,"")</f>
        <v/>
      </c>
      <c r="AN377" s="42" t="str">
        <f>IF(AND(C377=Master!$H$8,B377="2012-2013",E377="",G377="PLN03"),H377,"")</f>
        <v/>
      </c>
      <c r="AO377" s="42" t="str">
        <f>IF(AND(C377=Master!$H$9,B377="2012-2013",E377&gt;1000,G377="PLN03"),H377,"")</f>
        <v/>
      </c>
      <c r="AP377" s="42" t="str">
        <f>IF(AND(C377=Master!$H$9,B377="2012-2013",E377="",G377="PLN03"),H377,"")</f>
        <v/>
      </c>
      <c r="AQ377" s="44" t="str">
        <f>IF(AND(C377=Master!$H$1,B377="2012-2013",E377&gt;1000,G377="NPN05"),H377,"")</f>
        <v/>
      </c>
      <c r="AR377" s="44" t="str">
        <f>IF(AND(C377=Master!$H$1,B377="2012-2013",E377="",G377="NPN05"),H377,"")</f>
        <v/>
      </c>
      <c r="AS377" s="44" t="str">
        <f>IF(AND(C377=Master!$H$2,B377="2012-2013",E377&gt;1000,G377="NPN05"),H377,"")</f>
        <v/>
      </c>
      <c r="AT377" s="44" t="str">
        <f>IF(AND(C377=Master!$H$2,B377="2012-2013",E377="",G377="NPN05"),H377,"")</f>
        <v/>
      </c>
      <c r="AU377" s="44" t="str">
        <f>IF(AND(C377=Master!$H$3,B377="2012-2013",E377&gt;1000,G377="NPN05"),H377,"")</f>
        <v/>
      </c>
      <c r="AV377" s="44" t="str">
        <f>IF(AND(C377=Master!$H$3,B377="2012-2013",E377="",G377="NPN05"),H377,"")</f>
        <v/>
      </c>
      <c r="AW377" s="44" t="str">
        <f>IF(AND(C377=Master!$H$4,B377="2012-2013",E377&gt;1000,G377="NPN05"),H377,"")</f>
        <v/>
      </c>
      <c r="AX377" s="44" t="str">
        <f>IF(AND(C377=Master!$H$4,B377="2012-2013",E377="",G377="NPN05"),H377,"")</f>
        <v/>
      </c>
      <c r="AY377" s="44" t="str">
        <f>IF(AND(C377=Master!$H$5,B377="2012-2013",E377&gt;1000,G377="NPN05"),H377,"")</f>
        <v/>
      </c>
      <c r="AZ377" s="44" t="str">
        <f>IF(AND(C377=Master!$H$5,B377="2012-2013",E377="",G377="NPN05"),H377,"")</f>
        <v/>
      </c>
      <c r="BA377" s="44" t="str">
        <f>IF(AND(C377=Master!$H$6,B377="2012-2013",E377&gt;1000,G377="NPN05"),H377,"")</f>
        <v/>
      </c>
      <c r="BB377" s="44" t="str">
        <f>IF(AND(C377=Master!$H$6,B377="2012-2013",E377="",G377="NPN05"),H377,"")</f>
        <v/>
      </c>
      <c r="BC377" s="44" t="str">
        <f>IF(AND(C377=Master!$H$7,B377="2012-2013",E377&gt;1000,G377="NPN05"),H377,"")</f>
        <v/>
      </c>
      <c r="BD377" s="44" t="str">
        <f>IF(AND(C377=Master!$H$7,B377="2012-2013",E377="",G377="NPN05"),H377,"")</f>
        <v/>
      </c>
      <c r="BE377" s="44" t="str">
        <f>IF(AND(C377=Master!$H$8,B377="2012-2013",E377&gt;1000,G377="NPN05"),H377,"")</f>
        <v/>
      </c>
      <c r="BF377" s="44" t="str">
        <f>IF(AND(C377=Master!$H$8,B377="2012-2013",E377="",G377="NPN05"),H377,"")</f>
        <v/>
      </c>
      <c r="BG377" s="44" t="str">
        <f>IF(AND(C377=Master!$H$9,B377="2012-2013",E377&gt;1000,G377="NPN05"),H377,"")</f>
        <v/>
      </c>
      <c r="BH377" s="44" t="str">
        <f>IF(AND(C377=Master!$H$9,B377="2012-2013",E377="",G377="NPN05"),H377,"")</f>
        <v/>
      </c>
    </row>
    <row r="378" spans="1:60" x14ac:dyDescent="0.25">
      <c r="A378" s="3">
        <v>376</v>
      </c>
      <c r="B378" s="12"/>
      <c r="C378" s="12"/>
      <c r="D378" s="31"/>
      <c r="E378" s="4"/>
      <c r="F378" s="13"/>
      <c r="G378" s="21"/>
      <c r="H378" s="35"/>
      <c r="I378" s="21"/>
      <c r="J378" s="25" t="str">
        <f>IF(NOT(I378=""),INDEX(Master!$B$1:$B$46,MATCH(I378,Master!$A$1:$A$46,0)),"")</f>
        <v/>
      </c>
      <c r="K378" s="18"/>
      <c r="L378" s="86"/>
      <c r="M378" s="13"/>
      <c r="N378" s="13"/>
      <c r="O378" s="18"/>
      <c r="P378" s="35"/>
      <c r="Q378" s="21"/>
      <c r="R378" s="21"/>
      <c r="S378" s="13"/>
      <c r="T378" s="12"/>
      <c r="U378" s="12"/>
      <c r="V378" s="12"/>
      <c r="W378" s="14"/>
      <c r="Y378" s="42" t="str">
        <f>IF(AND(C378=Master!$H$1,B378="2012-2013",E378&gt;1000,G378="PLN03"),H378,"")</f>
        <v/>
      </c>
      <c r="Z378" s="42" t="str">
        <f>IF(AND(C378=Master!$H$1,B378="2012-2013",E378="",G378="PLN03"),H378,"")</f>
        <v/>
      </c>
      <c r="AA378" s="42" t="str">
        <f>IF(AND(C378=Master!$H$2,B378="2012-2013",E378&gt;1000,G378="PLN03"),H378,"")</f>
        <v/>
      </c>
      <c r="AB378" s="42" t="str">
        <f>IF(AND(C378=Master!$H$2,B378="2012-2013",E378="",G378="PLN03"),H378,"")</f>
        <v/>
      </c>
      <c r="AC378" s="42" t="str">
        <f>IF(AND(C378=Master!$H$3,B378="2012-2013",E378&gt;1000,G378="PLN03"),H378,"")</f>
        <v/>
      </c>
      <c r="AD378" s="42" t="str">
        <f>IF(AND(C378=Master!$H$3,B378="2012-2013",E378="",G378="PLN03"),H378,"")</f>
        <v/>
      </c>
      <c r="AE378" s="42" t="str">
        <f>IF(AND(C378=Master!$H$4,B378="2012-2013",E378&gt;1000,G378="PLN03"),H378,"")</f>
        <v/>
      </c>
      <c r="AF378" s="42" t="str">
        <f>IF(AND(C378=Master!$H$4,B378="2012-2013",E378="",G378="PLN03"),H378,"")</f>
        <v/>
      </c>
      <c r="AG378" s="42" t="str">
        <f>IF(AND(C378=Master!$H$5,B378="2012-2013",E378&gt;1000,G378="PLN03"),H378,"")</f>
        <v/>
      </c>
      <c r="AH378" s="42" t="str">
        <f>IF(AND(C378=Master!$H$5,B378="2012-2013",E378="",G378="PLN03"),H378,"")</f>
        <v/>
      </c>
      <c r="AI378" s="42" t="str">
        <f>IF(AND(C378=Master!$H$6,B378="2012-2013",E378&gt;1000,G378="PLN03"),H378,"")</f>
        <v/>
      </c>
      <c r="AJ378" s="42" t="str">
        <f>IF(AND(C378=Master!$H$6,B378="2012-2013",E378="",G378="PLN03"),H378,"")</f>
        <v/>
      </c>
      <c r="AK378" s="42" t="str">
        <f>IF(AND(C378=Master!$H$7,B378="2012-2013",E378&gt;1000,G378="PLN03"),H378,"")</f>
        <v/>
      </c>
      <c r="AL378" s="42" t="str">
        <f>IF(AND(C378=Master!$H$7,B378="2012-2013",E378="",G378="PLN03"),H378,"")</f>
        <v/>
      </c>
      <c r="AM378" s="42" t="str">
        <f>IF(AND(C378=Master!$H$8,B378="2012-2013",E378&gt;1000,G378="PLN03"),H378,"")</f>
        <v/>
      </c>
      <c r="AN378" s="42" t="str">
        <f>IF(AND(C378=Master!$H$8,B378="2012-2013",E378="",G378="PLN03"),H378,"")</f>
        <v/>
      </c>
      <c r="AO378" s="42" t="str">
        <f>IF(AND(C378=Master!$H$9,B378="2012-2013",E378&gt;1000,G378="PLN03"),H378,"")</f>
        <v/>
      </c>
      <c r="AP378" s="42" t="str">
        <f>IF(AND(C378=Master!$H$9,B378="2012-2013",E378="",G378="PLN03"),H378,"")</f>
        <v/>
      </c>
      <c r="AQ378" s="44" t="str">
        <f>IF(AND(C378=Master!$H$1,B378="2012-2013",E378&gt;1000,G378="NPN05"),H378,"")</f>
        <v/>
      </c>
      <c r="AR378" s="44" t="str">
        <f>IF(AND(C378=Master!$H$1,B378="2012-2013",E378="",G378="NPN05"),H378,"")</f>
        <v/>
      </c>
      <c r="AS378" s="44" t="str">
        <f>IF(AND(C378=Master!$H$2,B378="2012-2013",E378&gt;1000,G378="NPN05"),H378,"")</f>
        <v/>
      </c>
      <c r="AT378" s="44" t="str">
        <f>IF(AND(C378=Master!$H$2,B378="2012-2013",E378="",G378="NPN05"),H378,"")</f>
        <v/>
      </c>
      <c r="AU378" s="44" t="str">
        <f>IF(AND(C378=Master!$H$3,B378="2012-2013",E378&gt;1000,G378="NPN05"),H378,"")</f>
        <v/>
      </c>
      <c r="AV378" s="44" t="str">
        <f>IF(AND(C378=Master!$H$3,B378="2012-2013",E378="",G378="NPN05"),H378,"")</f>
        <v/>
      </c>
      <c r="AW378" s="44" t="str">
        <f>IF(AND(C378=Master!$H$4,B378="2012-2013",E378&gt;1000,G378="NPN05"),H378,"")</f>
        <v/>
      </c>
      <c r="AX378" s="44" t="str">
        <f>IF(AND(C378=Master!$H$4,B378="2012-2013",E378="",G378="NPN05"),H378,"")</f>
        <v/>
      </c>
      <c r="AY378" s="44" t="str">
        <f>IF(AND(C378=Master!$H$5,B378="2012-2013",E378&gt;1000,G378="NPN05"),H378,"")</f>
        <v/>
      </c>
      <c r="AZ378" s="44" t="str">
        <f>IF(AND(C378=Master!$H$5,B378="2012-2013",E378="",G378="NPN05"),H378,"")</f>
        <v/>
      </c>
      <c r="BA378" s="44" t="str">
        <f>IF(AND(C378=Master!$H$6,B378="2012-2013",E378&gt;1000,G378="NPN05"),H378,"")</f>
        <v/>
      </c>
      <c r="BB378" s="44" t="str">
        <f>IF(AND(C378=Master!$H$6,B378="2012-2013",E378="",G378="NPN05"),H378,"")</f>
        <v/>
      </c>
      <c r="BC378" s="44" t="str">
        <f>IF(AND(C378=Master!$H$7,B378="2012-2013",E378&gt;1000,G378="NPN05"),H378,"")</f>
        <v/>
      </c>
      <c r="BD378" s="44" t="str">
        <f>IF(AND(C378=Master!$H$7,B378="2012-2013",E378="",G378="NPN05"),H378,"")</f>
        <v/>
      </c>
      <c r="BE378" s="44" t="str">
        <f>IF(AND(C378=Master!$H$8,B378="2012-2013",E378&gt;1000,G378="NPN05"),H378,"")</f>
        <v/>
      </c>
      <c r="BF378" s="44" t="str">
        <f>IF(AND(C378=Master!$H$8,B378="2012-2013",E378="",G378="NPN05"),H378,"")</f>
        <v/>
      </c>
      <c r="BG378" s="44" t="str">
        <f>IF(AND(C378=Master!$H$9,B378="2012-2013",E378&gt;1000,G378="NPN05"),H378,"")</f>
        <v/>
      </c>
      <c r="BH378" s="44" t="str">
        <f>IF(AND(C378=Master!$H$9,B378="2012-2013",E378="",G378="NPN05"),H378,"")</f>
        <v/>
      </c>
    </row>
    <row r="379" spans="1:60" x14ac:dyDescent="0.25">
      <c r="A379" s="3">
        <v>377</v>
      </c>
      <c r="B379" s="12"/>
      <c r="C379" s="12"/>
      <c r="D379" s="31"/>
      <c r="E379" s="4"/>
      <c r="F379" s="13"/>
      <c r="G379" s="21"/>
      <c r="H379" s="35"/>
      <c r="I379" s="21"/>
      <c r="J379" s="25" t="str">
        <f>IF(NOT(I379=""),INDEX(Master!$B$1:$B$46,MATCH(I379,Master!$A$1:$A$46,0)),"")</f>
        <v/>
      </c>
      <c r="K379" s="18"/>
      <c r="L379" s="86"/>
      <c r="M379" s="13"/>
      <c r="N379" s="13"/>
      <c r="O379" s="18"/>
      <c r="P379" s="35"/>
      <c r="Q379" s="21"/>
      <c r="R379" s="21"/>
      <c r="S379" s="13"/>
      <c r="T379" s="12"/>
      <c r="U379" s="12"/>
      <c r="V379" s="12"/>
      <c r="W379" s="14"/>
      <c r="Y379" s="42" t="str">
        <f>IF(AND(C379=Master!$H$1,B379="2012-2013",E379&gt;1000,G379="PLN03"),H379,"")</f>
        <v/>
      </c>
      <c r="Z379" s="42" t="str">
        <f>IF(AND(C379=Master!$H$1,B379="2012-2013",E379="",G379="PLN03"),H379,"")</f>
        <v/>
      </c>
      <c r="AA379" s="42" t="str">
        <f>IF(AND(C379=Master!$H$2,B379="2012-2013",E379&gt;1000,G379="PLN03"),H379,"")</f>
        <v/>
      </c>
      <c r="AB379" s="42" t="str">
        <f>IF(AND(C379=Master!$H$2,B379="2012-2013",E379="",G379="PLN03"),H379,"")</f>
        <v/>
      </c>
      <c r="AC379" s="42" t="str">
        <f>IF(AND(C379=Master!$H$3,B379="2012-2013",E379&gt;1000,G379="PLN03"),H379,"")</f>
        <v/>
      </c>
      <c r="AD379" s="42" t="str">
        <f>IF(AND(C379=Master!$H$3,B379="2012-2013",E379="",G379="PLN03"),H379,"")</f>
        <v/>
      </c>
      <c r="AE379" s="42" t="str">
        <f>IF(AND(C379=Master!$H$4,B379="2012-2013",E379&gt;1000,G379="PLN03"),H379,"")</f>
        <v/>
      </c>
      <c r="AF379" s="42" t="str">
        <f>IF(AND(C379=Master!$H$4,B379="2012-2013",E379="",G379="PLN03"),H379,"")</f>
        <v/>
      </c>
      <c r="AG379" s="42" t="str">
        <f>IF(AND(C379=Master!$H$5,B379="2012-2013",E379&gt;1000,G379="PLN03"),H379,"")</f>
        <v/>
      </c>
      <c r="AH379" s="42" t="str">
        <f>IF(AND(C379=Master!$H$5,B379="2012-2013",E379="",G379="PLN03"),H379,"")</f>
        <v/>
      </c>
      <c r="AI379" s="42" t="str">
        <f>IF(AND(C379=Master!$H$6,B379="2012-2013",E379&gt;1000,G379="PLN03"),H379,"")</f>
        <v/>
      </c>
      <c r="AJ379" s="42" t="str">
        <f>IF(AND(C379=Master!$H$6,B379="2012-2013",E379="",G379="PLN03"),H379,"")</f>
        <v/>
      </c>
      <c r="AK379" s="42" t="str">
        <f>IF(AND(C379=Master!$H$7,B379="2012-2013",E379&gt;1000,G379="PLN03"),H379,"")</f>
        <v/>
      </c>
      <c r="AL379" s="42" t="str">
        <f>IF(AND(C379=Master!$H$7,B379="2012-2013",E379="",G379="PLN03"),H379,"")</f>
        <v/>
      </c>
      <c r="AM379" s="42" t="str">
        <f>IF(AND(C379=Master!$H$8,B379="2012-2013",E379&gt;1000,G379="PLN03"),H379,"")</f>
        <v/>
      </c>
      <c r="AN379" s="42" t="str">
        <f>IF(AND(C379=Master!$H$8,B379="2012-2013",E379="",G379="PLN03"),H379,"")</f>
        <v/>
      </c>
      <c r="AO379" s="42" t="str">
        <f>IF(AND(C379=Master!$H$9,B379="2012-2013",E379&gt;1000,G379="PLN03"),H379,"")</f>
        <v/>
      </c>
      <c r="AP379" s="42" t="str">
        <f>IF(AND(C379=Master!$H$9,B379="2012-2013",E379="",G379="PLN03"),H379,"")</f>
        <v/>
      </c>
      <c r="AQ379" s="44" t="str">
        <f>IF(AND(C379=Master!$H$1,B379="2012-2013",E379&gt;1000,G379="NPN05"),H379,"")</f>
        <v/>
      </c>
      <c r="AR379" s="44" t="str">
        <f>IF(AND(C379=Master!$H$1,B379="2012-2013",E379="",G379="NPN05"),H379,"")</f>
        <v/>
      </c>
      <c r="AS379" s="44" t="str">
        <f>IF(AND(C379=Master!$H$2,B379="2012-2013",E379&gt;1000,G379="NPN05"),H379,"")</f>
        <v/>
      </c>
      <c r="AT379" s="44" t="str">
        <f>IF(AND(C379=Master!$H$2,B379="2012-2013",E379="",G379="NPN05"),H379,"")</f>
        <v/>
      </c>
      <c r="AU379" s="44" t="str">
        <f>IF(AND(C379=Master!$H$3,B379="2012-2013",E379&gt;1000,G379="NPN05"),H379,"")</f>
        <v/>
      </c>
      <c r="AV379" s="44" t="str">
        <f>IF(AND(C379=Master!$H$3,B379="2012-2013",E379="",G379="NPN05"),H379,"")</f>
        <v/>
      </c>
      <c r="AW379" s="44" t="str">
        <f>IF(AND(C379=Master!$H$4,B379="2012-2013",E379&gt;1000,G379="NPN05"),H379,"")</f>
        <v/>
      </c>
      <c r="AX379" s="44" t="str">
        <f>IF(AND(C379=Master!$H$4,B379="2012-2013",E379="",G379="NPN05"),H379,"")</f>
        <v/>
      </c>
      <c r="AY379" s="44" t="str">
        <f>IF(AND(C379=Master!$H$5,B379="2012-2013",E379&gt;1000,G379="NPN05"),H379,"")</f>
        <v/>
      </c>
      <c r="AZ379" s="44" t="str">
        <f>IF(AND(C379=Master!$H$5,B379="2012-2013",E379="",G379="NPN05"),H379,"")</f>
        <v/>
      </c>
      <c r="BA379" s="44" t="str">
        <f>IF(AND(C379=Master!$H$6,B379="2012-2013",E379&gt;1000,G379="NPN05"),H379,"")</f>
        <v/>
      </c>
      <c r="BB379" s="44" t="str">
        <f>IF(AND(C379=Master!$H$6,B379="2012-2013",E379="",G379="NPN05"),H379,"")</f>
        <v/>
      </c>
      <c r="BC379" s="44" t="str">
        <f>IF(AND(C379=Master!$H$7,B379="2012-2013",E379&gt;1000,G379="NPN05"),H379,"")</f>
        <v/>
      </c>
      <c r="BD379" s="44" t="str">
        <f>IF(AND(C379=Master!$H$7,B379="2012-2013",E379="",G379="NPN05"),H379,"")</f>
        <v/>
      </c>
      <c r="BE379" s="44" t="str">
        <f>IF(AND(C379=Master!$H$8,B379="2012-2013",E379&gt;1000,G379="NPN05"),H379,"")</f>
        <v/>
      </c>
      <c r="BF379" s="44" t="str">
        <f>IF(AND(C379=Master!$H$8,B379="2012-2013",E379="",G379="NPN05"),H379,"")</f>
        <v/>
      </c>
      <c r="BG379" s="44" t="str">
        <f>IF(AND(C379=Master!$H$9,B379="2012-2013",E379&gt;1000,G379="NPN05"),H379,"")</f>
        <v/>
      </c>
      <c r="BH379" s="44" t="str">
        <f>IF(AND(C379=Master!$H$9,B379="2012-2013",E379="",G379="NPN05"),H379,"")</f>
        <v/>
      </c>
    </row>
    <row r="380" spans="1:60" x14ac:dyDescent="0.25">
      <c r="A380" s="3">
        <v>378</v>
      </c>
      <c r="B380" s="12"/>
      <c r="C380" s="12"/>
      <c r="D380" s="31"/>
      <c r="E380" s="4"/>
      <c r="F380" s="13"/>
      <c r="G380" s="21"/>
      <c r="H380" s="35"/>
      <c r="I380" s="21"/>
      <c r="J380" s="25" t="str">
        <f>IF(NOT(I380=""),INDEX(Master!$B$1:$B$46,MATCH(I380,Master!$A$1:$A$46,0)),"")</f>
        <v/>
      </c>
      <c r="K380" s="18"/>
      <c r="L380" s="86"/>
      <c r="M380" s="13"/>
      <c r="N380" s="13"/>
      <c r="O380" s="18"/>
      <c r="P380" s="35"/>
      <c r="Q380" s="21"/>
      <c r="R380" s="21"/>
      <c r="S380" s="13"/>
      <c r="T380" s="12"/>
      <c r="U380" s="12"/>
      <c r="V380" s="12"/>
      <c r="W380" s="14"/>
      <c r="Y380" s="42" t="str">
        <f>IF(AND(C380=Master!$H$1,B380="2012-2013",E380&gt;1000,G380="PLN03"),H380,"")</f>
        <v/>
      </c>
      <c r="Z380" s="42" t="str">
        <f>IF(AND(C380=Master!$H$1,B380="2012-2013",E380="",G380="PLN03"),H380,"")</f>
        <v/>
      </c>
      <c r="AA380" s="42" t="str">
        <f>IF(AND(C380=Master!$H$2,B380="2012-2013",E380&gt;1000,G380="PLN03"),H380,"")</f>
        <v/>
      </c>
      <c r="AB380" s="42" t="str">
        <f>IF(AND(C380=Master!$H$2,B380="2012-2013",E380="",G380="PLN03"),H380,"")</f>
        <v/>
      </c>
      <c r="AC380" s="42" t="str">
        <f>IF(AND(C380=Master!$H$3,B380="2012-2013",E380&gt;1000,G380="PLN03"),H380,"")</f>
        <v/>
      </c>
      <c r="AD380" s="42" t="str">
        <f>IF(AND(C380=Master!$H$3,B380="2012-2013",E380="",G380="PLN03"),H380,"")</f>
        <v/>
      </c>
      <c r="AE380" s="42" t="str">
        <f>IF(AND(C380=Master!$H$4,B380="2012-2013",E380&gt;1000,G380="PLN03"),H380,"")</f>
        <v/>
      </c>
      <c r="AF380" s="42" t="str">
        <f>IF(AND(C380=Master!$H$4,B380="2012-2013",E380="",G380="PLN03"),H380,"")</f>
        <v/>
      </c>
      <c r="AG380" s="42" t="str">
        <f>IF(AND(C380=Master!$H$5,B380="2012-2013",E380&gt;1000,G380="PLN03"),H380,"")</f>
        <v/>
      </c>
      <c r="AH380" s="42" t="str">
        <f>IF(AND(C380=Master!$H$5,B380="2012-2013",E380="",G380="PLN03"),H380,"")</f>
        <v/>
      </c>
      <c r="AI380" s="42" t="str">
        <f>IF(AND(C380=Master!$H$6,B380="2012-2013",E380&gt;1000,G380="PLN03"),H380,"")</f>
        <v/>
      </c>
      <c r="AJ380" s="42" t="str">
        <f>IF(AND(C380=Master!$H$6,B380="2012-2013",E380="",G380="PLN03"),H380,"")</f>
        <v/>
      </c>
      <c r="AK380" s="42" t="str">
        <f>IF(AND(C380=Master!$H$7,B380="2012-2013",E380&gt;1000,G380="PLN03"),H380,"")</f>
        <v/>
      </c>
      <c r="AL380" s="42" t="str">
        <f>IF(AND(C380=Master!$H$7,B380="2012-2013",E380="",G380="PLN03"),H380,"")</f>
        <v/>
      </c>
      <c r="AM380" s="42" t="str">
        <f>IF(AND(C380=Master!$H$8,B380="2012-2013",E380&gt;1000,G380="PLN03"),H380,"")</f>
        <v/>
      </c>
      <c r="AN380" s="42" t="str">
        <f>IF(AND(C380=Master!$H$8,B380="2012-2013",E380="",G380="PLN03"),H380,"")</f>
        <v/>
      </c>
      <c r="AO380" s="42" t="str">
        <f>IF(AND(C380=Master!$H$9,B380="2012-2013",E380&gt;1000,G380="PLN03"),H380,"")</f>
        <v/>
      </c>
      <c r="AP380" s="42" t="str">
        <f>IF(AND(C380=Master!$H$9,B380="2012-2013",E380="",G380="PLN03"),H380,"")</f>
        <v/>
      </c>
      <c r="AQ380" s="44" t="str">
        <f>IF(AND(C380=Master!$H$1,B380="2012-2013",E380&gt;1000,G380="NPN05"),H380,"")</f>
        <v/>
      </c>
      <c r="AR380" s="44" t="str">
        <f>IF(AND(C380=Master!$H$1,B380="2012-2013",E380="",G380="NPN05"),H380,"")</f>
        <v/>
      </c>
      <c r="AS380" s="44" t="str">
        <f>IF(AND(C380=Master!$H$2,B380="2012-2013",E380&gt;1000,G380="NPN05"),H380,"")</f>
        <v/>
      </c>
      <c r="AT380" s="44" t="str">
        <f>IF(AND(C380=Master!$H$2,B380="2012-2013",E380="",G380="NPN05"),H380,"")</f>
        <v/>
      </c>
      <c r="AU380" s="44" t="str">
        <f>IF(AND(C380=Master!$H$3,B380="2012-2013",E380&gt;1000,G380="NPN05"),H380,"")</f>
        <v/>
      </c>
      <c r="AV380" s="44" t="str">
        <f>IF(AND(C380=Master!$H$3,B380="2012-2013",E380="",G380="NPN05"),H380,"")</f>
        <v/>
      </c>
      <c r="AW380" s="44" t="str">
        <f>IF(AND(C380=Master!$H$4,B380="2012-2013",E380&gt;1000,G380="NPN05"),H380,"")</f>
        <v/>
      </c>
      <c r="AX380" s="44" t="str">
        <f>IF(AND(C380=Master!$H$4,B380="2012-2013",E380="",G380="NPN05"),H380,"")</f>
        <v/>
      </c>
      <c r="AY380" s="44" t="str">
        <f>IF(AND(C380=Master!$H$5,B380="2012-2013",E380&gt;1000,G380="NPN05"),H380,"")</f>
        <v/>
      </c>
      <c r="AZ380" s="44" t="str">
        <f>IF(AND(C380=Master!$H$5,B380="2012-2013",E380="",G380="NPN05"),H380,"")</f>
        <v/>
      </c>
      <c r="BA380" s="44" t="str">
        <f>IF(AND(C380=Master!$H$6,B380="2012-2013",E380&gt;1000,G380="NPN05"),H380,"")</f>
        <v/>
      </c>
      <c r="BB380" s="44" t="str">
        <f>IF(AND(C380=Master!$H$6,B380="2012-2013",E380="",G380="NPN05"),H380,"")</f>
        <v/>
      </c>
      <c r="BC380" s="44" t="str">
        <f>IF(AND(C380=Master!$H$7,B380="2012-2013",E380&gt;1000,G380="NPN05"),H380,"")</f>
        <v/>
      </c>
      <c r="BD380" s="44" t="str">
        <f>IF(AND(C380=Master!$H$7,B380="2012-2013",E380="",G380="NPN05"),H380,"")</f>
        <v/>
      </c>
      <c r="BE380" s="44" t="str">
        <f>IF(AND(C380=Master!$H$8,B380="2012-2013",E380&gt;1000,G380="NPN05"),H380,"")</f>
        <v/>
      </c>
      <c r="BF380" s="44" t="str">
        <f>IF(AND(C380=Master!$H$8,B380="2012-2013",E380="",G380="NPN05"),H380,"")</f>
        <v/>
      </c>
      <c r="BG380" s="44" t="str">
        <f>IF(AND(C380=Master!$H$9,B380="2012-2013",E380&gt;1000,G380="NPN05"),H380,"")</f>
        <v/>
      </c>
      <c r="BH380" s="44" t="str">
        <f>IF(AND(C380=Master!$H$9,B380="2012-2013",E380="",G380="NPN05"),H380,"")</f>
        <v/>
      </c>
    </row>
    <row r="381" spans="1:60" x14ac:dyDescent="0.25">
      <c r="A381" s="3">
        <v>379</v>
      </c>
      <c r="B381" s="12"/>
      <c r="C381" s="12"/>
      <c r="D381" s="31"/>
      <c r="E381" s="4"/>
      <c r="F381" s="13"/>
      <c r="G381" s="21"/>
      <c r="H381" s="35"/>
      <c r="I381" s="21"/>
      <c r="J381" s="25" t="str">
        <f>IF(NOT(I381=""),INDEX(Master!$B$1:$B$46,MATCH(I381,Master!$A$1:$A$46,0)),"")</f>
        <v/>
      </c>
      <c r="K381" s="18"/>
      <c r="L381" s="86"/>
      <c r="M381" s="13"/>
      <c r="N381" s="13"/>
      <c r="O381" s="18"/>
      <c r="P381" s="35"/>
      <c r="Q381" s="21"/>
      <c r="R381" s="21"/>
      <c r="S381" s="13"/>
      <c r="T381" s="12"/>
      <c r="U381" s="12"/>
      <c r="V381" s="12"/>
      <c r="W381" s="14"/>
      <c r="Y381" s="42" t="str">
        <f>IF(AND(C381=Master!$H$1,B381="2012-2013",E381&gt;1000,G381="PLN03"),H381,"")</f>
        <v/>
      </c>
      <c r="Z381" s="42" t="str">
        <f>IF(AND(C381=Master!$H$1,B381="2012-2013",E381="",G381="PLN03"),H381,"")</f>
        <v/>
      </c>
      <c r="AA381" s="42" t="str">
        <f>IF(AND(C381=Master!$H$2,B381="2012-2013",E381&gt;1000,G381="PLN03"),H381,"")</f>
        <v/>
      </c>
      <c r="AB381" s="42" t="str">
        <f>IF(AND(C381=Master!$H$2,B381="2012-2013",E381="",G381="PLN03"),H381,"")</f>
        <v/>
      </c>
      <c r="AC381" s="42" t="str">
        <f>IF(AND(C381=Master!$H$3,B381="2012-2013",E381&gt;1000,G381="PLN03"),H381,"")</f>
        <v/>
      </c>
      <c r="AD381" s="42" t="str">
        <f>IF(AND(C381=Master!$H$3,B381="2012-2013",E381="",G381="PLN03"),H381,"")</f>
        <v/>
      </c>
      <c r="AE381" s="42" t="str">
        <f>IF(AND(C381=Master!$H$4,B381="2012-2013",E381&gt;1000,G381="PLN03"),H381,"")</f>
        <v/>
      </c>
      <c r="AF381" s="42" t="str">
        <f>IF(AND(C381=Master!$H$4,B381="2012-2013",E381="",G381="PLN03"),H381,"")</f>
        <v/>
      </c>
      <c r="AG381" s="42" t="str">
        <f>IF(AND(C381=Master!$H$5,B381="2012-2013",E381&gt;1000,G381="PLN03"),H381,"")</f>
        <v/>
      </c>
      <c r="AH381" s="42" t="str">
        <f>IF(AND(C381=Master!$H$5,B381="2012-2013",E381="",G381="PLN03"),H381,"")</f>
        <v/>
      </c>
      <c r="AI381" s="42" t="str">
        <f>IF(AND(C381=Master!$H$6,B381="2012-2013",E381&gt;1000,G381="PLN03"),H381,"")</f>
        <v/>
      </c>
      <c r="AJ381" s="42" t="str">
        <f>IF(AND(C381=Master!$H$6,B381="2012-2013",E381="",G381="PLN03"),H381,"")</f>
        <v/>
      </c>
      <c r="AK381" s="42" t="str">
        <f>IF(AND(C381=Master!$H$7,B381="2012-2013",E381&gt;1000,G381="PLN03"),H381,"")</f>
        <v/>
      </c>
      <c r="AL381" s="42" t="str">
        <f>IF(AND(C381=Master!$H$7,B381="2012-2013",E381="",G381="PLN03"),H381,"")</f>
        <v/>
      </c>
      <c r="AM381" s="42" t="str">
        <f>IF(AND(C381=Master!$H$8,B381="2012-2013",E381&gt;1000,G381="PLN03"),H381,"")</f>
        <v/>
      </c>
      <c r="AN381" s="42" t="str">
        <f>IF(AND(C381=Master!$H$8,B381="2012-2013",E381="",G381="PLN03"),H381,"")</f>
        <v/>
      </c>
      <c r="AO381" s="42" t="str">
        <f>IF(AND(C381=Master!$H$9,B381="2012-2013",E381&gt;1000,G381="PLN03"),H381,"")</f>
        <v/>
      </c>
      <c r="AP381" s="42" t="str">
        <f>IF(AND(C381=Master!$H$9,B381="2012-2013",E381="",G381="PLN03"),H381,"")</f>
        <v/>
      </c>
      <c r="AQ381" s="44" t="str">
        <f>IF(AND(C381=Master!$H$1,B381="2012-2013",E381&gt;1000,G381="NPN05"),H381,"")</f>
        <v/>
      </c>
      <c r="AR381" s="44" t="str">
        <f>IF(AND(C381=Master!$H$1,B381="2012-2013",E381="",G381="NPN05"),H381,"")</f>
        <v/>
      </c>
      <c r="AS381" s="44" t="str">
        <f>IF(AND(C381=Master!$H$2,B381="2012-2013",E381&gt;1000,G381="NPN05"),H381,"")</f>
        <v/>
      </c>
      <c r="AT381" s="44" t="str">
        <f>IF(AND(C381=Master!$H$2,B381="2012-2013",E381="",G381="NPN05"),H381,"")</f>
        <v/>
      </c>
      <c r="AU381" s="44" t="str">
        <f>IF(AND(C381=Master!$H$3,B381="2012-2013",E381&gt;1000,G381="NPN05"),H381,"")</f>
        <v/>
      </c>
      <c r="AV381" s="44" t="str">
        <f>IF(AND(C381=Master!$H$3,B381="2012-2013",E381="",G381="NPN05"),H381,"")</f>
        <v/>
      </c>
      <c r="AW381" s="44" t="str">
        <f>IF(AND(C381=Master!$H$4,B381="2012-2013",E381&gt;1000,G381="NPN05"),H381,"")</f>
        <v/>
      </c>
      <c r="AX381" s="44" t="str">
        <f>IF(AND(C381=Master!$H$4,B381="2012-2013",E381="",G381="NPN05"),H381,"")</f>
        <v/>
      </c>
      <c r="AY381" s="44" t="str">
        <f>IF(AND(C381=Master!$H$5,B381="2012-2013",E381&gt;1000,G381="NPN05"),H381,"")</f>
        <v/>
      </c>
      <c r="AZ381" s="44" t="str">
        <f>IF(AND(C381=Master!$H$5,B381="2012-2013",E381="",G381="NPN05"),H381,"")</f>
        <v/>
      </c>
      <c r="BA381" s="44" t="str">
        <f>IF(AND(C381=Master!$H$6,B381="2012-2013",E381&gt;1000,G381="NPN05"),H381,"")</f>
        <v/>
      </c>
      <c r="BB381" s="44" t="str">
        <f>IF(AND(C381=Master!$H$6,B381="2012-2013",E381="",G381="NPN05"),H381,"")</f>
        <v/>
      </c>
      <c r="BC381" s="44" t="str">
        <f>IF(AND(C381=Master!$H$7,B381="2012-2013",E381&gt;1000,G381="NPN05"),H381,"")</f>
        <v/>
      </c>
      <c r="BD381" s="44" t="str">
        <f>IF(AND(C381=Master!$H$7,B381="2012-2013",E381="",G381="NPN05"),H381,"")</f>
        <v/>
      </c>
      <c r="BE381" s="44" t="str">
        <f>IF(AND(C381=Master!$H$8,B381="2012-2013",E381&gt;1000,G381="NPN05"),H381,"")</f>
        <v/>
      </c>
      <c r="BF381" s="44" t="str">
        <f>IF(AND(C381=Master!$H$8,B381="2012-2013",E381="",G381="NPN05"),H381,"")</f>
        <v/>
      </c>
      <c r="BG381" s="44" t="str">
        <f>IF(AND(C381=Master!$H$9,B381="2012-2013",E381&gt;1000,G381="NPN05"),H381,"")</f>
        <v/>
      </c>
      <c r="BH381" s="44" t="str">
        <f>IF(AND(C381=Master!$H$9,B381="2012-2013",E381="",G381="NPN05"),H381,"")</f>
        <v/>
      </c>
    </row>
    <row r="382" spans="1:60" x14ac:dyDescent="0.25">
      <c r="A382" s="5">
        <v>380</v>
      </c>
      <c r="B382" s="12"/>
      <c r="C382" s="12"/>
      <c r="D382" s="31"/>
      <c r="E382" s="4"/>
      <c r="F382" s="13"/>
      <c r="G382" s="21"/>
      <c r="H382" s="35"/>
      <c r="I382" s="21"/>
      <c r="J382" s="25" t="str">
        <f>IF(NOT(I382=""),INDEX(Master!$B$1:$B$46,MATCH(I382,Master!$A$1:$A$46,0)),"")</f>
        <v/>
      </c>
      <c r="K382" s="18"/>
      <c r="L382" s="86"/>
      <c r="M382" s="13"/>
      <c r="N382" s="13"/>
      <c r="O382" s="18"/>
      <c r="P382" s="35"/>
      <c r="Q382" s="21"/>
      <c r="R382" s="21"/>
      <c r="S382" s="13"/>
      <c r="T382" s="12"/>
      <c r="U382" s="12"/>
      <c r="V382" s="12"/>
      <c r="W382" s="14"/>
      <c r="Y382" s="42" t="str">
        <f>IF(AND(C382=Master!$H$1,B382="2012-2013",E382&gt;1000,G382="PLN03"),H382,"")</f>
        <v/>
      </c>
      <c r="Z382" s="42" t="str">
        <f>IF(AND(C382=Master!$H$1,B382="2012-2013",E382="",G382="PLN03"),H382,"")</f>
        <v/>
      </c>
      <c r="AA382" s="42" t="str">
        <f>IF(AND(C382=Master!$H$2,B382="2012-2013",E382&gt;1000,G382="PLN03"),H382,"")</f>
        <v/>
      </c>
      <c r="AB382" s="42" t="str">
        <f>IF(AND(C382=Master!$H$2,B382="2012-2013",E382="",G382="PLN03"),H382,"")</f>
        <v/>
      </c>
      <c r="AC382" s="42" t="str">
        <f>IF(AND(C382=Master!$H$3,B382="2012-2013",E382&gt;1000,G382="PLN03"),H382,"")</f>
        <v/>
      </c>
      <c r="AD382" s="42" t="str">
        <f>IF(AND(C382=Master!$H$3,B382="2012-2013",E382="",G382="PLN03"),H382,"")</f>
        <v/>
      </c>
      <c r="AE382" s="42" t="str">
        <f>IF(AND(C382=Master!$H$4,B382="2012-2013",E382&gt;1000,G382="PLN03"),H382,"")</f>
        <v/>
      </c>
      <c r="AF382" s="42" t="str">
        <f>IF(AND(C382=Master!$H$4,B382="2012-2013",E382="",G382="PLN03"),H382,"")</f>
        <v/>
      </c>
      <c r="AG382" s="42" t="str">
        <f>IF(AND(C382=Master!$H$5,B382="2012-2013",E382&gt;1000,G382="PLN03"),H382,"")</f>
        <v/>
      </c>
      <c r="AH382" s="42" t="str">
        <f>IF(AND(C382=Master!$H$5,B382="2012-2013",E382="",G382="PLN03"),H382,"")</f>
        <v/>
      </c>
      <c r="AI382" s="42" t="str">
        <f>IF(AND(C382=Master!$H$6,B382="2012-2013",E382&gt;1000,G382="PLN03"),H382,"")</f>
        <v/>
      </c>
      <c r="AJ382" s="42" t="str">
        <f>IF(AND(C382=Master!$H$6,B382="2012-2013",E382="",G382="PLN03"),H382,"")</f>
        <v/>
      </c>
      <c r="AK382" s="42" t="str">
        <f>IF(AND(C382=Master!$H$7,B382="2012-2013",E382&gt;1000,G382="PLN03"),H382,"")</f>
        <v/>
      </c>
      <c r="AL382" s="42" t="str">
        <f>IF(AND(C382=Master!$H$7,B382="2012-2013",E382="",G382="PLN03"),H382,"")</f>
        <v/>
      </c>
      <c r="AM382" s="42" t="str">
        <f>IF(AND(C382=Master!$H$8,B382="2012-2013",E382&gt;1000,G382="PLN03"),H382,"")</f>
        <v/>
      </c>
      <c r="AN382" s="42" t="str">
        <f>IF(AND(C382=Master!$H$8,B382="2012-2013",E382="",G382="PLN03"),H382,"")</f>
        <v/>
      </c>
      <c r="AO382" s="42" t="str">
        <f>IF(AND(C382=Master!$H$9,B382="2012-2013",E382&gt;1000,G382="PLN03"),H382,"")</f>
        <v/>
      </c>
      <c r="AP382" s="42" t="str">
        <f>IF(AND(C382=Master!$H$9,B382="2012-2013",E382="",G382="PLN03"),H382,"")</f>
        <v/>
      </c>
      <c r="AQ382" s="44" t="str">
        <f>IF(AND(C382=Master!$H$1,B382="2012-2013",E382&gt;1000,G382="NPN05"),H382,"")</f>
        <v/>
      </c>
      <c r="AR382" s="44" t="str">
        <f>IF(AND(C382=Master!$H$1,B382="2012-2013",E382="",G382="NPN05"),H382,"")</f>
        <v/>
      </c>
      <c r="AS382" s="44" t="str">
        <f>IF(AND(C382=Master!$H$2,B382="2012-2013",E382&gt;1000,G382="NPN05"),H382,"")</f>
        <v/>
      </c>
      <c r="AT382" s="44" t="str">
        <f>IF(AND(C382=Master!$H$2,B382="2012-2013",E382="",G382="NPN05"),H382,"")</f>
        <v/>
      </c>
      <c r="AU382" s="44" t="str">
        <f>IF(AND(C382=Master!$H$3,B382="2012-2013",E382&gt;1000,G382="NPN05"),H382,"")</f>
        <v/>
      </c>
      <c r="AV382" s="44" t="str">
        <f>IF(AND(C382=Master!$H$3,B382="2012-2013",E382="",G382="NPN05"),H382,"")</f>
        <v/>
      </c>
      <c r="AW382" s="44" t="str">
        <f>IF(AND(C382=Master!$H$4,B382="2012-2013",E382&gt;1000,G382="NPN05"),H382,"")</f>
        <v/>
      </c>
      <c r="AX382" s="44" t="str">
        <f>IF(AND(C382=Master!$H$4,B382="2012-2013",E382="",G382="NPN05"),H382,"")</f>
        <v/>
      </c>
      <c r="AY382" s="44" t="str">
        <f>IF(AND(C382=Master!$H$5,B382="2012-2013",E382&gt;1000,G382="NPN05"),H382,"")</f>
        <v/>
      </c>
      <c r="AZ382" s="44" t="str">
        <f>IF(AND(C382=Master!$H$5,B382="2012-2013",E382="",G382="NPN05"),H382,"")</f>
        <v/>
      </c>
      <c r="BA382" s="44" t="str">
        <f>IF(AND(C382=Master!$H$6,B382="2012-2013",E382&gt;1000,G382="NPN05"),H382,"")</f>
        <v/>
      </c>
      <c r="BB382" s="44" t="str">
        <f>IF(AND(C382=Master!$H$6,B382="2012-2013",E382="",G382="NPN05"),H382,"")</f>
        <v/>
      </c>
      <c r="BC382" s="44" t="str">
        <f>IF(AND(C382=Master!$H$7,B382="2012-2013",E382&gt;1000,G382="NPN05"),H382,"")</f>
        <v/>
      </c>
      <c r="BD382" s="44" t="str">
        <f>IF(AND(C382=Master!$H$7,B382="2012-2013",E382="",G382="NPN05"),H382,"")</f>
        <v/>
      </c>
      <c r="BE382" s="44" t="str">
        <f>IF(AND(C382=Master!$H$8,B382="2012-2013",E382&gt;1000,G382="NPN05"),H382,"")</f>
        <v/>
      </c>
      <c r="BF382" s="44" t="str">
        <f>IF(AND(C382=Master!$H$8,B382="2012-2013",E382="",G382="NPN05"),H382,"")</f>
        <v/>
      </c>
      <c r="BG382" s="44" t="str">
        <f>IF(AND(C382=Master!$H$9,B382="2012-2013",E382&gt;1000,G382="NPN05"),H382,"")</f>
        <v/>
      </c>
      <c r="BH382" s="44" t="str">
        <f>IF(AND(C382=Master!$H$9,B382="2012-2013",E382="",G382="NPN05"),H382,"")</f>
        <v/>
      </c>
    </row>
    <row r="383" spans="1:60" x14ac:dyDescent="0.25">
      <c r="A383" s="3">
        <v>381</v>
      </c>
      <c r="B383" s="12"/>
      <c r="C383" s="12"/>
      <c r="D383" s="31"/>
      <c r="E383" s="4"/>
      <c r="F383" s="13"/>
      <c r="G383" s="21"/>
      <c r="H383" s="35"/>
      <c r="I383" s="21"/>
      <c r="J383" s="25" t="str">
        <f>IF(NOT(I383=""),INDEX(Master!$B$1:$B$46,MATCH(I383,Master!$A$1:$A$46,0)),"")</f>
        <v/>
      </c>
      <c r="K383" s="18"/>
      <c r="L383" s="86"/>
      <c r="M383" s="13"/>
      <c r="N383" s="13"/>
      <c r="O383" s="18"/>
      <c r="P383" s="35"/>
      <c r="Q383" s="21"/>
      <c r="R383" s="21"/>
      <c r="S383" s="13"/>
      <c r="T383" s="12"/>
      <c r="U383" s="12"/>
      <c r="V383" s="12"/>
      <c r="W383" s="14"/>
      <c r="Y383" s="42" t="str">
        <f>IF(AND(C383=Master!$H$1,B383="2012-2013",E383&gt;1000,G383="PLN03"),H383,"")</f>
        <v/>
      </c>
      <c r="Z383" s="42" t="str">
        <f>IF(AND(C383=Master!$H$1,B383="2012-2013",E383="",G383="PLN03"),H383,"")</f>
        <v/>
      </c>
      <c r="AA383" s="42" t="str">
        <f>IF(AND(C383=Master!$H$2,B383="2012-2013",E383&gt;1000,G383="PLN03"),H383,"")</f>
        <v/>
      </c>
      <c r="AB383" s="42" t="str">
        <f>IF(AND(C383=Master!$H$2,B383="2012-2013",E383="",G383="PLN03"),H383,"")</f>
        <v/>
      </c>
      <c r="AC383" s="42" t="str">
        <f>IF(AND(C383=Master!$H$3,B383="2012-2013",E383&gt;1000,G383="PLN03"),H383,"")</f>
        <v/>
      </c>
      <c r="AD383" s="42" t="str">
        <f>IF(AND(C383=Master!$H$3,B383="2012-2013",E383="",G383="PLN03"),H383,"")</f>
        <v/>
      </c>
      <c r="AE383" s="42" t="str">
        <f>IF(AND(C383=Master!$H$4,B383="2012-2013",E383&gt;1000,G383="PLN03"),H383,"")</f>
        <v/>
      </c>
      <c r="AF383" s="42" t="str">
        <f>IF(AND(C383=Master!$H$4,B383="2012-2013",E383="",G383="PLN03"),H383,"")</f>
        <v/>
      </c>
      <c r="AG383" s="42" t="str">
        <f>IF(AND(C383=Master!$H$5,B383="2012-2013",E383&gt;1000,G383="PLN03"),H383,"")</f>
        <v/>
      </c>
      <c r="AH383" s="42" t="str">
        <f>IF(AND(C383=Master!$H$5,B383="2012-2013",E383="",G383="PLN03"),H383,"")</f>
        <v/>
      </c>
      <c r="AI383" s="42" t="str">
        <f>IF(AND(C383=Master!$H$6,B383="2012-2013",E383&gt;1000,G383="PLN03"),H383,"")</f>
        <v/>
      </c>
      <c r="AJ383" s="42" t="str">
        <f>IF(AND(C383=Master!$H$6,B383="2012-2013",E383="",G383="PLN03"),H383,"")</f>
        <v/>
      </c>
      <c r="AK383" s="42" t="str">
        <f>IF(AND(C383=Master!$H$7,B383="2012-2013",E383&gt;1000,G383="PLN03"),H383,"")</f>
        <v/>
      </c>
      <c r="AL383" s="42" t="str">
        <f>IF(AND(C383=Master!$H$7,B383="2012-2013",E383="",G383="PLN03"),H383,"")</f>
        <v/>
      </c>
      <c r="AM383" s="42" t="str">
        <f>IF(AND(C383=Master!$H$8,B383="2012-2013",E383&gt;1000,G383="PLN03"),H383,"")</f>
        <v/>
      </c>
      <c r="AN383" s="42" t="str">
        <f>IF(AND(C383=Master!$H$8,B383="2012-2013",E383="",G383="PLN03"),H383,"")</f>
        <v/>
      </c>
      <c r="AO383" s="42" t="str">
        <f>IF(AND(C383=Master!$H$9,B383="2012-2013",E383&gt;1000,G383="PLN03"),H383,"")</f>
        <v/>
      </c>
      <c r="AP383" s="42" t="str">
        <f>IF(AND(C383=Master!$H$9,B383="2012-2013",E383="",G383="PLN03"),H383,"")</f>
        <v/>
      </c>
      <c r="AQ383" s="44" t="str">
        <f>IF(AND(C383=Master!$H$1,B383="2012-2013",E383&gt;1000,G383="NPN05"),H383,"")</f>
        <v/>
      </c>
      <c r="AR383" s="44" t="str">
        <f>IF(AND(C383=Master!$H$1,B383="2012-2013",E383="",G383="NPN05"),H383,"")</f>
        <v/>
      </c>
      <c r="AS383" s="44" t="str">
        <f>IF(AND(C383=Master!$H$2,B383="2012-2013",E383&gt;1000,G383="NPN05"),H383,"")</f>
        <v/>
      </c>
      <c r="AT383" s="44" t="str">
        <f>IF(AND(C383=Master!$H$2,B383="2012-2013",E383="",G383="NPN05"),H383,"")</f>
        <v/>
      </c>
      <c r="AU383" s="44" t="str">
        <f>IF(AND(C383=Master!$H$3,B383="2012-2013",E383&gt;1000,G383="NPN05"),H383,"")</f>
        <v/>
      </c>
      <c r="AV383" s="44" t="str">
        <f>IF(AND(C383=Master!$H$3,B383="2012-2013",E383="",G383="NPN05"),H383,"")</f>
        <v/>
      </c>
      <c r="AW383" s="44" t="str">
        <f>IF(AND(C383=Master!$H$4,B383="2012-2013",E383&gt;1000,G383="NPN05"),H383,"")</f>
        <v/>
      </c>
      <c r="AX383" s="44" t="str">
        <f>IF(AND(C383=Master!$H$4,B383="2012-2013",E383="",G383="NPN05"),H383,"")</f>
        <v/>
      </c>
      <c r="AY383" s="44" t="str">
        <f>IF(AND(C383=Master!$H$5,B383="2012-2013",E383&gt;1000,G383="NPN05"),H383,"")</f>
        <v/>
      </c>
      <c r="AZ383" s="44" t="str">
        <f>IF(AND(C383=Master!$H$5,B383="2012-2013",E383="",G383="NPN05"),H383,"")</f>
        <v/>
      </c>
      <c r="BA383" s="44" t="str">
        <f>IF(AND(C383=Master!$H$6,B383="2012-2013",E383&gt;1000,G383="NPN05"),H383,"")</f>
        <v/>
      </c>
      <c r="BB383" s="44" t="str">
        <f>IF(AND(C383=Master!$H$6,B383="2012-2013",E383="",G383="NPN05"),H383,"")</f>
        <v/>
      </c>
      <c r="BC383" s="44" t="str">
        <f>IF(AND(C383=Master!$H$7,B383="2012-2013",E383&gt;1000,G383="NPN05"),H383,"")</f>
        <v/>
      </c>
      <c r="BD383" s="44" t="str">
        <f>IF(AND(C383=Master!$H$7,B383="2012-2013",E383="",G383="NPN05"),H383,"")</f>
        <v/>
      </c>
      <c r="BE383" s="44" t="str">
        <f>IF(AND(C383=Master!$H$8,B383="2012-2013",E383&gt;1000,G383="NPN05"),H383,"")</f>
        <v/>
      </c>
      <c r="BF383" s="44" t="str">
        <f>IF(AND(C383=Master!$H$8,B383="2012-2013",E383="",G383="NPN05"),H383,"")</f>
        <v/>
      </c>
      <c r="BG383" s="44" t="str">
        <f>IF(AND(C383=Master!$H$9,B383="2012-2013",E383&gt;1000,G383="NPN05"),H383,"")</f>
        <v/>
      </c>
      <c r="BH383" s="44" t="str">
        <f>IF(AND(C383=Master!$H$9,B383="2012-2013",E383="",G383="NPN05"),H383,"")</f>
        <v/>
      </c>
    </row>
    <row r="384" spans="1:60" x14ac:dyDescent="0.25">
      <c r="A384" s="3">
        <v>382</v>
      </c>
      <c r="B384" s="12"/>
      <c r="C384" s="12"/>
      <c r="D384" s="31"/>
      <c r="E384" s="4"/>
      <c r="F384" s="13"/>
      <c r="G384" s="21"/>
      <c r="H384" s="35"/>
      <c r="I384" s="21"/>
      <c r="J384" s="25" t="str">
        <f>IF(NOT(I384=""),INDEX(Master!$B$1:$B$46,MATCH(I384,Master!$A$1:$A$46,0)),"")</f>
        <v/>
      </c>
      <c r="K384" s="18"/>
      <c r="L384" s="86"/>
      <c r="M384" s="13"/>
      <c r="N384" s="13"/>
      <c r="O384" s="18"/>
      <c r="P384" s="35"/>
      <c r="Q384" s="21"/>
      <c r="R384" s="21"/>
      <c r="S384" s="13"/>
      <c r="T384" s="12"/>
      <c r="U384" s="12"/>
      <c r="V384" s="12"/>
      <c r="W384" s="14"/>
      <c r="Y384" s="42" t="str">
        <f>IF(AND(C384=Master!$H$1,B384="2012-2013",E384&gt;1000,G384="PLN03"),H384,"")</f>
        <v/>
      </c>
      <c r="Z384" s="42" t="str">
        <f>IF(AND(C384=Master!$H$1,B384="2012-2013",E384="",G384="PLN03"),H384,"")</f>
        <v/>
      </c>
      <c r="AA384" s="42" t="str">
        <f>IF(AND(C384=Master!$H$2,B384="2012-2013",E384&gt;1000,G384="PLN03"),H384,"")</f>
        <v/>
      </c>
      <c r="AB384" s="42" t="str">
        <f>IF(AND(C384=Master!$H$2,B384="2012-2013",E384="",G384="PLN03"),H384,"")</f>
        <v/>
      </c>
      <c r="AC384" s="42" t="str">
        <f>IF(AND(C384=Master!$H$3,B384="2012-2013",E384&gt;1000,G384="PLN03"),H384,"")</f>
        <v/>
      </c>
      <c r="AD384" s="42" t="str">
        <f>IF(AND(C384=Master!$H$3,B384="2012-2013",E384="",G384="PLN03"),H384,"")</f>
        <v/>
      </c>
      <c r="AE384" s="42" t="str">
        <f>IF(AND(C384=Master!$H$4,B384="2012-2013",E384&gt;1000,G384="PLN03"),H384,"")</f>
        <v/>
      </c>
      <c r="AF384" s="42" t="str">
        <f>IF(AND(C384=Master!$H$4,B384="2012-2013",E384="",G384="PLN03"),H384,"")</f>
        <v/>
      </c>
      <c r="AG384" s="42" t="str">
        <f>IF(AND(C384=Master!$H$5,B384="2012-2013",E384&gt;1000,G384="PLN03"),H384,"")</f>
        <v/>
      </c>
      <c r="AH384" s="42" t="str">
        <f>IF(AND(C384=Master!$H$5,B384="2012-2013",E384="",G384="PLN03"),H384,"")</f>
        <v/>
      </c>
      <c r="AI384" s="42" t="str">
        <f>IF(AND(C384=Master!$H$6,B384="2012-2013",E384&gt;1000,G384="PLN03"),H384,"")</f>
        <v/>
      </c>
      <c r="AJ384" s="42" t="str">
        <f>IF(AND(C384=Master!$H$6,B384="2012-2013",E384="",G384="PLN03"),H384,"")</f>
        <v/>
      </c>
      <c r="AK384" s="42" t="str">
        <f>IF(AND(C384=Master!$H$7,B384="2012-2013",E384&gt;1000,G384="PLN03"),H384,"")</f>
        <v/>
      </c>
      <c r="AL384" s="42" t="str">
        <f>IF(AND(C384=Master!$H$7,B384="2012-2013",E384="",G384="PLN03"),H384,"")</f>
        <v/>
      </c>
      <c r="AM384" s="42" t="str">
        <f>IF(AND(C384=Master!$H$8,B384="2012-2013",E384&gt;1000,G384="PLN03"),H384,"")</f>
        <v/>
      </c>
      <c r="AN384" s="42" t="str">
        <f>IF(AND(C384=Master!$H$8,B384="2012-2013",E384="",G384="PLN03"),H384,"")</f>
        <v/>
      </c>
      <c r="AO384" s="42" t="str">
        <f>IF(AND(C384=Master!$H$9,B384="2012-2013",E384&gt;1000,G384="PLN03"),H384,"")</f>
        <v/>
      </c>
      <c r="AP384" s="42" t="str">
        <f>IF(AND(C384=Master!$H$9,B384="2012-2013",E384="",G384="PLN03"),H384,"")</f>
        <v/>
      </c>
      <c r="AQ384" s="44" t="str">
        <f>IF(AND(C384=Master!$H$1,B384="2012-2013",E384&gt;1000,G384="NPN05"),H384,"")</f>
        <v/>
      </c>
      <c r="AR384" s="44" t="str">
        <f>IF(AND(C384=Master!$H$1,B384="2012-2013",E384="",G384="NPN05"),H384,"")</f>
        <v/>
      </c>
      <c r="AS384" s="44" t="str">
        <f>IF(AND(C384=Master!$H$2,B384="2012-2013",E384&gt;1000,G384="NPN05"),H384,"")</f>
        <v/>
      </c>
      <c r="AT384" s="44" t="str">
        <f>IF(AND(C384=Master!$H$2,B384="2012-2013",E384="",G384="NPN05"),H384,"")</f>
        <v/>
      </c>
      <c r="AU384" s="44" t="str">
        <f>IF(AND(C384=Master!$H$3,B384="2012-2013",E384&gt;1000,G384="NPN05"),H384,"")</f>
        <v/>
      </c>
      <c r="AV384" s="44" t="str">
        <f>IF(AND(C384=Master!$H$3,B384="2012-2013",E384="",G384="NPN05"),H384,"")</f>
        <v/>
      </c>
      <c r="AW384" s="44" t="str">
        <f>IF(AND(C384=Master!$H$4,B384="2012-2013",E384&gt;1000,G384="NPN05"),H384,"")</f>
        <v/>
      </c>
      <c r="AX384" s="44" t="str">
        <f>IF(AND(C384=Master!$H$4,B384="2012-2013",E384="",G384="NPN05"),H384,"")</f>
        <v/>
      </c>
      <c r="AY384" s="44" t="str">
        <f>IF(AND(C384=Master!$H$5,B384="2012-2013",E384&gt;1000,G384="NPN05"),H384,"")</f>
        <v/>
      </c>
      <c r="AZ384" s="44" t="str">
        <f>IF(AND(C384=Master!$H$5,B384="2012-2013",E384="",G384="NPN05"),H384,"")</f>
        <v/>
      </c>
      <c r="BA384" s="44" t="str">
        <f>IF(AND(C384=Master!$H$6,B384="2012-2013",E384&gt;1000,G384="NPN05"),H384,"")</f>
        <v/>
      </c>
      <c r="BB384" s="44" t="str">
        <f>IF(AND(C384=Master!$H$6,B384="2012-2013",E384="",G384="NPN05"),H384,"")</f>
        <v/>
      </c>
      <c r="BC384" s="44" t="str">
        <f>IF(AND(C384=Master!$H$7,B384="2012-2013",E384&gt;1000,G384="NPN05"),H384,"")</f>
        <v/>
      </c>
      <c r="BD384" s="44" t="str">
        <f>IF(AND(C384=Master!$H$7,B384="2012-2013",E384="",G384="NPN05"),H384,"")</f>
        <v/>
      </c>
      <c r="BE384" s="44" t="str">
        <f>IF(AND(C384=Master!$H$8,B384="2012-2013",E384&gt;1000,G384="NPN05"),H384,"")</f>
        <v/>
      </c>
      <c r="BF384" s="44" t="str">
        <f>IF(AND(C384=Master!$H$8,B384="2012-2013",E384="",G384="NPN05"),H384,"")</f>
        <v/>
      </c>
      <c r="BG384" s="44" t="str">
        <f>IF(AND(C384=Master!$H$9,B384="2012-2013",E384&gt;1000,G384="NPN05"),H384,"")</f>
        <v/>
      </c>
      <c r="BH384" s="44" t="str">
        <f>IF(AND(C384=Master!$H$9,B384="2012-2013",E384="",G384="NPN05"),H384,"")</f>
        <v/>
      </c>
    </row>
    <row r="385" spans="1:60" x14ac:dyDescent="0.25">
      <c r="A385" s="3">
        <v>383</v>
      </c>
      <c r="B385" s="12"/>
      <c r="C385" s="12"/>
      <c r="D385" s="31"/>
      <c r="E385" s="4"/>
      <c r="F385" s="13"/>
      <c r="G385" s="21"/>
      <c r="H385" s="35"/>
      <c r="I385" s="21"/>
      <c r="J385" s="25" t="str">
        <f>IF(NOT(I385=""),INDEX(Master!$B$1:$B$46,MATCH(I385,Master!$A$1:$A$46,0)),"")</f>
        <v/>
      </c>
      <c r="K385" s="18"/>
      <c r="L385" s="86"/>
      <c r="M385" s="13"/>
      <c r="N385" s="13"/>
      <c r="O385" s="18"/>
      <c r="P385" s="35"/>
      <c r="Q385" s="21"/>
      <c r="R385" s="21"/>
      <c r="S385" s="13"/>
      <c r="T385" s="12"/>
      <c r="U385" s="12"/>
      <c r="V385" s="12"/>
      <c r="W385" s="14"/>
      <c r="Y385" s="42" t="str">
        <f>IF(AND(C385=Master!$H$1,B385="2012-2013",E385&gt;1000,G385="PLN03"),H385,"")</f>
        <v/>
      </c>
      <c r="Z385" s="42" t="str">
        <f>IF(AND(C385=Master!$H$1,B385="2012-2013",E385="",G385="PLN03"),H385,"")</f>
        <v/>
      </c>
      <c r="AA385" s="42" t="str">
        <f>IF(AND(C385=Master!$H$2,B385="2012-2013",E385&gt;1000,G385="PLN03"),H385,"")</f>
        <v/>
      </c>
      <c r="AB385" s="42" t="str">
        <f>IF(AND(C385=Master!$H$2,B385="2012-2013",E385="",G385="PLN03"),H385,"")</f>
        <v/>
      </c>
      <c r="AC385" s="42" t="str">
        <f>IF(AND(C385=Master!$H$3,B385="2012-2013",E385&gt;1000,G385="PLN03"),H385,"")</f>
        <v/>
      </c>
      <c r="AD385" s="42" t="str">
        <f>IF(AND(C385=Master!$H$3,B385="2012-2013",E385="",G385="PLN03"),H385,"")</f>
        <v/>
      </c>
      <c r="AE385" s="42" t="str">
        <f>IF(AND(C385=Master!$H$4,B385="2012-2013",E385&gt;1000,G385="PLN03"),H385,"")</f>
        <v/>
      </c>
      <c r="AF385" s="42" t="str">
        <f>IF(AND(C385=Master!$H$4,B385="2012-2013",E385="",G385="PLN03"),H385,"")</f>
        <v/>
      </c>
      <c r="AG385" s="42" t="str">
        <f>IF(AND(C385=Master!$H$5,B385="2012-2013",E385&gt;1000,G385="PLN03"),H385,"")</f>
        <v/>
      </c>
      <c r="AH385" s="42" t="str">
        <f>IF(AND(C385=Master!$H$5,B385="2012-2013",E385="",G385="PLN03"),H385,"")</f>
        <v/>
      </c>
      <c r="AI385" s="42" t="str">
        <f>IF(AND(C385=Master!$H$6,B385="2012-2013",E385&gt;1000,G385="PLN03"),H385,"")</f>
        <v/>
      </c>
      <c r="AJ385" s="42" t="str">
        <f>IF(AND(C385=Master!$H$6,B385="2012-2013",E385="",G385="PLN03"),H385,"")</f>
        <v/>
      </c>
      <c r="AK385" s="42" t="str">
        <f>IF(AND(C385=Master!$H$7,B385="2012-2013",E385&gt;1000,G385="PLN03"),H385,"")</f>
        <v/>
      </c>
      <c r="AL385" s="42" t="str">
        <f>IF(AND(C385=Master!$H$7,B385="2012-2013",E385="",G385="PLN03"),H385,"")</f>
        <v/>
      </c>
      <c r="AM385" s="42" t="str">
        <f>IF(AND(C385=Master!$H$8,B385="2012-2013",E385&gt;1000,G385="PLN03"),H385,"")</f>
        <v/>
      </c>
      <c r="AN385" s="42" t="str">
        <f>IF(AND(C385=Master!$H$8,B385="2012-2013",E385="",G385="PLN03"),H385,"")</f>
        <v/>
      </c>
      <c r="AO385" s="42" t="str">
        <f>IF(AND(C385=Master!$H$9,B385="2012-2013",E385&gt;1000,G385="PLN03"),H385,"")</f>
        <v/>
      </c>
      <c r="AP385" s="42" t="str">
        <f>IF(AND(C385=Master!$H$9,B385="2012-2013",E385="",G385="PLN03"),H385,"")</f>
        <v/>
      </c>
      <c r="AQ385" s="44" t="str">
        <f>IF(AND(C385=Master!$H$1,B385="2012-2013",E385&gt;1000,G385="NPN05"),H385,"")</f>
        <v/>
      </c>
      <c r="AR385" s="44" t="str">
        <f>IF(AND(C385=Master!$H$1,B385="2012-2013",E385="",G385="NPN05"),H385,"")</f>
        <v/>
      </c>
      <c r="AS385" s="44" t="str">
        <f>IF(AND(C385=Master!$H$2,B385="2012-2013",E385&gt;1000,G385="NPN05"),H385,"")</f>
        <v/>
      </c>
      <c r="AT385" s="44" t="str">
        <f>IF(AND(C385=Master!$H$2,B385="2012-2013",E385="",G385="NPN05"),H385,"")</f>
        <v/>
      </c>
      <c r="AU385" s="44" t="str">
        <f>IF(AND(C385=Master!$H$3,B385="2012-2013",E385&gt;1000,G385="NPN05"),H385,"")</f>
        <v/>
      </c>
      <c r="AV385" s="44" t="str">
        <f>IF(AND(C385=Master!$H$3,B385="2012-2013",E385="",G385="NPN05"),H385,"")</f>
        <v/>
      </c>
      <c r="AW385" s="44" t="str">
        <f>IF(AND(C385=Master!$H$4,B385="2012-2013",E385&gt;1000,G385="NPN05"),H385,"")</f>
        <v/>
      </c>
      <c r="AX385" s="44" t="str">
        <f>IF(AND(C385=Master!$H$4,B385="2012-2013",E385="",G385="NPN05"),H385,"")</f>
        <v/>
      </c>
      <c r="AY385" s="44" t="str">
        <f>IF(AND(C385=Master!$H$5,B385="2012-2013",E385&gt;1000,G385="NPN05"),H385,"")</f>
        <v/>
      </c>
      <c r="AZ385" s="44" t="str">
        <f>IF(AND(C385=Master!$H$5,B385="2012-2013",E385="",G385="NPN05"),H385,"")</f>
        <v/>
      </c>
      <c r="BA385" s="44" t="str">
        <f>IF(AND(C385=Master!$H$6,B385="2012-2013",E385&gt;1000,G385="NPN05"),H385,"")</f>
        <v/>
      </c>
      <c r="BB385" s="44" t="str">
        <f>IF(AND(C385=Master!$H$6,B385="2012-2013",E385="",G385="NPN05"),H385,"")</f>
        <v/>
      </c>
      <c r="BC385" s="44" t="str">
        <f>IF(AND(C385=Master!$H$7,B385="2012-2013",E385&gt;1000,G385="NPN05"),H385,"")</f>
        <v/>
      </c>
      <c r="BD385" s="44" t="str">
        <f>IF(AND(C385=Master!$H$7,B385="2012-2013",E385="",G385="NPN05"),H385,"")</f>
        <v/>
      </c>
      <c r="BE385" s="44" t="str">
        <f>IF(AND(C385=Master!$H$8,B385="2012-2013",E385&gt;1000,G385="NPN05"),H385,"")</f>
        <v/>
      </c>
      <c r="BF385" s="44" t="str">
        <f>IF(AND(C385=Master!$H$8,B385="2012-2013",E385="",G385="NPN05"),H385,"")</f>
        <v/>
      </c>
      <c r="BG385" s="44" t="str">
        <f>IF(AND(C385=Master!$H$9,B385="2012-2013",E385&gt;1000,G385="NPN05"),H385,"")</f>
        <v/>
      </c>
      <c r="BH385" s="44" t="str">
        <f>IF(AND(C385=Master!$H$9,B385="2012-2013",E385="",G385="NPN05"),H385,"")</f>
        <v/>
      </c>
    </row>
    <row r="386" spans="1:60" x14ac:dyDescent="0.25">
      <c r="A386" s="3">
        <v>384</v>
      </c>
      <c r="B386" s="12"/>
      <c r="C386" s="12"/>
      <c r="D386" s="31"/>
      <c r="E386" s="4"/>
      <c r="F386" s="13"/>
      <c r="G386" s="21"/>
      <c r="H386" s="35"/>
      <c r="I386" s="21"/>
      <c r="J386" s="25" t="str">
        <f>IF(NOT(I386=""),INDEX(Master!$B$1:$B$46,MATCH(I386,Master!$A$1:$A$46,0)),"")</f>
        <v/>
      </c>
      <c r="K386" s="18"/>
      <c r="L386" s="86"/>
      <c r="M386" s="13"/>
      <c r="N386" s="13"/>
      <c r="O386" s="18"/>
      <c r="P386" s="35"/>
      <c r="Q386" s="21"/>
      <c r="R386" s="21"/>
      <c r="S386" s="13"/>
      <c r="T386" s="12"/>
      <c r="U386" s="12"/>
      <c r="V386" s="12"/>
      <c r="W386" s="14"/>
      <c r="Y386" s="42" t="str">
        <f>IF(AND(C386=Master!$H$1,B386="2012-2013",E386&gt;1000,G386="PLN03"),H386,"")</f>
        <v/>
      </c>
      <c r="Z386" s="42" t="str">
        <f>IF(AND(C386=Master!$H$1,B386="2012-2013",E386="",G386="PLN03"),H386,"")</f>
        <v/>
      </c>
      <c r="AA386" s="42" t="str">
        <f>IF(AND(C386=Master!$H$2,B386="2012-2013",E386&gt;1000,G386="PLN03"),H386,"")</f>
        <v/>
      </c>
      <c r="AB386" s="42" t="str">
        <f>IF(AND(C386=Master!$H$2,B386="2012-2013",E386="",G386="PLN03"),H386,"")</f>
        <v/>
      </c>
      <c r="AC386" s="42" t="str">
        <f>IF(AND(C386=Master!$H$3,B386="2012-2013",E386&gt;1000,G386="PLN03"),H386,"")</f>
        <v/>
      </c>
      <c r="AD386" s="42" t="str">
        <f>IF(AND(C386=Master!$H$3,B386="2012-2013",E386="",G386="PLN03"),H386,"")</f>
        <v/>
      </c>
      <c r="AE386" s="42" t="str">
        <f>IF(AND(C386=Master!$H$4,B386="2012-2013",E386&gt;1000,G386="PLN03"),H386,"")</f>
        <v/>
      </c>
      <c r="AF386" s="42" t="str">
        <f>IF(AND(C386=Master!$H$4,B386="2012-2013",E386="",G386="PLN03"),H386,"")</f>
        <v/>
      </c>
      <c r="AG386" s="42" t="str">
        <f>IF(AND(C386=Master!$H$5,B386="2012-2013",E386&gt;1000,G386="PLN03"),H386,"")</f>
        <v/>
      </c>
      <c r="AH386" s="42" t="str">
        <f>IF(AND(C386=Master!$H$5,B386="2012-2013",E386="",G386="PLN03"),H386,"")</f>
        <v/>
      </c>
      <c r="AI386" s="42" t="str">
        <f>IF(AND(C386=Master!$H$6,B386="2012-2013",E386&gt;1000,G386="PLN03"),H386,"")</f>
        <v/>
      </c>
      <c r="AJ386" s="42" t="str">
        <f>IF(AND(C386=Master!$H$6,B386="2012-2013",E386="",G386="PLN03"),H386,"")</f>
        <v/>
      </c>
      <c r="AK386" s="42" t="str">
        <f>IF(AND(C386=Master!$H$7,B386="2012-2013",E386&gt;1000,G386="PLN03"),H386,"")</f>
        <v/>
      </c>
      <c r="AL386" s="42" t="str">
        <f>IF(AND(C386=Master!$H$7,B386="2012-2013",E386="",G386="PLN03"),H386,"")</f>
        <v/>
      </c>
      <c r="AM386" s="42" t="str">
        <f>IF(AND(C386=Master!$H$8,B386="2012-2013",E386&gt;1000,G386="PLN03"),H386,"")</f>
        <v/>
      </c>
      <c r="AN386" s="42" t="str">
        <f>IF(AND(C386=Master!$H$8,B386="2012-2013",E386="",G386="PLN03"),H386,"")</f>
        <v/>
      </c>
      <c r="AO386" s="42" t="str">
        <f>IF(AND(C386=Master!$H$9,B386="2012-2013",E386&gt;1000,G386="PLN03"),H386,"")</f>
        <v/>
      </c>
      <c r="AP386" s="42" t="str">
        <f>IF(AND(C386=Master!$H$9,B386="2012-2013",E386="",G386="PLN03"),H386,"")</f>
        <v/>
      </c>
      <c r="AQ386" s="44" t="str">
        <f>IF(AND(C386=Master!$H$1,B386="2012-2013",E386&gt;1000,G386="NPN05"),H386,"")</f>
        <v/>
      </c>
      <c r="AR386" s="44" t="str">
        <f>IF(AND(C386=Master!$H$1,B386="2012-2013",E386="",G386="NPN05"),H386,"")</f>
        <v/>
      </c>
      <c r="AS386" s="44" t="str">
        <f>IF(AND(C386=Master!$H$2,B386="2012-2013",E386&gt;1000,G386="NPN05"),H386,"")</f>
        <v/>
      </c>
      <c r="AT386" s="44" t="str">
        <f>IF(AND(C386=Master!$H$2,B386="2012-2013",E386="",G386="NPN05"),H386,"")</f>
        <v/>
      </c>
      <c r="AU386" s="44" t="str">
        <f>IF(AND(C386=Master!$H$3,B386="2012-2013",E386&gt;1000,G386="NPN05"),H386,"")</f>
        <v/>
      </c>
      <c r="AV386" s="44" t="str">
        <f>IF(AND(C386=Master!$H$3,B386="2012-2013",E386="",G386="NPN05"),H386,"")</f>
        <v/>
      </c>
      <c r="AW386" s="44" t="str">
        <f>IF(AND(C386=Master!$H$4,B386="2012-2013",E386&gt;1000,G386="NPN05"),H386,"")</f>
        <v/>
      </c>
      <c r="AX386" s="44" t="str">
        <f>IF(AND(C386=Master!$H$4,B386="2012-2013",E386="",G386="NPN05"),H386,"")</f>
        <v/>
      </c>
      <c r="AY386" s="44" t="str">
        <f>IF(AND(C386=Master!$H$5,B386="2012-2013",E386&gt;1000,G386="NPN05"),H386,"")</f>
        <v/>
      </c>
      <c r="AZ386" s="44" t="str">
        <f>IF(AND(C386=Master!$H$5,B386="2012-2013",E386="",G386="NPN05"),H386,"")</f>
        <v/>
      </c>
      <c r="BA386" s="44" t="str">
        <f>IF(AND(C386=Master!$H$6,B386="2012-2013",E386&gt;1000,G386="NPN05"),H386,"")</f>
        <v/>
      </c>
      <c r="BB386" s="44" t="str">
        <f>IF(AND(C386=Master!$H$6,B386="2012-2013",E386="",G386="NPN05"),H386,"")</f>
        <v/>
      </c>
      <c r="BC386" s="44" t="str">
        <f>IF(AND(C386=Master!$H$7,B386="2012-2013",E386&gt;1000,G386="NPN05"),H386,"")</f>
        <v/>
      </c>
      <c r="BD386" s="44" t="str">
        <f>IF(AND(C386=Master!$H$7,B386="2012-2013",E386="",G386="NPN05"),H386,"")</f>
        <v/>
      </c>
      <c r="BE386" s="44" t="str">
        <f>IF(AND(C386=Master!$H$8,B386="2012-2013",E386&gt;1000,G386="NPN05"),H386,"")</f>
        <v/>
      </c>
      <c r="BF386" s="44" t="str">
        <f>IF(AND(C386=Master!$H$8,B386="2012-2013",E386="",G386="NPN05"),H386,"")</f>
        <v/>
      </c>
      <c r="BG386" s="44" t="str">
        <f>IF(AND(C386=Master!$H$9,B386="2012-2013",E386&gt;1000,G386="NPN05"),H386,"")</f>
        <v/>
      </c>
      <c r="BH386" s="44" t="str">
        <f>IF(AND(C386=Master!$H$9,B386="2012-2013",E386="",G386="NPN05"),H386,"")</f>
        <v/>
      </c>
    </row>
    <row r="387" spans="1:60" x14ac:dyDescent="0.25">
      <c r="A387" s="3">
        <v>385</v>
      </c>
      <c r="B387" s="12"/>
      <c r="C387" s="12"/>
      <c r="D387" s="31"/>
      <c r="E387" s="4"/>
      <c r="F387" s="13"/>
      <c r="G387" s="21"/>
      <c r="H387" s="35"/>
      <c r="I387" s="21"/>
      <c r="J387" s="25" t="str">
        <f>IF(NOT(I387=""),INDEX(Master!$B$1:$B$46,MATCH(I387,Master!$A$1:$A$46,0)),"")</f>
        <v/>
      </c>
      <c r="K387" s="18"/>
      <c r="L387" s="86"/>
      <c r="M387" s="13"/>
      <c r="N387" s="13"/>
      <c r="O387" s="18"/>
      <c r="P387" s="35"/>
      <c r="Q387" s="21"/>
      <c r="R387" s="21"/>
      <c r="S387" s="13"/>
      <c r="T387" s="12"/>
      <c r="U387" s="12"/>
      <c r="V387" s="12"/>
      <c r="W387" s="14"/>
      <c r="Y387" s="42" t="str">
        <f>IF(AND(C387=Master!$H$1,B387="2012-2013",E387&gt;1000,G387="PLN03"),H387,"")</f>
        <v/>
      </c>
      <c r="Z387" s="42" t="str">
        <f>IF(AND(C387=Master!$H$1,B387="2012-2013",E387="",G387="PLN03"),H387,"")</f>
        <v/>
      </c>
      <c r="AA387" s="42" t="str">
        <f>IF(AND(C387=Master!$H$2,B387="2012-2013",E387&gt;1000,G387="PLN03"),H387,"")</f>
        <v/>
      </c>
      <c r="AB387" s="42" t="str">
        <f>IF(AND(C387=Master!$H$2,B387="2012-2013",E387="",G387="PLN03"),H387,"")</f>
        <v/>
      </c>
      <c r="AC387" s="42" t="str">
        <f>IF(AND(C387=Master!$H$3,B387="2012-2013",E387&gt;1000,G387="PLN03"),H387,"")</f>
        <v/>
      </c>
      <c r="AD387" s="42" t="str">
        <f>IF(AND(C387=Master!$H$3,B387="2012-2013",E387="",G387="PLN03"),H387,"")</f>
        <v/>
      </c>
      <c r="AE387" s="42" t="str">
        <f>IF(AND(C387=Master!$H$4,B387="2012-2013",E387&gt;1000,G387="PLN03"),H387,"")</f>
        <v/>
      </c>
      <c r="AF387" s="42" t="str">
        <f>IF(AND(C387=Master!$H$4,B387="2012-2013",E387="",G387="PLN03"),H387,"")</f>
        <v/>
      </c>
      <c r="AG387" s="42" t="str">
        <f>IF(AND(C387=Master!$H$5,B387="2012-2013",E387&gt;1000,G387="PLN03"),H387,"")</f>
        <v/>
      </c>
      <c r="AH387" s="42" t="str">
        <f>IF(AND(C387=Master!$H$5,B387="2012-2013",E387="",G387="PLN03"),H387,"")</f>
        <v/>
      </c>
      <c r="AI387" s="42" t="str">
        <f>IF(AND(C387=Master!$H$6,B387="2012-2013",E387&gt;1000,G387="PLN03"),H387,"")</f>
        <v/>
      </c>
      <c r="AJ387" s="42" t="str">
        <f>IF(AND(C387=Master!$H$6,B387="2012-2013",E387="",G387="PLN03"),H387,"")</f>
        <v/>
      </c>
      <c r="AK387" s="42" t="str">
        <f>IF(AND(C387=Master!$H$7,B387="2012-2013",E387&gt;1000,G387="PLN03"),H387,"")</f>
        <v/>
      </c>
      <c r="AL387" s="42" t="str">
        <f>IF(AND(C387=Master!$H$7,B387="2012-2013",E387="",G387="PLN03"),H387,"")</f>
        <v/>
      </c>
      <c r="AM387" s="42" t="str">
        <f>IF(AND(C387=Master!$H$8,B387="2012-2013",E387&gt;1000,G387="PLN03"),H387,"")</f>
        <v/>
      </c>
      <c r="AN387" s="42" t="str">
        <f>IF(AND(C387=Master!$H$8,B387="2012-2013",E387="",G387="PLN03"),H387,"")</f>
        <v/>
      </c>
      <c r="AO387" s="42" t="str">
        <f>IF(AND(C387=Master!$H$9,B387="2012-2013",E387&gt;1000,G387="PLN03"),H387,"")</f>
        <v/>
      </c>
      <c r="AP387" s="42" t="str">
        <f>IF(AND(C387=Master!$H$9,B387="2012-2013",E387="",G387="PLN03"),H387,"")</f>
        <v/>
      </c>
      <c r="AQ387" s="44" t="str">
        <f>IF(AND(C387=Master!$H$1,B387="2012-2013",E387&gt;1000,G387="NPN05"),H387,"")</f>
        <v/>
      </c>
      <c r="AR387" s="44" t="str">
        <f>IF(AND(C387=Master!$H$1,B387="2012-2013",E387="",G387="NPN05"),H387,"")</f>
        <v/>
      </c>
      <c r="AS387" s="44" t="str">
        <f>IF(AND(C387=Master!$H$2,B387="2012-2013",E387&gt;1000,G387="NPN05"),H387,"")</f>
        <v/>
      </c>
      <c r="AT387" s="44" t="str">
        <f>IF(AND(C387=Master!$H$2,B387="2012-2013",E387="",G387="NPN05"),H387,"")</f>
        <v/>
      </c>
      <c r="AU387" s="44" t="str">
        <f>IF(AND(C387=Master!$H$3,B387="2012-2013",E387&gt;1000,G387="NPN05"),H387,"")</f>
        <v/>
      </c>
      <c r="AV387" s="44" t="str">
        <f>IF(AND(C387=Master!$H$3,B387="2012-2013",E387="",G387="NPN05"),H387,"")</f>
        <v/>
      </c>
      <c r="AW387" s="44" t="str">
        <f>IF(AND(C387=Master!$H$4,B387="2012-2013",E387&gt;1000,G387="NPN05"),H387,"")</f>
        <v/>
      </c>
      <c r="AX387" s="44" t="str">
        <f>IF(AND(C387=Master!$H$4,B387="2012-2013",E387="",G387="NPN05"),H387,"")</f>
        <v/>
      </c>
      <c r="AY387" s="44" t="str">
        <f>IF(AND(C387=Master!$H$5,B387="2012-2013",E387&gt;1000,G387="NPN05"),H387,"")</f>
        <v/>
      </c>
      <c r="AZ387" s="44" t="str">
        <f>IF(AND(C387=Master!$H$5,B387="2012-2013",E387="",G387="NPN05"),H387,"")</f>
        <v/>
      </c>
      <c r="BA387" s="44" t="str">
        <f>IF(AND(C387=Master!$H$6,B387="2012-2013",E387&gt;1000,G387="NPN05"),H387,"")</f>
        <v/>
      </c>
      <c r="BB387" s="44" t="str">
        <f>IF(AND(C387=Master!$H$6,B387="2012-2013",E387="",G387="NPN05"),H387,"")</f>
        <v/>
      </c>
      <c r="BC387" s="44" t="str">
        <f>IF(AND(C387=Master!$H$7,B387="2012-2013",E387&gt;1000,G387="NPN05"),H387,"")</f>
        <v/>
      </c>
      <c r="BD387" s="44" t="str">
        <f>IF(AND(C387=Master!$H$7,B387="2012-2013",E387="",G387="NPN05"),H387,"")</f>
        <v/>
      </c>
      <c r="BE387" s="44" t="str">
        <f>IF(AND(C387=Master!$H$8,B387="2012-2013",E387&gt;1000,G387="NPN05"),H387,"")</f>
        <v/>
      </c>
      <c r="BF387" s="44" t="str">
        <f>IF(AND(C387=Master!$H$8,B387="2012-2013",E387="",G387="NPN05"),H387,"")</f>
        <v/>
      </c>
      <c r="BG387" s="44" t="str">
        <f>IF(AND(C387=Master!$H$9,B387="2012-2013",E387&gt;1000,G387="NPN05"),H387,"")</f>
        <v/>
      </c>
      <c r="BH387" s="44" t="str">
        <f>IF(AND(C387=Master!$H$9,B387="2012-2013",E387="",G387="NPN05"),H387,"")</f>
        <v/>
      </c>
    </row>
    <row r="388" spans="1:60" x14ac:dyDescent="0.25">
      <c r="A388" s="3">
        <v>386</v>
      </c>
      <c r="B388" s="12"/>
      <c r="C388" s="12"/>
      <c r="D388" s="31"/>
      <c r="E388" s="4"/>
      <c r="F388" s="13"/>
      <c r="G388" s="21"/>
      <c r="H388" s="35"/>
      <c r="I388" s="21"/>
      <c r="J388" s="25" t="str">
        <f>IF(NOT(I388=""),INDEX(Master!$B$1:$B$46,MATCH(I388,Master!$A$1:$A$46,0)),"")</f>
        <v/>
      </c>
      <c r="K388" s="18"/>
      <c r="L388" s="86"/>
      <c r="M388" s="13"/>
      <c r="N388" s="13"/>
      <c r="O388" s="18"/>
      <c r="P388" s="35"/>
      <c r="Q388" s="21"/>
      <c r="R388" s="21"/>
      <c r="S388" s="13"/>
      <c r="T388" s="12"/>
      <c r="U388" s="12"/>
      <c r="V388" s="12"/>
      <c r="W388" s="14"/>
      <c r="Y388" s="42" t="str">
        <f>IF(AND(C388=Master!$H$1,B388="2012-2013",E388&gt;1000,G388="PLN03"),H388,"")</f>
        <v/>
      </c>
      <c r="Z388" s="42" t="str">
        <f>IF(AND(C388=Master!$H$1,B388="2012-2013",E388="",G388="PLN03"),H388,"")</f>
        <v/>
      </c>
      <c r="AA388" s="42" t="str">
        <f>IF(AND(C388=Master!$H$2,B388="2012-2013",E388&gt;1000,G388="PLN03"),H388,"")</f>
        <v/>
      </c>
      <c r="AB388" s="42" t="str">
        <f>IF(AND(C388=Master!$H$2,B388="2012-2013",E388="",G388="PLN03"),H388,"")</f>
        <v/>
      </c>
      <c r="AC388" s="42" t="str">
        <f>IF(AND(C388=Master!$H$3,B388="2012-2013",E388&gt;1000,G388="PLN03"),H388,"")</f>
        <v/>
      </c>
      <c r="AD388" s="42" t="str">
        <f>IF(AND(C388=Master!$H$3,B388="2012-2013",E388="",G388="PLN03"),H388,"")</f>
        <v/>
      </c>
      <c r="AE388" s="42" t="str">
        <f>IF(AND(C388=Master!$H$4,B388="2012-2013",E388&gt;1000,G388="PLN03"),H388,"")</f>
        <v/>
      </c>
      <c r="AF388" s="42" t="str">
        <f>IF(AND(C388=Master!$H$4,B388="2012-2013",E388="",G388="PLN03"),H388,"")</f>
        <v/>
      </c>
      <c r="AG388" s="42" t="str">
        <f>IF(AND(C388=Master!$H$5,B388="2012-2013",E388&gt;1000,G388="PLN03"),H388,"")</f>
        <v/>
      </c>
      <c r="AH388" s="42" t="str">
        <f>IF(AND(C388=Master!$H$5,B388="2012-2013",E388="",G388="PLN03"),H388,"")</f>
        <v/>
      </c>
      <c r="AI388" s="42" t="str">
        <f>IF(AND(C388=Master!$H$6,B388="2012-2013",E388&gt;1000,G388="PLN03"),H388,"")</f>
        <v/>
      </c>
      <c r="AJ388" s="42" t="str">
        <f>IF(AND(C388=Master!$H$6,B388="2012-2013",E388="",G388="PLN03"),H388,"")</f>
        <v/>
      </c>
      <c r="AK388" s="42" t="str">
        <f>IF(AND(C388=Master!$H$7,B388="2012-2013",E388&gt;1000,G388="PLN03"),H388,"")</f>
        <v/>
      </c>
      <c r="AL388" s="42" t="str">
        <f>IF(AND(C388=Master!$H$7,B388="2012-2013",E388="",G388="PLN03"),H388,"")</f>
        <v/>
      </c>
      <c r="AM388" s="42" t="str">
        <f>IF(AND(C388=Master!$H$8,B388="2012-2013",E388&gt;1000,G388="PLN03"),H388,"")</f>
        <v/>
      </c>
      <c r="AN388" s="42" t="str">
        <f>IF(AND(C388=Master!$H$8,B388="2012-2013",E388="",G388="PLN03"),H388,"")</f>
        <v/>
      </c>
      <c r="AO388" s="42" t="str">
        <f>IF(AND(C388=Master!$H$9,B388="2012-2013",E388&gt;1000,G388="PLN03"),H388,"")</f>
        <v/>
      </c>
      <c r="AP388" s="42" t="str">
        <f>IF(AND(C388=Master!$H$9,B388="2012-2013",E388="",G388="PLN03"),H388,"")</f>
        <v/>
      </c>
      <c r="AQ388" s="44" t="str">
        <f>IF(AND(C388=Master!$H$1,B388="2012-2013",E388&gt;1000,G388="NPN05"),H388,"")</f>
        <v/>
      </c>
      <c r="AR388" s="44" t="str">
        <f>IF(AND(C388=Master!$H$1,B388="2012-2013",E388="",G388="NPN05"),H388,"")</f>
        <v/>
      </c>
      <c r="AS388" s="44" t="str">
        <f>IF(AND(C388=Master!$H$2,B388="2012-2013",E388&gt;1000,G388="NPN05"),H388,"")</f>
        <v/>
      </c>
      <c r="AT388" s="44" t="str">
        <f>IF(AND(C388=Master!$H$2,B388="2012-2013",E388="",G388="NPN05"),H388,"")</f>
        <v/>
      </c>
      <c r="AU388" s="44" t="str">
        <f>IF(AND(C388=Master!$H$3,B388="2012-2013",E388&gt;1000,G388="NPN05"),H388,"")</f>
        <v/>
      </c>
      <c r="AV388" s="44" t="str">
        <f>IF(AND(C388=Master!$H$3,B388="2012-2013",E388="",G388="NPN05"),H388,"")</f>
        <v/>
      </c>
      <c r="AW388" s="44" t="str">
        <f>IF(AND(C388=Master!$H$4,B388="2012-2013",E388&gt;1000,G388="NPN05"),H388,"")</f>
        <v/>
      </c>
      <c r="AX388" s="44" t="str">
        <f>IF(AND(C388=Master!$H$4,B388="2012-2013",E388="",G388="NPN05"),H388,"")</f>
        <v/>
      </c>
      <c r="AY388" s="44" t="str">
        <f>IF(AND(C388=Master!$H$5,B388="2012-2013",E388&gt;1000,G388="NPN05"),H388,"")</f>
        <v/>
      </c>
      <c r="AZ388" s="44" t="str">
        <f>IF(AND(C388=Master!$H$5,B388="2012-2013",E388="",G388="NPN05"),H388,"")</f>
        <v/>
      </c>
      <c r="BA388" s="44" t="str">
        <f>IF(AND(C388=Master!$H$6,B388="2012-2013",E388&gt;1000,G388="NPN05"),H388,"")</f>
        <v/>
      </c>
      <c r="BB388" s="44" t="str">
        <f>IF(AND(C388=Master!$H$6,B388="2012-2013",E388="",G388="NPN05"),H388,"")</f>
        <v/>
      </c>
      <c r="BC388" s="44" t="str">
        <f>IF(AND(C388=Master!$H$7,B388="2012-2013",E388&gt;1000,G388="NPN05"),H388,"")</f>
        <v/>
      </c>
      <c r="BD388" s="44" t="str">
        <f>IF(AND(C388=Master!$H$7,B388="2012-2013",E388="",G388="NPN05"),H388,"")</f>
        <v/>
      </c>
      <c r="BE388" s="44" t="str">
        <f>IF(AND(C388=Master!$H$8,B388="2012-2013",E388&gt;1000,G388="NPN05"),H388,"")</f>
        <v/>
      </c>
      <c r="BF388" s="44" t="str">
        <f>IF(AND(C388=Master!$H$8,B388="2012-2013",E388="",G388="NPN05"),H388,"")</f>
        <v/>
      </c>
      <c r="BG388" s="44" t="str">
        <f>IF(AND(C388=Master!$H$9,B388="2012-2013",E388&gt;1000,G388="NPN05"),H388,"")</f>
        <v/>
      </c>
      <c r="BH388" s="44" t="str">
        <f>IF(AND(C388=Master!$H$9,B388="2012-2013",E388="",G388="NPN05"),H388,"")</f>
        <v/>
      </c>
    </row>
    <row r="389" spans="1:60" x14ac:dyDescent="0.25">
      <c r="A389" s="3">
        <v>387</v>
      </c>
      <c r="B389" s="12"/>
      <c r="C389" s="12"/>
      <c r="D389" s="31"/>
      <c r="E389" s="4"/>
      <c r="F389" s="13"/>
      <c r="G389" s="21"/>
      <c r="H389" s="35"/>
      <c r="I389" s="21"/>
      <c r="J389" s="25" t="str">
        <f>IF(NOT(I389=""),INDEX(Master!$B$1:$B$46,MATCH(I389,Master!$A$1:$A$46,0)),"")</f>
        <v/>
      </c>
      <c r="K389" s="18"/>
      <c r="L389" s="86"/>
      <c r="M389" s="13"/>
      <c r="N389" s="13"/>
      <c r="O389" s="18"/>
      <c r="P389" s="35"/>
      <c r="Q389" s="21"/>
      <c r="R389" s="21"/>
      <c r="S389" s="13"/>
      <c r="T389" s="12"/>
      <c r="U389" s="12"/>
      <c r="V389" s="12"/>
      <c r="W389" s="14"/>
      <c r="Y389" s="42" t="str">
        <f>IF(AND(C389=Master!$H$1,B389="2012-2013",E389&gt;1000,G389="PLN03"),H389,"")</f>
        <v/>
      </c>
      <c r="Z389" s="42" t="str">
        <f>IF(AND(C389=Master!$H$1,B389="2012-2013",E389="",G389="PLN03"),H389,"")</f>
        <v/>
      </c>
      <c r="AA389" s="42" t="str">
        <f>IF(AND(C389=Master!$H$2,B389="2012-2013",E389&gt;1000,G389="PLN03"),H389,"")</f>
        <v/>
      </c>
      <c r="AB389" s="42" t="str">
        <f>IF(AND(C389=Master!$H$2,B389="2012-2013",E389="",G389="PLN03"),H389,"")</f>
        <v/>
      </c>
      <c r="AC389" s="42" t="str">
        <f>IF(AND(C389=Master!$H$3,B389="2012-2013",E389&gt;1000,G389="PLN03"),H389,"")</f>
        <v/>
      </c>
      <c r="AD389" s="42" t="str">
        <f>IF(AND(C389=Master!$H$3,B389="2012-2013",E389="",G389="PLN03"),H389,"")</f>
        <v/>
      </c>
      <c r="AE389" s="42" t="str">
        <f>IF(AND(C389=Master!$H$4,B389="2012-2013",E389&gt;1000,G389="PLN03"),H389,"")</f>
        <v/>
      </c>
      <c r="AF389" s="42" t="str">
        <f>IF(AND(C389=Master!$H$4,B389="2012-2013",E389="",G389="PLN03"),H389,"")</f>
        <v/>
      </c>
      <c r="AG389" s="42" t="str">
        <f>IF(AND(C389=Master!$H$5,B389="2012-2013",E389&gt;1000,G389="PLN03"),H389,"")</f>
        <v/>
      </c>
      <c r="AH389" s="42" t="str">
        <f>IF(AND(C389=Master!$H$5,B389="2012-2013",E389="",G389="PLN03"),H389,"")</f>
        <v/>
      </c>
      <c r="AI389" s="42" t="str">
        <f>IF(AND(C389=Master!$H$6,B389="2012-2013",E389&gt;1000,G389="PLN03"),H389,"")</f>
        <v/>
      </c>
      <c r="AJ389" s="42" t="str">
        <f>IF(AND(C389=Master!$H$6,B389="2012-2013",E389="",G389="PLN03"),H389,"")</f>
        <v/>
      </c>
      <c r="AK389" s="42" t="str">
        <f>IF(AND(C389=Master!$H$7,B389="2012-2013",E389&gt;1000,G389="PLN03"),H389,"")</f>
        <v/>
      </c>
      <c r="AL389" s="42" t="str">
        <f>IF(AND(C389=Master!$H$7,B389="2012-2013",E389="",G389="PLN03"),H389,"")</f>
        <v/>
      </c>
      <c r="AM389" s="42" t="str">
        <f>IF(AND(C389=Master!$H$8,B389="2012-2013",E389&gt;1000,G389="PLN03"),H389,"")</f>
        <v/>
      </c>
      <c r="AN389" s="42" t="str">
        <f>IF(AND(C389=Master!$H$8,B389="2012-2013",E389="",G389="PLN03"),H389,"")</f>
        <v/>
      </c>
      <c r="AO389" s="42" t="str">
        <f>IF(AND(C389=Master!$H$9,B389="2012-2013",E389&gt;1000,G389="PLN03"),H389,"")</f>
        <v/>
      </c>
      <c r="AP389" s="42" t="str">
        <f>IF(AND(C389=Master!$H$9,B389="2012-2013",E389="",G389="PLN03"),H389,"")</f>
        <v/>
      </c>
      <c r="AQ389" s="44" t="str">
        <f>IF(AND(C389=Master!$H$1,B389="2012-2013",E389&gt;1000,G389="NPN05"),H389,"")</f>
        <v/>
      </c>
      <c r="AR389" s="44" t="str">
        <f>IF(AND(C389=Master!$H$1,B389="2012-2013",E389="",G389="NPN05"),H389,"")</f>
        <v/>
      </c>
      <c r="AS389" s="44" t="str">
        <f>IF(AND(C389=Master!$H$2,B389="2012-2013",E389&gt;1000,G389="NPN05"),H389,"")</f>
        <v/>
      </c>
      <c r="AT389" s="44" t="str">
        <f>IF(AND(C389=Master!$H$2,B389="2012-2013",E389="",G389="NPN05"),H389,"")</f>
        <v/>
      </c>
      <c r="AU389" s="44" t="str">
        <f>IF(AND(C389=Master!$H$3,B389="2012-2013",E389&gt;1000,G389="NPN05"),H389,"")</f>
        <v/>
      </c>
      <c r="AV389" s="44" t="str">
        <f>IF(AND(C389=Master!$H$3,B389="2012-2013",E389="",G389="NPN05"),H389,"")</f>
        <v/>
      </c>
      <c r="AW389" s="44" t="str">
        <f>IF(AND(C389=Master!$H$4,B389="2012-2013",E389&gt;1000,G389="NPN05"),H389,"")</f>
        <v/>
      </c>
      <c r="AX389" s="44" t="str">
        <f>IF(AND(C389=Master!$H$4,B389="2012-2013",E389="",G389="NPN05"),H389,"")</f>
        <v/>
      </c>
      <c r="AY389" s="44" t="str">
        <f>IF(AND(C389=Master!$H$5,B389="2012-2013",E389&gt;1000,G389="NPN05"),H389,"")</f>
        <v/>
      </c>
      <c r="AZ389" s="44" t="str">
        <f>IF(AND(C389=Master!$H$5,B389="2012-2013",E389="",G389="NPN05"),H389,"")</f>
        <v/>
      </c>
      <c r="BA389" s="44" t="str">
        <f>IF(AND(C389=Master!$H$6,B389="2012-2013",E389&gt;1000,G389="NPN05"),H389,"")</f>
        <v/>
      </c>
      <c r="BB389" s="44" t="str">
        <f>IF(AND(C389=Master!$H$6,B389="2012-2013",E389="",G389="NPN05"),H389,"")</f>
        <v/>
      </c>
      <c r="BC389" s="44" t="str">
        <f>IF(AND(C389=Master!$H$7,B389="2012-2013",E389&gt;1000,G389="NPN05"),H389,"")</f>
        <v/>
      </c>
      <c r="BD389" s="44" t="str">
        <f>IF(AND(C389=Master!$H$7,B389="2012-2013",E389="",G389="NPN05"),H389,"")</f>
        <v/>
      </c>
      <c r="BE389" s="44" t="str">
        <f>IF(AND(C389=Master!$H$8,B389="2012-2013",E389&gt;1000,G389="NPN05"),H389,"")</f>
        <v/>
      </c>
      <c r="BF389" s="44" t="str">
        <f>IF(AND(C389=Master!$H$8,B389="2012-2013",E389="",G389="NPN05"),H389,"")</f>
        <v/>
      </c>
      <c r="BG389" s="44" t="str">
        <f>IF(AND(C389=Master!$H$9,B389="2012-2013",E389&gt;1000,G389="NPN05"),H389,"")</f>
        <v/>
      </c>
      <c r="BH389" s="44" t="str">
        <f>IF(AND(C389=Master!$H$9,B389="2012-2013",E389="",G389="NPN05"),H389,"")</f>
        <v/>
      </c>
    </row>
    <row r="390" spans="1:60" x14ac:dyDescent="0.25">
      <c r="A390" s="3">
        <v>388</v>
      </c>
      <c r="B390" s="12"/>
      <c r="C390" s="12"/>
      <c r="D390" s="31"/>
      <c r="E390" s="4"/>
      <c r="F390" s="13"/>
      <c r="G390" s="21"/>
      <c r="H390" s="35"/>
      <c r="I390" s="21"/>
      <c r="J390" s="25" t="str">
        <f>IF(NOT(I390=""),INDEX(Master!$B$1:$B$46,MATCH(I390,Master!$A$1:$A$46,0)),"")</f>
        <v/>
      </c>
      <c r="K390" s="18"/>
      <c r="L390" s="86"/>
      <c r="M390" s="13"/>
      <c r="N390" s="13"/>
      <c r="O390" s="18"/>
      <c r="P390" s="35"/>
      <c r="Q390" s="21"/>
      <c r="R390" s="21"/>
      <c r="S390" s="13"/>
      <c r="T390" s="12"/>
      <c r="U390" s="12"/>
      <c r="V390" s="12"/>
      <c r="W390" s="14"/>
      <c r="Y390" s="42" t="str">
        <f>IF(AND(C390=Master!$H$1,B390="2012-2013",E390&gt;1000,G390="PLN03"),H390,"")</f>
        <v/>
      </c>
      <c r="Z390" s="42" t="str">
        <f>IF(AND(C390=Master!$H$1,B390="2012-2013",E390="",G390="PLN03"),H390,"")</f>
        <v/>
      </c>
      <c r="AA390" s="42" t="str">
        <f>IF(AND(C390=Master!$H$2,B390="2012-2013",E390&gt;1000,G390="PLN03"),H390,"")</f>
        <v/>
      </c>
      <c r="AB390" s="42" t="str">
        <f>IF(AND(C390=Master!$H$2,B390="2012-2013",E390="",G390="PLN03"),H390,"")</f>
        <v/>
      </c>
      <c r="AC390" s="42" t="str">
        <f>IF(AND(C390=Master!$H$3,B390="2012-2013",E390&gt;1000,G390="PLN03"),H390,"")</f>
        <v/>
      </c>
      <c r="AD390" s="42" t="str">
        <f>IF(AND(C390=Master!$H$3,B390="2012-2013",E390="",G390="PLN03"),H390,"")</f>
        <v/>
      </c>
      <c r="AE390" s="42" t="str">
        <f>IF(AND(C390=Master!$H$4,B390="2012-2013",E390&gt;1000,G390="PLN03"),H390,"")</f>
        <v/>
      </c>
      <c r="AF390" s="42" t="str">
        <f>IF(AND(C390=Master!$H$4,B390="2012-2013",E390="",G390="PLN03"),H390,"")</f>
        <v/>
      </c>
      <c r="AG390" s="42" t="str">
        <f>IF(AND(C390=Master!$H$5,B390="2012-2013",E390&gt;1000,G390="PLN03"),H390,"")</f>
        <v/>
      </c>
      <c r="AH390" s="42" t="str">
        <f>IF(AND(C390=Master!$H$5,B390="2012-2013",E390="",G390="PLN03"),H390,"")</f>
        <v/>
      </c>
      <c r="AI390" s="42" t="str">
        <f>IF(AND(C390=Master!$H$6,B390="2012-2013",E390&gt;1000,G390="PLN03"),H390,"")</f>
        <v/>
      </c>
      <c r="AJ390" s="42" t="str">
        <f>IF(AND(C390=Master!$H$6,B390="2012-2013",E390="",G390="PLN03"),H390,"")</f>
        <v/>
      </c>
      <c r="AK390" s="42" t="str">
        <f>IF(AND(C390=Master!$H$7,B390="2012-2013",E390&gt;1000,G390="PLN03"),H390,"")</f>
        <v/>
      </c>
      <c r="AL390" s="42" t="str">
        <f>IF(AND(C390=Master!$H$7,B390="2012-2013",E390="",G390="PLN03"),H390,"")</f>
        <v/>
      </c>
      <c r="AM390" s="42" t="str">
        <f>IF(AND(C390=Master!$H$8,B390="2012-2013",E390&gt;1000,G390="PLN03"),H390,"")</f>
        <v/>
      </c>
      <c r="AN390" s="42" t="str">
        <f>IF(AND(C390=Master!$H$8,B390="2012-2013",E390="",G390="PLN03"),H390,"")</f>
        <v/>
      </c>
      <c r="AO390" s="42" t="str">
        <f>IF(AND(C390=Master!$H$9,B390="2012-2013",E390&gt;1000,G390="PLN03"),H390,"")</f>
        <v/>
      </c>
      <c r="AP390" s="42" t="str">
        <f>IF(AND(C390=Master!$H$9,B390="2012-2013",E390="",G390="PLN03"),H390,"")</f>
        <v/>
      </c>
      <c r="AQ390" s="44" t="str">
        <f>IF(AND(C390=Master!$H$1,B390="2012-2013",E390&gt;1000,G390="NPN05"),H390,"")</f>
        <v/>
      </c>
      <c r="AR390" s="44" t="str">
        <f>IF(AND(C390=Master!$H$1,B390="2012-2013",E390="",G390="NPN05"),H390,"")</f>
        <v/>
      </c>
      <c r="AS390" s="44" t="str">
        <f>IF(AND(C390=Master!$H$2,B390="2012-2013",E390&gt;1000,G390="NPN05"),H390,"")</f>
        <v/>
      </c>
      <c r="AT390" s="44" t="str">
        <f>IF(AND(C390=Master!$H$2,B390="2012-2013",E390="",G390="NPN05"),H390,"")</f>
        <v/>
      </c>
      <c r="AU390" s="44" t="str">
        <f>IF(AND(C390=Master!$H$3,B390="2012-2013",E390&gt;1000,G390="NPN05"),H390,"")</f>
        <v/>
      </c>
      <c r="AV390" s="44" t="str">
        <f>IF(AND(C390=Master!$H$3,B390="2012-2013",E390="",G390="NPN05"),H390,"")</f>
        <v/>
      </c>
      <c r="AW390" s="44" t="str">
        <f>IF(AND(C390=Master!$H$4,B390="2012-2013",E390&gt;1000,G390="NPN05"),H390,"")</f>
        <v/>
      </c>
      <c r="AX390" s="44" t="str">
        <f>IF(AND(C390=Master!$H$4,B390="2012-2013",E390="",G390="NPN05"),H390,"")</f>
        <v/>
      </c>
      <c r="AY390" s="44" t="str">
        <f>IF(AND(C390=Master!$H$5,B390="2012-2013",E390&gt;1000,G390="NPN05"),H390,"")</f>
        <v/>
      </c>
      <c r="AZ390" s="44" t="str">
        <f>IF(AND(C390=Master!$H$5,B390="2012-2013",E390="",G390="NPN05"),H390,"")</f>
        <v/>
      </c>
      <c r="BA390" s="44" t="str">
        <f>IF(AND(C390=Master!$H$6,B390="2012-2013",E390&gt;1000,G390="NPN05"),H390,"")</f>
        <v/>
      </c>
      <c r="BB390" s="44" t="str">
        <f>IF(AND(C390=Master!$H$6,B390="2012-2013",E390="",G390="NPN05"),H390,"")</f>
        <v/>
      </c>
      <c r="BC390" s="44" t="str">
        <f>IF(AND(C390=Master!$H$7,B390="2012-2013",E390&gt;1000,G390="NPN05"),H390,"")</f>
        <v/>
      </c>
      <c r="BD390" s="44" t="str">
        <f>IF(AND(C390=Master!$H$7,B390="2012-2013",E390="",G390="NPN05"),H390,"")</f>
        <v/>
      </c>
      <c r="BE390" s="44" t="str">
        <f>IF(AND(C390=Master!$H$8,B390="2012-2013",E390&gt;1000,G390="NPN05"),H390,"")</f>
        <v/>
      </c>
      <c r="BF390" s="44" t="str">
        <f>IF(AND(C390=Master!$H$8,B390="2012-2013",E390="",G390="NPN05"),H390,"")</f>
        <v/>
      </c>
      <c r="BG390" s="44" t="str">
        <f>IF(AND(C390=Master!$H$9,B390="2012-2013",E390&gt;1000,G390="NPN05"),H390,"")</f>
        <v/>
      </c>
      <c r="BH390" s="44" t="str">
        <f>IF(AND(C390=Master!$H$9,B390="2012-2013",E390="",G390="NPN05"),H390,"")</f>
        <v/>
      </c>
    </row>
    <row r="391" spans="1:60" x14ac:dyDescent="0.25">
      <c r="A391" s="5">
        <v>389</v>
      </c>
      <c r="B391" s="12"/>
      <c r="C391" s="12"/>
      <c r="D391" s="31"/>
      <c r="E391" s="4"/>
      <c r="F391" s="13"/>
      <c r="G391" s="21"/>
      <c r="H391" s="35"/>
      <c r="I391" s="21"/>
      <c r="J391" s="25" t="str">
        <f>IF(NOT(I391=""),INDEX(Master!$B$1:$B$46,MATCH(I391,Master!$A$1:$A$46,0)),"")</f>
        <v/>
      </c>
      <c r="K391" s="18"/>
      <c r="L391" s="86"/>
      <c r="M391" s="13"/>
      <c r="N391" s="13"/>
      <c r="O391" s="18"/>
      <c r="P391" s="35"/>
      <c r="Q391" s="21"/>
      <c r="R391" s="21"/>
      <c r="S391" s="13"/>
      <c r="T391" s="12"/>
      <c r="U391" s="12"/>
      <c r="V391" s="12"/>
      <c r="W391" s="14"/>
      <c r="Y391" s="42" t="str">
        <f>IF(AND(C391=Master!$H$1,B391="2012-2013",E391&gt;1000,G391="PLN03"),H391,"")</f>
        <v/>
      </c>
      <c r="Z391" s="42" t="str">
        <f>IF(AND(C391=Master!$H$1,B391="2012-2013",E391="",G391="PLN03"),H391,"")</f>
        <v/>
      </c>
      <c r="AA391" s="42" t="str">
        <f>IF(AND(C391=Master!$H$2,B391="2012-2013",E391&gt;1000,G391="PLN03"),H391,"")</f>
        <v/>
      </c>
      <c r="AB391" s="42" t="str">
        <f>IF(AND(C391=Master!$H$2,B391="2012-2013",E391="",G391="PLN03"),H391,"")</f>
        <v/>
      </c>
      <c r="AC391" s="42" t="str">
        <f>IF(AND(C391=Master!$H$3,B391="2012-2013",E391&gt;1000,G391="PLN03"),H391,"")</f>
        <v/>
      </c>
      <c r="AD391" s="42" t="str">
        <f>IF(AND(C391=Master!$H$3,B391="2012-2013",E391="",G391="PLN03"),H391,"")</f>
        <v/>
      </c>
      <c r="AE391" s="42" t="str">
        <f>IF(AND(C391=Master!$H$4,B391="2012-2013",E391&gt;1000,G391="PLN03"),H391,"")</f>
        <v/>
      </c>
      <c r="AF391" s="42" t="str">
        <f>IF(AND(C391=Master!$H$4,B391="2012-2013",E391="",G391="PLN03"),H391,"")</f>
        <v/>
      </c>
      <c r="AG391" s="42" t="str">
        <f>IF(AND(C391=Master!$H$5,B391="2012-2013",E391&gt;1000,G391="PLN03"),H391,"")</f>
        <v/>
      </c>
      <c r="AH391" s="42" t="str">
        <f>IF(AND(C391=Master!$H$5,B391="2012-2013",E391="",G391="PLN03"),H391,"")</f>
        <v/>
      </c>
      <c r="AI391" s="42" t="str">
        <f>IF(AND(C391=Master!$H$6,B391="2012-2013",E391&gt;1000,G391="PLN03"),H391,"")</f>
        <v/>
      </c>
      <c r="AJ391" s="42" t="str">
        <f>IF(AND(C391=Master!$H$6,B391="2012-2013",E391="",G391="PLN03"),H391,"")</f>
        <v/>
      </c>
      <c r="AK391" s="42" t="str">
        <f>IF(AND(C391=Master!$H$7,B391="2012-2013",E391&gt;1000,G391="PLN03"),H391,"")</f>
        <v/>
      </c>
      <c r="AL391" s="42" t="str">
        <f>IF(AND(C391=Master!$H$7,B391="2012-2013",E391="",G391="PLN03"),H391,"")</f>
        <v/>
      </c>
      <c r="AM391" s="42" t="str">
        <f>IF(AND(C391=Master!$H$8,B391="2012-2013",E391&gt;1000,G391="PLN03"),H391,"")</f>
        <v/>
      </c>
      <c r="AN391" s="42" t="str">
        <f>IF(AND(C391=Master!$H$8,B391="2012-2013",E391="",G391="PLN03"),H391,"")</f>
        <v/>
      </c>
      <c r="AO391" s="42" t="str">
        <f>IF(AND(C391=Master!$H$9,B391="2012-2013",E391&gt;1000,G391="PLN03"),H391,"")</f>
        <v/>
      </c>
      <c r="AP391" s="42" t="str">
        <f>IF(AND(C391=Master!$H$9,B391="2012-2013",E391="",G391="PLN03"),H391,"")</f>
        <v/>
      </c>
      <c r="AQ391" s="44" t="str">
        <f>IF(AND(C391=Master!$H$1,B391="2012-2013",E391&gt;1000,G391="NPN05"),H391,"")</f>
        <v/>
      </c>
      <c r="AR391" s="44" t="str">
        <f>IF(AND(C391=Master!$H$1,B391="2012-2013",E391="",G391="NPN05"),H391,"")</f>
        <v/>
      </c>
      <c r="AS391" s="44" t="str">
        <f>IF(AND(C391=Master!$H$2,B391="2012-2013",E391&gt;1000,G391="NPN05"),H391,"")</f>
        <v/>
      </c>
      <c r="AT391" s="44" t="str">
        <f>IF(AND(C391=Master!$H$2,B391="2012-2013",E391="",G391="NPN05"),H391,"")</f>
        <v/>
      </c>
      <c r="AU391" s="44" t="str">
        <f>IF(AND(C391=Master!$H$3,B391="2012-2013",E391&gt;1000,G391="NPN05"),H391,"")</f>
        <v/>
      </c>
      <c r="AV391" s="44" t="str">
        <f>IF(AND(C391=Master!$H$3,B391="2012-2013",E391="",G391="NPN05"),H391,"")</f>
        <v/>
      </c>
      <c r="AW391" s="44" t="str">
        <f>IF(AND(C391=Master!$H$4,B391="2012-2013",E391&gt;1000,G391="NPN05"),H391,"")</f>
        <v/>
      </c>
      <c r="AX391" s="44" t="str">
        <f>IF(AND(C391=Master!$H$4,B391="2012-2013",E391="",G391="NPN05"),H391,"")</f>
        <v/>
      </c>
      <c r="AY391" s="44" t="str">
        <f>IF(AND(C391=Master!$H$5,B391="2012-2013",E391&gt;1000,G391="NPN05"),H391,"")</f>
        <v/>
      </c>
      <c r="AZ391" s="44" t="str">
        <f>IF(AND(C391=Master!$H$5,B391="2012-2013",E391="",G391="NPN05"),H391,"")</f>
        <v/>
      </c>
      <c r="BA391" s="44" t="str">
        <f>IF(AND(C391=Master!$H$6,B391="2012-2013",E391&gt;1000,G391="NPN05"),H391,"")</f>
        <v/>
      </c>
      <c r="BB391" s="44" t="str">
        <f>IF(AND(C391=Master!$H$6,B391="2012-2013",E391="",G391="NPN05"),H391,"")</f>
        <v/>
      </c>
      <c r="BC391" s="44" t="str">
        <f>IF(AND(C391=Master!$H$7,B391="2012-2013",E391&gt;1000,G391="NPN05"),H391,"")</f>
        <v/>
      </c>
      <c r="BD391" s="44" t="str">
        <f>IF(AND(C391=Master!$H$7,B391="2012-2013",E391="",G391="NPN05"),H391,"")</f>
        <v/>
      </c>
      <c r="BE391" s="44" t="str">
        <f>IF(AND(C391=Master!$H$8,B391="2012-2013",E391&gt;1000,G391="NPN05"),H391,"")</f>
        <v/>
      </c>
      <c r="BF391" s="44" t="str">
        <f>IF(AND(C391=Master!$H$8,B391="2012-2013",E391="",G391="NPN05"),H391,"")</f>
        <v/>
      </c>
      <c r="BG391" s="44" t="str">
        <f>IF(AND(C391=Master!$H$9,B391="2012-2013",E391&gt;1000,G391="NPN05"),H391,"")</f>
        <v/>
      </c>
      <c r="BH391" s="44" t="str">
        <f>IF(AND(C391=Master!$H$9,B391="2012-2013",E391="",G391="NPN05"),H391,"")</f>
        <v/>
      </c>
    </row>
    <row r="392" spans="1:60" x14ac:dyDescent="0.25">
      <c r="A392" s="3">
        <v>390</v>
      </c>
      <c r="B392" s="12"/>
      <c r="C392" s="12"/>
      <c r="D392" s="31"/>
      <c r="E392" s="4"/>
      <c r="F392" s="13"/>
      <c r="G392" s="21"/>
      <c r="H392" s="35"/>
      <c r="I392" s="21"/>
      <c r="J392" s="25" t="str">
        <f>IF(NOT(I392=""),INDEX(Master!$B$1:$B$46,MATCH(I392,Master!$A$1:$A$46,0)),"")</f>
        <v/>
      </c>
      <c r="K392" s="18"/>
      <c r="L392" s="86"/>
      <c r="M392" s="13"/>
      <c r="N392" s="13"/>
      <c r="O392" s="18"/>
      <c r="P392" s="35"/>
      <c r="Q392" s="21"/>
      <c r="R392" s="21"/>
      <c r="S392" s="13"/>
      <c r="T392" s="12"/>
      <c r="U392" s="12"/>
      <c r="V392" s="12"/>
      <c r="W392" s="14"/>
      <c r="Y392" s="42" t="str">
        <f>IF(AND(C392=Master!$H$1,B392="2012-2013",E392&gt;1000,G392="PLN03"),H392,"")</f>
        <v/>
      </c>
      <c r="Z392" s="42" t="str">
        <f>IF(AND(C392=Master!$H$1,B392="2012-2013",E392="",G392="PLN03"),H392,"")</f>
        <v/>
      </c>
      <c r="AA392" s="42" t="str">
        <f>IF(AND(C392=Master!$H$2,B392="2012-2013",E392&gt;1000,G392="PLN03"),H392,"")</f>
        <v/>
      </c>
      <c r="AB392" s="42" t="str">
        <f>IF(AND(C392=Master!$H$2,B392="2012-2013",E392="",G392="PLN03"),H392,"")</f>
        <v/>
      </c>
      <c r="AC392" s="42" t="str">
        <f>IF(AND(C392=Master!$H$3,B392="2012-2013",E392&gt;1000,G392="PLN03"),H392,"")</f>
        <v/>
      </c>
      <c r="AD392" s="42" t="str">
        <f>IF(AND(C392=Master!$H$3,B392="2012-2013",E392="",G392="PLN03"),H392,"")</f>
        <v/>
      </c>
      <c r="AE392" s="42" t="str">
        <f>IF(AND(C392=Master!$H$4,B392="2012-2013",E392&gt;1000,G392="PLN03"),H392,"")</f>
        <v/>
      </c>
      <c r="AF392" s="42" t="str">
        <f>IF(AND(C392=Master!$H$4,B392="2012-2013",E392="",G392="PLN03"),H392,"")</f>
        <v/>
      </c>
      <c r="AG392" s="42" t="str">
        <f>IF(AND(C392=Master!$H$5,B392="2012-2013",E392&gt;1000,G392="PLN03"),H392,"")</f>
        <v/>
      </c>
      <c r="AH392" s="42" t="str">
        <f>IF(AND(C392=Master!$H$5,B392="2012-2013",E392="",G392="PLN03"),H392,"")</f>
        <v/>
      </c>
      <c r="AI392" s="42" t="str">
        <f>IF(AND(C392=Master!$H$6,B392="2012-2013",E392&gt;1000,G392="PLN03"),H392,"")</f>
        <v/>
      </c>
      <c r="AJ392" s="42" t="str">
        <f>IF(AND(C392=Master!$H$6,B392="2012-2013",E392="",G392="PLN03"),H392,"")</f>
        <v/>
      </c>
      <c r="AK392" s="42" t="str">
        <f>IF(AND(C392=Master!$H$7,B392="2012-2013",E392&gt;1000,G392="PLN03"),H392,"")</f>
        <v/>
      </c>
      <c r="AL392" s="42" t="str">
        <f>IF(AND(C392=Master!$H$7,B392="2012-2013",E392="",G392="PLN03"),H392,"")</f>
        <v/>
      </c>
      <c r="AM392" s="42" t="str">
        <f>IF(AND(C392=Master!$H$8,B392="2012-2013",E392&gt;1000,G392="PLN03"),H392,"")</f>
        <v/>
      </c>
      <c r="AN392" s="42" t="str">
        <f>IF(AND(C392=Master!$H$8,B392="2012-2013",E392="",G392="PLN03"),H392,"")</f>
        <v/>
      </c>
      <c r="AO392" s="42" t="str">
        <f>IF(AND(C392=Master!$H$9,B392="2012-2013",E392&gt;1000,G392="PLN03"),H392,"")</f>
        <v/>
      </c>
      <c r="AP392" s="42" t="str">
        <f>IF(AND(C392=Master!$H$9,B392="2012-2013",E392="",G392="PLN03"),H392,"")</f>
        <v/>
      </c>
      <c r="AQ392" s="44" t="str">
        <f>IF(AND(C392=Master!$H$1,B392="2012-2013",E392&gt;1000,G392="NPN05"),H392,"")</f>
        <v/>
      </c>
      <c r="AR392" s="44" t="str">
        <f>IF(AND(C392=Master!$H$1,B392="2012-2013",E392="",G392="NPN05"),H392,"")</f>
        <v/>
      </c>
      <c r="AS392" s="44" t="str">
        <f>IF(AND(C392=Master!$H$2,B392="2012-2013",E392&gt;1000,G392="NPN05"),H392,"")</f>
        <v/>
      </c>
      <c r="AT392" s="44" t="str">
        <f>IF(AND(C392=Master!$H$2,B392="2012-2013",E392="",G392="NPN05"),H392,"")</f>
        <v/>
      </c>
      <c r="AU392" s="44" t="str">
        <f>IF(AND(C392=Master!$H$3,B392="2012-2013",E392&gt;1000,G392="NPN05"),H392,"")</f>
        <v/>
      </c>
      <c r="AV392" s="44" t="str">
        <f>IF(AND(C392=Master!$H$3,B392="2012-2013",E392="",G392="NPN05"),H392,"")</f>
        <v/>
      </c>
      <c r="AW392" s="44" t="str">
        <f>IF(AND(C392=Master!$H$4,B392="2012-2013",E392&gt;1000,G392="NPN05"),H392,"")</f>
        <v/>
      </c>
      <c r="AX392" s="44" t="str">
        <f>IF(AND(C392=Master!$H$4,B392="2012-2013",E392="",G392="NPN05"),H392,"")</f>
        <v/>
      </c>
      <c r="AY392" s="44" t="str">
        <f>IF(AND(C392=Master!$H$5,B392="2012-2013",E392&gt;1000,G392="NPN05"),H392,"")</f>
        <v/>
      </c>
      <c r="AZ392" s="44" t="str">
        <f>IF(AND(C392=Master!$H$5,B392="2012-2013",E392="",G392="NPN05"),H392,"")</f>
        <v/>
      </c>
      <c r="BA392" s="44" t="str">
        <f>IF(AND(C392=Master!$H$6,B392="2012-2013",E392&gt;1000,G392="NPN05"),H392,"")</f>
        <v/>
      </c>
      <c r="BB392" s="44" t="str">
        <f>IF(AND(C392=Master!$H$6,B392="2012-2013",E392="",G392="NPN05"),H392,"")</f>
        <v/>
      </c>
      <c r="BC392" s="44" t="str">
        <f>IF(AND(C392=Master!$H$7,B392="2012-2013",E392&gt;1000,G392="NPN05"),H392,"")</f>
        <v/>
      </c>
      <c r="BD392" s="44" t="str">
        <f>IF(AND(C392=Master!$H$7,B392="2012-2013",E392="",G392="NPN05"),H392,"")</f>
        <v/>
      </c>
      <c r="BE392" s="44" t="str">
        <f>IF(AND(C392=Master!$H$8,B392="2012-2013",E392&gt;1000,G392="NPN05"),H392,"")</f>
        <v/>
      </c>
      <c r="BF392" s="44" t="str">
        <f>IF(AND(C392=Master!$H$8,B392="2012-2013",E392="",G392="NPN05"),H392,"")</f>
        <v/>
      </c>
      <c r="BG392" s="44" t="str">
        <f>IF(AND(C392=Master!$H$9,B392="2012-2013",E392&gt;1000,G392="NPN05"),H392,"")</f>
        <v/>
      </c>
      <c r="BH392" s="44" t="str">
        <f>IF(AND(C392=Master!$H$9,B392="2012-2013",E392="",G392="NPN05"),H392,"")</f>
        <v/>
      </c>
    </row>
    <row r="393" spans="1:60" x14ac:dyDescent="0.25">
      <c r="A393" s="3">
        <v>391</v>
      </c>
      <c r="B393" s="12"/>
      <c r="C393" s="12"/>
      <c r="D393" s="31"/>
      <c r="E393" s="4"/>
      <c r="F393" s="13"/>
      <c r="G393" s="21"/>
      <c r="H393" s="35"/>
      <c r="I393" s="21"/>
      <c r="J393" s="25" t="str">
        <f>IF(NOT(I393=""),INDEX(Master!$B$1:$B$46,MATCH(I393,Master!$A$1:$A$46,0)),"")</f>
        <v/>
      </c>
      <c r="K393" s="18"/>
      <c r="L393" s="86"/>
      <c r="M393" s="13"/>
      <c r="N393" s="13"/>
      <c r="O393" s="18"/>
      <c r="P393" s="35"/>
      <c r="Q393" s="21"/>
      <c r="R393" s="21"/>
      <c r="S393" s="13"/>
      <c r="T393" s="12"/>
      <c r="U393" s="12"/>
      <c r="V393" s="12"/>
      <c r="W393" s="14"/>
      <c r="Y393" s="42" t="str">
        <f>IF(AND(C393=Master!$H$1,B393="2012-2013",E393&gt;1000,G393="PLN03"),H393,"")</f>
        <v/>
      </c>
      <c r="Z393" s="42" t="str">
        <f>IF(AND(C393=Master!$H$1,B393="2012-2013",E393="",G393="PLN03"),H393,"")</f>
        <v/>
      </c>
      <c r="AA393" s="42" t="str">
        <f>IF(AND(C393=Master!$H$2,B393="2012-2013",E393&gt;1000,G393="PLN03"),H393,"")</f>
        <v/>
      </c>
      <c r="AB393" s="42" t="str">
        <f>IF(AND(C393=Master!$H$2,B393="2012-2013",E393="",G393="PLN03"),H393,"")</f>
        <v/>
      </c>
      <c r="AC393" s="42" t="str">
        <f>IF(AND(C393=Master!$H$3,B393="2012-2013",E393&gt;1000,G393="PLN03"),H393,"")</f>
        <v/>
      </c>
      <c r="AD393" s="42" t="str">
        <f>IF(AND(C393=Master!$H$3,B393="2012-2013",E393="",G393="PLN03"),H393,"")</f>
        <v/>
      </c>
      <c r="AE393" s="42" t="str">
        <f>IF(AND(C393=Master!$H$4,B393="2012-2013",E393&gt;1000,G393="PLN03"),H393,"")</f>
        <v/>
      </c>
      <c r="AF393" s="42" t="str">
        <f>IF(AND(C393=Master!$H$4,B393="2012-2013",E393="",G393="PLN03"),H393,"")</f>
        <v/>
      </c>
      <c r="AG393" s="42" t="str">
        <f>IF(AND(C393=Master!$H$5,B393="2012-2013",E393&gt;1000,G393="PLN03"),H393,"")</f>
        <v/>
      </c>
      <c r="AH393" s="42" t="str">
        <f>IF(AND(C393=Master!$H$5,B393="2012-2013",E393="",G393="PLN03"),H393,"")</f>
        <v/>
      </c>
      <c r="AI393" s="42" t="str">
        <f>IF(AND(C393=Master!$H$6,B393="2012-2013",E393&gt;1000,G393="PLN03"),H393,"")</f>
        <v/>
      </c>
      <c r="AJ393" s="42" t="str">
        <f>IF(AND(C393=Master!$H$6,B393="2012-2013",E393="",G393="PLN03"),H393,"")</f>
        <v/>
      </c>
      <c r="AK393" s="42" t="str">
        <f>IF(AND(C393=Master!$H$7,B393="2012-2013",E393&gt;1000,G393="PLN03"),H393,"")</f>
        <v/>
      </c>
      <c r="AL393" s="42" t="str">
        <f>IF(AND(C393=Master!$H$7,B393="2012-2013",E393="",G393="PLN03"),H393,"")</f>
        <v/>
      </c>
      <c r="AM393" s="42" t="str">
        <f>IF(AND(C393=Master!$H$8,B393="2012-2013",E393&gt;1000,G393="PLN03"),H393,"")</f>
        <v/>
      </c>
      <c r="AN393" s="42" t="str">
        <f>IF(AND(C393=Master!$H$8,B393="2012-2013",E393="",G393="PLN03"),H393,"")</f>
        <v/>
      </c>
      <c r="AO393" s="42" t="str">
        <f>IF(AND(C393=Master!$H$9,B393="2012-2013",E393&gt;1000,G393="PLN03"),H393,"")</f>
        <v/>
      </c>
      <c r="AP393" s="42" t="str">
        <f>IF(AND(C393=Master!$H$9,B393="2012-2013",E393="",G393="PLN03"),H393,"")</f>
        <v/>
      </c>
      <c r="AQ393" s="44" t="str">
        <f>IF(AND(C393=Master!$H$1,B393="2012-2013",E393&gt;1000,G393="NPN05"),H393,"")</f>
        <v/>
      </c>
      <c r="AR393" s="44" t="str">
        <f>IF(AND(C393=Master!$H$1,B393="2012-2013",E393="",G393="NPN05"),H393,"")</f>
        <v/>
      </c>
      <c r="AS393" s="44" t="str">
        <f>IF(AND(C393=Master!$H$2,B393="2012-2013",E393&gt;1000,G393="NPN05"),H393,"")</f>
        <v/>
      </c>
      <c r="AT393" s="44" t="str">
        <f>IF(AND(C393=Master!$H$2,B393="2012-2013",E393="",G393="NPN05"),H393,"")</f>
        <v/>
      </c>
      <c r="AU393" s="44" t="str">
        <f>IF(AND(C393=Master!$H$3,B393="2012-2013",E393&gt;1000,G393="NPN05"),H393,"")</f>
        <v/>
      </c>
      <c r="AV393" s="44" t="str">
        <f>IF(AND(C393=Master!$H$3,B393="2012-2013",E393="",G393="NPN05"),H393,"")</f>
        <v/>
      </c>
      <c r="AW393" s="44" t="str">
        <f>IF(AND(C393=Master!$H$4,B393="2012-2013",E393&gt;1000,G393="NPN05"),H393,"")</f>
        <v/>
      </c>
      <c r="AX393" s="44" t="str">
        <f>IF(AND(C393=Master!$H$4,B393="2012-2013",E393="",G393="NPN05"),H393,"")</f>
        <v/>
      </c>
      <c r="AY393" s="44" t="str">
        <f>IF(AND(C393=Master!$H$5,B393="2012-2013",E393&gt;1000,G393="NPN05"),H393,"")</f>
        <v/>
      </c>
      <c r="AZ393" s="44" t="str">
        <f>IF(AND(C393=Master!$H$5,B393="2012-2013",E393="",G393="NPN05"),H393,"")</f>
        <v/>
      </c>
      <c r="BA393" s="44" t="str">
        <f>IF(AND(C393=Master!$H$6,B393="2012-2013",E393&gt;1000,G393="NPN05"),H393,"")</f>
        <v/>
      </c>
      <c r="BB393" s="44" t="str">
        <f>IF(AND(C393=Master!$H$6,B393="2012-2013",E393="",G393="NPN05"),H393,"")</f>
        <v/>
      </c>
      <c r="BC393" s="44" t="str">
        <f>IF(AND(C393=Master!$H$7,B393="2012-2013",E393&gt;1000,G393="NPN05"),H393,"")</f>
        <v/>
      </c>
      <c r="BD393" s="44" t="str">
        <f>IF(AND(C393=Master!$H$7,B393="2012-2013",E393="",G393="NPN05"),H393,"")</f>
        <v/>
      </c>
      <c r="BE393" s="44" t="str">
        <f>IF(AND(C393=Master!$H$8,B393="2012-2013",E393&gt;1000,G393="NPN05"),H393,"")</f>
        <v/>
      </c>
      <c r="BF393" s="44" t="str">
        <f>IF(AND(C393=Master!$H$8,B393="2012-2013",E393="",G393="NPN05"),H393,"")</f>
        <v/>
      </c>
      <c r="BG393" s="44" t="str">
        <f>IF(AND(C393=Master!$H$9,B393="2012-2013",E393&gt;1000,G393="NPN05"),H393,"")</f>
        <v/>
      </c>
      <c r="BH393" s="44" t="str">
        <f>IF(AND(C393=Master!$H$9,B393="2012-2013",E393="",G393="NPN05"),H393,"")</f>
        <v/>
      </c>
    </row>
    <row r="394" spans="1:60" x14ac:dyDescent="0.25">
      <c r="A394" s="3">
        <v>392</v>
      </c>
      <c r="B394" s="12"/>
      <c r="C394" s="12"/>
      <c r="D394" s="31"/>
      <c r="E394" s="4"/>
      <c r="F394" s="13"/>
      <c r="G394" s="21"/>
      <c r="H394" s="35"/>
      <c r="I394" s="21"/>
      <c r="J394" s="25" t="str">
        <f>IF(NOT(I394=""),INDEX(Master!$B$1:$B$46,MATCH(I394,Master!$A$1:$A$46,0)),"")</f>
        <v/>
      </c>
      <c r="K394" s="18"/>
      <c r="L394" s="86"/>
      <c r="M394" s="13"/>
      <c r="N394" s="13"/>
      <c r="O394" s="18"/>
      <c r="P394" s="35"/>
      <c r="Q394" s="21"/>
      <c r="R394" s="21"/>
      <c r="S394" s="13"/>
      <c r="T394" s="12"/>
      <c r="U394" s="12"/>
      <c r="V394" s="12"/>
      <c r="W394" s="14"/>
      <c r="Y394" s="42" t="str">
        <f>IF(AND(C394=Master!$H$1,B394="2012-2013",E394&gt;1000,G394="PLN03"),H394,"")</f>
        <v/>
      </c>
      <c r="Z394" s="42" t="str">
        <f>IF(AND(C394=Master!$H$1,B394="2012-2013",E394="",G394="PLN03"),H394,"")</f>
        <v/>
      </c>
      <c r="AA394" s="42" t="str">
        <f>IF(AND(C394=Master!$H$2,B394="2012-2013",E394&gt;1000,G394="PLN03"),H394,"")</f>
        <v/>
      </c>
      <c r="AB394" s="42" t="str">
        <f>IF(AND(C394=Master!$H$2,B394="2012-2013",E394="",G394="PLN03"),H394,"")</f>
        <v/>
      </c>
      <c r="AC394" s="42" t="str">
        <f>IF(AND(C394=Master!$H$3,B394="2012-2013",E394&gt;1000,G394="PLN03"),H394,"")</f>
        <v/>
      </c>
      <c r="AD394" s="42" t="str">
        <f>IF(AND(C394=Master!$H$3,B394="2012-2013",E394="",G394="PLN03"),H394,"")</f>
        <v/>
      </c>
      <c r="AE394" s="42" t="str">
        <f>IF(AND(C394=Master!$H$4,B394="2012-2013",E394&gt;1000,G394="PLN03"),H394,"")</f>
        <v/>
      </c>
      <c r="AF394" s="42" t="str">
        <f>IF(AND(C394=Master!$H$4,B394="2012-2013",E394="",G394="PLN03"),H394,"")</f>
        <v/>
      </c>
      <c r="AG394" s="42" t="str">
        <f>IF(AND(C394=Master!$H$5,B394="2012-2013",E394&gt;1000,G394="PLN03"),H394,"")</f>
        <v/>
      </c>
      <c r="AH394" s="42" t="str">
        <f>IF(AND(C394=Master!$H$5,B394="2012-2013",E394="",G394="PLN03"),H394,"")</f>
        <v/>
      </c>
      <c r="AI394" s="42" t="str">
        <f>IF(AND(C394=Master!$H$6,B394="2012-2013",E394&gt;1000,G394="PLN03"),H394,"")</f>
        <v/>
      </c>
      <c r="AJ394" s="42" t="str">
        <f>IF(AND(C394=Master!$H$6,B394="2012-2013",E394="",G394="PLN03"),H394,"")</f>
        <v/>
      </c>
      <c r="AK394" s="42" t="str">
        <f>IF(AND(C394=Master!$H$7,B394="2012-2013",E394&gt;1000,G394="PLN03"),H394,"")</f>
        <v/>
      </c>
      <c r="AL394" s="42" t="str">
        <f>IF(AND(C394=Master!$H$7,B394="2012-2013",E394="",G394="PLN03"),H394,"")</f>
        <v/>
      </c>
      <c r="AM394" s="42" t="str">
        <f>IF(AND(C394=Master!$H$8,B394="2012-2013",E394&gt;1000,G394="PLN03"),H394,"")</f>
        <v/>
      </c>
      <c r="AN394" s="42" t="str">
        <f>IF(AND(C394=Master!$H$8,B394="2012-2013",E394="",G394="PLN03"),H394,"")</f>
        <v/>
      </c>
      <c r="AO394" s="42" t="str">
        <f>IF(AND(C394=Master!$H$9,B394="2012-2013",E394&gt;1000,G394="PLN03"),H394,"")</f>
        <v/>
      </c>
      <c r="AP394" s="42" t="str">
        <f>IF(AND(C394=Master!$H$9,B394="2012-2013",E394="",G394="PLN03"),H394,"")</f>
        <v/>
      </c>
      <c r="AQ394" s="44" t="str">
        <f>IF(AND(C394=Master!$H$1,B394="2012-2013",E394&gt;1000,G394="NPN05"),H394,"")</f>
        <v/>
      </c>
      <c r="AR394" s="44" t="str">
        <f>IF(AND(C394=Master!$H$1,B394="2012-2013",E394="",G394="NPN05"),H394,"")</f>
        <v/>
      </c>
      <c r="AS394" s="44" t="str">
        <f>IF(AND(C394=Master!$H$2,B394="2012-2013",E394&gt;1000,G394="NPN05"),H394,"")</f>
        <v/>
      </c>
      <c r="AT394" s="44" t="str">
        <f>IF(AND(C394=Master!$H$2,B394="2012-2013",E394="",G394="NPN05"),H394,"")</f>
        <v/>
      </c>
      <c r="AU394" s="44" t="str">
        <f>IF(AND(C394=Master!$H$3,B394="2012-2013",E394&gt;1000,G394="NPN05"),H394,"")</f>
        <v/>
      </c>
      <c r="AV394" s="44" t="str">
        <f>IF(AND(C394=Master!$H$3,B394="2012-2013",E394="",G394="NPN05"),H394,"")</f>
        <v/>
      </c>
      <c r="AW394" s="44" t="str">
        <f>IF(AND(C394=Master!$H$4,B394="2012-2013",E394&gt;1000,G394="NPN05"),H394,"")</f>
        <v/>
      </c>
      <c r="AX394" s="44" t="str">
        <f>IF(AND(C394=Master!$H$4,B394="2012-2013",E394="",G394="NPN05"),H394,"")</f>
        <v/>
      </c>
      <c r="AY394" s="44" t="str">
        <f>IF(AND(C394=Master!$H$5,B394="2012-2013",E394&gt;1000,G394="NPN05"),H394,"")</f>
        <v/>
      </c>
      <c r="AZ394" s="44" t="str">
        <f>IF(AND(C394=Master!$H$5,B394="2012-2013",E394="",G394="NPN05"),H394,"")</f>
        <v/>
      </c>
      <c r="BA394" s="44" t="str">
        <f>IF(AND(C394=Master!$H$6,B394="2012-2013",E394&gt;1000,G394="NPN05"),H394,"")</f>
        <v/>
      </c>
      <c r="BB394" s="44" t="str">
        <f>IF(AND(C394=Master!$H$6,B394="2012-2013",E394="",G394="NPN05"),H394,"")</f>
        <v/>
      </c>
      <c r="BC394" s="44" t="str">
        <f>IF(AND(C394=Master!$H$7,B394="2012-2013",E394&gt;1000,G394="NPN05"),H394,"")</f>
        <v/>
      </c>
      <c r="BD394" s="44" t="str">
        <f>IF(AND(C394=Master!$H$7,B394="2012-2013",E394="",G394="NPN05"),H394,"")</f>
        <v/>
      </c>
      <c r="BE394" s="44" t="str">
        <f>IF(AND(C394=Master!$H$8,B394="2012-2013",E394&gt;1000,G394="NPN05"),H394,"")</f>
        <v/>
      </c>
      <c r="BF394" s="44" t="str">
        <f>IF(AND(C394=Master!$H$8,B394="2012-2013",E394="",G394="NPN05"),H394,"")</f>
        <v/>
      </c>
      <c r="BG394" s="44" t="str">
        <f>IF(AND(C394=Master!$H$9,B394="2012-2013",E394&gt;1000,G394="NPN05"),H394,"")</f>
        <v/>
      </c>
      <c r="BH394" s="44" t="str">
        <f>IF(AND(C394=Master!$H$9,B394="2012-2013",E394="",G394="NPN05"),H394,"")</f>
        <v/>
      </c>
    </row>
    <row r="395" spans="1:60" x14ac:dyDescent="0.25">
      <c r="A395" s="3">
        <v>393</v>
      </c>
      <c r="B395" s="12"/>
      <c r="C395" s="12"/>
      <c r="D395" s="31"/>
      <c r="E395" s="4"/>
      <c r="F395" s="13"/>
      <c r="G395" s="21"/>
      <c r="H395" s="35"/>
      <c r="I395" s="21"/>
      <c r="J395" s="25" t="str">
        <f>IF(NOT(I395=""),INDEX(Master!$B$1:$B$46,MATCH(I395,Master!$A$1:$A$46,0)),"")</f>
        <v/>
      </c>
      <c r="K395" s="18"/>
      <c r="L395" s="86"/>
      <c r="M395" s="13"/>
      <c r="N395" s="13"/>
      <c r="O395" s="18"/>
      <c r="P395" s="35"/>
      <c r="Q395" s="21"/>
      <c r="R395" s="21"/>
      <c r="S395" s="13"/>
      <c r="T395" s="12"/>
      <c r="U395" s="12"/>
      <c r="V395" s="12"/>
      <c r="W395" s="14"/>
      <c r="Y395" s="42" t="str">
        <f>IF(AND(C395=Master!$H$1,B395="2012-2013",E395&gt;1000,G395="PLN03"),H395,"")</f>
        <v/>
      </c>
      <c r="Z395" s="42" t="str">
        <f>IF(AND(C395=Master!$H$1,B395="2012-2013",E395="",G395="PLN03"),H395,"")</f>
        <v/>
      </c>
      <c r="AA395" s="42" t="str">
        <f>IF(AND(C395=Master!$H$2,B395="2012-2013",E395&gt;1000,G395="PLN03"),H395,"")</f>
        <v/>
      </c>
      <c r="AB395" s="42" t="str">
        <f>IF(AND(C395=Master!$H$2,B395="2012-2013",E395="",G395="PLN03"),H395,"")</f>
        <v/>
      </c>
      <c r="AC395" s="42" t="str">
        <f>IF(AND(C395=Master!$H$3,B395="2012-2013",E395&gt;1000,G395="PLN03"),H395,"")</f>
        <v/>
      </c>
      <c r="AD395" s="42" t="str">
        <f>IF(AND(C395=Master!$H$3,B395="2012-2013",E395="",G395="PLN03"),H395,"")</f>
        <v/>
      </c>
      <c r="AE395" s="42" t="str">
        <f>IF(AND(C395=Master!$H$4,B395="2012-2013",E395&gt;1000,G395="PLN03"),H395,"")</f>
        <v/>
      </c>
      <c r="AF395" s="42" t="str">
        <f>IF(AND(C395=Master!$H$4,B395="2012-2013",E395="",G395="PLN03"),H395,"")</f>
        <v/>
      </c>
      <c r="AG395" s="42" t="str">
        <f>IF(AND(C395=Master!$H$5,B395="2012-2013",E395&gt;1000,G395="PLN03"),H395,"")</f>
        <v/>
      </c>
      <c r="AH395" s="42" t="str">
        <f>IF(AND(C395=Master!$H$5,B395="2012-2013",E395="",G395="PLN03"),H395,"")</f>
        <v/>
      </c>
      <c r="AI395" s="42" t="str">
        <f>IF(AND(C395=Master!$H$6,B395="2012-2013",E395&gt;1000,G395="PLN03"),H395,"")</f>
        <v/>
      </c>
      <c r="AJ395" s="42" t="str">
        <f>IF(AND(C395=Master!$H$6,B395="2012-2013",E395="",G395="PLN03"),H395,"")</f>
        <v/>
      </c>
      <c r="AK395" s="42" t="str">
        <f>IF(AND(C395=Master!$H$7,B395="2012-2013",E395&gt;1000,G395="PLN03"),H395,"")</f>
        <v/>
      </c>
      <c r="AL395" s="42" t="str">
        <f>IF(AND(C395=Master!$H$7,B395="2012-2013",E395="",G395="PLN03"),H395,"")</f>
        <v/>
      </c>
      <c r="AM395" s="42" t="str">
        <f>IF(AND(C395=Master!$H$8,B395="2012-2013",E395&gt;1000,G395="PLN03"),H395,"")</f>
        <v/>
      </c>
      <c r="AN395" s="42" t="str">
        <f>IF(AND(C395=Master!$H$8,B395="2012-2013",E395="",G395="PLN03"),H395,"")</f>
        <v/>
      </c>
      <c r="AO395" s="42" t="str">
        <f>IF(AND(C395=Master!$H$9,B395="2012-2013",E395&gt;1000,G395="PLN03"),H395,"")</f>
        <v/>
      </c>
      <c r="AP395" s="42" t="str">
        <f>IF(AND(C395=Master!$H$9,B395="2012-2013",E395="",G395="PLN03"),H395,"")</f>
        <v/>
      </c>
      <c r="AQ395" s="44" t="str">
        <f>IF(AND(C395=Master!$H$1,B395="2012-2013",E395&gt;1000,G395="NPN05"),H395,"")</f>
        <v/>
      </c>
      <c r="AR395" s="44" t="str">
        <f>IF(AND(C395=Master!$H$1,B395="2012-2013",E395="",G395="NPN05"),H395,"")</f>
        <v/>
      </c>
      <c r="AS395" s="44" t="str">
        <f>IF(AND(C395=Master!$H$2,B395="2012-2013",E395&gt;1000,G395="NPN05"),H395,"")</f>
        <v/>
      </c>
      <c r="AT395" s="44" t="str">
        <f>IF(AND(C395=Master!$H$2,B395="2012-2013",E395="",G395="NPN05"),H395,"")</f>
        <v/>
      </c>
      <c r="AU395" s="44" t="str">
        <f>IF(AND(C395=Master!$H$3,B395="2012-2013",E395&gt;1000,G395="NPN05"),H395,"")</f>
        <v/>
      </c>
      <c r="AV395" s="44" t="str">
        <f>IF(AND(C395=Master!$H$3,B395="2012-2013",E395="",G395="NPN05"),H395,"")</f>
        <v/>
      </c>
      <c r="AW395" s="44" t="str">
        <f>IF(AND(C395=Master!$H$4,B395="2012-2013",E395&gt;1000,G395="NPN05"),H395,"")</f>
        <v/>
      </c>
      <c r="AX395" s="44" t="str">
        <f>IF(AND(C395=Master!$H$4,B395="2012-2013",E395="",G395="NPN05"),H395,"")</f>
        <v/>
      </c>
      <c r="AY395" s="44" t="str">
        <f>IF(AND(C395=Master!$H$5,B395="2012-2013",E395&gt;1000,G395="NPN05"),H395,"")</f>
        <v/>
      </c>
      <c r="AZ395" s="44" t="str">
        <f>IF(AND(C395=Master!$H$5,B395="2012-2013",E395="",G395="NPN05"),H395,"")</f>
        <v/>
      </c>
      <c r="BA395" s="44" t="str">
        <f>IF(AND(C395=Master!$H$6,B395="2012-2013",E395&gt;1000,G395="NPN05"),H395,"")</f>
        <v/>
      </c>
      <c r="BB395" s="44" t="str">
        <f>IF(AND(C395=Master!$H$6,B395="2012-2013",E395="",G395="NPN05"),H395,"")</f>
        <v/>
      </c>
      <c r="BC395" s="44" t="str">
        <f>IF(AND(C395=Master!$H$7,B395="2012-2013",E395&gt;1000,G395="NPN05"),H395,"")</f>
        <v/>
      </c>
      <c r="BD395" s="44" t="str">
        <f>IF(AND(C395=Master!$H$7,B395="2012-2013",E395="",G395="NPN05"),H395,"")</f>
        <v/>
      </c>
      <c r="BE395" s="44" t="str">
        <f>IF(AND(C395=Master!$H$8,B395="2012-2013",E395&gt;1000,G395="NPN05"),H395,"")</f>
        <v/>
      </c>
      <c r="BF395" s="44" t="str">
        <f>IF(AND(C395=Master!$H$8,B395="2012-2013",E395="",G395="NPN05"),H395,"")</f>
        <v/>
      </c>
      <c r="BG395" s="44" t="str">
        <f>IF(AND(C395=Master!$H$9,B395="2012-2013",E395&gt;1000,G395="NPN05"),H395,"")</f>
        <v/>
      </c>
      <c r="BH395" s="44" t="str">
        <f>IF(AND(C395=Master!$H$9,B395="2012-2013",E395="",G395="NPN05"),H395,"")</f>
        <v/>
      </c>
    </row>
    <row r="396" spans="1:60" x14ac:dyDescent="0.25">
      <c r="A396" s="3">
        <v>394</v>
      </c>
      <c r="B396" s="12"/>
      <c r="C396" s="12"/>
      <c r="D396" s="31"/>
      <c r="E396" s="4"/>
      <c r="F396" s="13"/>
      <c r="G396" s="21"/>
      <c r="H396" s="35"/>
      <c r="I396" s="21"/>
      <c r="J396" s="25" t="str">
        <f>IF(NOT(I396=""),INDEX(Master!$B$1:$B$46,MATCH(I396,Master!$A$1:$A$46,0)),"")</f>
        <v/>
      </c>
      <c r="K396" s="18"/>
      <c r="L396" s="86"/>
      <c r="M396" s="13"/>
      <c r="N396" s="13"/>
      <c r="O396" s="18"/>
      <c r="P396" s="35"/>
      <c r="Q396" s="21"/>
      <c r="R396" s="21"/>
      <c r="S396" s="13"/>
      <c r="T396" s="12"/>
      <c r="U396" s="12"/>
      <c r="V396" s="12"/>
      <c r="W396" s="14"/>
      <c r="Y396" s="42" t="str">
        <f>IF(AND(C396=Master!$H$1,B396="2012-2013",E396&gt;1000,G396="PLN03"),H396,"")</f>
        <v/>
      </c>
      <c r="Z396" s="42" t="str">
        <f>IF(AND(C396=Master!$H$1,B396="2012-2013",E396="",G396="PLN03"),H396,"")</f>
        <v/>
      </c>
      <c r="AA396" s="42" t="str">
        <f>IF(AND(C396=Master!$H$2,B396="2012-2013",E396&gt;1000,G396="PLN03"),H396,"")</f>
        <v/>
      </c>
      <c r="AB396" s="42" t="str">
        <f>IF(AND(C396=Master!$H$2,B396="2012-2013",E396="",G396="PLN03"),H396,"")</f>
        <v/>
      </c>
      <c r="AC396" s="42" t="str">
        <f>IF(AND(C396=Master!$H$3,B396="2012-2013",E396&gt;1000,G396="PLN03"),H396,"")</f>
        <v/>
      </c>
      <c r="AD396" s="42" t="str">
        <f>IF(AND(C396=Master!$H$3,B396="2012-2013",E396="",G396="PLN03"),H396,"")</f>
        <v/>
      </c>
      <c r="AE396" s="42" t="str">
        <f>IF(AND(C396=Master!$H$4,B396="2012-2013",E396&gt;1000,G396="PLN03"),H396,"")</f>
        <v/>
      </c>
      <c r="AF396" s="42" t="str">
        <f>IF(AND(C396=Master!$H$4,B396="2012-2013",E396="",G396="PLN03"),H396,"")</f>
        <v/>
      </c>
      <c r="AG396" s="42" t="str">
        <f>IF(AND(C396=Master!$H$5,B396="2012-2013",E396&gt;1000,G396="PLN03"),H396,"")</f>
        <v/>
      </c>
      <c r="AH396" s="42" t="str">
        <f>IF(AND(C396=Master!$H$5,B396="2012-2013",E396="",G396="PLN03"),H396,"")</f>
        <v/>
      </c>
      <c r="AI396" s="42" t="str">
        <f>IF(AND(C396=Master!$H$6,B396="2012-2013",E396&gt;1000,G396="PLN03"),H396,"")</f>
        <v/>
      </c>
      <c r="AJ396" s="42" t="str">
        <f>IF(AND(C396=Master!$H$6,B396="2012-2013",E396="",G396="PLN03"),H396,"")</f>
        <v/>
      </c>
      <c r="AK396" s="42" t="str">
        <f>IF(AND(C396=Master!$H$7,B396="2012-2013",E396&gt;1000,G396="PLN03"),H396,"")</f>
        <v/>
      </c>
      <c r="AL396" s="42" t="str">
        <f>IF(AND(C396=Master!$H$7,B396="2012-2013",E396="",G396="PLN03"),H396,"")</f>
        <v/>
      </c>
      <c r="AM396" s="42" t="str">
        <f>IF(AND(C396=Master!$H$8,B396="2012-2013",E396&gt;1000,G396="PLN03"),H396,"")</f>
        <v/>
      </c>
      <c r="AN396" s="42" t="str">
        <f>IF(AND(C396=Master!$H$8,B396="2012-2013",E396="",G396="PLN03"),H396,"")</f>
        <v/>
      </c>
      <c r="AO396" s="42" t="str">
        <f>IF(AND(C396=Master!$H$9,B396="2012-2013",E396&gt;1000,G396="PLN03"),H396,"")</f>
        <v/>
      </c>
      <c r="AP396" s="42" t="str">
        <f>IF(AND(C396=Master!$H$9,B396="2012-2013",E396="",G396="PLN03"),H396,"")</f>
        <v/>
      </c>
      <c r="AQ396" s="44" t="str">
        <f>IF(AND(C396=Master!$H$1,B396="2012-2013",E396&gt;1000,G396="NPN05"),H396,"")</f>
        <v/>
      </c>
      <c r="AR396" s="44" t="str">
        <f>IF(AND(C396=Master!$H$1,B396="2012-2013",E396="",G396="NPN05"),H396,"")</f>
        <v/>
      </c>
      <c r="AS396" s="44" t="str">
        <f>IF(AND(C396=Master!$H$2,B396="2012-2013",E396&gt;1000,G396="NPN05"),H396,"")</f>
        <v/>
      </c>
      <c r="AT396" s="44" t="str">
        <f>IF(AND(C396=Master!$H$2,B396="2012-2013",E396="",G396="NPN05"),H396,"")</f>
        <v/>
      </c>
      <c r="AU396" s="44" t="str">
        <f>IF(AND(C396=Master!$H$3,B396="2012-2013",E396&gt;1000,G396="NPN05"),H396,"")</f>
        <v/>
      </c>
      <c r="AV396" s="44" t="str">
        <f>IF(AND(C396=Master!$H$3,B396="2012-2013",E396="",G396="NPN05"),H396,"")</f>
        <v/>
      </c>
      <c r="AW396" s="44" t="str">
        <f>IF(AND(C396=Master!$H$4,B396="2012-2013",E396&gt;1000,G396="NPN05"),H396,"")</f>
        <v/>
      </c>
      <c r="AX396" s="44" t="str">
        <f>IF(AND(C396=Master!$H$4,B396="2012-2013",E396="",G396="NPN05"),H396,"")</f>
        <v/>
      </c>
      <c r="AY396" s="44" t="str">
        <f>IF(AND(C396=Master!$H$5,B396="2012-2013",E396&gt;1000,G396="NPN05"),H396,"")</f>
        <v/>
      </c>
      <c r="AZ396" s="44" t="str">
        <f>IF(AND(C396=Master!$H$5,B396="2012-2013",E396="",G396="NPN05"),H396,"")</f>
        <v/>
      </c>
      <c r="BA396" s="44" t="str">
        <f>IF(AND(C396=Master!$H$6,B396="2012-2013",E396&gt;1000,G396="NPN05"),H396,"")</f>
        <v/>
      </c>
      <c r="BB396" s="44" t="str">
        <f>IF(AND(C396=Master!$H$6,B396="2012-2013",E396="",G396="NPN05"),H396,"")</f>
        <v/>
      </c>
      <c r="BC396" s="44" t="str">
        <f>IF(AND(C396=Master!$H$7,B396="2012-2013",E396&gt;1000,G396="NPN05"),H396,"")</f>
        <v/>
      </c>
      <c r="BD396" s="44" t="str">
        <f>IF(AND(C396=Master!$H$7,B396="2012-2013",E396="",G396="NPN05"),H396,"")</f>
        <v/>
      </c>
      <c r="BE396" s="44" t="str">
        <f>IF(AND(C396=Master!$H$8,B396="2012-2013",E396&gt;1000,G396="NPN05"),H396,"")</f>
        <v/>
      </c>
      <c r="BF396" s="44" t="str">
        <f>IF(AND(C396=Master!$H$8,B396="2012-2013",E396="",G396="NPN05"),H396,"")</f>
        <v/>
      </c>
      <c r="BG396" s="44" t="str">
        <f>IF(AND(C396=Master!$H$9,B396="2012-2013",E396&gt;1000,G396="NPN05"),H396,"")</f>
        <v/>
      </c>
      <c r="BH396" s="44" t="str">
        <f>IF(AND(C396=Master!$H$9,B396="2012-2013",E396="",G396="NPN05"),H396,"")</f>
        <v/>
      </c>
    </row>
    <row r="397" spans="1:60" x14ac:dyDescent="0.25">
      <c r="A397" s="3">
        <v>395</v>
      </c>
      <c r="B397" s="12"/>
      <c r="C397" s="12"/>
      <c r="D397" s="31"/>
      <c r="E397" s="4"/>
      <c r="F397" s="13"/>
      <c r="G397" s="21"/>
      <c r="H397" s="35"/>
      <c r="I397" s="21"/>
      <c r="J397" s="25" t="str">
        <f>IF(NOT(I397=""),INDEX(Master!$B$1:$B$46,MATCH(I397,Master!$A$1:$A$46,0)),"")</f>
        <v/>
      </c>
      <c r="K397" s="18"/>
      <c r="L397" s="86"/>
      <c r="M397" s="13"/>
      <c r="N397" s="13"/>
      <c r="O397" s="18"/>
      <c r="P397" s="35"/>
      <c r="Q397" s="21"/>
      <c r="R397" s="21"/>
      <c r="S397" s="13"/>
      <c r="T397" s="12"/>
      <c r="U397" s="12"/>
      <c r="V397" s="12"/>
      <c r="W397" s="14"/>
      <c r="Y397" s="42" t="str">
        <f>IF(AND(C397=Master!$H$1,B397="2012-2013",E397&gt;1000,G397="PLN03"),H397,"")</f>
        <v/>
      </c>
      <c r="Z397" s="42" t="str">
        <f>IF(AND(C397=Master!$H$1,B397="2012-2013",E397="",G397="PLN03"),H397,"")</f>
        <v/>
      </c>
      <c r="AA397" s="42" t="str">
        <f>IF(AND(C397=Master!$H$2,B397="2012-2013",E397&gt;1000,G397="PLN03"),H397,"")</f>
        <v/>
      </c>
      <c r="AB397" s="42" t="str">
        <f>IF(AND(C397=Master!$H$2,B397="2012-2013",E397="",G397="PLN03"),H397,"")</f>
        <v/>
      </c>
      <c r="AC397" s="42" t="str">
        <f>IF(AND(C397=Master!$H$3,B397="2012-2013",E397&gt;1000,G397="PLN03"),H397,"")</f>
        <v/>
      </c>
      <c r="AD397" s="42" t="str">
        <f>IF(AND(C397=Master!$H$3,B397="2012-2013",E397="",G397="PLN03"),H397,"")</f>
        <v/>
      </c>
      <c r="AE397" s="42" t="str">
        <f>IF(AND(C397=Master!$H$4,B397="2012-2013",E397&gt;1000,G397="PLN03"),H397,"")</f>
        <v/>
      </c>
      <c r="AF397" s="42" t="str">
        <f>IF(AND(C397=Master!$H$4,B397="2012-2013",E397="",G397="PLN03"),H397,"")</f>
        <v/>
      </c>
      <c r="AG397" s="42" t="str">
        <f>IF(AND(C397=Master!$H$5,B397="2012-2013",E397&gt;1000,G397="PLN03"),H397,"")</f>
        <v/>
      </c>
      <c r="AH397" s="42" t="str">
        <f>IF(AND(C397=Master!$H$5,B397="2012-2013",E397="",G397="PLN03"),H397,"")</f>
        <v/>
      </c>
      <c r="AI397" s="42" t="str">
        <f>IF(AND(C397=Master!$H$6,B397="2012-2013",E397&gt;1000,G397="PLN03"),H397,"")</f>
        <v/>
      </c>
      <c r="AJ397" s="42" t="str">
        <f>IF(AND(C397=Master!$H$6,B397="2012-2013",E397="",G397="PLN03"),H397,"")</f>
        <v/>
      </c>
      <c r="AK397" s="42" t="str">
        <f>IF(AND(C397=Master!$H$7,B397="2012-2013",E397&gt;1000,G397="PLN03"),H397,"")</f>
        <v/>
      </c>
      <c r="AL397" s="42" t="str">
        <f>IF(AND(C397=Master!$H$7,B397="2012-2013",E397="",G397="PLN03"),H397,"")</f>
        <v/>
      </c>
      <c r="AM397" s="42" t="str">
        <f>IF(AND(C397=Master!$H$8,B397="2012-2013",E397&gt;1000,G397="PLN03"),H397,"")</f>
        <v/>
      </c>
      <c r="AN397" s="42" t="str">
        <f>IF(AND(C397=Master!$H$8,B397="2012-2013",E397="",G397="PLN03"),H397,"")</f>
        <v/>
      </c>
      <c r="AO397" s="42" t="str">
        <f>IF(AND(C397=Master!$H$9,B397="2012-2013",E397&gt;1000,G397="PLN03"),H397,"")</f>
        <v/>
      </c>
      <c r="AP397" s="42" t="str">
        <f>IF(AND(C397=Master!$H$9,B397="2012-2013",E397="",G397="PLN03"),H397,"")</f>
        <v/>
      </c>
      <c r="AQ397" s="44" t="str">
        <f>IF(AND(C397=Master!$H$1,B397="2012-2013",E397&gt;1000,G397="NPN05"),H397,"")</f>
        <v/>
      </c>
      <c r="AR397" s="44" t="str">
        <f>IF(AND(C397=Master!$H$1,B397="2012-2013",E397="",G397="NPN05"),H397,"")</f>
        <v/>
      </c>
      <c r="AS397" s="44" t="str">
        <f>IF(AND(C397=Master!$H$2,B397="2012-2013",E397&gt;1000,G397="NPN05"),H397,"")</f>
        <v/>
      </c>
      <c r="AT397" s="44" t="str">
        <f>IF(AND(C397=Master!$H$2,B397="2012-2013",E397="",G397="NPN05"),H397,"")</f>
        <v/>
      </c>
      <c r="AU397" s="44" t="str">
        <f>IF(AND(C397=Master!$H$3,B397="2012-2013",E397&gt;1000,G397="NPN05"),H397,"")</f>
        <v/>
      </c>
      <c r="AV397" s="44" t="str">
        <f>IF(AND(C397=Master!$H$3,B397="2012-2013",E397="",G397="NPN05"),H397,"")</f>
        <v/>
      </c>
      <c r="AW397" s="44" t="str">
        <f>IF(AND(C397=Master!$H$4,B397="2012-2013",E397&gt;1000,G397="NPN05"),H397,"")</f>
        <v/>
      </c>
      <c r="AX397" s="44" t="str">
        <f>IF(AND(C397=Master!$H$4,B397="2012-2013",E397="",G397="NPN05"),H397,"")</f>
        <v/>
      </c>
      <c r="AY397" s="44" t="str">
        <f>IF(AND(C397=Master!$H$5,B397="2012-2013",E397&gt;1000,G397="NPN05"),H397,"")</f>
        <v/>
      </c>
      <c r="AZ397" s="44" t="str">
        <f>IF(AND(C397=Master!$H$5,B397="2012-2013",E397="",G397="NPN05"),H397,"")</f>
        <v/>
      </c>
      <c r="BA397" s="44" t="str">
        <f>IF(AND(C397=Master!$H$6,B397="2012-2013",E397&gt;1000,G397="NPN05"),H397,"")</f>
        <v/>
      </c>
      <c r="BB397" s="44" t="str">
        <f>IF(AND(C397=Master!$H$6,B397="2012-2013",E397="",G397="NPN05"),H397,"")</f>
        <v/>
      </c>
      <c r="BC397" s="44" t="str">
        <f>IF(AND(C397=Master!$H$7,B397="2012-2013",E397&gt;1000,G397="NPN05"),H397,"")</f>
        <v/>
      </c>
      <c r="BD397" s="44" t="str">
        <f>IF(AND(C397=Master!$H$7,B397="2012-2013",E397="",G397="NPN05"),H397,"")</f>
        <v/>
      </c>
      <c r="BE397" s="44" t="str">
        <f>IF(AND(C397=Master!$H$8,B397="2012-2013",E397&gt;1000,G397="NPN05"),H397,"")</f>
        <v/>
      </c>
      <c r="BF397" s="44" t="str">
        <f>IF(AND(C397=Master!$H$8,B397="2012-2013",E397="",G397="NPN05"),H397,"")</f>
        <v/>
      </c>
      <c r="BG397" s="44" t="str">
        <f>IF(AND(C397=Master!$H$9,B397="2012-2013",E397&gt;1000,G397="NPN05"),H397,"")</f>
        <v/>
      </c>
      <c r="BH397" s="44" t="str">
        <f>IF(AND(C397=Master!$H$9,B397="2012-2013",E397="",G397="NPN05"),H397,"")</f>
        <v/>
      </c>
    </row>
    <row r="398" spans="1:60" x14ac:dyDescent="0.25">
      <c r="A398" s="3">
        <v>396</v>
      </c>
      <c r="B398" s="12"/>
      <c r="C398" s="12"/>
      <c r="D398" s="31"/>
      <c r="E398" s="4"/>
      <c r="F398" s="13"/>
      <c r="G398" s="21"/>
      <c r="H398" s="35"/>
      <c r="I398" s="21"/>
      <c r="J398" s="25" t="str">
        <f>IF(NOT(I398=""),INDEX(Master!$B$1:$B$46,MATCH(I398,Master!$A$1:$A$46,0)),"")</f>
        <v/>
      </c>
      <c r="K398" s="18"/>
      <c r="L398" s="86"/>
      <c r="M398" s="13"/>
      <c r="N398" s="13"/>
      <c r="O398" s="18"/>
      <c r="P398" s="35"/>
      <c r="Q398" s="21"/>
      <c r="R398" s="21"/>
      <c r="S398" s="13"/>
      <c r="T398" s="12"/>
      <c r="U398" s="12"/>
      <c r="V398" s="12"/>
      <c r="W398" s="14"/>
      <c r="Y398" s="42" t="str">
        <f>IF(AND(C398=Master!$H$1,B398="2012-2013",E398&gt;1000,G398="PLN03"),H398,"")</f>
        <v/>
      </c>
      <c r="Z398" s="42" t="str">
        <f>IF(AND(C398=Master!$H$1,B398="2012-2013",E398="",G398="PLN03"),H398,"")</f>
        <v/>
      </c>
      <c r="AA398" s="42" t="str">
        <f>IF(AND(C398=Master!$H$2,B398="2012-2013",E398&gt;1000,G398="PLN03"),H398,"")</f>
        <v/>
      </c>
      <c r="AB398" s="42" t="str">
        <f>IF(AND(C398=Master!$H$2,B398="2012-2013",E398="",G398="PLN03"),H398,"")</f>
        <v/>
      </c>
      <c r="AC398" s="42" t="str">
        <f>IF(AND(C398=Master!$H$3,B398="2012-2013",E398&gt;1000,G398="PLN03"),H398,"")</f>
        <v/>
      </c>
      <c r="AD398" s="42" t="str">
        <f>IF(AND(C398=Master!$H$3,B398="2012-2013",E398="",G398="PLN03"),H398,"")</f>
        <v/>
      </c>
      <c r="AE398" s="42" t="str">
        <f>IF(AND(C398=Master!$H$4,B398="2012-2013",E398&gt;1000,G398="PLN03"),H398,"")</f>
        <v/>
      </c>
      <c r="AF398" s="42" t="str">
        <f>IF(AND(C398=Master!$H$4,B398="2012-2013",E398="",G398="PLN03"),H398,"")</f>
        <v/>
      </c>
      <c r="AG398" s="42" t="str">
        <f>IF(AND(C398=Master!$H$5,B398="2012-2013",E398&gt;1000,G398="PLN03"),H398,"")</f>
        <v/>
      </c>
      <c r="AH398" s="42" t="str">
        <f>IF(AND(C398=Master!$H$5,B398="2012-2013",E398="",G398="PLN03"),H398,"")</f>
        <v/>
      </c>
      <c r="AI398" s="42" t="str">
        <f>IF(AND(C398=Master!$H$6,B398="2012-2013",E398&gt;1000,G398="PLN03"),H398,"")</f>
        <v/>
      </c>
      <c r="AJ398" s="42" t="str">
        <f>IF(AND(C398=Master!$H$6,B398="2012-2013",E398="",G398="PLN03"),H398,"")</f>
        <v/>
      </c>
      <c r="AK398" s="42" t="str">
        <f>IF(AND(C398=Master!$H$7,B398="2012-2013",E398&gt;1000,G398="PLN03"),H398,"")</f>
        <v/>
      </c>
      <c r="AL398" s="42" t="str">
        <f>IF(AND(C398=Master!$H$7,B398="2012-2013",E398="",G398="PLN03"),H398,"")</f>
        <v/>
      </c>
      <c r="AM398" s="42" t="str">
        <f>IF(AND(C398=Master!$H$8,B398="2012-2013",E398&gt;1000,G398="PLN03"),H398,"")</f>
        <v/>
      </c>
      <c r="AN398" s="42" t="str">
        <f>IF(AND(C398=Master!$H$8,B398="2012-2013",E398="",G398="PLN03"),H398,"")</f>
        <v/>
      </c>
      <c r="AO398" s="42" t="str">
        <f>IF(AND(C398=Master!$H$9,B398="2012-2013",E398&gt;1000,G398="PLN03"),H398,"")</f>
        <v/>
      </c>
      <c r="AP398" s="42" t="str">
        <f>IF(AND(C398=Master!$H$9,B398="2012-2013",E398="",G398="PLN03"),H398,"")</f>
        <v/>
      </c>
      <c r="AQ398" s="44" t="str">
        <f>IF(AND(C398=Master!$H$1,B398="2012-2013",E398&gt;1000,G398="NPN05"),H398,"")</f>
        <v/>
      </c>
      <c r="AR398" s="44" t="str">
        <f>IF(AND(C398=Master!$H$1,B398="2012-2013",E398="",G398="NPN05"),H398,"")</f>
        <v/>
      </c>
      <c r="AS398" s="44" t="str">
        <f>IF(AND(C398=Master!$H$2,B398="2012-2013",E398&gt;1000,G398="NPN05"),H398,"")</f>
        <v/>
      </c>
      <c r="AT398" s="44" t="str">
        <f>IF(AND(C398=Master!$H$2,B398="2012-2013",E398="",G398="NPN05"),H398,"")</f>
        <v/>
      </c>
      <c r="AU398" s="44" t="str">
        <f>IF(AND(C398=Master!$H$3,B398="2012-2013",E398&gt;1000,G398="NPN05"),H398,"")</f>
        <v/>
      </c>
      <c r="AV398" s="44" t="str">
        <f>IF(AND(C398=Master!$H$3,B398="2012-2013",E398="",G398="NPN05"),H398,"")</f>
        <v/>
      </c>
      <c r="AW398" s="44" t="str">
        <f>IF(AND(C398=Master!$H$4,B398="2012-2013",E398&gt;1000,G398="NPN05"),H398,"")</f>
        <v/>
      </c>
      <c r="AX398" s="44" t="str">
        <f>IF(AND(C398=Master!$H$4,B398="2012-2013",E398="",G398="NPN05"),H398,"")</f>
        <v/>
      </c>
      <c r="AY398" s="44" t="str">
        <f>IF(AND(C398=Master!$H$5,B398="2012-2013",E398&gt;1000,G398="NPN05"),H398,"")</f>
        <v/>
      </c>
      <c r="AZ398" s="44" t="str">
        <f>IF(AND(C398=Master!$H$5,B398="2012-2013",E398="",G398="NPN05"),H398,"")</f>
        <v/>
      </c>
      <c r="BA398" s="44" t="str">
        <f>IF(AND(C398=Master!$H$6,B398="2012-2013",E398&gt;1000,G398="NPN05"),H398,"")</f>
        <v/>
      </c>
      <c r="BB398" s="44" t="str">
        <f>IF(AND(C398=Master!$H$6,B398="2012-2013",E398="",G398="NPN05"),H398,"")</f>
        <v/>
      </c>
      <c r="BC398" s="44" t="str">
        <f>IF(AND(C398=Master!$H$7,B398="2012-2013",E398&gt;1000,G398="NPN05"),H398,"")</f>
        <v/>
      </c>
      <c r="BD398" s="44" t="str">
        <f>IF(AND(C398=Master!$H$7,B398="2012-2013",E398="",G398="NPN05"),H398,"")</f>
        <v/>
      </c>
      <c r="BE398" s="44" t="str">
        <f>IF(AND(C398=Master!$H$8,B398="2012-2013",E398&gt;1000,G398="NPN05"),H398,"")</f>
        <v/>
      </c>
      <c r="BF398" s="44" t="str">
        <f>IF(AND(C398=Master!$H$8,B398="2012-2013",E398="",G398="NPN05"),H398,"")</f>
        <v/>
      </c>
      <c r="BG398" s="44" t="str">
        <f>IF(AND(C398=Master!$H$9,B398="2012-2013",E398&gt;1000,G398="NPN05"),H398,"")</f>
        <v/>
      </c>
      <c r="BH398" s="44" t="str">
        <f>IF(AND(C398=Master!$H$9,B398="2012-2013",E398="",G398="NPN05"),H398,"")</f>
        <v/>
      </c>
    </row>
    <row r="399" spans="1:60" x14ac:dyDescent="0.25">
      <c r="A399" s="3">
        <v>397</v>
      </c>
      <c r="B399" s="12"/>
      <c r="C399" s="12"/>
      <c r="D399" s="31"/>
      <c r="E399" s="4"/>
      <c r="F399" s="13"/>
      <c r="G399" s="21"/>
      <c r="H399" s="35"/>
      <c r="I399" s="21"/>
      <c r="J399" s="25" t="str">
        <f>IF(NOT(I399=""),INDEX(Master!$B$1:$B$46,MATCH(I399,Master!$A$1:$A$46,0)),"")</f>
        <v/>
      </c>
      <c r="K399" s="18"/>
      <c r="L399" s="86"/>
      <c r="M399" s="13"/>
      <c r="N399" s="13"/>
      <c r="O399" s="18"/>
      <c r="P399" s="35"/>
      <c r="Q399" s="21"/>
      <c r="R399" s="21"/>
      <c r="S399" s="13"/>
      <c r="T399" s="12"/>
      <c r="U399" s="12"/>
      <c r="V399" s="12"/>
      <c r="W399" s="14"/>
      <c r="Y399" s="42" t="str">
        <f>IF(AND(C399=Master!$H$1,B399="2012-2013",E399&gt;1000,G399="PLN03"),H399,"")</f>
        <v/>
      </c>
      <c r="Z399" s="42" t="str">
        <f>IF(AND(C399=Master!$H$1,B399="2012-2013",E399="",G399="PLN03"),H399,"")</f>
        <v/>
      </c>
      <c r="AA399" s="42" t="str">
        <f>IF(AND(C399=Master!$H$2,B399="2012-2013",E399&gt;1000,G399="PLN03"),H399,"")</f>
        <v/>
      </c>
      <c r="AB399" s="42" t="str">
        <f>IF(AND(C399=Master!$H$2,B399="2012-2013",E399="",G399="PLN03"),H399,"")</f>
        <v/>
      </c>
      <c r="AC399" s="42" t="str">
        <f>IF(AND(C399=Master!$H$3,B399="2012-2013",E399&gt;1000,G399="PLN03"),H399,"")</f>
        <v/>
      </c>
      <c r="AD399" s="42" t="str">
        <f>IF(AND(C399=Master!$H$3,B399="2012-2013",E399="",G399="PLN03"),H399,"")</f>
        <v/>
      </c>
      <c r="AE399" s="42" t="str">
        <f>IF(AND(C399=Master!$H$4,B399="2012-2013",E399&gt;1000,G399="PLN03"),H399,"")</f>
        <v/>
      </c>
      <c r="AF399" s="42" t="str">
        <f>IF(AND(C399=Master!$H$4,B399="2012-2013",E399="",G399="PLN03"),H399,"")</f>
        <v/>
      </c>
      <c r="AG399" s="42" t="str">
        <f>IF(AND(C399=Master!$H$5,B399="2012-2013",E399&gt;1000,G399="PLN03"),H399,"")</f>
        <v/>
      </c>
      <c r="AH399" s="42" t="str">
        <f>IF(AND(C399=Master!$H$5,B399="2012-2013",E399="",G399="PLN03"),H399,"")</f>
        <v/>
      </c>
      <c r="AI399" s="42" t="str">
        <f>IF(AND(C399=Master!$H$6,B399="2012-2013",E399&gt;1000,G399="PLN03"),H399,"")</f>
        <v/>
      </c>
      <c r="AJ399" s="42" t="str">
        <f>IF(AND(C399=Master!$H$6,B399="2012-2013",E399="",G399="PLN03"),H399,"")</f>
        <v/>
      </c>
      <c r="AK399" s="42" t="str">
        <f>IF(AND(C399=Master!$H$7,B399="2012-2013",E399&gt;1000,G399="PLN03"),H399,"")</f>
        <v/>
      </c>
      <c r="AL399" s="42" t="str">
        <f>IF(AND(C399=Master!$H$7,B399="2012-2013",E399="",G399="PLN03"),H399,"")</f>
        <v/>
      </c>
      <c r="AM399" s="42" t="str">
        <f>IF(AND(C399=Master!$H$8,B399="2012-2013",E399&gt;1000,G399="PLN03"),H399,"")</f>
        <v/>
      </c>
      <c r="AN399" s="42" t="str">
        <f>IF(AND(C399=Master!$H$8,B399="2012-2013",E399="",G399="PLN03"),H399,"")</f>
        <v/>
      </c>
      <c r="AO399" s="42" t="str">
        <f>IF(AND(C399=Master!$H$9,B399="2012-2013",E399&gt;1000,G399="PLN03"),H399,"")</f>
        <v/>
      </c>
      <c r="AP399" s="42" t="str">
        <f>IF(AND(C399=Master!$H$9,B399="2012-2013",E399="",G399="PLN03"),H399,"")</f>
        <v/>
      </c>
      <c r="AQ399" s="44" t="str">
        <f>IF(AND(C399=Master!$H$1,B399="2012-2013",E399&gt;1000,G399="NPN05"),H399,"")</f>
        <v/>
      </c>
      <c r="AR399" s="44" t="str">
        <f>IF(AND(C399=Master!$H$1,B399="2012-2013",E399="",G399="NPN05"),H399,"")</f>
        <v/>
      </c>
      <c r="AS399" s="44" t="str">
        <f>IF(AND(C399=Master!$H$2,B399="2012-2013",E399&gt;1000,G399="NPN05"),H399,"")</f>
        <v/>
      </c>
      <c r="AT399" s="44" t="str">
        <f>IF(AND(C399=Master!$H$2,B399="2012-2013",E399="",G399="NPN05"),H399,"")</f>
        <v/>
      </c>
      <c r="AU399" s="44" t="str">
        <f>IF(AND(C399=Master!$H$3,B399="2012-2013",E399&gt;1000,G399="NPN05"),H399,"")</f>
        <v/>
      </c>
      <c r="AV399" s="44" t="str">
        <f>IF(AND(C399=Master!$H$3,B399="2012-2013",E399="",G399="NPN05"),H399,"")</f>
        <v/>
      </c>
      <c r="AW399" s="44" t="str">
        <f>IF(AND(C399=Master!$H$4,B399="2012-2013",E399&gt;1000,G399="NPN05"),H399,"")</f>
        <v/>
      </c>
      <c r="AX399" s="44" t="str">
        <f>IF(AND(C399=Master!$H$4,B399="2012-2013",E399="",G399="NPN05"),H399,"")</f>
        <v/>
      </c>
      <c r="AY399" s="44" t="str">
        <f>IF(AND(C399=Master!$H$5,B399="2012-2013",E399&gt;1000,G399="NPN05"),H399,"")</f>
        <v/>
      </c>
      <c r="AZ399" s="44" t="str">
        <f>IF(AND(C399=Master!$H$5,B399="2012-2013",E399="",G399="NPN05"),H399,"")</f>
        <v/>
      </c>
      <c r="BA399" s="44" t="str">
        <f>IF(AND(C399=Master!$H$6,B399="2012-2013",E399&gt;1000,G399="NPN05"),H399,"")</f>
        <v/>
      </c>
      <c r="BB399" s="44" t="str">
        <f>IF(AND(C399=Master!$H$6,B399="2012-2013",E399="",G399="NPN05"),H399,"")</f>
        <v/>
      </c>
      <c r="BC399" s="44" t="str">
        <f>IF(AND(C399=Master!$H$7,B399="2012-2013",E399&gt;1000,G399="NPN05"),H399,"")</f>
        <v/>
      </c>
      <c r="BD399" s="44" t="str">
        <f>IF(AND(C399=Master!$H$7,B399="2012-2013",E399="",G399="NPN05"),H399,"")</f>
        <v/>
      </c>
      <c r="BE399" s="44" t="str">
        <f>IF(AND(C399=Master!$H$8,B399="2012-2013",E399&gt;1000,G399="NPN05"),H399,"")</f>
        <v/>
      </c>
      <c r="BF399" s="44" t="str">
        <f>IF(AND(C399=Master!$H$8,B399="2012-2013",E399="",G399="NPN05"),H399,"")</f>
        <v/>
      </c>
      <c r="BG399" s="44" t="str">
        <f>IF(AND(C399=Master!$H$9,B399="2012-2013",E399&gt;1000,G399="NPN05"),H399,"")</f>
        <v/>
      </c>
      <c r="BH399" s="44" t="str">
        <f>IF(AND(C399=Master!$H$9,B399="2012-2013",E399="",G399="NPN05"),H399,"")</f>
        <v/>
      </c>
    </row>
    <row r="400" spans="1:60" x14ac:dyDescent="0.25">
      <c r="A400" s="5">
        <v>398</v>
      </c>
      <c r="B400" s="12"/>
      <c r="C400" s="12"/>
      <c r="D400" s="31"/>
      <c r="E400" s="4"/>
      <c r="F400" s="13"/>
      <c r="G400" s="21"/>
      <c r="H400" s="35"/>
      <c r="I400" s="21"/>
      <c r="J400" s="25" t="str">
        <f>IF(NOT(I400=""),INDEX(Master!$B$1:$B$46,MATCH(I400,Master!$A$1:$A$46,0)),"")</f>
        <v/>
      </c>
      <c r="K400" s="18"/>
      <c r="L400" s="86"/>
      <c r="M400" s="13"/>
      <c r="N400" s="13"/>
      <c r="O400" s="18"/>
      <c r="P400" s="35"/>
      <c r="Q400" s="21"/>
      <c r="R400" s="21"/>
      <c r="S400" s="13"/>
      <c r="T400" s="12"/>
      <c r="U400" s="12"/>
      <c r="V400" s="12"/>
      <c r="W400" s="14"/>
      <c r="Y400" s="42" t="str">
        <f>IF(AND(C400=Master!$H$1,B400="2012-2013",E400&gt;1000,G400="PLN03"),H400,"")</f>
        <v/>
      </c>
      <c r="Z400" s="42" t="str">
        <f>IF(AND(C400=Master!$H$1,B400="2012-2013",E400="",G400="PLN03"),H400,"")</f>
        <v/>
      </c>
      <c r="AA400" s="42" t="str">
        <f>IF(AND(C400=Master!$H$2,B400="2012-2013",E400&gt;1000,G400="PLN03"),H400,"")</f>
        <v/>
      </c>
      <c r="AB400" s="42" t="str">
        <f>IF(AND(C400=Master!$H$2,B400="2012-2013",E400="",G400="PLN03"),H400,"")</f>
        <v/>
      </c>
      <c r="AC400" s="42" t="str">
        <f>IF(AND(C400=Master!$H$3,B400="2012-2013",E400&gt;1000,G400="PLN03"),H400,"")</f>
        <v/>
      </c>
      <c r="AD400" s="42" t="str">
        <f>IF(AND(C400=Master!$H$3,B400="2012-2013",E400="",G400="PLN03"),H400,"")</f>
        <v/>
      </c>
      <c r="AE400" s="42" t="str">
        <f>IF(AND(C400=Master!$H$4,B400="2012-2013",E400&gt;1000,G400="PLN03"),H400,"")</f>
        <v/>
      </c>
      <c r="AF400" s="42" t="str">
        <f>IF(AND(C400=Master!$H$4,B400="2012-2013",E400="",G400="PLN03"),H400,"")</f>
        <v/>
      </c>
      <c r="AG400" s="42" t="str">
        <f>IF(AND(C400=Master!$H$5,B400="2012-2013",E400&gt;1000,G400="PLN03"),H400,"")</f>
        <v/>
      </c>
      <c r="AH400" s="42" t="str">
        <f>IF(AND(C400=Master!$H$5,B400="2012-2013",E400="",G400="PLN03"),H400,"")</f>
        <v/>
      </c>
      <c r="AI400" s="42" t="str">
        <f>IF(AND(C400=Master!$H$6,B400="2012-2013",E400&gt;1000,G400="PLN03"),H400,"")</f>
        <v/>
      </c>
      <c r="AJ400" s="42" t="str">
        <f>IF(AND(C400=Master!$H$6,B400="2012-2013",E400="",G400="PLN03"),H400,"")</f>
        <v/>
      </c>
      <c r="AK400" s="42" t="str">
        <f>IF(AND(C400=Master!$H$7,B400="2012-2013",E400&gt;1000,G400="PLN03"),H400,"")</f>
        <v/>
      </c>
      <c r="AL400" s="42" t="str">
        <f>IF(AND(C400=Master!$H$7,B400="2012-2013",E400="",G400="PLN03"),H400,"")</f>
        <v/>
      </c>
      <c r="AM400" s="42" t="str">
        <f>IF(AND(C400=Master!$H$8,B400="2012-2013",E400&gt;1000,G400="PLN03"),H400,"")</f>
        <v/>
      </c>
      <c r="AN400" s="42" t="str">
        <f>IF(AND(C400=Master!$H$8,B400="2012-2013",E400="",G400="PLN03"),H400,"")</f>
        <v/>
      </c>
      <c r="AO400" s="42" t="str">
        <f>IF(AND(C400=Master!$H$9,B400="2012-2013",E400&gt;1000,G400="PLN03"),H400,"")</f>
        <v/>
      </c>
      <c r="AP400" s="42" t="str">
        <f>IF(AND(C400=Master!$H$9,B400="2012-2013",E400="",G400="PLN03"),H400,"")</f>
        <v/>
      </c>
      <c r="AQ400" s="44" t="str">
        <f>IF(AND(C400=Master!$H$1,B400="2012-2013",E400&gt;1000,G400="NPN05"),H400,"")</f>
        <v/>
      </c>
      <c r="AR400" s="44" t="str">
        <f>IF(AND(C400=Master!$H$1,B400="2012-2013",E400="",G400="NPN05"),H400,"")</f>
        <v/>
      </c>
      <c r="AS400" s="44" t="str">
        <f>IF(AND(C400=Master!$H$2,B400="2012-2013",E400&gt;1000,G400="NPN05"),H400,"")</f>
        <v/>
      </c>
      <c r="AT400" s="44" t="str">
        <f>IF(AND(C400=Master!$H$2,B400="2012-2013",E400="",G400="NPN05"),H400,"")</f>
        <v/>
      </c>
      <c r="AU400" s="44" t="str">
        <f>IF(AND(C400=Master!$H$3,B400="2012-2013",E400&gt;1000,G400="NPN05"),H400,"")</f>
        <v/>
      </c>
      <c r="AV400" s="44" t="str">
        <f>IF(AND(C400=Master!$H$3,B400="2012-2013",E400="",G400="NPN05"),H400,"")</f>
        <v/>
      </c>
      <c r="AW400" s="44" t="str">
        <f>IF(AND(C400=Master!$H$4,B400="2012-2013",E400&gt;1000,G400="NPN05"),H400,"")</f>
        <v/>
      </c>
      <c r="AX400" s="44" t="str">
        <f>IF(AND(C400=Master!$H$4,B400="2012-2013",E400="",G400="NPN05"),H400,"")</f>
        <v/>
      </c>
      <c r="AY400" s="44" t="str">
        <f>IF(AND(C400=Master!$H$5,B400="2012-2013",E400&gt;1000,G400="NPN05"),H400,"")</f>
        <v/>
      </c>
      <c r="AZ400" s="44" t="str">
        <f>IF(AND(C400=Master!$H$5,B400="2012-2013",E400="",G400="NPN05"),H400,"")</f>
        <v/>
      </c>
      <c r="BA400" s="44" t="str">
        <f>IF(AND(C400=Master!$H$6,B400="2012-2013",E400&gt;1000,G400="NPN05"),H400,"")</f>
        <v/>
      </c>
      <c r="BB400" s="44" t="str">
        <f>IF(AND(C400=Master!$H$6,B400="2012-2013",E400="",G400="NPN05"),H400,"")</f>
        <v/>
      </c>
      <c r="BC400" s="44" t="str">
        <f>IF(AND(C400=Master!$H$7,B400="2012-2013",E400&gt;1000,G400="NPN05"),H400,"")</f>
        <v/>
      </c>
      <c r="BD400" s="44" t="str">
        <f>IF(AND(C400=Master!$H$7,B400="2012-2013",E400="",G400="NPN05"),H400,"")</f>
        <v/>
      </c>
      <c r="BE400" s="44" t="str">
        <f>IF(AND(C400=Master!$H$8,B400="2012-2013",E400&gt;1000,G400="NPN05"),H400,"")</f>
        <v/>
      </c>
      <c r="BF400" s="44" t="str">
        <f>IF(AND(C400=Master!$H$8,B400="2012-2013",E400="",G400="NPN05"),H400,"")</f>
        <v/>
      </c>
      <c r="BG400" s="44" t="str">
        <f>IF(AND(C400=Master!$H$9,B400="2012-2013",E400&gt;1000,G400="NPN05"),H400,"")</f>
        <v/>
      </c>
      <c r="BH400" s="44" t="str">
        <f>IF(AND(C400=Master!$H$9,B400="2012-2013",E400="",G400="NPN05"),H400,"")</f>
        <v/>
      </c>
    </row>
    <row r="401" spans="1:60" x14ac:dyDescent="0.25">
      <c r="A401" s="3">
        <v>399</v>
      </c>
      <c r="B401" s="12"/>
      <c r="C401" s="12"/>
      <c r="D401" s="31"/>
      <c r="E401" s="4"/>
      <c r="F401" s="13"/>
      <c r="G401" s="21"/>
      <c r="H401" s="35"/>
      <c r="I401" s="21"/>
      <c r="J401" s="25" t="str">
        <f>IF(NOT(I401=""),INDEX(Master!$B$1:$B$46,MATCH(I401,Master!$A$1:$A$46,0)),"")</f>
        <v/>
      </c>
      <c r="K401" s="18"/>
      <c r="L401" s="86"/>
      <c r="M401" s="13"/>
      <c r="N401" s="13"/>
      <c r="O401" s="18"/>
      <c r="P401" s="35"/>
      <c r="Q401" s="21"/>
      <c r="R401" s="21"/>
      <c r="S401" s="13"/>
      <c r="T401" s="12"/>
      <c r="U401" s="12"/>
      <c r="V401" s="12"/>
      <c r="W401" s="14"/>
      <c r="Y401" s="42" t="str">
        <f>IF(AND(C401=Master!$H$1,B401="2012-2013",E401&gt;1000,G401="PLN03"),H401,"")</f>
        <v/>
      </c>
      <c r="Z401" s="42" t="str">
        <f>IF(AND(C401=Master!$H$1,B401="2012-2013",E401="",G401="PLN03"),H401,"")</f>
        <v/>
      </c>
      <c r="AA401" s="42" t="str">
        <f>IF(AND(C401=Master!$H$2,B401="2012-2013",E401&gt;1000,G401="PLN03"),H401,"")</f>
        <v/>
      </c>
      <c r="AB401" s="42" t="str">
        <f>IF(AND(C401=Master!$H$2,B401="2012-2013",E401="",G401="PLN03"),H401,"")</f>
        <v/>
      </c>
      <c r="AC401" s="42" t="str">
        <f>IF(AND(C401=Master!$H$3,B401="2012-2013",E401&gt;1000,G401="PLN03"),H401,"")</f>
        <v/>
      </c>
      <c r="AD401" s="42" t="str">
        <f>IF(AND(C401=Master!$H$3,B401="2012-2013",E401="",G401="PLN03"),H401,"")</f>
        <v/>
      </c>
      <c r="AE401" s="42" t="str">
        <f>IF(AND(C401=Master!$H$4,B401="2012-2013",E401&gt;1000,G401="PLN03"),H401,"")</f>
        <v/>
      </c>
      <c r="AF401" s="42" t="str">
        <f>IF(AND(C401=Master!$H$4,B401="2012-2013",E401="",G401="PLN03"),H401,"")</f>
        <v/>
      </c>
      <c r="AG401" s="42" t="str">
        <f>IF(AND(C401=Master!$H$5,B401="2012-2013",E401&gt;1000,G401="PLN03"),H401,"")</f>
        <v/>
      </c>
      <c r="AH401" s="42" t="str">
        <f>IF(AND(C401=Master!$H$5,B401="2012-2013",E401="",G401="PLN03"),H401,"")</f>
        <v/>
      </c>
      <c r="AI401" s="42" t="str">
        <f>IF(AND(C401=Master!$H$6,B401="2012-2013",E401&gt;1000,G401="PLN03"),H401,"")</f>
        <v/>
      </c>
      <c r="AJ401" s="42" t="str">
        <f>IF(AND(C401=Master!$H$6,B401="2012-2013",E401="",G401="PLN03"),H401,"")</f>
        <v/>
      </c>
      <c r="AK401" s="42" t="str">
        <f>IF(AND(C401=Master!$H$7,B401="2012-2013",E401&gt;1000,G401="PLN03"),H401,"")</f>
        <v/>
      </c>
      <c r="AL401" s="42" t="str">
        <f>IF(AND(C401=Master!$H$7,B401="2012-2013",E401="",G401="PLN03"),H401,"")</f>
        <v/>
      </c>
      <c r="AM401" s="42" t="str">
        <f>IF(AND(C401=Master!$H$8,B401="2012-2013",E401&gt;1000,G401="PLN03"),H401,"")</f>
        <v/>
      </c>
      <c r="AN401" s="42" t="str">
        <f>IF(AND(C401=Master!$H$8,B401="2012-2013",E401="",G401="PLN03"),H401,"")</f>
        <v/>
      </c>
      <c r="AO401" s="42" t="str">
        <f>IF(AND(C401=Master!$H$9,B401="2012-2013",E401&gt;1000,G401="PLN03"),H401,"")</f>
        <v/>
      </c>
      <c r="AP401" s="42" t="str">
        <f>IF(AND(C401=Master!$H$9,B401="2012-2013",E401="",G401="PLN03"),H401,"")</f>
        <v/>
      </c>
      <c r="AQ401" s="44" t="str">
        <f>IF(AND(C401=Master!$H$1,B401="2012-2013",E401&gt;1000,G401="NPN05"),H401,"")</f>
        <v/>
      </c>
      <c r="AR401" s="44" t="str">
        <f>IF(AND(C401=Master!$H$1,B401="2012-2013",E401="",G401="NPN05"),H401,"")</f>
        <v/>
      </c>
      <c r="AS401" s="44" t="str">
        <f>IF(AND(C401=Master!$H$2,B401="2012-2013",E401&gt;1000,G401="NPN05"),H401,"")</f>
        <v/>
      </c>
      <c r="AT401" s="44" t="str">
        <f>IF(AND(C401=Master!$H$2,B401="2012-2013",E401="",G401="NPN05"),H401,"")</f>
        <v/>
      </c>
      <c r="AU401" s="44" t="str">
        <f>IF(AND(C401=Master!$H$3,B401="2012-2013",E401&gt;1000,G401="NPN05"),H401,"")</f>
        <v/>
      </c>
      <c r="AV401" s="44" t="str">
        <f>IF(AND(C401=Master!$H$3,B401="2012-2013",E401="",G401="NPN05"),H401,"")</f>
        <v/>
      </c>
      <c r="AW401" s="44" t="str">
        <f>IF(AND(C401=Master!$H$4,B401="2012-2013",E401&gt;1000,G401="NPN05"),H401,"")</f>
        <v/>
      </c>
      <c r="AX401" s="44" t="str">
        <f>IF(AND(C401=Master!$H$4,B401="2012-2013",E401="",G401="NPN05"),H401,"")</f>
        <v/>
      </c>
      <c r="AY401" s="44" t="str">
        <f>IF(AND(C401=Master!$H$5,B401="2012-2013",E401&gt;1000,G401="NPN05"),H401,"")</f>
        <v/>
      </c>
      <c r="AZ401" s="44" t="str">
        <f>IF(AND(C401=Master!$H$5,B401="2012-2013",E401="",G401="NPN05"),H401,"")</f>
        <v/>
      </c>
      <c r="BA401" s="44" t="str">
        <f>IF(AND(C401=Master!$H$6,B401="2012-2013",E401&gt;1000,G401="NPN05"),H401,"")</f>
        <v/>
      </c>
      <c r="BB401" s="44" t="str">
        <f>IF(AND(C401=Master!$H$6,B401="2012-2013",E401="",G401="NPN05"),H401,"")</f>
        <v/>
      </c>
      <c r="BC401" s="44" t="str">
        <f>IF(AND(C401=Master!$H$7,B401="2012-2013",E401&gt;1000,G401="NPN05"),H401,"")</f>
        <v/>
      </c>
      <c r="BD401" s="44" t="str">
        <f>IF(AND(C401=Master!$H$7,B401="2012-2013",E401="",G401="NPN05"),H401,"")</f>
        <v/>
      </c>
      <c r="BE401" s="44" t="str">
        <f>IF(AND(C401=Master!$H$8,B401="2012-2013",E401&gt;1000,G401="NPN05"),H401,"")</f>
        <v/>
      </c>
      <c r="BF401" s="44" t="str">
        <f>IF(AND(C401=Master!$H$8,B401="2012-2013",E401="",G401="NPN05"),H401,"")</f>
        <v/>
      </c>
      <c r="BG401" s="44" t="str">
        <f>IF(AND(C401=Master!$H$9,B401="2012-2013",E401&gt;1000,G401="NPN05"),H401,"")</f>
        <v/>
      </c>
      <c r="BH401" s="44" t="str">
        <f>IF(AND(C401=Master!$H$9,B401="2012-2013",E401="",G401="NPN05"),H401,"")</f>
        <v/>
      </c>
    </row>
    <row r="402" spans="1:60" x14ac:dyDescent="0.25">
      <c r="A402" s="3">
        <v>400</v>
      </c>
      <c r="B402" s="12"/>
      <c r="C402" s="12"/>
      <c r="D402" s="31"/>
      <c r="E402" s="4"/>
      <c r="F402" s="13"/>
      <c r="G402" s="21"/>
      <c r="H402" s="35"/>
      <c r="I402" s="21"/>
      <c r="J402" s="25" t="str">
        <f>IF(NOT(I402=""),INDEX(Master!$B$1:$B$46,MATCH(I402,Master!$A$1:$A$46,0)),"")</f>
        <v/>
      </c>
      <c r="K402" s="18"/>
      <c r="L402" s="86"/>
      <c r="M402" s="13"/>
      <c r="N402" s="13"/>
      <c r="O402" s="18"/>
      <c r="P402" s="35"/>
      <c r="Q402" s="21"/>
      <c r="R402" s="21"/>
      <c r="S402" s="13"/>
      <c r="T402" s="12"/>
      <c r="U402" s="12"/>
      <c r="V402" s="12"/>
      <c r="W402" s="14"/>
      <c r="Y402" s="42" t="str">
        <f>IF(AND(C402=Master!$H$1,B402="2012-2013",E402&gt;1000,G402="PLN03"),H402,"")</f>
        <v/>
      </c>
      <c r="Z402" s="42" t="str">
        <f>IF(AND(C402=Master!$H$1,B402="2012-2013",E402="",G402="PLN03"),H402,"")</f>
        <v/>
      </c>
      <c r="AA402" s="42" t="str">
        <f>IF(AND(C402=Master!$H$2,B402="2012-2013",E402&gt;1000,G402="PLN03"),H402,"")</f>
        <v/>
      </c>
      <c r="AB402" s="42" t="str">
        <f>IF(AND(C402=Master!$H$2,B402="2012-2013",E402="",G402="PLN03"),H402,"")</f>
        <v/>
      </c>
      <c r="AC402" s="42" t="str">
        <f>IF(AND(C402=Master!$H$3,B402="2012-2013",E402&gt;1000,G402="PLN03"),H402,"")</f>
        <v/>
      </c>
      <c r="AD402" s="42" t="str">
        <f>IF(AND(C402=Master!$H$3,B402="2012-2013",E402="",G402="PLN03"),H402,"")</f>
        <v/>
      </c>
      <c r="AE402" s="42" t="str">
        <f>IF(AND(C402=Master!$H$4,B402="2012-2013",E402&gt;1000,G402="PLN03"),H402,"")</f>
        <v/>
      </c>
      <c r="AF402" s="42" t="str">
        <f>IF(AND(C402=Master!$H$4,B402="2012-2013",E402="",G402="PLN03"),H402,"")</f>
        <v/>
      </c>
      <c r="AG402" s="42" t="str">
        <f>IF(AND(C402=Master!$H$5,B402="2012-2013",E402&gt;1000,G402="PLN03"),H402,"")</f>
        <v/>
      </c>
      <c r="AH402" s="42" t="str">
        <f>IF(AND(C402=Master!$H$5,B402="2012-2013",E402="",G402="PLN03"),H402,"")</f>
        <v/>
      </c>
      <c r="AI402" s="42" t="str">
        <f>IF(AND(C402=Master!$H$6,B402="2012-2013",E402&gt;1000,G402="PLN03"),H402,"")</f>
        <v/>
      </c>
      <c r="AJ402" s="42" t="str">
        <f>IF(AND(C402=Master!$H$6,B402="2012-2013",E402="",G402="PLN03"),H402,"")</f>
        <v/>
      </c>
      <c r="AK402" s="42" t="str">
        <f>IF(AND(C402=Master!$H$7,B402="2012-2013",E402&gt;1000,G402="PLN03"),H402,"")</f>
        <v/>
      </c>
      <c r="AL402" s="42" t="str">
        <f>IF(AND(C402=Master!$H$7,B402="2012-2013",E402="",G402="PLN03"),H402,"")</f>
        <v/>
      </c>
      <c r="AM402" s="42" t="str">
        <f>IF(AND(C402=Master!$H$8,B402="2012-2013",E402&gt;1000,G402="PLN03"),H402,"")</f>
        <v/>
      </c>
      <c r="AN402" s="42" t="str">
        <f>IF(AND(C402=Master!$H$8,B402="2012-2013",E402="",G402="PLN03"),H402,"")</f>
        <v/>
      </c>
      <c r="AO402" s="42" t="str">
        <f>IF(AND(C402=Master!$H$9,B402="2012-2013",E402&gt;1000,G402="PLN03"),H402,"")</f>
        <v/>
      </c>
      <c r="AP402" s="42" t="str">
        <f>IF(AND(C402=Master!$H$9,B402="2012-2013",E402="",G402="PLN03"),H402,"")</f>
        <v/>
      </c>
      <c r="AQ402" s="44" t="str">
        <f>IF(AND(C402=Master!$H$1,B402="2012-2013",E402&gt;1000,G402="NPN05"),H402,"")</f>
        <v/>
      </c>
      <c r="AR402" s="44" t="str">
        <f>IF(AND(C402=Master!$H$1,B402="2012-2013",E402="",G402="NPN05"),H402,"")</f>
        <v/>
      </c>
      <c r="AS402" s="44" t="str">
        <f>IF(AND(C402=Master!$H$2,B402="2012-2013",E402&gt;1000,G402="NPN05"),H402,"")</f>
        <v/>
      </c>
      <c r="AT402" s="44" t="str">
        <f>IF(AND(C402=Master!$H$2,B402="2012-2013",E402="",G402="NPN05"),H402,"")</f>
        <v/>
      </c>
      <c r="AU402" s="44" t="str">
        <f>IF(AND(C402=Master!$H$3,B402="2012-2013",E402&gt;1000,G402="NPN05"),H402,"")</f>
        <v/>
      </c>
      <c r="AV402" s="44" t="str">
        <f>IF(AND(C402=Master!$H$3,B402="2012-2013",E402="",G402="NPN05"),H402,"")</f>
        <v/>
      </c>
      <c r="AW402" s="44" t="str">
        <f>IF(AND(C402=Master!$H$4,B402="2012-2013",E402&gt;1000,G402="NPN05"),H402,"")</f>
        <v/>
      </c>
      <c r="AX402" s="44" t="str">
        <f>IF(AND(C402=Master!$H$4,B402="2012-2013",E402="",G402="NPN05"),H402,"")</f>
        <v/>
      </c>
      <c r="AY402" s="44" t="str">
        <f>IF(AND(C402=Master!$H$5,B402="2012-2013",E402&gt;1000,G402="NPN05"),H402,"")</f>
        <v/>
      </c>
      <c r="AZ402" s="44" t="str">
        <f>IF(AND(C402=Master!$H$5,B402="2012-2013",E402="",G402="NPN05"),H402,"")</f>
        <v/>
      </c>
      <c r="BA402" s="44" t="str">
        <f>IF(AND(C402=Master!$H$6,B402="2012-2013",E402&gt;1000,G402="NPN05"),H402,"")</f>
        <v/>
      </c>
      <c r="BB402" s="44" t="str">
        <f>IF(AND(C402=Master!$H$6,B402="2012-2013",E402="",G402="NPN05"),H402,"")</f>
        <v/>
      </c>
      <c r="BC402" s="44" t="str">
        <f>IF(AND(C402=Master!$H$7,B402="2012-2013",E402&gt;1000,G402="NPN05"),H402,"")</f>
        <v/>
      </c>
      <c r="BD402" s="44" t="str">
        <f>IF(AND(C402=Master!$H$7,B402="2012-2013",E402="",G402="NPN05"),H402,"")</f>
        <v/>
      </c>
      <c r="BE402" s="44" t="str">
        <f>IF(AND(C402=Master!$H$8,B402="2012-2013",E402&gt;1000,G402="NPN05"),H402,"")</f>
        <v/>
      </c>
      <c r="BF402" s="44" t="str">
        <f>IF(AND(C402=Master!$H$8,B402="2012-2013",E402="",G402="NPN05"),H402,"")</f>
        <v/>
      </c>
      <c r="BG402" s="44" t="str">
        <f>IF(AND(C402=Master!$H$9,B402="2012-2013",E402&gt;1000,G402="NPN05"),H402,"")</f>
        <v/>
      </c>
      <c r="BH402" s="44" t="str">
        <f>IF(AND(C402=Master!$H$9,B402="2012-2013",E402="",G402="NPN05"),H402,"")</f>
        <v/>
      </c>
    </row>
    <row r="403" spans="1:60" x14ac:dyDescent="0.25">
      <c r="A403" s="3">
        <v>401</v>
      </c>
      <c r="B403" s="12"/>
      <c r="C403" s="12"/>
      <c r="D403" s="31"/>
      <c r="E403" s="4"/>
      <c r="F403" s="13"/>
      <c r="G403" s="21"/>
      <c r="H403" s="35"/>
      <c r="I403" s="21"/>
      <c r="J403" s="25" t="str">
        <f>IF(NOT(I403=""),INDEX(Master!$B$1:$B$46,MATCH(I403,Master!$A$1:$A$46,0)),"")</f>
        <v/>
      </c>
      <c r="K403" s="18"/>
      <c r="L403" s="86"/>
      <c r="M403" s="13"/>
      <c r="N403" s="13"/>
      <c r="O403" s="18"/>
      <c r="P403" s="35"/>
      <c r="Q403" s="21"/>
      <c r="R403" s="21"/>
      <c r="S403" s="13"/>
      <c r="T403" s="12"/>
      <c r="U403" s="12"/>
      <c r="V403" s="12"/>
      <c r="W403" s="14"/>
      <c r="Y403" s="42" t="str">
        <f>IF(AND(C403=Master!$H$1,B403="2012-2013",E403&gt;1000,G403="PLN03"),H403,"")</f>
        <v/>
      </c>
      <c r="Z403" s="42" t="str">
        <f>IF(AND(C403=Master!$H$1,B403="2012-2013",E403="",G403="PLN03"),H403,"")</f>
        <v/>
      </c>
      <c r="AA403" s="42" t="str">
        <f>IF(AND(C403=Master!$H$2,B403="2012-2013",E403&gt;1000,G403="PLN03"),H403,"")</f>
        <v/>
      </c>
      <c r="AB403" s="42" t="str">
        <f>IF(AND(C403=Master!$H$2,B403="2012-2013",E403="",G403="PLN03"),H403,"")</f>
        <v/>
      </c>
      <c r="AC403" s="42" t="str">
        <f>IF(AND(C403=Master!$H$3,B403="2012-2013",E403&gt;1000,G403="PLN03"),H403,"")</f>
        <v/>
      </c>
      <c r="AD403" s="42" t="str">
        <f>IF(AND(C403=Master!$H$3,B403="2012-2013",E403="",G403="PLN03"),H403,"")</f>
        <v/>
      </c>
      <c r="AE403" s="42" t="str">
        <f>IF(AND(C403=Master!$H$4,B403="2012-2013",E403&gt;1000,G403="PLN03"),H403,"")</f>
        <v/>
      </c>
      <c r="AF403" s="42" t="str">
        <f>IF(AND(C403=Master!$H$4,B403="2012-2013",E403="",G403="PLN03"),H403,"")</f>
        <v/>
      </c>
      <c r="AG403" s="42" t="str">
        <f>IF(AND(C403=Master!$H$5,B403="2012-2013",E403&gt;1000,G403="PLN03"),H403,"")</f>
        <v/>
      </c>
      <c r="AH403" s="42" t="str">
        <f>IF(AND(C403=Master!$H$5,B403="2012-2013",E403="",G403="PLN03"),H403,"")</f>
        <v/>
      </c>
      <c r="AI403" s="42" t="str">
        <f>IF(AND(C403=Master!$H$6,B403="2012-2013",E403&gt;1000,G403="PLN03"),H403,"")</f>
        <v/>
      </c>
      <c r="AJ403" s="42" t="str">
        <f>IF(AND(C403=Master!$H$6,B403="2012-2013",E403="",G403="PLN03"),H403,"")</f>
        <v/>
      </c>
      <c r="AK403" s="42" t="str">
        <f>IF(AND(C403=Master!$H$7,B403="2012-2013",E403&gt;1000,G403="PLN03"),H403,"")</f>
        <v/>
      </c>
      <c r="AL403" s="42" t="str">
        <f>IF(AND(C403=Master!$H$7,B403="2012-2013",E403="",G403="PLN03"),H403,"")</f>
        <v/>
      </c>
      <c r="AM403" s="42" t="str">
        <f>IF(AND(C403=Master!$H$8,B403="2012-2013",E403&gt;1000,G403="PLN03"),H403,"")</f>
        <v/>
      </c>
      <c r="AN403" s="42" t="str">
        <f>IF(AND(C403=Master!$H$8,B403="2012-2013",E403="",G403="PLN03"),H403,"")</f>
        <v/>
      </c>
      <c r="AO403" s="42" t="str">
        <f>IF(AND(C403=Master!$H$9,B403="2012-2013",E403&gt;1000,G403="PLN03"),H403,"")</f>
        <v/>
      </c>
      <c r="AP403" s="42" t="str">
        <f>IF(AND(C403=Master!$H$9,B403="2012-2013",E403="",G403="PLN03"),H403,"")</f>
        <v/>
      </c>
      <c r="AQ403" s="44" t="str">
        <f>IF(AND(C403=Master!$H$1,B403="2012-2013",E403&gt;1000,G403="NPN05"),H403,"")</f>
        <v/>
      </c>
      <c r="AR403" s="44" t="str">
        <f>IF(AND(C403=Master!$H$1,B403="2012-2013",E403="",G403="NPN05"),H403,"")</f>
        <v/>
      </c>
      <c r="AS403" s="44" t="str">
        <f>IF(AND(C403=Master!$H$2,B403="2012-2013",E403&gt;1000,G403="NPN05"),H403,"")</f>
        <v/>
      </c>
      <c r="AT403" s="44" t="str">
        <f>IF(AND(C403=Master!$H$2,B403="2012-2013",E403="",G403="NPN05"),H403,"")</f>
        <v/>
      </c>
      <c r="AU403" s="44" t="str">
        <f>IF(AND(C403=Master!$H$3,B403="2012-2013",E403&gt;1000,G403="NPN05"),H403,"")</f>
        <v/>
      </c>
      <c r="AV403" s="44" t="str">
        <f>IF(AND(C403=Master!$H$3,B403="2012-2013",E403="",G403="NPN05"),H403,"")</f>
        <v/>
      </c>
      <c r="AW403" s="44" t="str">
        <f>IF(AND(C403=Master!$H$4,B403="2012-2013",E403&gt;1000,G403="NPN05"),H403,"")</f>
        <v/>
      </c>
      <c r="AX403" s="44" t="str">
        <f>IF(AND(C403=Master!$H$4,B403="2012-2013",E403="",G403="NPN05"),H403,"")</f>
        <v/>
      </c>
      <c r="AY403" s="44" t="str">
        <f>IF(AND(C403=Master!$H$5,B403="2012-2013",E403&gt;1000,G403="NPN05"),H403,"")</f>
        <v/>
      </c>
      <c r="AZ403" s="44" t="str">
        <f>IF(AND(C403=Master!$H$5,B403="2012-2013",E403="",G403="NPN05"),H403,"")</f>
        <v/>
      </c>
      <c r="BA403" s="44" t="str">
        <f>IF(AND(C403=Master!$H$6,B403="2012-2013",E403&gt;1000,G403="NPN05"),H403,"")</f>
        <v/>
      </c>
      <c r="BB403" s="44" t="str">
        <f>IF(AND(C403=Master!$H$6,B403="2012-2013",E403="",G403="NPN05"),H403,"")</f>
        <v/>
      </c>
      <c r="BC403" s="44" t="str">
        <f>IF(AND(C403=Master!$H$7,B403="2012-2013",E403&gt;1000,G403="NPN05"),H403,"")</f>
        <v/>
      </c>
      <c r="BD403" s="44" t="str">
        <f>IF(AND(C403=Master!$H$7,B403="2012-2013",E403="",G403="NPN05"),H403,"")</f>
        <v/>
      </c>
      <c r="BE403" s="44" t="str">
        <f>IF(AND(C403=Master!$H$8,B403="2012-2013",E403&gt;1000,G403="NPN05"),H403,"")</f>
        <v/>
      </c>
      <c r="BF403" s="44" t="str">
        <f>IF(AND(C403=Master!$H$8,B403="2012-2013",E403="",G403="NPN05"),H403,"")</f>
        <v/>
      </c>
      <c r="BG403" s="44" t="str">
        <f>IF(AND(C403=Master!$H$9,B403="2012-2013",E403&gt;1000,G403="NPN05"),H403,"")</f>
        <v/>
      </c>
      <c r="BH403" s="44" t="str">
        <f>IF(AND(C403=Master!$H$9,B403="2012-2013",E403="",G403="NPN05"),H403,"")</f>
        <v/>
      </c>
    </row>
    <row r="404" spans="1:60" x14ac:dyDescent="0.25">
      <c r="A404" s="3">
        <v>402</v>
      </c>
      <c r="B404" s="12"/>
      <c r="C404" s="12"/>
      <c r="D404" s="31"/>
      <c r="E404" s="4"/>
      <c r="F404" s="13"/>
      <c r="G404" s="21"/>
      <c r="H404" s="35"/>
      <c r="I404" s="21"/>
      <c r="J404" s="25" t="str">
        <f>IF(NOT(I404=""),INDEX(Master!$B$1:$B$46,MATCH(I404,Master!$A$1:$A$46,0)),"")</f>
        <v/>
      </c>
      <c r="K404" s="18"/>
      <c r="L404" s="86"/>
      <c r="M404" s="13"/>
      <c r="N404" s="13"/>
      <c r="O404" s="18"/>
      <c r="P404" s="35"/>
      <c r="Q404" s="21"/>
      <c r="R404" s="21"/>
      <c r="S404" s="13"/>
      <c r="T404" s="12"/>
      <c r="U404" s="12"/>
      <c r="V404" s="12"/>
      <c r="W404" s="14"/>
      <c r="Y404" s="42" t="str">
        <f>IF(AND(C404=Master!$H$1,B404="2012-2013",E404&gt;1000,G404="PLN03"),H404,"")</f>
        <v/>
      </c>
      <c r="Z404" s="42" t="str">
        <f>IF(AND(C404=Master!$H$1,B404="2012-2013",E404="",G404="PLN03"),H404,"")</f>
        <v/>
      </c>
      <c r="AA404" s="42" t="str">
        <f>IF(AND(C404=Master!$H$2,B404="2012-2013",E404&gt;1000,G404="PLN03"),H404,"")</f>
        <v/>
      </c>
      <c r="AB404" s="42" t="str">
        <f>IF(AND(C404=Master!$H$2,B404="2012-2013",E404="",G404="PLN03"),H404,"")</f>
        <v/>
      </c>
      <c r="AC404" s="42" t="str">
        <f>IF(AND(C404=Master!$H$3,B404="2012-2013",E404&gt;1000,G404="PLN03"),H404,"")</f>
        <v/>
      </c>
      <c r="AD404" s="42" t="str">
        <f>IF(AND(C404=Master!$H$3,B404="2012-2013",E404="",G404="PLN03"),H404,"")</f>
        <v/>
      </c>
      <c r="AE404" s="42" t="str">
        <f>IF(AND(C404=Master!$H$4,B404="2012-2013",E404&gt;1000,G404="PLN03"),H404,"")</f>
        <v/>
      </c>
      <c r="AF404" s="42" t="str">
        <f>IF(AND(C404=Master!$H$4,B404="2012-2013",E404="",G404="PLN03"),H404,"")</f>
        <v/>
      </c>
      <c r="AG404" s="42" t="str">
        <f>IF(AND(C404=Master!$H$5,B404="2012-2013",E404&gt;1000,G404="PLN03"),H404,"")</f>
        <v/>
      </c>
      <c r="AH404" s="42" t="str">
        <f>IF(AND(C404=Master!$H$5,B404="2012-2013",E404="",G404="PLN03"),H404,"")</f>
        <v/>
      </c>
      <c r="AI404" s="42" t="str">
        <f>IF(AND(C404=Master!$H$6,B404="2012-2013",E404&gt;1000,G404="PLN03"),H404,"")</f>
        <v/>
      </c>
      <c r="AJ404" s="42" t="str">
        <f>IF(AND(C404=Master!$H$6,B404="2012-2013",E404="",G404="PLN03"),H404,"")</f>
        <v/>
      </c>
      <c r="AK404" s="42" t="str">
        <f>IF(AND(C404=Master!$H$7,B404="2012-2013",E404&gt;1000,G404="PLN03"),H404,"")</f>
        <v/>
      </c>
      <c r="AL404" s="42" t="str">
        <f>IF(AND(C404=Master!$H$7,B404="2012-2013",E404="",G404="PLN03"),H404,"")</f>
        <v/>
      </c>
      <c r="AM404" s="42" t="str">
        <f>IF(AND(C404=Master!$H$8,B404="2012-2013",E404&gt;1000,G404="PLN03"),H404,"")</f>
        <v/>
      </c>
      <c r="AN404" s="42" t="str">
        <f>IF(AND(C404=Master!$H$8,B404="2012-2013",E404="",G404="PLN03"),H404,"")</f>
        <v/>
      </c>
      <c r="AO404" s="42" t="str">
        <f>IF(AND(C404=Master!$H$9,B404="2012-2013",E404&gt;1000,G404="PLN03"),H404,"")</f>
        <v/>
      </c>
      <c r="AP404" s="42" t="str">
        <f>IF(AND(C404=Master!$H$9,B404="2012-2013",E404="",G404="PLN03"),H404,"")</f>
        <v/>
      </c>
      <c r="AQ404" s="44" t="str">
        <f>IF(AND(C404=Master!$H$1,B404="2012-2013",E404&gt;1000,G404="NPN05"),H404,"")</f>
        <v/>
      </c>
      <c r="AR404" s="44" t="str">
        <f>IF(AND(C404=Master!$H$1,B404="2012-2013",E404="",G404="NPN05"),H404,"")</f>
        <v/>
      </c>
      <c r="AS404" s="44" t="str">
        <f>IF(AND(C404=Master!$H$2,B404="2012-2013",E404&gt;1000,G404="NPN05"),H404,"")</f>
        <v/>
      </c>
      <c r="AT404" s="44" t="str">
        <f>IF(AND(C404=Master!$H$2,B404="2012-2013",E404="",G404="NPN05"),H404,"")</f>
        <v/>
      </c>
      <c r="AU404" s="44" t="str">
        <f>IF(AND(C404=Master!$H$3,B404="2012-2013",E404&gt;1000,G404="NPN05"),H404,"")</f>
        <v/>
      </c>
      <c r="AV404" s="44" t="str">
        <f>IF(AND(C404=Master!$H$3,B404="2012-2013",E404="",G404="NPN05"),H404,"")</f>
        <v/>
      </c>
      <c r="AW404" s="44" t="str">
        <f>IF(AND(C404=Master!$H$4,B404="2012-2013",E404&gt;1000,G404="NPN05"),H404,"")</f>
        <v/>
      </c>
      <c r="AX404" s="44" t="str">
        <f>IF(AND(C404=Master!$H$4,B404="2012-2013",E404="",G404="NPN05"),H404,"")</f>
        <v/>
      </c>
      <c r="AY404" s="44" t="str">
        <f>IF(AND(C404=Master!$H$5,B404="2012-2013",E404&gt;1000,G404="NPN05"),H404,"")</f>
        <v/>
      </c>
      <c r="AZ404" s="44" t="str">
        <f>IF(AND(C404=Master!$H$5,B404="2012-2013",E404="",G404="NPN05"),H404,"")</f>
        <v/>
      </c>
      <c r="BA404" s="44" t="str">
        <f>IF(AND(C404=Master!$H$6,B404="2012-2013",E404&gt;1000,G404="NPN05"),H404,"")</f>
        <v/>
      </c>
      <c r="BB404" s="44" t="str">
        <f>IF(AND(C404=Master!$H$6,B404="2012-2013",E404="",G404="NPN05"),H404,"")</f>
        <v/>
      </c>
      <c r="BC404" s="44" t="str">
        <f>IF(AND(C404=Master!$H$7,B404="2012-2013",E404&gt;1000,G404="NPN05"),H404,"")</f>
        <v/>
      </c>
      <c r="BD404" s="44" t="str">
        <f>IF(AND(C404=Master!$H$7,B404="2012-2013",E404="",G404="NPN05"),H404,"")</f>
        <v/>
      </c>
      <c r="BE404" s="44" t="str">
        <f>IF(AND(C404=Master!$H$8,B404="2012-2013",E404&gt;1000,G404="NPN05"),H404,"")</f>
        <v/>
      </c>
      <c r="BF404" s="44" t="str">
        <f>IF(AND(C404=Master!$H$8,B404="2012-2013",E404="",G404="NPN05"),H404,"")</f>
        <v/>
      </c>
      <c r="BG404" s="44" t="str">
        <f>IF(AND(C404=Master!$H$9,B404="2012-2013",E404&gt;1000,G404="NPN05"),H404,"")</f>
        <v/>
      </c>
      <c r="BH404" s="44" t="str">
        <f>IF(AND(C404=Master!$H$9,B404="2012-2013",E404="",G404="NPN05"),H404,"")</f>
        <v/>
      </c>
    </row>
    <row r="405" spans="1:60" x14ac:dyDescent="0.25">
      <c r="A405" s="3">
        <v>403</v>
      </c>
      <c r="B405" s="12"/>
      <c r="C405" s="12"/>
      <c r="D405" s="31"/>
      <c r="E405" s="4"/>
      <c r="F405" s="13"/>
      <c r="G405" s="21"/>
      <c r="H405" s="35"/>
      <c r="I405" s="21"/>
      <c r="J405" s="25" t="str">
        <f>IF(NOT(I405=""),INDEX(Master!$B$1:$B$46,MATCH(I405,Master!$A$1:$A$46,0)),"")</f>
        <v/>
      </c>
      <c r="K405" s="18"/>
      <c r="L405" s="86"/>
      <c r="M405" s="13"/>
      <c r="N405" s="13"/>
      <c r="O405" s="18"/>
      <c r="P405" s="35"/>
      <c r="Q405" s="21"/>
      <c r="R405" s="21"/>
      <c r="S405" s="13"/>
      <c r="T405" s="12"/>
      <c r="U405" s="12"/>
      <c r="V405" s="12"/>
      <c r="W405" s="14"/>
      <c r="Y405" s="42" t="str">
        <f>IF(AND(C405=Master!$H$1,B405="2012-2013",E405&gt;1000,G405="PLN03"),H405,"")</f>
        <v/>
      </c>
      <c r="Z405" s="42" t="str">
        <f>IF(AND(C405=Master!$H$1,B405="2012-2013",E405="",G405="PLN03"),H405,"")</f>
        <v/>
      </c>
      <c r="AA405" s="42" t="str">
        <f>IF(AND(C405=Master!$H$2,B405="2012-2013",E405&gt;1000,G405="PLN03"),H405,"")</f>
        <v/>
      </c>
      <c r="AB405" s="42" t="str">
        <f>IF(AND(C405=Master!$H$2,B405="2012-2013",E405="",G405="PLN03"),H405,"")</f>
        <v/>
      </c>
      <c r="AC405" s="42" t="str">
        <f>IF(AND(C405=Master!$H$3,B405="2012-2013",E405&gt;1000,G405="PLN03"),H405,"")</f>
        <v/>
      </c>
      <c r="AD405" s="42" t="str">
        <f>IF(AND(C405=Master!$H$3,B405="2012-2013",E405="",G405="PLN03"),H405,"")</f>
        <v/>
      </c>
      <c r="AE405" s="42" t="str">
        <f>IF(AND(C405=Master!$H$4,B405="2012-2013",E405&gt;1000,G405="PLN03"),H405,"")</f>
        <v/>
      </c>
      <c r="AF405" s="42" t="str">
        <f>IF(AND(C405=Master!$H$4,B405="2012-2013",E405="",G405="PLN03"),H405,"")</f>
        <v/>
      </c>
      <c r="AG405" s="42" t="str">
        <f>IF(AND(C405=Master!$H$5,B405="2012-2013",E405&gt;1000,G405="PLN03"),H405,"")</f>
        <v/>
      </c>
      <c r="AH405" s="42" t="str">
        <f>IF(AND(C405=Master!$H$5,B405="2012-2013",E405="",G405="PLN03"),H405,"")</f>
        <v/>
      </c>
      <c r="AI405" s="42" t="str">
        <f>IF(AND(C405=Master!$H$6,B405="2012-2013",E405&gt;1000,G405="PLN03"),H405,"")</f>
        <v/>
      </c>
      <c r="AJ405" s="42" t="str">
        <f>IF(AND(C405=Master!$H$6,B405="2012-2013",E405="",G405="PLN03"),H405,"")</f>
        <v/>
      </c>
      <c r="AK405" s="42" t="str">
        <f>IF(AND(C405=Master!$H$7,B405="2012-2013",E405&gt;1000,G405="PLN03"),H405,"")</f>
        <v/>
      </c>
      <c r="AL405" s="42" t="str">
        <f>IF(AND(C405=Master!$H$7,B405="2012-2013",E405="",G405="PLN03"),H405,"")</f>
        <v/>
      </c>
      <c r="AM405" s="42" t="str">
        <f>IF(AND(C405=Master!$H$8,B405="2012-2013",E405&gt;1000,G405="PLN03"),H405,"")</f>
        <v/>
      </c>
      <c r="AN405" s="42" t="str">
        <f>IF(AND(C405=Master!$H$8,B405="2012-2013",E405="",G405="PLN03"),H405,"")</f>
        <v/>
      </c>
      <c r="AO405" s="42" t="str">
        <f>IF(AND(C405=Master!$H$9,B405="2012-2013",E405&gt;1000,G405="PLN03"),H405,"")</f>
        <v/>
      </c>
      <c r="AP405" s="42" t="str">
        <f>IF(AND(C405=Master!$H$9,B405="2012-2013",E405="",G405="PLN03"),H405,"")</f>
        <v/>
      </c>
      <c r="AQ405" s="44" t="str">
        <f>IF(AND(C405=Master!$H$1,B405="2012-2013",E405&gt;1000,G405="NPN05"),H405,"")</f>
        <v/>
      </c>
      <c r="AR405" s="44" t="str">
        <f>IF(AND(C405=Master!$H$1,B405="2012-2013",E405="",G405="NPN05"),H405,"")</f>
        <v/>
      </c>
      <c r="AS405" s="44" t="str">
        <f>IF(AND(C405=Master!$H$2,B405="2012-2013",E405&gt;1000,G405="NPN05"),H405,"")</f>
        <v/>
      </c>
      <c r="AT405" s="44" t="str">
        <f>IF(AND(C405=Master!$H$2,B405="2012-2013",E405="",G405="NPN05"),H405,"")</f>
        <v/>
      </c>
      <c r="AU405" s="44" t="str">
        <f>IF(AND(C405=Master!$H$3,B405="2012-2013",E405&gt;1000,G405="NPN05"),H405,"")</f>
        <v/>
      </c>
      <c r="AV405" s="44" t="str">
        <f>IF(AND(C405=Master!$H$3,B405="2012-2013",E405="",G405="NPN05"),H405,"")</f>
        <v/>
      </c>
      <c r="AW405" s="44" t="str">
        <f>IF(AND(C405=Master!$H$4,B405="2012-2013",E405&gt;1000,G405="NPN05"),H405,"")</f>
        <v/>
      </c>
      <c r="AX405" s="44" t="str">
        <f>IF(AND(C405=Master!$H$4,B405="2012-2013",E405="",G405="NPN05"),H405,"")</f>
        <v/>
      </c>
      <c r="AY405" s="44" t="str">
        <f>IF(AND(C405=Master!$H$5,B405="2012-2013",E405&gt;1000,G405="NPN05"),H405,"")</f>
        <v/>
      </c>
      <c r="AZ405" s="44" t="str">
        <f>IF(AND(C405=Master!$H$5,B405="2012-2013",E405="",G405="NPN05"),H405,"")</f>
        <v/>
      </c>
      <c r="BA405" s="44" t="str">
        <f>IF(AND(C405=Master!$H$6,B405="2012-2013",E405&gt;1000,G405="NPN05"),H405,"")</f>
        <v/>
      </c>
      <c r="BB405" s="44" t="str">
        <f>IF(AND(C405=Master!$H$6,B405="2012-2013",E405="",G405="NPN05"),H405,"")</f>
        <v/>
      </c>
      <c r="BC405" s="44" t="str">
        <f>IF(AND(C405=Master!$H$7,B405="2012-2013",E405&gt;1000,G405="NPN05"),H405,"")</f>
        <v/>
      </c>
      <c r="BD405" s="44" t="str">
        <f>IF(AND(C405=Master!$H$7,B405="2012-2013",E405="",G405="NPN05"),H405,"")</f>
        <v/>
      </c>
      <c r="BE405" s="44" t="str">
        <f>IF(AND(C405=Master!$H$8,B405="2012-2013",E405&gt;1000,G405="NPN05"),H405,"")</f>
        <v/>
      </c>
      <c r="BF405" s="44" t="str">
        <f>IF(AND(C405=Master!$H$8,B405="2012-2013",E405="",G405="NPN05"),H405,"")</f>
        <v/>
      </c>
      <c r="BG405" s="44" t="str">
        <f>IF(AND(C405=Master!$H$9,B405="2012-2013",E405&gt;1000,G405="NPN05"),H405,"")</f>
        <v/>
      </c>
      <c r="BH405" s="44" t="str">
        <f>IF(AND(C405=Master!$H$9,B405="2012-2013",E405="",G405="NPN05"),H405,"")</f>
        <v/>
      </c>
    </row>
    <row r="406" spans="1:60" x14ac:dyDescent="0.25">
      <c r="A406" s="3">
        <v>404</v>
      </c>
      <c r="B406" s="12"/>
      <c r="C406" s="12"/>
      <c r="D406" s="31"/>
      <c r="E406" s="4"/>
      <c r="F406" s="13"/>
      <c r="G406" s="21"/>
      <c r="H406" s="35"/>
      <c r="I406" s="21"/>
      <c r="J406" s="25" t="str">
        <f>IF(NOT(I406=""),INDEX(Master!$B$1:$B$46,MATCH(I406,Master!$A$1:$A$46,0)),"")</f>
        <v/>
      </c>
      <c r="K406" s="18"/>
      <c r="L406" s="86"/>
      <c r="M406" s="13"/>
      <c r="N406" s="13"/>
      <c r="O406" s="18"/>
      <c r="P406" s="35"/>
      <c r="Q406" s="21"/>
      <c r="R406" s="21"/>
      <c r="S406" s="13"/>
      <c r="T406" s="12"/>
      <c r="U406" s="12"/>
      <c r="V406" s="12"/>
      <c r="W406" s="14"/>
      <c r="Y406" s="42" t="str">
        <f>IF(AND(C406=Master!$H$1,B406="2012-2013",E406&gt;1000,G406="PLN03"),H406,"")</f>
        <v/>
      </c>
      <c r="Z406" s="42" t="str">
        <f>IF(AND(C406=Master!$H$1,B406="2012-2013",E406="",G406="PLN03"),H406,"")</f>
        <v/>
      </c>
      <c r="AA406" s="42" t="str">
        <f>IF(AND(C406=Master!$H$2,B406="2012-2013",E406&gt;1000,G406="PLN03"),H406,"")</f>
        <v/>
      </c>
      <c r="AB406" s="42" t="str">
        <f>IF(AND(C406=Master!$H$2,B406="2012-2013",E406="",G406="PLN03"),H406,"")</f>
        <v/>
      </c>
      <c r="AC406" s="42" t="str">
        <f>IF(AND(C406=Master!$H$3,B406="2012-2013",E406&gt;1000,G406="PLN03"),H406,"")</f>
        <v/>
      </c>
      <c r="AD406" s="42" t="str">
        <f>IF(AND(C406=Master!$H$3,B406="2012-2013",E406="",G406="PLN03"),H406,"")</f>
        <v/>
      </c>
      <c r="AE406" s="42" t="str">
        <f>IF(AND(C406=Master!$H$4,B406="2012-2013",E406&gt;1000,G406="PLN03"),H406,"")</f>
        <v/>
      </c>
      <c r="AF406" s="42" t="str">
        <f>IF(AND(C406=Master!$H$4,B406="2012-2013",E406="",G406="PLN03"),H406,"")</f>
        <v/>
      </c>
      <c r="AG406" s="42" t="str">
        <f>IF(AND(C406=Master!$H$5,B406="2012-2013",E406&gt;1000,G406="PLN03"),H406,"")</f>
        <v/>
      </c>
      <c r="AH406" s="42" t="str">
        <f>IF(AND(C406=Master!$H$5,B406="2012-2013",E406="",G406="PLN03"),H406,"")</f>
        <v/>
      </c>
      <c r="AI406" s="42" t="str">
        <f>IF(AND(C406=Master!$H$6,B406="2012-2013",E406&gt;1000,G406="PLN03"),H406,"")</f>
        <v/>
      </c>
      <c r="AJ406" s="42" t="str">
        <f>IF(AND(C406=Master!$H$6,B406="2012-2013",E406="",G406="PLN03"),H406,"")</f>
        <v/>
      </c>
      <c r="AK406" s="42" t="str">
        <f>IF(AND(C406=Master!$H$7,B406="2012-2013",E406&gt;1000,G406="PLN03"),H406,"")</f>
        <v/>
      </c>
      <c r="AL406" s="42" t="str">
        <f>IF(AND(C406=Master!$H$7,B406="2012-2013",E406="",G406="PLN03"),H406,"")</f>
        <v/>
      </c>
      <c r="AM406" s="42" t="str">
        <f>IF(AND(C406=Master!$H$8,B406="2012-2013",E406&gt;1000,G406="PLN03"),H406,"")</f>
        <v/>
      </c>
      <c r="AN406" s="42" t="str">
        <f>IF(AND(C406=Master!$H$8,B406="2012-2013",E406="",G406="PLN03"),H406,"")</f>
        <v/>
      </c>
      <c r="AO406" s="42" t="str">
        <f>IF(AND(C406=Master!$H$9,B406="2012-2013",E406&gt;1000,G406="PLN03"),H406,"")</f>
        <v/>
      </c>
      <c r="AP406" s="42" t="str">
        <f>IF(AND(C406=Master!$H$9,B406="2012-2013",E406="",G406="PLN03"),H406,"")</f>
        <v/>
      </c>
      <c r="AQ406" s="44" t="str">
        <f>IF(AND(C406=Master!$H$1,B406="2012-2013",E406&gt;1000,G406="NPN05"),H406,"")</f>
        <v/>
      </c>
      <c r="AR406" s="44" t="str">
        <f>IF(AND(C406=Master!$H$1,B406="2012-2013",E406="",G406="NPN05"),H406,"")</f>
        <v/>
      </c>
      <c r="AS406" s="44" t="str">
        <f>IF(AND(C406=Master!$H$2,B406="2012-2013",E406&gt;1000,G406="NPN05"),H406,"")</f>
        <v/>
      </c>
      <c r="AT406" s="44" t="str">
        <f>IF(AND(C406=Master!$H$2,B406="2012-2013",E406="",G406="NPN05"),H406,"")</f>
        <v/>
      </c>
      <c r="AU406" s="44" t="str">
        <f>IF(AND(C406=Master!$H$3,B406="2012-2013",E406&gt;1000,G406="NPN05"),H406,"")</f>
        <v/>
      </c>
      <c r="AV406" s="44" t="str">
        <f>IF(AND(C406=Master!$H$3,B406="2012-2013",E406="",G406="NPN05"),H406,"")</f>
        <v/>
      </c>
      <c r="AW406" s="44" t="str">
        <f>IF(AND(C406=Master!$H$4,B406="2012-2013",E406&gt;1000,G406="NPN05"),H406,"")</f>
        <v/>
      </c>
      <c r="AX406" s="44" t="str">
        <f>IF(AND(C406=Master!$H$4,B406="2012-2013",E406="",G406="NPN05"),H406,"")</f>
        <v/>
      </c>
      <c r="AY406" s="44" t="str">
        <f>IF(AND(C406=Master!$H$5,B406="2012-2013",E406&gt;1000,G406="NPN05"),H406,"")</f>
        <v/>
      </c>
      <c r="AZ406" s="44" t="str">
        <f>IF(AND(C406=Master!$H$5,B406="2012-2013",E406="",G406="NPN05"),H406,"")</f>
        <v/>
      </c>
      <c r="BA406" s="44" t="str">
        <f>IF(AND(C406=Master!$H$6,B406="2012-2013",E406&gt;1000,G406="NPN05"),H406,"")</f>
        <v/>
      </c>
      <c r="BB406" s="44" t="str">
        <f>IF(AND(C406=Master!$H$6,B406="2012-2013",E406="",G406="NPN05"),H406,"")</f>
        <v/>
      </c>
      <c r="BC406" s="44" t="str">
        <f>IF(AND(C406=Master!$H$7,B406="2012-2013",E406&gt;1000,G406="NPN05"),H406,"")</f>
        <v/>
      </c>
      <c r="BD406" s="44" t="str">
        <f>IF(AND(C406=Master!$H$7,B406="2012-2013",E406="",G406="NPN05"),H406,"")</f>
        <v/>
      </c>
      <c r="BE406" s="44" t="str">
        <f>IF(AND(C406=Master!$H$8,B406="2012-2013",E406&gt;1000,G406="NPN05"),H406,"")</f>
        <v/>
      </c>
      <c r="BF406" s="44" t="str">
        <f>IF(AND(C406=Master!$H$8,B406="2012-2013",E406="",G406="NPN05"),H406,"")</f>
        <v/>
      </c>
      <c r="BG406" s="44" t="str">
        <f>IF(AND(C406=Master!$H$9,B406="2012-2013",E406&gt;1000,G406="NPN05"),H406,"")</f>
        <v/>
      </c>
      <c r="BH406" s="44" t="str">
        <f>IF(AND(C406=Master!$H$9,B406="2012-2013",E406="",G406="NPN05"),H406,"")</f>
        <v/>
      </c>
    </row>
    <row r="407" spans="1:60" x14ac:dyDescent="0.25">
      <c r="A407" s="3">
        <v>405</v>
      </c>
      <c r="B407" s="12"/>
      <c r="C407" s="12"/>
      <c r="D407" s="31"/>
      <c r="E407" s="4"/>
      <c r="F407" s="13"/>
      <c r="G407" s="21"/>
      <c r="H407" s="35"/>
      <c r="I407" s="21"/>
      <c r="J407" s="25" t="str">
        <f>IF(NOT(I407=""),INDEX(Master!$B$1:$B$46,MATCH(I407,Master!$A$1:$A$46,0)),"")</f>
        <v/>
      </c>
      <c r="K407" s="18"/>
      <c r="L407" s="86"/>
      <c r="M407" s="13"/>
      <c r="N407" s="13"/>
      <c r="O407" s="18"/>
      <c r="P407" s="35"/>
      <c r="Q407" s="21"/>
      <c r="R407" s="21"/>
      <c r="S407" s="13"/>
      <c r="T407" s="12"/>
      <c r="U407" s="12"/>
      <c r="V407" s="12"/>
      <c r="W407" s="14"/>
      <c r="Y407" s="42" t="str">
        <f>IF(AND(C407=Master!$H$1,B407="2012-2013",E407&gt;1000,G407="PLN03"),H407,"")</f>
        <v/>
      </c>
      <c r="Z407" s="42" t="str">
        <f>IF(AND(C407=Master!$H$1,B407="2012-2013",E407="",G407="PLN03"),H407,"")</f>
        <v/>
      </c>
      <c r="AA407" s="42" t="str">
        <f>IF(AND(C407=Master!$H$2,B407="2012-2013",E407&gt;1000,G407="PLN03"),H407,"")</f>
        <v/>
      </c>
      <c r="AB407" s="42" t="str">
        <f>IF(AND(C407=Master!$H$2,B407="2012-2013",E407="",G407="PLN03"),H407,"")</f>
        <v/>
      </c>
      <c r="AC407" s="42" t="str">
        <f>IF(AND(C407=Master!$H$3,B407="2012-2013",E407&gt;1000,G407="PLN03"),H407,"")</f>
        <v/>
      </c>
      <c r="AD407" s="42" t="str">
        <f>IF(AND(C407=Master!$H$3,B407="2012-2013",E407="",G407="PLN03"),H407,"")</f>
        <v/>
      </c>
      <c r="AE407" s="42" t="str">
        <f>IF(AND(C407=Master!$H$4,B407="2012-2013",E407&gt;1000,G407="PLN03"),H407,"")</f>
        <v/>
      </c>
      <c r="AF407" s="42" t="str">
        <f>IF(AND(C407=Master!$H$4,B407="2012-2013",E407="",G407="PLN03"),H407,"")</f>
        <v/>
      </c>
      <c r="AG407" s="42" t="str">
        <f>IF(AND(C407=Master!$H$5,B407="2012-2013",E407&gt;1000,G407="PLN03"),H407,"")</f>
        <v/>
      </c>
      <c r="AH407" s="42" t="str">
        <f>IF(AND(C407=Master!$H$5,B407="2012-2013",E407="",G407="PLN03"),H407,"")</f>
        <v/>
      </c>
      <c r="AI407" s="42" t="str">
        <f>IF(AND(C407=Master!$H$6,B407="2012-2013",E407&gt;1000,G407="PLN03"),H407,"")</f>
        <v/>
      </c>
      <c r="AJ407" s="42" t="str">
        <f>IF(AND(C407=Master!$H$6,B407="2012-2013",E407="",G407="PLN03"),H407,"")</f>
        <v/>
      </c>
      <c r="AK407" s="42" t="str">
        <f>IF(AND(C407=Master!$H$7,B407="2012-2013",E407&gt;1000,G407="PLN03"),H407,"")</f>
        <v/>
      </c>
      <c r="AL407" s="42" t="str">
        <f>IF(AND(C407=Master!$H$7,B407="2012-2013",E407="",G407="PLN03"),H407,"")</f>
        <v/>
      </c>
      <c r="AM407" s="42" t="str">
        <f>IF(AND(C407=Master!$H$8,B407="2012-2013",E407&gt;1000,G407="PLN03"),H407,"")</f>
        <v/>
      </c>
      <c r="AN407" s="42" t="str">
        <f>IF(AND(C407=Master!$H$8,B407="2012-2013",E407="",G407="PLN03"),H407,"")</f>
        <v/>
      </c>
      <c r="AO407" s="42" t="str">
        <f>IF(AND(C407=Master!$H$9,B407="2012-2013",E407&gt;1000,G407="PLN03"),H407,"")</f>
        <v/>
      </c>
      <c r="AP407" s="42" t="str">
        <f>IF(AND(C407=Master!$H$9,B407="2012-2013",E407="",G407="PLN03"),H407,"")</f>
        <v/>
      </c>
      <c r="AQ407" s="44" t="str">
        <f>IF(AND(C407=Master!$H$1,B407="2012-2013",E407&gt;1000,G407="NPN05"),H407,"")</f>
        <v/>
      </c>
      <c r="AR407" s="44" t="str">
        <f>IF(AND(C407=Master!$H$1,B407="2012-2013",E407="",G407="NPN05"),H407,"")</f>
        <v/>
      </c>
      <c r="AS407" s="44" t="str">
        <f>IF(AND(C407=Master!$H$2,B407="2012-2013",E407&gt;1000,G407="NPN05"),H407,"")</f>
        <v/>
      </c>
      <c r="AT407" s="44" t="str">
        <f>IF(AND(C407=Master!$H$2,B407="2012-2013",E407="",G407="NPN05"),H407,"")</f>
        <v/>
      </c>
      <c r="AU407" s="44" t="str">
        <f>IF(AND(C407=Master!$H$3,B407="2012-2013",E407&gt;1000,G407="NPN05"),H407,"")</f>
        <v/>
      </c>
      <c r="AV407" s="44" t="str">
        <f>IF(AND(C407=Master!$H$3,B407="2012-2013",E407="",G407="NPN05"),H407,"")</f>
        <v/>
      </c>
      <c r="AW407" s="44" t="str">
        <f>IF(AND(C407=Master!$H$4,B407="2012-2013",E407&gt;1000,G407="NPN05"),H407,"")</f>
        <v/>
      </c>
      <c r="AX407" s="44" t="str">
        <f>IF(AND(C407=Master!$H$4,B407="2012-2013",E407="",G407="NPN05"),H407,"")</f>
        <v/>
      </c>
      <c r="AY407" s="44" t="str">
        <f>IF(AND(C407=Master!$H$5,B407="2012-2013",E407&gt;1000,G407="NPN05"),H407,"")</f>
        <v/>
      </c>
      <c r="AZ407" s="44" t="str">
        <f>IF(AND(C407=Master!$H$5,B407="2012-2013",E407="",G407="NPN05"),H407,"")</f>
        <v/>
      </c>
      <c r="BA407" s="44" t="str">
        <f>IF(AND(C407=Master!$H$6,B407="2012-2013",E407&gt;1000,G407="NPN05"),H407,"")</f>
        <v/>
      </c>
      <c r="BB407" s="44" t="str">
        <f>IF(AND(C407=Master!$H$6,B407="2012-2013",E407="",G407="NPN05"),H407,"")</f>
        <v/>
      </c>
      <c r="BC407" s="44" t="str">
        <f>IF(AND(C407=Master!$H$7,B407="2012-2013",E407&gt;1000,G407="NPN05"),H407,"")</f>
        <v/>
      </c>
      <c r="BD407" s="44" t="str">
        <f>IF(AND(C407=Master!$H$7,B407="2012-2013",E407="",G407="NPN05"),H407,"")</f>
        <v/>
      </c>
      <c r="BE407" s="44" t="str">
        <f>IF(AND(C407=Master!$H$8,B407="2012-2013",E407&gt;1000,G407="NPN05"),H407,"")</f>
        <v/>
      </c>
      <c r="BF407" s="44" t="str">
        <f>IF(AND(C407=Master!$H$8,B407="2012-2013",E407="",G407="NPN05"),H407,"")</f>
        <v/>
      </c>
      <c r="BG407" s="44" t="str">
        <f>IF(AND(C407=Master!$H$9,B407="2012-2013",E407&gt;1000,G407="NPN05"),H407,"")</f>
        <v/>
      </c>
      <c r="BH407" s="44" t="str">
        <f>IF(AND(C407=Master!$H$9,B407="2012-2013",E407="",G407="NPN05"),H407,"")</f>
        <v/>
      </c>
    </row>
    <row r="408" spans="1:60" x14ac:dyDescent="0.25">
      <c r="A408" s="3">
        <v>406</v>
      </c>
      <c r="B408" s="12"/>
      <c r="C408" s="12"/>
      <c r="D408" s="31"/>
      <c r="E408" s="4"/>
      <c r="F408" s="13"/>
      <c r="G408" s="21"/>
      <c r="H408" s="35"/>
      <c r="I408" s="21"/>
      <c r="J408" s="25" t="str">
        <f>IF(NOT(I408=""),INDEX(Master!$B$1:$B$46,MATCH(I408,Master!$A$1:$A$46,0)),"")</f>
        <v/>
      </c>
      <c r="K408" s="18"/>
      <c r="L408" s="86"/>
      <c r="M408" s="13"/>
      <c r="N408" s="13"/>
      <c r="O408" s="18"/>
      <c r="P408" s="35"/>
      <c r="Q408" s="21"/>
      <c r="R408" s="21"/>
      <c r="S408" s="13"/>
      <c r="T408" s="12"/>
      <c r="U408" s="12"/>
      <c r="V408" s="12"/>
      <c r="W408" s="14"/>
      <c r="Y408" s="42" t="str">
        <f>IF(AND(C408=Master!$H$1,B408="2012-2013",E408&gt;1000,G408="PLN03"),H408,"")</f>
        <v/>
      </c>
      <c r="Z408" s="42" t="str">
        <f>IF(AND(C408=Master!$H$1,B408="2012-2013",E408="",G408="PLN03"),H408,"")</f>
        <v/>
      </c>
      <c r="AA408" s="42" t="str">
        <f>IF(AND(C408=Master!$H$2,B408="2012-2013",E408&gt;1000,G408="PLN03"),H408,"")</f>
        <v/>
      </c>
      <c r="AB408" s="42" t="str">
        <f>IF(AND(C408=Master!$H$2,B408="2012-2013",E408="",G408="PLN03"),H408,"")</f>
        <v/>
      </c>
      <c r="AC408" s="42" t="str">
        <f>IF(AND(C408=Master!$H$3,B408="2012-2013",E408&gt;1000,G408="PLN03"),H408,"")</f>
        <v/>
      </c>
      <c r="AD408" s="42" t="str">
        <f>IF(AND(C408=Master!$H$3,B408="2012-2013",E408="",G408="PLN03"),H408,"")</f>
        <v/>
      </c>
      <c r="AE408" s="42" t="str">
        <f>IF(AND(C408=Master!$H$4,B408="2012-2013",E408&gt;1000,G408="PLN03"),H408,"")</f>
        <v/>
      </c>
      <c r="AF408" s="42" t="str">
        <f>IF(AND(C408=Master!$H$4,B408="2012-2013",E408="",G408="PLN03"),H408,"")</f>
        <v/>
      </c>
      <c r="AG408" s="42" t="str">
        <f>IF(AND(C408=Master!$H$5,B408="2012-2013",E408&gt;1000,G408="PLN03"),H408,"")</f>
        <v/>
      </c>
      <c r="AH408" s="42" t="str">
        <f>IF(AND(C408=Master!$H$5,B408="2012-2013",E408="",G408="PLN03"),H408,"")</f>
        <v/>
      </c>
      <c r="AI408" s="42" t="str">
        <f>IF(AND(C408=Master!$H$6,B408="2012-2013",E408&gt;1000,G408="PLN03"),H408,"")</f>
        <v/>
      </c>
      <c r="AJ408" s="42" t="str">
        <f>IF(AND(C408=Master!$H$6,B408="2012-2013",E408="",G408="PLN03"),H408,"")</f>
        <v/>
      </c>
      <c r="AK408" s="42" t="str">
        <f>IF(AND(C408=Master!$H$7,B408="2012-2013",E408&gt;1000,G408="PLN03"),H408,"")</f>
        <v/>
      </c>
      <c r="AL408" s="42" t="str">
        <f>IF(AND(C408=Master!$H$7,B408="2012-2013",E408="",G408="PLN03"),H408,"")</f>
        <v/>
      </c>
      <c r="AM408" s="42" t="str">
        <f>IF(AND(C408=Master!$H$8,B408="2012-2013",E408&gt;1000,G408="PLN03"),H408,"")</f>
        <v/>
      </c>
      <c r="AN408" s="42" t="str">
        <f>IF(AND(C408=Master!$H$8,B408="2012-2013",E408="",G408="PLN03"),H408,"")</f>
        <v/>
      </c>
      <c r="AO408" s="42" t="str">
        <f>IF(AND(C408=Master!$H$9,B408="2012-2013",E408&gt;1000,G408="PLN03"),H408,"")</f>
        <v/>
      </c>
      <c r="AP408" s="42" t="str">
        <f>IF(AND(C408=Master!$H$9,B408="2012-2013",E408="",G408="PLN03"),H408,"")</f>
        <v/>
      </c>
      <c r="AQ408" s="44" t="str">
        <f>IF(AND(C408=Master!$H$1,B408="2012-2013",E408&gt;1000,G408="NPN05"),H408,"")</f>
        <v/>
      </c>
      <c r="AR408" s="44" t="str">
        <f>IF(AND(C408=Master!$H$1,B408="2012-2013",E408="",G408="NPN05"),H408,"")</f>
        <v/>
      </c>
      <c r="AS408" s="44" t="str">
        <f>IF(AND(C408=Master!$H$2,B408="2012-2013",E408&gt;1000,G408="NPN05"),H408,"")</f>
        <v/>
      </c>
      <c r="AT408" s="44" t="str">
        <f>IF(AND(C408=Master!$H$2,B408="2012-2013",E408="",G408="NPN05"),H408,"")</f>
        <v/>
      </c>
      <c r="AU408" s="44" t="str">
        <f>IF(AND(C408=Master!$H$3,B408="2012-2013",E408&gt;1000,G408="NPN05"),H408,"")</f>
        <v/>
      </c>
      <c r="AV408" s="44" t="str">
        <f>IF(AND(C408=Master!$H$3,B408="2012-2013",E408="",G408="NPN05"),H408,"")</f>
        <v/>
      </c>
      <c r="AW408" s="44" t="str">
        <f>IF(AND(C408=Master!$H$4,B408="2012-2013",E408&gt;1000,G408="NPN05"),H408,"")</f>
        <v/>
      </c>
      <c r="AX408" s="44" t="str">
        <f>IF(AND(C408=Master!$H$4,B408="2012-2013",E408="",G408="NPN05"),H408,"")</f>
        <v/>
      </c>
      <c r="AY408" s="44" t="str">
        <f>IF(AND(C408=Master!$H$5,B408="2012-2013",E408&gt;1000,G408="NPN05"),H408,"")</f>
        <v/>
      </c>
      <c r="AZ408" s="44" t="str">
        <f>IF(AND(C408=Master!$H$5,B408="2012-2013",E408="",G408="NPN05"),H408,"")</f>
        <v/>
      </c>
      <c r="BA408" s="44" t="str">
        <f>IF(AND(C408=Master!$H$6,B408="2012-2013",E408&gt;1000,G408="NPN05"),H408,"")</f>
        <v/>
      </c>
      <c r="BB408" s="44" t="str">
        <f>IF(AND(C408=Master!$H$6,B408="2012-2013",E408="",G408="NPN05"),H408,"")</f>
        <v/>
      </c>
      <c r="BC408" s="44" t="str">
        <f>IF(AND(C408=Master!$H$7,B408="2012-2013",E408&gt;1000,G408="NPN05"),H408,"")</f>
        <v/>
      </c>
      <c r="BD408" s="44" t="str">
        <f>IF(AND(C408=Master!$H$7,B408="2012-2013",E408="",G408="NPN05"),H408,"")</f>
        <v/>
      </c>
      <c r="BE408" s="44" t="str">
        <f>IF(AND(C408=Master!$H$8,B408="2012-2013",E408&gt;1000,G408="NPN05"),H408,"")</f>
        <v/>
      </c>
      <c r="BF408" s="44" t="str">
        <f>IF(AND(C408=Master!$H$8,B408="2012-2013",E408="",G408="NPN05"),H408,"")</f>
        <v/>
      </c>
      <c r="BG408" s="44" t="str">
        <f>IF(AND(C408=Master!$H$9,B408="2012-2013",E408&gt;1000,G408="NPN05"),H408,"")</f>
        <v/>
      </c>
      <c r="BH408" s="44" t="str">
        <f>IF(AND(C408=Master!$H$9,B408="2012-2013",E408="",G408="NPN05"),H408,"")</f>
        <v/>
      </c>
    </row>
    <row r="409" spans="1:60" x14ac:dyDescent="0.25">
      <c r="A409" s="5">
        <v>407</v>
      </c>
      <c r="B409" s="12"/>
      <c r="C409" s="12"/>
      <c r="D409" s="31"/>
      <c r="E409" s="4"/>
      <c r="F409" s="13"/>
      <c r="G409" s="21"/>
      <c r="H409" s="35"/>
      <c r="I409" s="21"/>
      <c r="J409" s="25" t="str">
        <f>IF(NOT(I409=""),INDEX(Master!$B$1:$B$46,MATCH(I409,Master!$A$1:$A$46,0)),"")</f>
        <v/>
      </c>
      <c r="K409" s="18"/>
      <c r="L409" s="86"/>
      <c r="M409" s="13"/>
      <c r="N409" s="13"/>
      <c r="O409" s="18"/>
      <c r="P409" s="35"/>
      <c r="Q409" s="21"/>
      <c r="R409" s="21"/>
      <c r="S409" s="13"/>
      <c r="T409" s="12"/>
      <c r="U409" s="12"/>
      <c r="V409" s="12"/>
      <c r="W409" s="14"/>
      <c r="Y409" s="42" t="str">
        <f>IF(AND(C409=Master!$H$1,B409="2012-2013",E409&gt;1000,G409="PLN03"),H409,"")</f>
        <v/>
      </c>
      <c r="Z409" s="42" t="str">
        <f>IF(AND(C409=Master!$H$1,B409="2012-2013",E409="",G409="PLN03"),H409,"")</f>
        <v/>
      </c>
      <c r="AA409" s="42" t="str">
        <f>IF(AND(C409=Master!$H$2,B409="2012-2013",E409&gt;1000,G409="PLN03"),H409,"")</f>
        <v/>
      </c>
      <c r="AB409" s="42" t="str">
        <f>IF(AND(C409=Master!$H$2,B409="2012-2013",E409="",G409="PLN03"),H409,"")</f>
        <v/>
      </c>
      <c r="AC409" s="42" t="str">
        <f>IF(AND(C409=Master!$H$3,B409="2012-2013",E409&gt;1000,G409="PLN03"),H409,"")</f>
        <v/>
      </c>
      <c r="AD409" s="42" t="str">
        <f>IF(AND(C409=Master!$H$3,B409="2012-2013",E409="",G409="PLN03"),H409,"")</f>
        <v/>
      </c>
      <c r="AE409" s="42" t="str">
        <f>IF(AND(C409=Master!$H$4,B409="2012-2013",E409&gt;1000,G409="PLN03"),H409,"")</f>
        <v/>
      </c>
      <c r="AF409" s="42" t="str">
        <f>IF(AND(C409=Master!$H$4,B409="2012-2013",E409="",G409="PLN03"),H409,"")</f>
        <v/>
      </c>
      <c r="AG409" s="42" t="str">
        <f>IF(AND(C409=Master!$H$5,B409="2012-2013",E409&gt;1000,G409="PLN03"),H409,"")</f>
        <v/>
      </c>
      <c r="AH409" s="42" t="str">
        <f>IF(AND(C409=Master!$H$5,B409="2012-2013",E409="",G409="PLN03"),H409,"")</f>
        <v/>
      </c>
      <c r="AI409" s="42" t="str">
        <f>IF(AND(C409=Master!$H$6,B409="2012-2013",E409&gt;1000,G409="PLN03"),H409,"")</f>
        <v/>
      </c>
      <c r="AJ409" s="42" t="str">
        <f>IF(AND(C409=Master!$H$6,B409="2012-2013",E409="",G409="PLN03"),H409,"")</f>
        <v/>
      </c>
      <c r="AK409" s="42" t="str">
        <f>IF(AND(C409=Master!$H$7,B409="2012-2013",E409&gt;1000,G409="PLN03"),H409,"")</f>
        <v/>
      </c>
      <c r="AL409" s="42" t="str">
        <f>IF(AND(C409=Master!$H$7,B409="2012-2013",E409="",G409="PLN03"),H409,"")</f>
        <v/>
      </c>
      <c r="AM409" s="42" t="str">
        <f>IF(AND(C409=Master!$H$8,B409="2012-2013",E409&gt;1000,G409="PLN03"),H409,"")</f>
        <v/>
      </c>
      <c r="AN409" s="42" t="str">
        <f>IF(AND(C409=Master!$H$8,B409="2012-2013",E409="",G409="PLN03"),H409,"")</f>
        <v/>
      </c>
      <c r="AO409" s="42" t="str">
        <f>IF(AND(C409=Master!$H$9,B409="2012-2013",E409&gt;1000,G409="PLN03"),H409,"")</f>
        <v/>
      </c>
      <c r="AP409" s="42" t="str">
        <f>IF(AND(C409=Master!$H$9,B409="2012-2013",E409="",G409="PLN03"),H409,"")</f>
        <v/>
      </c>
      <c r="AQ409" s="44" t="str">
        <f>IF(AND(C409=Master!$H$1,B409="2012-2013",E409&gt;1000,G409="NPN05"),H409,"")</f>
        <v/>
      </c>
      <c r="AR409" s="44" t="str">
        <f>IF(AND(C409=Master!$H$1,B409="2012-2013",E409="",G409="NPN05"),H409,"")</f>
        <v/>
      </c>
      <c r="AS409" s="44" t="str">
        <f>IF(AND(C409=Master!$H$2,B409="2012-2013",E409&gt;1000,G409="NPN05"),H409,"")</f>
        <v/>
      </c>
      <c r="AT409" s="44" t="str">
        <f>IF(AND(C409=Master!$H$2,B409="2012-2013",E409="",G409="NPN05"),H409,"")</f>
        <v/>
      </c>
      <c r="AU409" s="44" t="str">
        <f>IF(AND(C409=Master!$H$3,B409="2012-2013",E409&gt;1000,G409="NPN05"),H409,"")</f>
        <v/>
      </c>
      <c r="AV409" s="44" t="str">
        <f>IF(AND(C409=Master!$H$3,B409="2012-2013",E409="",G409="NPN05"),H409,"")</f>
        <v/>
      </c>
      <c r="AW409" s="44" t="str">
        <f>IF(AND(C409=Master!$H$4,B409="2012-2013",E409&gt;1000,G409="NPN05"),H409,"")</f>
        <v/>
      </c>
      <c r="AX409" s="44" t="str">
        <f>IF(AND(C409=Master!$H$4,B409="2012-2013",E409="",G409="NPN05"),H409,"")</f>
        <v/>
      </c>
      <c r="AY409" s="44" t="str">
        <f>IF(AND(C409=Master!$H$5,B409="2012-2013",E409&gt;1000,G409="NPN05"),H409,"")</f>
        <v/>
      </c>
      <c r="AZ409" s="44" t="str">
        <f>IF(AND(C409=Master!$H$5,B409="2012-2013",E409="",G409="NPN05"),H409,"")</f>
        <v/>
      </c>
      <c r="BA409" s="44" t="str">
        <f>IF(AND(C409=Master!$H$6,B409="2012-2013",E409&gt;1000,G409="NPN05"),H409,"")</f>
        <v/>
      </c>
      <c r="BB409" s="44" t="str">
        <f>IF(AND(C409=Master!$H$6,B409="2012-2013",E409="",G409="NPN05"),H409,"")</f>
        <v/>
      </c>
      <c r="BC409" s="44" t="str">
        <f>IF(AND(C409=Master!$H$7,B409="2012-2013",E409&gt;1000,G409="NPN05"),H409,"")</f>
        <v/>
      </c>
      <c r="BD409" s="44" t="str">
        <f>IF(AND(C409=Master!$H$7,B409="2012-2013",E409="",G409="NPN05"),H409,"")</f>
        <v/>
      </c>
      <c r="BE409" s="44" t="str">
        <f>IF(AND(C409=Master!$H$8,B409="2012-2013",E409&gt;1000,G409="NPN05"),H409,"")</f>
        <v/>
      </c>
      <c r="BF409" s="44" t="str">
        <f>IF(AND(C409=Master!$H$8,B409="2012-2013",E409="",G409="NPN05"),H409,"")</f>
        <v/>
      </c>
      <c r="BG409" s="44" t="str">
        <f>IF(AND(C409=Master!$H$9,B409="2012-2013",E409&gt;1000,G409="NPN05"),H409,"")</f>
        <v/>
      </c>
      <c r="BH409" s="44" t="str">
        <f>IF(AND(C409=Master!$H$9,B409="2012-2013",E409="",G409="NPN05"),H409,"")</f>
        <v/>
      </c>
    </row>
    <row r="410" spans="1:60" x14ac:dyDescent="0.25">
      <c r="A410" s="3">
        <v>408</v>
      </c>
      <c r="B410" s="12"/>
      <c r="C410" s="12"/>
      <c r="D410" s="31"/>
      <c r="E410" s="4"/>
      <c r="F410" s="13"/>
      <c r="G410" s="21"/>
      <c r="H410" s="35"/>
      <c r="I410" s="21"/>
      <c r="J410" s="25" t="str">
        <f>IF(NOT(I410=""),INDEX(Master!$B$1:$B$46,MATCH(I410,Master!$A$1:$A$46,0)),"")</f>
        <v/>
      </c>
      <c r="K410" s="18"/>
      <c r="L410" s="86"/>
      <c r="M410" s="13"/>
      <c r="N410" s="13"/>
      <c r="O410" s="18"/>
      <c r="P410" s="35"/>
      <c r="Q410" s="21"/>
      <c r="R410" s="21"/>
      <c r="S410" s="13"/>
      <c r="T410" s="12"/>
      <c r="U410" s="12"/>
      <c r="V410" s="12"/>
      <c r="W410" s="14"/>
      <c r="Y410" s="42" t="str">
        <f>IF(AND(C410=Master!$H$1,B410="2012-2013",E410&gt;1000,G410="PLN03"),H410,"")</f>
        <v/>
      </c>
      <c r="Z410" s="42" t="str">
        <f>IF(AND(C410=Master!$H$1,B410="2012-2013",E410="",G410="PLN03"),H410,"")</f>
        <v/>
      </c>
      <c r="AA410" s="42" t="str">
        <f>IF(AND(C410=Master!$H$2,B410="2012-2013",E410&gt;1000,G410="PLN03"),H410,"")</f>
        <v/>
      </c>
      <c r="AB410" s="42" t="str">
        <f>IF(AND(C410=Master!$H$2,B410="2012-2013",E410="",G410="PLN03"),H410,"")</f>
        <v/>
      </c>
      <c r="AC410" s="42" t="str">
        <f>IF(AND(C410=Master!$H$3,B410="2012-2013",E410&gt;1000,G410="PLN03"),H410,"")</f>
        <v/>
      </c>
      <c r="AD410" s="42" t="str">
        <f>IF(AND(C410=Master!$H$3,B410="2012-2013",E410="",G410="PLN03"),H410,"")</f>
        <v/>
      </c>
      <c r="AE410" s="42" t="str">
        <f>IF(AND(C410=Master!$H$4,B410="2012-2013",E410&gt;1000,G410="PLN03"),H410,"")</f>
        <v/>
      </c>
      <c r="AF410" s="42" t="str">
        <f>IF(AND(C410=Master!$H$4,B410="2012-2013",E410="",G410="PLN03"),H410,"")</f>
        <v/>
      </c>
      <c r="AG410" s="42" t="str">
        <f>IF(AND(C410=Master!$H$5,B410="2012-2013",E410&gt;1000,G410="PLN03"),H410,"")</f>
        <v/>
      </c>
      <c r="AH410" s="42" t="str">
        <f>IF(AND(C410=Master!$H$5,B410="2012-2013",E410="",G410="PLN03"),H410,"")</f>
        <v/>
      </c>
      <c r="AI410" s="42" t="str">
        <f>IF(AND(C410=Master!$H$6,B410="2012-2013",E410&gt;1000,G410="PLN03"),H410,"")</f>
        <v/>
      </c>
      <c r="AJ410" s="42" t="str">
        <f>IF(AND(C410=Master!$H$6,B410="2012-2013",E410="",G410="PLN03"),H410,"")</f>
        <v/>
      </c>
      <c r="AK410" s="42" t="str">
        <f>IF(AND(C410=Master!$H$7,B410="2012-2013",E410&gt;1000,G410="PLN03"),H410,"")</f>
        <v/>
      </c>
      <c r="AL410" s="42" t="str">
        <f>IF(AND(C410=Master!$H$7,B410="2012-2013",E410="",G410="PLN03"),H410,"")</f>
        <v/>
      </c>
      <c r="AM410" s="42" t="str">
        <f>IF(AND(C410=Master!$H$8,B410="2012-2013",E410&gt;1000,G410="PLN03"),H410,"")</f>
        <v/>
      </c>
      <c r="AN410" s="42" t="str">
        <f>IF(AND(C410=Master!$H$8,B410="2012-2013",E410="",G410="PLN03"),H410,"")</f>
        <v/>
      </c>
      <c r="AO410" s="42" t="str">
        <f>IF(AND(C410=Master!$H$9,B410="2012-2013",E410&gt;1000,G410="PLN03"),H410,"")</f>
        <v/>
      </c>
      <c r="AP410" s="42" t="str">
        <f>IF(AND(C410=Master!$H$9,B410="2012-2013",E410="",G410="PLN03"),H410,"")</f>
        <v/>
      </c>
      <c r="AQ410" s="44" t="str">
        <f>IF(AND(C410=Master!$H$1,B410="2012-2013",E410&gt;1000,G410="NPN05"),H410,"")</f>
        <v/>
      </c>
      <c r="AR410" s="44" t="str">
        <f>IF(AND(C410=Master!$H$1,B410="2012-2013",E410="",G410="NPN05"),H410,"")</f>
        <v/>
      </c>
      <c r="AS410" s="44" t="str">
        <f>IF(AND(C410=Master!$H$2,B410="2012-2013",E410&gt;1000,G410="NPN05"),H410,"")</f>
        <v/>
      </c>
      <c r="AT410" s="44" t="str">
        <f>IF(AND(C410=Master!$H$2,B410="2012-2013",E410="",G410="NPN05"),H410,"")</f>
        <v/>
      </c>
      <c r="AU410" s="44" t="str">
        <f>IF(AND(C410=Master!$H$3,B410="2012-2013",E410&gt;1000,G410="NPN05"),H410,"")</f>
        <v/>
      </c>
      <c r="AV410" s="44" t="str">
        <f>IF(AND(C410=Master!$H$3,B410="2012-2013",E410="",G410="NPN05"),H410,"")</f>
        <v/>
      </c>
      <c r="AW410" s="44" t="str">
        <f>IF(AND(C410=Master!$H$4,B410="2012-2013",E410&gt;1000,G410="NPN05"),H410,"")</f>
        <v/>
      </c>
      <c r="AX410" s="44" t="str">
        <f>IF(AND(C410=Master!$H$4,B410="2012-2013",E410="",G410="NPN05"),H410,"")</f>
        <v/>
      </c>
      <c r="AY410" s="44" t="str">
        <f>IF(AND(C410=Master!$H$5,B410="2012-2013",E410&gt;1000,G410="NPN05"),H410,"")</f>
        <v/>
      </c>
      <c r="AZ410" s="44" t="str">
        <f>IF(AND(C410=Master!$H$5,B410="2012-2013",E410="",G410="NPN05"),H410,"")</f>
        <v/>
      </c>
      <c r="BA410" s="44" t="str">
        <f>IF(AND(C410=Master!$H$6,B410="2012-2013",E410&gt;1000,G410="NPN05"),H410,"")</f>
        <v/>
      </c>
      <c r="BB410" s="44" t="str">
        <f>IF(AND(C410=Master!$H$6,B410="2012-2013",E410="",G410="NPN05"),H410,"")</f>
        <v/>
      </c>
      <c r="BC410" s="44" t="str">
        <f>IF(AND(C410=Master!$H$7,B410="2012-2013",E410&gt;1000,G410="NPN05"),H410,"")</f>
        <v/>
      </c>
      <c r="BD410" s="44" t="str">
        <f>IF(AND(C410=Master!$H$7,B410="2012-2013",E410="",G410="NPN05"),H410,"")</f>
        <v/>
      </c>
      <c r="BE410" s="44" t="str">
        <f>IF(AND(C410=Master!$H$8,B410="2012-2013",E410&gt;1000,G410="NPN05"),H410,"")</f>
        <v/>
      </c>
      <c r="BF410" s="44" t="str">
        <f>IF(AND(C410=Master!$H$8,B410="2012-2013",E410="",G410="NPN05"),H410,"")</f>
        <v/>
      </c>
      <c r="BG410" s="44" t="str">
        <f>IF(AND(C410=Master!$H$9,B410="2012-2013",E410&gt;1000,G410="NPN05"),H410,"")</f>
        <v/>
      </c>
      <c r="BH410" s="44" t="str">
        <f>IF(AND(C410=Master!$H$9,B410="2012-2013",E410="",G410="NPN05"),H410,"")</f>
        <v/>
      </c>
    </row>
    <row r="411" spans="1:60" x14ac:dyDescent="0.25">
      <c r="A411" s="3">
        <v>409</v>
      </c>
      <c r="B411" s="12"/>
      <c r="C411" s="12"/>
      <c r="D411" s="31"/>
      <c r="E411" s="4"/>
      <c r="F411" s="13"/>
      <c r="G411" s="21"/>
      <c r="H411" s="35"/>
      <c r="I411" s="21"/>
      <c r="J411" s="25" t="str">
        <f>IF(NOT(I411=""),INDEX(Master!$B$1:$B$46,MATCH(I411,Master!$A$1:$A$46,0)),"")</f>
        <v/>
      </c>
      <c r="K411" s="18"/>
      <c r="L411" s="86"/>
      <c r="M411" s="13"/>
      <c r="N411" s="13"/>
      <c r="O411" s="18"/>
      <c r="P411" s="35"/>
      <c r="Q411" s="21"/>
      <c r="R411" s="21"/>
      <c r="S411" s="13"/>
      <c r="T411" s="12"/>
      <c r="U411" s="12"/>
      <c r="V411" s="12"/>
      <c r="W411" s="14"/>
      <c r="Y411" s="42" t="str">
        <f>IF(AND(C411=Master!$H$1,B411="2012-2013",E411&gt;1000,G411="PLN03"),H411,"")</f>
        <v/>
      </c>
      <c r="Z411" s="42" t="str">
        <f>IF(AND(C411=Master!$H$1,B411="2012-2013",E411="",G411="PLN03"),H411,"")</f>
        <v/>
      </c>
      <c r="AA411" s="42" t="str">
        <f>IF(AND(C411=Master!$H$2,B411="2012-2013",E411&gt;1000,G411="PLN03"),H411,"")</f>
        <v/>
      </c>
      <c r="AB411" s="42" t="str">
        <f>IF(AND(C411=Master!$H$2,B411="2012-2013",E411="",G411="PLN03"),H411,"")</f>
        <v/>
      </c>
      <c r="AC411" s="42" t="str">
        <f>IF(AND(C411=Master!$H$3,B411="2012-2013",E411&gt;1000,G411="PLN03"),H411,"")</f>
        <v/>
      </c>
      <c r="AD411" s="42" t="str">
        <f>IF(AND(C411=Master!$H$3,B411="2012-2013",E411="",G411="PLN03"),H411,"")</f>
        <v/>
      </c>
      <c r="AE411" s="42" t="str">
        <f>IF(AND(C411=Master!$H$4,B411="2012-2013",E411&gt;1000,G411="PLN03"),H411,"")</f>
        <v/>
      </c>
      <c r="AF411" s="42" t="str">
        <f>IF(AND(C411=Master!$H$4,B411="2012-2013",E411="",G411="PLN03"),H411,"")</f>
        <v/>
      </c>
      <c r="AG411" s="42" t="str">
        <f>IF(AND(C411=Master!$H$5,B411="2012-2013",E411&gt;1000,G411="PLN03"),H411,"")</f>
        <v/>
      </c>
      <c r="AH411" s="42" t="str">
        <f>IF(AND(C411=Master!$H$5,B411="2012-2013",E411="",G411="PLN03"),H411,"")</f>
        <v/>
      </c>
      <c r="AI411" s="42" t="str">
        <f>IF(AND(C411=Master!$H$6,B411="2012-2013",E411&gt;1000,G411="PLN03"),H411,"")</f>
        <v/>
      </c>
      <c r="AJ411" s="42" t="str">
        <f>IF(AND(C411=Master!$H$6,B411="2012-2013",E411="",G411="PLN03"),H411,"")</f>
        <v/>
      </c>
      <c r="AK411" s="42" t="str">
        <f>IF(AND(C411=Master!$H$7,B411="2012-2013",E411&gt;1000,G411="PLN03"),H411,"")</f>
        <v/>
      </c>
      <c r="AL411" s="42" t="str">
        <f>IF(AND(C411=Master!$H$7,B411="2012-2013",E411="",G411="PLN03"),H411,"")</f>
        <v/>
      </c>
      <c r="AM411" s="42" t="str">
        <f>IF(AND(C411=Master!$H$8,B411="2012-2013",E411&gt;1000,G411="PLN03"),H411,"")</f>
        <v/>
      </c>
      <c r="AN411" s="42" t="str">
        <f>IF(AND(C411=Master!$H$8,B411="2012-2013",E411="",G411="PLN03"),H411,"")</f>
        <v/>
      </c>
      <c r="AO411" s="42" t="str">
        <f>IF(AND(C411=Master!$H$9,B411="2012-2013",E411&gt;1000,G411="PLN03"),H411,"")</f>
        <v/>
      </c>
      <c r="AP411" s="42" t="str">
        <f>IF(AND(C411=Master!$H$9,B411="2012-2013",E411="",G411="PLN03"),H411,"")</f>
        <v/>
      </c>
      <c r="AQ411" s="44" t="str">
        <f>IF(AND(C411=Master!$H$1,B411="2012-2013",E411&gt;1000,G411="NPN05"),H411,"")</f>
        <v/>
      </c>
      <c r="AR411" s="44" t="str">
        <f>IF(AND(C411=Master!$H$1,B411="2012-2013",E411="",G411="NPN05"),H411,"")</f>
        <v/>
      </c>
      <c r="AS411" s="44" t="str">
        <f>IF(AND(C411=Master!$H$2,B411="2012-2013",E411&gt;1000,G411="NPN05"),H411,"")</f>
        <v/>
      </c>
      <c r="AT411" s="44" t="str">
        <f>IF(AND(C411=Master!$H$2,B411="2012-2013",E411="",G411="NPN05"),H411,"")</f>
        <v/>
      </c>
      <c r="AU411" s="44" t="str">
        <f>IF(AND(C411=Master!$H$3,B411="2012-2013",E411&gt;1000,G411="NPN05"),H411,"")</f>
        <v/>
      </c>
      <c r="AV411" s="44" t="str">
        <f>IF(AND(C411=Master!$H$3,B411="2012-2013",E411="",G411="NPN05"),H411,"")</f>
        <v/>
      </c>
      <c r="AW411" s="44" t="str">
        <f>IF(AND(C411=Master!$H$4,B411="2012-2013",E411&gt;1000,G411="NPN05"),H411,"")</f>
        <v/>
      </c>
      <c r="AX411" s="44" t="str">
        <f>IF(AND(C411=Master!$H$4,B411="2012-2013",E411="",G411="NPN05"),H411,"")</f>
        <v/>
      </c>
      <c r="AY411" s="44" t="str">
        <f>IF(AND(C411=Master!$H$5,B411="2012-2013",E411&gt;1000,G411="NPN05"),H411,"")</f>
        <v/>
      </c>
      <c r="AZ411" s="44" t="str">
        <f>IF(AND(C411=Master!$H$5,B411="2012-2013",E411="",G411="NPN05"),H411,"")</f>
        <v/>
      </c>
      <c r="BA411" s="44" t="str">
        <f>IF(AND(C411=Master!$H$6,B411="2012-2013",E411&gt;1000,G411="NPN05"),H411,"")</f>
        <v/>
      </c>
      <c r="BB411" s="44" t="str">
        <f>IF(AND(C411=Master!$H$6,B411="2012-2013",E411="",G411="NPN05"),H411,"")</f>
        <v/>
      </c>
      <c r="BC411" s="44" t="str">
        <f>IF(AND(C411=Master!$H$7,B411="2012-2013",E411&gt;1000,G411="NPN05"),H411,"")</f>
        <v/>
      </c>
      <c r="BD411" s="44" t="str">
        <f>IF(AND(C411=Master!$H$7,B411="2012-2013",E411="",G411="NPN05"),H411,"")</f>
        <v/>
      </c>
      <c r="BE411" s="44" t="str">
        <f>IF(AND(C411=Master!$H$8,B411="2012-2013",E411&gt;1000,G411="NPN05"),H411,"")</f>
        <v/>
      </c>
      <c r="BF411" s="44" t="str">
        <f>IF(AND(C411=Master!$H$8,B411="2012-2013",E411="",G411="NPN05"),H411,"")</f>
        <v/>
      </c>
      <c r="BG411" s="44" t="str">
        <f>IF(AND(C411=Master!$H$9,B411="2012-2013",E411&gt;1000,G411="NPN05"),H411,"")</f>
        <v/>
      </c>
      <c r="BH411" s="44" t="str">
        <f>IF(AND(C411=Master!$H$9,B411="2012-2013",E411="",G411="NPN05"),H411,"")</f>
        <v/>
      </c>
    </row>
    <row r="412" spans="1:60" x14ac:dyDescent="0.25">
      <c r="A412" s="3">
        <v>410</v>
      </c>
      <c r="B412" s="12"/>
      <c r="C412" s="12"/>
      <c r="D412" s="31"/>
      <c r="E412" s="4"/>
      <c r="F412" s="13"/>
      <c r="G412" s="21"/>
      <c r="H412" s="35"/>
      <c r="I412" s="21"/>
      <c r="J412" s="25" t="str">
        <f>IF(NOT(I412=""),INDEX(Master!$B$1:$B$46,MATCH(I412,Master!$A$1:$A$46,0)),"")</f>
        <v/>
      </c>
      <c r="K412" s="18"/>
      <c r="L412" s="86"/>
      <c r="M412" s="13"/>
      <c r="N412" s="13"/>
      <c r="O412" s="18"/>
      <c r="P412" s="35"/>
      <c r="Q412" s="21"/>
      <c r="R412" s="21"/>
      <c r="S412" s="13"/>
      <c r="T412" s="12"/>
      <c r="U412" s="12"/>
      <c r="V412" s="12"/>
      <c r="W412" s="14"/>
      <c r="Y412" s="42" t="str">
        <f>IF(AND(C412=Master!$H$1,B412="2012-2013",E412&gt;1000,G412="PLN03"),H412,"")</f>
        <v/>
      </c>
      <c r="Z412" s="42" t="str">
        <f>IF(AND(C412=Master!$H$1,B412="2012-2013",E412="",G412="PLN03"),H412,"")</f>
        <v/>
      </c>
      <c r="AA412" s="42" t="str">
        <f>IF(AND(C412=Master!$H$2,B412="2012-2013",E412&gt;1000,G412="PLN03"),H412,"")</f>
        <v/>
      </c>
      <c r="AB412" s="42" t="str">
        <f>IF(AND(C412=Master!$H$2,B412="2012-2013",E412="",G412="PLN03"),H412,"")</f>
        <v/>
      </c>
      <c r="AC412" s="42" t="str">
        <f>IF(AND(C412=Master!$H$3,B412="2012-2013",E412&gt;1000,G412="PLN03"),H412,"")</f>
        <v/>
      </c>
      <c r="AD412" s="42" t="str">
        <f>IF(AND(C412=Master!$H$3,B412="2012-2013",E412="",G412="PLN03"),H412,"")</f>
        <v/>
      </c>
      <c r="AE412" s="42" t="str">
        <f>IF(AND(C412=Master!$H$4,B412="2012-2013",E412&gt;1000,G412="PLN03"),H412,"")</f>
        <v/>
      </c>
      <c r="AF412" s="42" t="str">
        <f>IF(AND(C412=Master!$H$4,B412="2012-2013",E412="",G412="PLN03"),H412,"")</f>
        <v/>
      </c>
      <c r="AG412" s="42" t="str">
        <f>IF(AND(C412=Master!$H$5,B412="2012-2013",E412&gt;1000,G412="PLN03"),H412,"")</f>
        <v/>
      </c>
      <c r="AH412" s="42" t="str">
        <f>IF(AND(C412=Master!$H$5,B412="2012-2013",E412="",G412="PLN03"),H412,"")</f>
        <v/>
      </c>
      <c r="AI412" s="42" t="str">
        <f>IF(AND(C412=Master!$H$6,B412="2012-2013",E412&gt;1000,G412="PLN03"),H412,"")</f>
        <v/>
      </c>
      <c r="AJ412" s="42" t="str">
        <f>IF(AND(C412=Master!$H$6,B412="2012-2013",E412="",G412="PLN03"),H412,"")</f>
        <v/>
      </c>
      <c r="AK412" s="42" t="str">
        <f>IF(AND(C412=Master!$H$7,B412="2012-2013",E412&gt;1000,G412="PLN03"),H412,"")</f>
        <v/>
      </c>
      <c r="AL412" s="42" t="str">
        <f>IF(AND(C412=Master!$H$7,B412="2012-2013",E412="",G412="PLN03"),H412,"")</f>
        <v/>
      </c>
      <c r="AM412" s="42" t="str">
        <f>IF(AND(C412=Master!$H$8,B412="2012-2013",E412&gt;1000,G412="PLN03"),H412,"")</f>
        <v/>
      </c>
      <c r="AN412" s="42" t="str">
        <f>IF(AND(C412=Master!$H$8,B412="2012-2013",E412="",G412="PLN03"),H412,"")</f>
        <v/>
      </c>
      <c r="AO412" s="42" t="str">
        <f>IF(AND(C412=Master!$H$9,B412="2012-2013",E412&gt;1000,G412="PLN03"),H412,"")</f>
        <v/>
      </c>
      <c r="AP412" s="42" t="str">
        <f>IF(AND(C412=Master!$H$9,B412="2012-2013",E412="",G412="PLN03"),H412,"")</f>
        <v/>
      </c>
      <c r="AQ412" s="44" t="str">
        <f>IF(AND(C412=Master!$H$1,B412="2012-2013",E412&gt;1000,G412="NPN05"),H412,"")</f>
        <v/>
      </c>
      <c r="AR412" s="44" t="str">
        <f>IF(AND(C412=Master!$H$1,B412="2012-2013",E412="",G412="NPN05"),H412,"")</f>
        <v/>
      </c>
      <c r="AS412" s="44" t="str">
        <f>IF(AND(C412=Master!$H$2,B412="2012-2013",E412&gt;1000,G412="NPN05"),H412,"")</f>
        <v/>
      </c>
      <c r="AT412" s="44" t="str">
        <f>IF(AND(C412=Master!$H$2,B412="2012-2013",E412="",G412="NPN05"),H412,"")</f>
        <v/>
      </c>
      <c r="AU412" s="44" t="str">
        <f>IF(AND(C412=Master!$H$3,B412="2012-2013",E412&gt;1000,G412="NPN05"),H412,"")</f>
        <v/>
      </c>
      <c r="AV412" s="44" t="str">
        <f>IF(AND(C412=Master!$H$3,B412="2012-2013",E412="",G412="NPN05"),H412,"")</f>
        <v/>
      </c>
      <c r="AW412" s="44" t="str">
        <f>IF(AND(C412=Master!$H$4,B412="2012-2013",E412&gt;1000,G412="NPN05"),H412,"")</f>
        <v/>
      </c>
      <c r="AX412" s="44" t="str">
        <f>IF(AND(C412=Master!$H$4,B412="2012-2013",E412="",G412="NPN05"),H412,"")</f>
        <v/>
      </c>
      <c r="AY412" s="44" t="str">
        <f>IF(AND(C412=Master!$H$5,B412="2012-2013",E412&gt;1000,G412="NPN05"),H412,"")</f>
        <v/>
      </c>
      <c r="AZ412" s="44" t="str">
        <f>IF(AND(C412=Master!$H$5,B412="2012-2013",E412="",G412="NPN05"),H412,"")</f>
        <v/>
      </c>
      <c r="BA412" s="44" t="str">
        <f>IF(AND(C412=Master!$H$6,B412="2012-2013",E412&gt;1000,G412="NPN05"),H412,"")</f>
        <v/>
      </c>
      <c r="BB412" s="44" t="str">
        <f>IF(AND(C412=Master!$H$6,B412="2012-2013",E412="",G412="NPN05"),H412,"")</f>
        <v/>
      </c>
      <c r="BC412" s="44" t="str">
        <f>IF(AND(C412=Master!$H$7,B412="2012-2013",E412&gt;1000,G412="NPN05"),H412,"")</f>
        <v/>
      </c>
      <c r="BD412" s="44" t="str">
        <f>IF(AND(C412=Master!$H$7,B412="2012-2013",E412="",G412="NPN05"),H412,"")</f>
        <v/>
      </c>
      <c r="BE412" s="44" t="str">
        <f>IF(AND(C412=Master!$H$8,B412="2012-2013",E412&gt;1000,G412="NPN05"),H412,"")</f>
        <v/>
      </c>
      <c r="BF412" s="44" t="str">
        <f>IF(AND(C412=Master!$H$8,B412="2012-2013",E412="",G412="NPN05"),H412,"")</f>
        <v/>
      </c>
      <c r="BG412" s="44" t="str">
        <f>IF(AND(C412=Master!$H$9,B412="2012-2013",E412&gt;1000,G412="NPN05"),H412,"")</f>
        <v/>
      </c>
      <c r="BH412" s="44" t="str">
        <f>IF(AND(C412=Master!$H$9,B412="2012-2013",E412="",G412="NPN05"),H412,"")</f>
        <v/>
      </c>
    </row>
    <row r="413" spans="1:60" x14ac:dyDescent="0.25">
      <c r="A413" s="3">
        <v>411</v>
      </c>
      <c r="B413" s="12"/>
      <c r="C413" s="12"/>
      <c r="D413" s="31"/>
      <c r="E413" s="4"/>
      <c r="F413" s="13"/>
      <c r="G413" s="21"/>
      <c r="H413" s="35"/>
      <c r="I413" s="21"/>
      <c r="J413" s="25" t="str">
        <f>IF(NOT(I413=""),INDEX(Master!$B$1:$B$46,MATCH(I413,Master!$A$1:$A$46,0)),"")</f>
        <v/>
      </c>
      <c r="K413" s="18"/>
      <c r="L413" s="86"/>
      <c r="M413" s="13"/>
      <c r="N413" s="13"/>
      <c r="O413" s="18"/>
      <c r="P413" s="35"/>
      <c r="Q413" s="21"/>
      <c r="R413" s="21"/>
      <c r="S413" s="13"/>
      <c r="T413" s="12"/>
      <c r="U413" s="12"/>
      <c r="V413" s="12"/>
      <c r="W413" s="14"/>
      <c r="Y413" s="42" t="str">
        <f>IF(AND(C413=Master!$H$1,B413="2012-2013",E413&gt;1000,G413="PLN03"),H413,"")</f>
        <v/>
      </c>
      <c r="Z413" s="42" t="str">
        <f>IF(AND(C413=Master!$H$1,B413="2012-2013",E413="",G413="PLN03"),H413,"")</f>
        <v/>
      </c>
      <c r="AA413" s="42" t="str">
        <f>IF(AND(C413=Master!$H$2,B413="2012-2013",E413&gt;1000,G413="PLN03"),H413,"")</f>
        <v/>
      </c>
      <c r="AB413" s="42" t="str">
        <f>IF(AND(C413=Master!$H$2,B413="2012-2013",E413="",G413="PLN03"),H413,"")</f>
        <v/>
      </c>
      <c r="AC413" s="42" t="str">
        <f>IF(AND(C413=Master!$H$3,B413="2012-2013",E413&gt;1000,G413="PLN03"),H413,"")</f>
        <v/>
      </c>
      <c r="AD413" s="42" t="str">
        <f>IF(AND(C413=Master!$H$3,B413="2012-2013",E413="",G413="PLN03"),H413,"")</f>
        <v/>
      </c>
      <c r="AE413" s="42" t="str">
        <f>IF(AND(C413=Master!$H$4,B413="2012-2013",E413&gt;1000,G413="PLN03"),H413,"")</f>
        <v/>
      </c>
      <c r="AF413" s="42" t="str">
        <f>IF(AND(C413=Master!$H$4,B413="2012-2013",E413="",G413="PLN03"),H413,"")</f>
        <v/>
      </c>
      <c r="AG413" s="42" t="str">
        <f>IF(AND(C413=Master!$H$5,B413="2012-2013",E413&gt;1000,G413="PLN03"),H413,"")</f>
        <v/>
      </c>
      <c r="AH413" s="42" t="str">
        <f>IF(AND(C413=Master!$H$5,B413="2012-2013",E413="",G413="PLN03"),H413,"")</f>
        <v/>
      </c>
      <c r="AI413" s="42" t="str">
        <f>IF(AND(C413=Master!$H$6,B413="2012-2013",E413&gt;1000,G413="PLN03"),H413,"")</f>
        <v/>
      </c>
      <c r="AJ413" s="42" t="str">
        <f>IF(AND(C413=Master!$H$6,B413="2012-2013",E413="",G413="PLN03"),H413,"")</f>
        <v/>
      </c>
      <c r="AK413" s="42" t="str">
        <f>IF(AND(C413=Master!$H$7,B413="2012-2013",E413&gt;1000,G413="PLN03"),H413,"")</f>
        <v/>
      </c>
      <c r="AL413" s="42" t="str">
        <f>IF(AND(C413=Master!$H$7,B413="2012-2013",E413="",G413="PLN03"),H413,"")</f>
        <v/>
      </c>
      <c r="AM413" s="42" t="str">
        <f>IF(AND(C413=Master!$H$8,B413="2012-2013",E413&gt;1000,G413="PLN03"),H413,"")</f>
        <v/>
      </c>
      <c r="AN413" s="42" t="str">
        <f>IF(AND(C413=Master!$H$8,B413="2012-2013",E413="",G413="PLN03"),H413,"")</f>
        <v/>
      </c>
      <c r="AO413" s="42" t="str">
        <f>IF(AND(C413=Master!$H$9,B413="2012-2013",E413&gt;1000,G413="PLN03"),H413,"")</f>
        <v/>
      </c>
      <c r="AP413" s="42" t="str">
        <f>IF(AND(C413=Master!$H$9,B413="2012-2013",E413="",G413="PLN03"),H413,"")</f>
        <v/>
      </c>
      <c r="AQ413" s="44" t="str">
        <f>IF(AND(C413=Master!$H$1,B413="2012-2013",E413&gt;1000,G413="NPN05"),H413,"")</f>
        <v/>
      </c>
      <c r="AR413" s="44" t="str">
        <f>IF(AND(C413=Master!$H$1,B413="2012-2013",E413="",G413="NPN05"),H413,"")</f>
        <v/>
      </c>
      <c r="AS413" s="44" t="str">
        <f>IF(AND(C413=Master!$H$2,B413="2012-2013",E413&gt;1000,G413="NPN05"),H413,"")</f>
        <v/>
      </c>
      <c r="AT413" s="44" t="str">
        <f>IF(AND(C413=Master!$H$2,B413="2012-2013",E413="",G413="NPN05"),H413,"")</f>
        <v/>
      </c>
      <c r="AU413" s="44" t="str">
        <f>IF(AND(C413=Master!$H$3,B413="2012-2013",E413&gt;1000,G413="NPN05"),H413,"")</f>
        <v/>
      </c>
      <c r="AV413" s="44" t="str">
        <f>IF(AND(C413=Master!$H$3,B413="2012-2013",E413="",G413="NPN05"),H413,"")</f>
        <v/>
      </c>
      <c r="AW413" s="44" t="str">
        <f>IF(AND(C413=Master!$H$4,B413="2012-2013",E413&gt;1000,G413="NPN05"),H413,"")</f>
        <v/>
      </c>
      <c r="AX413" s="44" t="str">
        <f>IF(AND(C413=Master!$H$4,B413="2012-2013",E413="",G413="NPN05"),H413,"")</f>
        <v/>
      </c>
      <c r="AY413" s="44" t="str">
        <f>IF(AND(C413=Master!$H$5,B413="2012-2013",E413&gt;1000,G413="NPN05"),H413,"")</f>
        <v/>
      </c>
      <c r="AZ413" s="44" t="str">
        <f>IF(AND(C413=Master!$H$5,B413="2012-2013",E413="",G413="NPN05"),H413,"")</f>
        <v/>
      </c>
      <c r="BA413" s="44" t="str">
        <f>IF(AND(C413=Master!$H$6,B413="2012-2013",E413&gt;1000,G413="NPN05"),H413,"")</f>
        <v/>
      </c>
      <c r="BB413" s="44" t="str">
        <f>IF(AND(C413=Master!$H$6,B413="2012-2013",E413="",G413="NPN05"),H413,"")</f>
        <v/>
      </c>
      <c r="BC413" s="44" t="str">
        <f>IF(AND(C413=Master!$H$7,B413="2012-2013",E413&gt;1000,G413="NPN05"),H413,"")</f>
        <v/>
      </c>
      <c r="BD413" s="44" t="str">
        <f>IF(AND(C413=Master!$H$7,B413="2012-2013",E413="",G413="NPN05"),H413,"")</f>
        <v/>
      </c>
      <c r="BE413" s="44" t="str">
        <f>IF(AND(C413=Master!$H$8,B413="2012-2013",E413&gt;1000,G413="NPN05"),H413,"")</f>
        <v/>
      </c>
      <c r="BF413" s="44" t="str">
        <f>IF(AND(C413=Master!$H$8,B413="2012-2013",E413="",G413="NPN05"),H413,"")</f>
        <v/>
      </c>
      <c r="BG413" s="44" t="str">
        <f>IF(AND(C413=Master!$H$9,B413="2012-2013",E413&gt;1000,G413="NPN05"),H413,"")</f>
        <v/>
      </c>
      <c r="BH413" s="44" t="str">
        <f>IF(AND(C413=Master!$H$9,B413="2012-2013",E413="",G413="NPN05"),H413,"")</f>
        <v/>
      </c>
    </row>
    <row r="414" spans="1:60" x14ac:dyDescent="0.25">
      <c r="A414" s="3">
        <v>412</v>
      </c>
      <c r="B414" s="12"/>
      <c r="C414" s="12"/>
      <c r="D414" s="31"/>
      <c r="E414" s="4"/>
      <c r="F414" s="13"/>
      <c r="G414" s="21"/>
      <c r="H414" s="35"/>
      <c r="I414" s="21"/>
      <c r="J414" s="25" t="str">
        <f>IF(NOT(I414=""),INDEX(Master!$B$1:$B$46,MATCH(I414,Master!$A$1:$A$46,0)),"")</f>
        <v/>
      </c>
      <c r="K414" s="18"/>
      <c r="L414" s="86"/>
      <c r="M414" s="13"/>
      <c r="N414" s="13"/>
      <c r="O414" s="18"/>
      <c r="P414" s="35"/>
      <c r="Q414" s="21"/>
      <c r="R414" s="21"/>
      <c r="S414" s="13"/>
      <c r="T414" s="12"/>
      <c r="U414" s="12"/>
      <c r="V414" s="12"/>
      <c r="W414" s="14"/>
      <c r="Y414" s="42" t="str">
        <f>IF(AND(C414=Master!$H$1,B414="2012-2013",E414&gt;1000,G414="PLN03"),H414,"")</f>
        <v/>
      </c>
      <c r="Z414" s="42" t="str">
        <f>IF(AND(C414=Master!$H$1,B414="2012-2013",E414="",G414="PLN03"),H414,"")</f>
        <v/>
      </c>
      <c r="AA414" s="42" t="str">
        <f>IF(AND(C414=Master!$H$2,B414="2012-2013",E414&gt;1000,G414="PLN03"),H414,"")</f>
        <v/>
      </c>
      <c r="AB414" s="42" t="str">
        <f>IF(AND(C414=Master!$H$2,B414="2012-2013",E414="",G414="PLN03"),H414,"")</f>
        <v/>
      </c>
      <c r="AC414" s="42" t="str">
        <f>IF(AND(C414=Master!$H$3,B414="2012-2013",E414&gt;1000,G414="PLN03"),H414,"")</f>
        <v/>
      </c>
      <c r="AD414" s="42" t="str">
        <f>IF(AND(C414=Master!$H$3,B414="2012-2013",E414="",G414="PLN03"),H414,"")</f>
        <v/>
      </c>
      <c r="AE414" s="42" t="str">
        <f>IF(AND(C414=Master!$H$4,B414="2012-2013",E414&gt;1000,G414="PLN03"),H414,"")</f>
        <v/>
      </c>
      <c r="AF414" s="42" t="str">
        <f>IF(AND(C414=Master!$H$4,B414="2012-2013",E414="",G414="PLN03"),H414,"")</f>
        <v/>
      </c>
      <c r="AG414" s="42" t="str">
        <f>IF(AND(C414=Master!$H$5,B414="2012-2013",E414&gt;1000,G414="PLN03"),H414,"")</f>
        <v/>
      </c>
      <c r="AH414" s="42" t="str">
        <f>IF(AND(C414=Master!$H$5,B414="2012-2013",E414="",G414="PLN03"),H414,"")</f>
        <v/>
      </c>
      <c r="AI414" s="42" t="str">
        <f>IF(AND(C414=Master!$H$6,B414="2012-2013",E414&gt;1000,G414="PLN03"),H414,"")</f>
        <v/>
      </c>
      <c r="AJ414" s="42" t="str">
        <f>IF(AND(C414=Master!$H$6,B414="2012-2013",E414="",G414="PLN03"),H414,"")</f>
        <v/>
      </c>
      <c r="AK414" s="42" t="str">
        <f>IF(AND(C414=Master!$H$7,B414="2012-2013",E414&gt;1000,G414="PLN03"),H414,"")</f>
        <v/>
      </c>
      <c r="AL414" s="42" t="str">
        <f>IF(AND(C414=Master!$H$7,B414="2012-2013",E414="",G414="PLN03"),H414,"")</f>
        <v/>
      </c>
      <c r="AM414" s="42" t="str">
        <f>IF(AND(C414=Master!$H$8,B414="2012-2013",E414&gt;1000,G414="PLN03"),H414,"")</f>
        <v/>
      </c>
      <c r="AN414" s="42" t="str">
        <f>IF(AND(C414=Master!$H$8,B414="2012-2013",E414="",G414="PLN03"),H414,"")</f>
        <v/>
      </c>
      <c r="AO414" s="42" t="str">
        <f>IF(AND(C414=Master!$H$9,B414="2012-2013",E414&gt;1000,G414="PLN03"),H414,"")</f>
        <v/>
      </c>
      <c r="AP414" s="42" t="str">
        <f>IF(AND(C414=Master!$H$9,B414="2012-2013",E414="",G414="PLN03"),H414,"")</f>
        <v/>
      </c>
      <c r="AQ414" s="44" t="str">
        <f>IF(AND(C414=Master!$H$1,B414="2012-2013",E414&gt;1000,G414="NPN05"),H414,"")</f>
        <v/>
      </c>
      <c r="AR414" s="44" t="str">
        <f>IF(AND(C414=Master!$H$1,B414="2012-2013",E414="",G414="NPN05"),H414,"")</f>
        <v/>
      </c>
      <c r="AS414" s="44" t="str">
        <f>IF(AND(C414=Master!$H$2,B414="2012-2013",E414&gt;1000,G414="NPN05"),H414,"")</f>
        <v/>
      </c>
      <c r="AT414" s="44" t="str">
        <f>IF(AND(C414=Master!$H$2,B414="2012-2013",E414="",G414="NPN05"),H414,"")</f>
        <v/>
      </c>
      <c r="AU414" s="44" t="str">
        <f>IF(AND(C414=Master!$H$3,B414="2012-2013",E414&gt;1000,G414="NPN05"),H414,"")</f>
        <v/>
      </c>
      <c r="AV414" s="44" t="str">
        <f>IF(AND(C414=Master!$H$3,B414="2012-2013",E414="",G414="NPN05"),H414,"")</f>
        <v/>
      </c>
      <c r="AW414" s="44" t="str">
        <f>IF(AND(C414=Master!$H$4,B414="2012-2013",E414&gt;1000,G414="NPN05"),H414,"")</f>
        <v/>
      </c>
      <c r="AX414" s="44" t="str">
        <f>IF(AND(C414=Master!$H$4,B414="2012-2013",E414="",G414="NPN05"),H414,"")</f>
        <v/>
      </c>
      <c r="AY414" s="44" t="str">
        <f>IF(AND(C414=Master!$H$5,B414="2012-2013",E414&gt;1000,G414="NPN05"),H414,"")</f>
        <v/>
      </c>
      <c r="AZ414" s="44" t="str">
        <f>IF(AND(C414=Master!$H$5,B414="2012-2013",E414="",G414="NPN05"),H414,"")</f>
        <v/>
      </c>
      <c r="BA414" s="44" t="str">
        <f>IF(AND(C414=Master!$H$6,B414="2012-2013",E414&gt;1000,G414="NPN05"),H414,"")</f>
        <v/>
      </c>
      <c r="BB414" s="44" t="str">
        <f>IF(AND(C414=Master!$H$6,B414="2012-2013",E414="",G414="NPN05"),H414,"")</f>
        <v/>
      </c>
      <c r="BC414" s="44" t="str">
        <f>IF(AND(C414=Master!$H$7,B414="2012-2013",E414&gt;1000,G414="NPN05"),H414,"")</f>
        <v/>
      </c>
      <c r="BD414" s="44" t="str">
        <f>IF(AND(C414=Master!$H$7,B414="2012-2013",E414="",G414="NPN05"),H414,"")</f>
        <v/>
      </c>
      <c r="BE414" s="44" t="str">
        <f>IF(AND(C414=Master!$H$8,B414="2012-2013",E414&gt;1000,G414="NPN05"),H414,"")</f>
        <v/>
      </c>
      <c r="BF414" s="44" t="str">
        <f>IF(AND(C414=Master!$H$8,B414="2012-2013",E414="",G414="NPN05"),H414,"")</f>
        <v/>
      </c>
      <c r="BG414" s="44" t="str">
        <f>IF(AND(C414=Master!$H$9,B414="2012-2013",E414&gt;1000,G414="NPN05"),H414,"")</f>
        <v/>
      </c>
      <c r="BH414" s="44" t="str">
        <f>IF(AND(C414=Master!$H$9,B414="2012-2013",E414="",G414="NPN05"),H414,"")</f>
        <v/>
      </c>
    </row>
    <row r="415" spans="1:60" x14ac:dyDescent="0.25">
      <c r="A415" s="3">
        <v>413</v>
      </c>
      <c r="B415" s="12"/>
      <c r="C415" s="12"/>
      <c r="D415" s="31"/>
      <c r="E415" s="4"/>
      <c r="F415" s="13"/>
      <c r="G415" s="21"/>
      <c r="H415" s="35"/>
      <c r="I415" s="21"/>
      <c r="J415" s="25" t="str">
        <f>IF(NOT(I415=""),INDEX(Master!$B$1:$B$46,MATCH(I415,Master!$A$1:$A$46,0)),"")</f>
        <v/>
      </c>
      <c r="K415" s="18"/>
      <c r="L415" s="86"/>
      <c r="M415" s="13"/>
      <c r="N415" s="13"/>
      <c r="O415" s="18"/>
      <c r="P415" s="35"/>
      <c r="Q415" s="21"/>
      <c r="R415" s="21"/>
      <c r="S415" s="13"/>
      <c r="T415" s="12"/>
      <c r="U415" s="12"/>
      <c r="V415" s="12"/>
      <c r="W415" s="14"/>
      <c r="Y415" s="42" t="str">
        <f>IF(AND(C415=Master!$H$1,B415="2012-2013",E415&gt;1000,G415="PLN03"),H415,"")</f>
        <v/>
      </c>
      <c r="Z415" s="42" t="str">
        <f>IF(AND(C415=Master!$H$1,B415="2012-2013",E415="",G415="PLN03"),H415,"")</f>
        <v/>
      </c>
      <c r="AA415" s="42" t="str">
        <f>IF(AND(C415=Master!$H$2,B415="2012-2013",E415&gt;1000,G415="PLN03"),H415,"")</f>
        <v/>
      </c>
      <c r="AB415" s="42" t="str">
        <f>IF(AND(C415=Master!$H$2,B415="2012-2013",E415="",G415="PLN03"),H415,"")</f>
        <v/>
      </c>
      <c r="AC415" s="42" t="str">
        <f>IF(AND(C415=Master!$H$3,B415="2012-2013",E415&gt;1000,G415="PLN03"),H415,"")</f>
        <v/>
      </c>
      <c r="AD415" s="42" t="str">
        <f>IF(AND(C415=Master!$H$3,B415="2012-2013",E415="",G415="PLN03"),H415,"")</f>
        <v/>
      </c>
      <c r="AE415" s="42" t="str">
        <f>IF(AND(C415=Master!$H$4,B415="2012-2013",E415&gt;1000,G415="PLN03"),H415,"")</f>
        <v/>
      </c>
      <c r="AF415" s="42" t="str">
        <f>IF(AND(C415=Master!$H$4,B415="2012-2013",E415="",G415="PLN03"),H415,"")</f>
        <v/>
      </c>
      <c r="AG415" s="42" t="str">
        <f>IF(AND(C415=Master!$H$5,B415="2012-2013",E415&gt;1000,G415="PLN03"),H415,"")</f>
        <v/>
      </c>
      <c r="AH415" s="42" t="str">
        <f>IF(AND(C415=Master!$H$5,B415="2012-2013",E415="",G415="PLN03"),H415,"")</f>
        <v/>
      </c>
      <c r="AI415" s="42" t="str">
        <f>IF(AND(C415=Master!$H$6,B415="2012-2013",E415&gt;1000,G415="PLN03"),H415,"")</f>
        <v/>
      </c>
      <c r="AJ415" s="42" t="str">
        <f>IF(AND(C415=Master!$H$6,B415="2012-2013",E415="",G415="PLN03"),H415,"")</f>
        <v/>
      </c>
      <c r="AK415" s="42" t="str">
        <f>IF(AND(C415=Master!$H$7,B415="2012-2013",E415&gt;1000,G415="PLN03"),H415,"")</f>
        <v/>
      </c>
      <c r="AL415" s="42" t="str">
        <f>IF(AND(C415=Master!$H$7,B415="2012-2013",E415="",G415="PLN03"),H415,"")</f>
        <v/>
      </c>
      <c r="AM415" s="42" t="str">
        <f>IF(AND(C415=Master!$H$8,B415="2012-2013",E415&gt;1000,G415="PLN03"),H415,"")</f>
        <v/>
      </c>
      <c r="AN415" s="42" t="str">
        <f>IF(AND(C415=Master!$H$8,B415="2012-2013",E415="",G415="PLN03"),H415,"")</f>
        <v/>
      </c>
      <c r="AO415" s="42" t="str">
        <f>IF(AND(C415=Master!$H$9,B415="2012-2013",E415&gt;1000,G415="PLN03"),H415,"")</f>
        <v/>
      </c>
      <c r="AP415" s="42" t="str">
        <f>IF(AND(C415=Master!$H$9,B415="2012-2013",E415="",G415="PLN03"),H415,"")</f>
        <v/>
      </c>
      <c r="AQ415" s="44" t="str">
        <f>IF(AND(C415=Master!$H$1,B415="2012-2013",E415&gt;1000,G415="NPN05"),H415,"")</f>
        <v/>
      </c>
      <c r="AR415" s="44" t="str">
        <f>IF(AND(C415=Master!$H$1,B415="2012-2013",E415="",G415="NPN05"),H415,"")</f>
        <v/>
      </c>
      <c r="AS415" s="44" t="str">
        <f>IF(AND(C415=Master!$H$2,B415="2012-2013",E415&gt;1000,G415="NPN05"),H415,"")</f>
        <v/>
      </c>
      <c r="AT415" s="44" t="str">
        <f>IF(AND(C415=Master!$H$2,B415="2012-2013",E415="",G415="NPN05"),H415,"")</f>
        <v/>
      </c>
      <c r="AU415" s="44" t="str">
        <f>IF(AND(C415=Master!$H$3,B415="2012-2013",E415&gt;1000,G415="NPN05"),H415,"")</f>
        <v/>
      </c>
      <c r="AV415" s="44" t="str">
        <f>IF(AND(C415=Master!$H$3,B415="2012-2013",E415="",G415="NPN05"),H415,"")</f>
        <v/>
      </c>
      <c r="AW415" s="44" t="str">
        <f>IF(AND(C415=Master!$H$4,B415="2012-2013",E415&gt;1000,G415="NPN05"),H415,"")</f>
        <v/>
      </c>
      <c r="AX415" s="44" t="str">
        <f>IF(AND(C415=Master!$H$4,B415="2012-2013",E415="",G415="NPN05"),H415,"")</f>
        <v/>
      </c>
      <c r="AY415" s="44" t="str">
        <f>IF(AND(C415=Master!$H$5,B415="2012-2013",E415&gt;1000,G415="NPN05"),H415,"")</f>
        <v/>
      </c>
      <c r="AZ415" s="44" t="str">
        <f>IF(AND(C415=Master!$H$5,B415="2012-2013",E415="",G415="NPN05"),H415,"")</f>
        <v/>
      </c>
      <c r="BA415" s="44" t="str">
        <f>IF(AND(C415=Master!$H$6,B415="2012-2013",E415&gt;1000,G415="NPN05"),H415,"")</f>
        <v/>
      </c>
      <c r="BB415" s="44" t="str">
        <f>IF(AND(C415=Master!$H$6,B415="2012-2013",E415="",G415="NPN05"),H415,"")</f>
        <v/>
      </c>
      <c r="BC415" s="44" t="str">
        <f>IF(AND(C415=Master!$H$7,B415="2012-2013",E415&gt;1000,G415="NPN05"),H415,"")</f>
        <v/>
      </c>
      <c r="BD415" s="44" t="str">
        <f>IF(AND(C415=Master!$H$7,B415="2012-2013",E415="",G415="NPN05"),H415,"")</f>
        <v/>
      </c>
      <c r="BE415" s="44" t="str">
        <f>IF(AND(C415=Master!$H$8,B415="2012-2013",E415&gt;1000,G415="NPN05"),H415,"")</f>
        <v/>
      </c>
      <c r="BF415" s="44" t="str">
        <f>IF(AND(C415=Master!$H$8,B415="2012-2013",E415="",G415="NPN05"),H415,"")</f>
        <v/>
      </c>
      <c r="BG415" s="44" t="str">
        <f>IF(AND(C415=Master!$H$9,B415="2012-2013",E415&gt;1000,G415="NPN05"),H415,"")</f>
        <v/>
      </c>
      <c r="BH415" s="44" t="str">
        <f>IF(AND(C415=Master!$H$9,B415="2012-2013",E415="",G415="NPN05"),H415,"")</f>
        <v/>
      </c>
    </row>
    <row r="416" spans="1:60" x14ac:dyDescent="0.25">
      <c r="A416" s="3">
        <v>414</v>
      </c>
      <c r="B416" s="12"/>
      <c r="C416" s="12"/>
      <c r="D416" s="31"/>
      <c r="E416" s="4"/>
      <c r="F416" s="13"/>
      <c r="G416" s="21"/>
      <c r="H416" s="35"/>
      <c r="I416" s="21"/>
      <c r="J416" s="25" t="str">
        <f>IF(NOT(I416=""),INDEX(Master!$B$1:$B$46,MATCH(I416,Master!$A$1:$A$46,0)),"")</f>
        <v/>
      </c>
      <c r="K416" s="18"/>
      <c r="L416" s="86"/>
      <c r="M416" s="13"/>
      <c r="N416" s="13"/>
      <c r="O416" s="18"/>
      <c r="P416" s="35"/>
      <c r="Q416" s="21"/>
      <c r="R416" s="21"/>
      <c r="S416" s="13"/>
      <c r="T416" s="12"/>
      <c r="U416" s="12"/>
      <c r="V416" s="12"/>
      <c r="W416" s="14"/>
      <c r="Y416" s="42" t="str">
        <f>IF(AND(C416=Master!$H$1,B416="2012-2013",E416&gt;1000,G416="PLN03"),H416,"")</f>
        <v/>
      </c>
      <c r="Z416" s="42" t="str">
        <f>IF(AND(C416=Master!$H$1,B416="2012-2013",E416="",G416="PLN03"),H416,"")</f>
        <v/>
      </c>
      <c r="AA416" s="42" t="str">
        <f>IF(AND(C416=Master!$H$2,B416="2012-2013",E416&gt;1000,G416="PLN03"),H416,"")</f>
        <v/>
      </c>
      <c r="AB416" s="42" t="str">
        <f>IF(AND(C416=Master!$H$2,B416="2012-2013",E416="",G416="PLN03"),H416,"")</f>
        <v/>
      </c>
      <c r="AC416" s="42" t="str">
        <f>IF(AND(C416=Master!$H$3,B416="2012-2013",E416&gt;1000,G416="PLN03"),H416,"")</f>
        <v/>
      </c>
      <c r="AD416" s="42" t="str">
        <f>IF(AND(C416=Master!$H$3,B416="2012-2013",E416="",G416="PLN03"),H416,"")</f>
        <v/>
      </c>
      <c r="AE416" s="42" t="str">
        <f>IF(AND(C416=Master!$H$4,B416="2012-2013",E416&gt;1000,G416="PLN03"),H416,"")</f>
        <v/>
      </c>
      <c r="AF416" s="42" t="str">
        <f>IF(AND(C416=Master!$H$4,B416="2012-2013",E416="",G416="PLN03"),H416,"")</f>
        <v/>
      </c>
      <c r="AG416" s="42" t="str">
        <f>IF(AND(C416=Master!$H$5,B416="2012-2013",E416&gt;1000,G416="PLN03"),H416,"")</f>
        <v/>
      </c>
      <c r="AH416" s="42" t="str">
        <f>IF(AND(C416=Master!$H$5,B416="2012-2013",E416="",G416="PLN03"),H416,"")</f>
        <v/>
      </c>
      <c r="AI416" s="42" t="str">
        <f>IF(AND(C416=Master!$H$6,B416="2012-2013",E416&gt;1000,G416="PLN03"),H416,"")</f>
        <v/>
      </c>
      <c r="AJ416" s="42" t="str">
        <f>IF(AND(C416=Master!$H$6,B416="2012-2013",E416="",G416="PLN03"),H416,"")</f>
        <v/>
      </c>
      <c r="AK416" s="42" t="str">
        <f>IF(AND(C416=Master!$H$7,B416="2012-2013",E416&gt;1000,G416="PLN03"),H416,"")</f>
        <v/>
      </c>
      <c r="AL416" s="42" t="str">
        <f>IF(AND(C416=Master!$H$7,B416="2012-2013",E416="",G416="PLN03"),H416,"")</f>
        <v/>
      </c>
      <c r="AM416" s="42" t="str">
        <f>IF(AND(C416=Master!$H$8,B416="2012-2013",E416&gt;1000,G416="PLN03"),H416,"")</f>
        <v/>
      </c>
      <c r="AN416" s="42" t="str">
        <f>IF(AND(C416=Master!$H$8,B416="2012-2013",E416="",G416="PLN03"),H416,"")</f>
        <v/>
      </c>
      <c r="AO416" s="42" t="str">
        <f>IF(AND(C416=Master!$H$9,B416="2012-2013",E416&gt;1000,G416="PLN03"),H416,"")</f>
        <v/>
      </c>
      <c r="AP416" s="42" t="str">
        <f>IF(AND(C416=Master!$H$9,B416="2012-2013",E416="",G416="PLN03"),H416,"")</f>
        <v/>
      </c>
      <c r="AQ416" s="44" t="str">
        <f>IF(AND(C416=Master!$H$1,B416="2012-2013",E416&gt;1000,G416="NPN05"),H416,"")</f>
        <v/>
      </c>
      <c r="AR416" s="44" t="str">
        <f>IF(AND(C416=Master!$H$1,B416="2012-2013",E416="",G416="NPN05"),H416,"")</f>
        <v/>
      </c>
      <c r="AS416" s="44" t="str">
        <f>IF(AND(C416=Master!$H$2,B416="2012-2013",E416&gt;1000,G416="NPN05"),H416,"")</f>
        <v/>
      </c>
      <c r="AT416" s="44" t="str">
        <f>IF(AND(C416=Master!$H$2,B416="2012-2013",E416="",G416="NPN05"),H416,"")</f>
        <v/>
      </c>
      <c r="AU416" s="44" t="str">
        <f>IF(AND(C416=Master!$H$3,B416="2012-2013",E416&gt;1000,G416="NPN05"),H416,"")</f>
        <v/>
      </c>
      <c r="AV416" s="44" t="str">
        <f>IF(AND(C416=Master!$H$3,B416="2012-2013",E416="",G416="NPN05"),H416,"")</f>
        <v/>
      </c>
      <c r="AW416" s="44" t="str">
        <f>IF(AND(C416=Master!$H$4,B416="2012-2013",E416&gt;1000,G416="NPN05"),H416,"")</f>
        <v/>
      </c>
      <c r="AX416" s="44" t="str">
        <f>IF(AND(C416=Master!$H$4,B416="2012-2013",E416="",G416="NPN05"),H416,"")</f>
        <v/>
      </c>
      <c r="AY416" s="44" t="str">
        <f>IF(AND(C416=Master!$H$5,B416="2012-2013",E416&gt;1000,G416="NPN05"),H416,"")</f>
        <v/>
      </c>
      <c r="AZ416" s="44" t="str">
        <f>IF(AND(C416=Master!$H$5,B416="2012-2013",E416="",G416="NPN05"),H416,"")</f>
        <v/>
      </c>
      <c r="BA416" s="44" t="str">
        <f>IF(AND(C416=Master!$H$6,B416="2012-2013",E416&gt;1000,G416="NPN05"),H416,"")</f>
        <v/>
      </c>
      <c r="BB416" s="44" t="str">
        <f>IF(AND(C416=Master!$H$6,B416="2012-2013",E416="",G416="NPN05"),H416,"")</f>
        <v/>
      </c>
      <c r="BC416" s="44" t="str">
        <f>IF(AND(C416=Master!$H$7,B416="2012-2013",E416&gt;1000,G416="NPN05"),H416,"")</f>
        <v/>
      </c>
      <c r="BD416" s="44" t="str">
        <f>IF(AND(C416=Master!$H$7,B416="2012-2013",E416="",G416="NPN05"),H416,"")</f>
        <v/>
      </c>
      <c r="BE416" s="44" t="str">
        <f>IF(AND(C416=Master!$H$8,B416="2012-2013",E416&gt;1000,G416="NPN05"),H416,"")</f>
        <v/>
      </c>
      <c r="BF416" s="44" t="str">
        <f>IF(AND(C416=Master!$H$8,B416="2012-2013",E416="",G416="NPN05"),H416,"")</f>
        <v/>
      </c>
      <c r="BG416" s="44" t="str">
        <f>IF(AND(C416=Master!$H$9,B416="2012-2013",E416&gt;1000,G416="NPN05"),H416,"")</f>
        <v/>
      </c>
      <c r="BH416" s="44" t="str">
        <f>IF(AND(C416=Master!$H$9,B416="2012-2013",E416="",G416="NPN05"),H416,"")</f>
        <v/>
      </c>
    </row>
    <row r="417" spans="1:60" x14ac:dyDescent="0.25">
      <c r="A417" s="3">
        <v>415</v>
      </c>
      <c r="B417" s="12"/>
      <c r="C417" s="12"/>
      <c r="D417" s="31"/>
      <c r="E417" s="4"/>
      <c r="F417" s="13"/>
      <c r="G417" s="21"/>
      <c r="H417" s="35"/>
      <c r="I417" s="21"/>
      <c r="J417" s="25" t="str">
        <f>IF(NOT(I417=""),INDEX(Master!$B$1:$B$46,MATCH(I417,Master!$A$1:$A$46,0)),"")</f>
        <v/>
      </c>
      <c r="K417" s="18"/>
      <c r="L417" s="86"/>
      <c r="M417" s="13"/>
      <c r="N417" s="13"/>
      <c r="O417" s="18"/>
      <c r="P417" s="35"/>
      <c r="Q417" s="21"/>
      <c r="R417" s="21"/>
      <c r="S417" s="13"/>
      <c r="T417" s="12"/>
      <c r="U417" s="12"/>
      <c r="V417" s="12"/>
      <c r="W417" s="14"/>
      <c r="Y417" s="42" t="str">
        <f>IF(AND(C417=Master!$H$1,B417="2012-2013",E417&gt;1000,G417="PLN03"),H417,"")</f>
        <v/>
      </c>
      <c r="Z417" s="42" t="str">
        <f>IF(AND(C417=Master!$H$1,B417="2012-2013",E417="",G417="PLN03"),H417,"")</f>
        <v/>
      </c>
      <c r="AA417" s="42" t="str">
        <f>IF(AND(C417=Master!$H$2,B417="2012-2013",E417&gt;1000,G417="PLN03"),H417,"")</f>
        <v/>
      </c>
      <c r="AB417" s="42" t="str">
        <f>IF(AND(C417=Master!$H$2,B417="2012-2013",E417="",G417="PLN03"),H417,"")</f>
        <v/>
      </c>
      <c r="AC417" s="42" t="str">
        <f>IF(AND(C417=Master!$H$3,B417="2012-2013",E417&gt;1000,G417="PLN03"),H417,"")</f>
        <v/>
      </c>
      <c r="AD417" s="42" t="str">
        <f>IF(AND(C417=Master!$H$3,B417="2012-2013",E417="",G417="PLN03"),H417,"")</f>
        <v/>
      </c>
      <c r="AE417" s="42" t="str">
        <f>IF(AND(C417=Master!$H$4,B417="2012-2013",E417&gt;1000,G417="PLN03"),H417,"")</f>
        <v/>
      </c>
      <c r="AF417" s="42" t="str">
        <f>IF(AND(C417=Master!$H$4,B417="2012-2013",E417="",G417="PLN03"),H417,"")</f>
        <v/>
      </c>
      <c r="AG417" s="42" t="str">
        <f>IF(AND(C417=Master!$H$5,B417="2012-2013",E417&gt;1000,G417="PLN03"),H417,"")</f>
        <v/>
      </c>
      <c r="AH417" s="42" t="str">
        <f>IF(AND(C417=Master!$H$5,B417="2012-2013",E417="",G417="PLN03"),H417,"")</f>
        <v/>
      </c>
      <c r="AI417" s="42" t="str">
        <f>IF(AND(C417=Master!$H$6,B417="2012-2013",E417&gt;1000,G417="PLN03"),H417,"")</f>
        <v/>
      </c>
      <c r="AJ417" s="42" t="str">
        <f>IF(AND(C417=Master!$H$6,B417="2012-2013",E417="",G417="PLN03"),H417,"")</f>
        <v/>
      </c>
      <c r="AK417" s="42" t="str">
        <f>IF(AND(C417=Master!$H$7,B417="2012-2013",E417&gt;1000,G417="PLN03"),H417,"")</f>
        <v/>
      </c>
      <c r="AL417" s="42" t="str">
        <f>IF(AND(C417=Master!$H$7,B417="2012-2013",E417="",G417="PLN03"),H417,"")</f>
        <v/>
      </c>
      <c r="AM417" s="42" t="str">
        <f>IF(AND(C417=Master!$H$8,B417="2012-2013",E417&gt;1000,G417="PLN03"),H417,"")</f>
        <v/>
      </c>
      <c r="AN417" s="42" t="str">
        <f>IF(AND(C417=Master!$H$8,B417="2012-2013",E417="",G417="PLN03"),H417,"")</f>
        <v/>
      </c>
      <c r="AO417" s="42" t="str">
        <f>IF(AND(C417=Master!$H$9,B417="2012-2013",E417&gt;1000,G417="PLN03"),H417,"")</f>
        <v/>
      </c>
      <c r="AP417" s="42" t="str">
        <f>IF(AND(C417=Master!$H$9,B417="2012-2013",E417="",G417="PLN03"),H417,"")</f>
        <v/>
      </c>
      <c r="AQ417" s="44" t="str">
        <f>IF(AND(C417=Master!$H$1,B417="2012-2013",E417&gt;1000,G417="NPN05"),H417,"")</f>
        <v/>
      </c>
      <c r="AR417" s="44" t="str">
        <f>IF(AND(C417=Master!$H$1,B417="2012-2013",E417="",G417="NPN05"),H417,"")</f>
        <v/>
      </c>
      <c r="AS417" s="44" t="str">
        <f>IF(AND(C417=Master!$H$2,B417="2012-2013",E417&gt;1000,G417="NPN05"),H417,"")</f>
        <v/>
      </c>
      <c r="AT417" s="44" t="str">
        <f>IF(AND(C417=Master!$H$2,B417="2012-2013",E417="",G417="NPN05"),H417,"")</f>
        <v/>
      </c>
      <c r="AU417" s="44" t="str">
        <f>IF(AND(C417=Master!$H$3,B417="2012-2013",E417&gt;1000,G417="NPN05"),H417,"")</f>
        <v/>
      </c>
      <c r="AV417" s="44" t="str">
        <f>IF(AND(C417=Master!$H$3,B417="2012-2013",E417="",G417="NPN05"),H417,"")</f>
        <v/>
      </c>
      <c r="AW417" s="44" t="str">
        <f>IF(AND(C417=Master!$H$4,B417="2012-2013",E417&gt;1000,G417="NPN05"),H417,"")</f>
        <v/>
      </c>
      <c r="AX417" s="44" t="str">
        <f>IF(AND(C417=Master!$H$4,B417="2012-2013",E417="",G417="NPN05"),H417,"")</f>
        <v/>
      </c>
      <c r="AY417" s="44" t="str">
        <f>IF(AND(C417=Master!$H$5,B417="2012-2013",E417&gt;1000,G417="NPN05"),H417,"")</f>
        <v/>
      </c>
      <c r="AZ417" s="44" t="str">
        <f>IF(AND(C417=Master!$H$5,B417="2012-2013",E417="",G417="NPN05"),H417,"")</f>
        <v/>
      </c>
      <c r="BA417" s="44" t="str">
        <f>IF(AND(C417=Master!$H$6,B417="2012-2013",E417&gt;1000,G417="NPN05"),H417,"")</f>
        <v/>
      </c>
      <c r="BB417" s="44" t="str">
        <f>IF(AND(C417=Master!$H$6,B417="2012-2013",E417="",G417="NPN05"),H417,"")</f>
        <v/>
      </c>
      <c r="BC417" s="44" t="str">
        <f>IF(AND(C417=Master!$H$7,B417="2012-2013",E417&gt;1000,G417="NPN05"),H417,"")</f>
        <v/>
      </c>
      <c r="BD417" s="44" t="str">
        <f>IF(AND(C417=Master!$H$7,B417="2012-2013",E417="",G417="NPN05"),H417,"")</f>
        <v/>
      </c>
      <c r="BE417" s="44" t="str">
        <f>IF(AND(C417=Master!$H$8,B417="2012-2013",E417&gt;1000,G417="NPN05"),H417,"")</f>
        <v/>
      </c>
      <c r="BF417" s="44" t="str">
        <f>IF(AND(C417=Master!$H$8,B417="2012-2013",E417="",G417="NPN05"),H417,"")</f>
        <v/>
      </c>
      <c r="BG417" s="44" t="str">
        <f>IF(AND(C417=Master!$H$9,B417="2012-2013",E417&gt;1000,G417="NPN05"),H417,"")</f>
        <v/>
      </c>
      <c r="BH417" s="44" t="str">
        <f>IF(AND(C417=Master!$H$9,B417="2012-2013",E417="",G417="NPN05"),H417,"")</f>
        <v/>
      </c>
    </row>
    <row r="418" spans="1:60" x14ac:dyDescent="0.25">
      <c r="A418" s="5">
        <v>416</v>
      </c>
      <c r="B418" s="12"/>
      <c r="C418" s="12"/>
      <c r="D418" s="31"/>
      <c r="E418" s="4"/>
      <c r="F418" s="13"/>
      <c r="G418" s="21"/>
      <c r="H418" s="35"/>
      <c r="I418" s="21"/>
      <c r="J418" s="25" t="str">
        <f>IF(NOT(I418=""),INDEX(Master!$B$1:$B$46,MATCH(I418,Master!$A$1:$A$46,0)),"")</f>
        <v/>
      </c>
      <c r="K418" s="18"/>
      <c r="L418" s="86"/>
      <c r="M418" s="13"/>
      <c r="N418" s="13"/>
      <c r="O418" s="18"/>
      <c r="P418" s="35"/>
      <c r="Q418" s="21"/>
      <c r="R418" s="21"/>
      <c r="S418" s="13"/>
      <c r="T418" s="12"/>
      <c r="U418" s="12"/>
      <c r="V418" s="12"/>
      <c r="W418" s="14"/>
      <c r="Y418" s="42" t="str">
        <f>IF(AND(C418=Master!$H$1,B418="2012-2013",E418&gt;1000,G418="PLN03"),H418,"")</f>
        <v/>
      </c>
      <c r="Z418" s="42" t="str">
        <f>IF(AND(C418=Master!$H$1,B418="2012-2013",E418="",G418="PLN03"),H418,"")</f>
        <v/>
      </c>
      <c r="AA418" s="42" t="str">
        <f>IF(AND(C418=Master!$H$2,B418="2012-2013",E418&gt;1000,G418="PLN03"),H418,"")</f>
        <v/>
      </c>
      <c r="AB418" s="42" t="str">
        <f>IF(AND(C418=Master!$H$2,B418="2012-2013",E418="",G418="PLN03"),H418,"")</f>
        <v/>
      </c>
      <c r="AC418" s="42" t="str">
        <f>IF(AND(C418=Master!$H$3,B418="2012-2013",E418&gt;1000,G418="PLN03"),H418,"")</f>
        <v/>
      </c>
      <c r="AD418" s="42" t="str">
        <f>IF(AND(C418=Master!$H$3,B418="2012-2013",E418="",G418="PLN03"),H418,"")</f>
        <v/>
      </c>
      <c r="AE418" s="42" t="str">
        <f>IF(AND(C418=Master!$H$4,B418="2012-2013",E418&gt;1000,G418="PLN03"),H418,"")</f>
        <v/>
      </c>
      <c r="AF418" s="42" t="str">
        <f>IF(AND(C418=Master!$H$4,B418="2012-2013",E418="",G418="PLN03"),H418,"")</f>
        <v/>
      </c>
      <c r="AG418" s="42" t="str">
        <f>IF(AND(C418=Master!$H$5,B418="2012-2013",E418&gt;1000,G418="PLN03"),H418,"")</f>
        <v/>
      </c>
      <c r="AH418" s="42" t="str">
        <f>IF(AND(C418=Master!$H$5,B418="2012-2013",E418="",G418="PLN03"),H418,"")</f>
        <v/>
      </c>
      <c r="AI418" s="42" t="str">
        <f>IF(AND(C418=Master!$H$6,B418="2012-2013",E418&gt;1000,G418="PLN03"),H418,"")</f>
        <v/>
      </c>
      <c r="AJ418" s="42" t="str">
        <f>IF(AND(C418=Master!$H$6,B418="2012-2013",E418="",G418="PLN03"),H418,"")</f>
        <v/>
      </c>
      <c r="AK418" s="42" t="str">
        <f>IF(AND(C418=Master!$H$7,B418="2012-2013",E418&gt;1000,G418="PLN03"),H418,"")</f>
        <v/>
      </c>
      <c r="AL418" s="42" t="str">
        <f>IF(AND(C418=Master!$H$7,B418="2012-2013",E418="",G418="PLN03"),H418,"")</f>
        <v/>
      </c>
      <c r="AM418" s="42" t="str">
        <f>IF(AND(C418=Master!$H$8,B418="2012-2013",E418&gt;1000,G418="PLN03"),H418,"")</f>
        <v/>
      </c>
      <c r="AN418" s="42" t="str">
        <f>IF(AND(C418=Master!$H$8,B418="2012-2013",E418="",G418="PLN03"),H418,"")</f>
        <v/>
      </c>
      <c r="AO418" s="42" t="str">
        <f>IF(AND(C418=Master!$H$9,B418="2012-2013",E418&gt;1000,G418="PLN03"),H418,"")</f>
        <v/>
      </c>
      <c r="AP418" s="42" t="str">
        <f>IF(AND(C418=Master!$H$9,B418="2012-2013",E418="",G418="PLN03"),H418,"")</f>
        <v/>
      </c>
      <c r="AQ418" s="44" t="str">
        <f>IF(AND(C418=Master!$H$1,B418="2012-2013",E418&gt;1000,G418="NPN05"),H418,"")</f>
        <v/>
      </c>
      <c r="AR418" s="44" t="str">
        <f>IF(AND(C418=Master!$H$1,B418="2012-2013",E418="",G418="NPN05"),H418,"")</f>
        <v/>
      </c>
      <c r="AS418" s="44" t="str">
        <f>IF(AND(C418=Master!$H$2,B418="2012-2013",E418&gt;1000,G418="NPN05"),H418,"")</f>
        <v/>
      </c>
      <c r="AT418" s="44" t="str">
        <f>IF(AND(C418=Master!$H$2,B418="2012-2013",E418="",G418="NPN05"),H418,"")</f>
        <v/>
      </c>
      <c r="AU418" s="44" t="str">
        <f>IF(AND(C418=Master!$H$3,B418="2012-2013",E418&gt;1000,G418="NPN05"),H418,"")</f>
        <v/>
      </c>
      <c r="AV418" s="44" t="str">
        <f>IF(AND(C418=Master!$H$3,B418="2012-2013",E418="",G418="NPN05"),H418,"")</f>
        <v/>
      </c>
      <c r="AW418" s="44" t="str">
        <f>IF(AND(C418=Master!$H$4,B418="2012-2013",E418&gt;1000,G418="NPN05"),H418,"")</f>
        <v/>
      </c>
      <c r="AX418" s="44" t="str">
        <f>IF(AND(C418=Master!$H$4,B418="2012-2013",E418="",G418="NPN05"),H418,"")</f>
        <v/>
      </c>
      <c r="AY418" s="44" t="str">
        <f>IF(AND(C418=Master!$H$5,B418="2012-2013",E418&gt;1000,G418="NPN05"),H418,"")</f>
        <v/>
      </c>
      <c r="AZ418" s="44" t="str">
        <f>IF(AND(C418=Master!$H$5,B418="2012-2013",E418="",G418="NPN05"),H418,"")</f>
        <v/>
      </c>
      <c r="BA418" s="44" t="str">
        <f>IF(AND(C418=Master!$H$6,B418="2012-2013",E418&gt;1000,G418="NPN05"),H418,"")</f>
        <v/>
      </c>
      <c r="BB418" s="44" t="str">
        <f>IF(AND(C418=Master!$H$6,B418="2012-2013",E418="",G418="NPN05"),H418,"")</f>
        <v/>
      </c>
      <c r="BC418" s="44" t="str">
        <f>IF(AND(C418=Master!$H$7,B418="2012-2013",E418&gt;1000,G418="NPN05"),H418,"")</f>
        <v/>
      </c>
      <c r="BD418" s="44" t="str">
        <f>IF(AND(C418=Master!$H$7,B418="2012-2013",E418="",G418="NPN05"),H418,"")</f>
        <v/>
      </c>
      <c r="BE418" s="44" t="str">
        <f>IF(AND(C418=Master!$H$8,B418="2012-2013",E418&gt;1000,G418="NPN05"),H418,"")</f>
        <v/>
      </c>
      <c r="BF418" s="44" t="str">
        <f>IF(AND(C418=Master!$H$8,B418="2012-2013",E418="",G418="NPN05"),H418,"")</f>
        <v/>
      </c>
      <c r="BG418" s="44" t="str">
        <f>IF(AND(C418=Master!$H$9,B418="2012-2013",E418&gt;1000,G418="NPN05"),H418,"")</f>
        <v/>
      </c>
      <c r="BH418" s="44" t="str">
        <f>IF(AND(C418=Master!$H$9,B418="2012-2013",E418="",G418="NPN05"),H418,"")</f>
        <v/>
      </c>
    </row>
    <row r="419" spans="1:60" x14ac:dyDescent="0.25">
      <c r="A419" s="3">
        <v>417</v>
      </c>
      <c r="B419" s="12"/>
      <c r="C419" s="12"/>
      <c r="D419" s="31"/>
      <c r="E419" s="4"/>
      <c r="F419" s="13"/>
      <c r="G419" s="21"/>
      <c r="H419" s="35"/>
      <c r="I419" s="21"/>
      <c r="J419" s="25" t="str">
        <f>IF(NOT(I419=""),INDEX(Master!$B$1:$B$46,MATCH(I419,Master!$A$1:$A$46,0)),"")</f>
        <v/>
      </c>
      <c r="K419" s="18"/>
      <c r="L419" s="86"/>
      <c r="M419" s="13"/>
      <c r="N419" s="13"/>
      <c r="O419" s="18"/>
      <c r="P419" s="35"/>
      <c r="Q419" s="21"/>
      <c r="R419" s="21"/>
      <c r="S419" s="13"/>
      <c r="T419" s="12"/>
      <c r="U419" s="12"/>
      <c r="V419" s="12"/>
      <c r="W419" s="14"/>
      <c r="Y419" s="42" t="str">
        <f>IF(AND(C419=Master!$H$1,B419="2012-2013",E419&gt;1000,G419="PLN03"),H419,"")</f>
        <v/>
      </c>
      <c r="Z419" s="42" t="str">
        <f>IF(AND(C419=Master!$H$1,B419="2012-2013",E419="",G419="PLN03"),H419,"")</f>
        <v/>
      </c>
      <c r="AA419" s="42" t="str">
        <f>IF(AND(C419=Master!$H$2,B419="2012-2013",E419&gt;1000,G419="PLN03"),H419,"")</f>
        <v/>
      </c>
      <c r="AB419" s="42" t="str">
        <f>IF(AND(C419=Master!$H$2,B419="2012-2013",E419="",G419="PLN03"),H419,"")</f>
        <v/>
      </c>
      <c r="AC419" s="42" t="str">
        <f>IF(AND(C419=Master!$H$3,B419="2012-2013",E419&gt;1000,G419="PLN03"),H419,"")</f>
        <v/>
      </c>
      <c r="AD419" s="42" t="str">
        <f>IF(AND(C419=Master!$H$3,B419="2012-2013",E419="",G419="PLN03"),H419,"")</f>
        <v/>
      </c>
      <c r="AE419" s="42" t="str">
        <f>IF(AND(C419=Master!$H$4,B419="2012-2013",E419&gt;1000,G419="PLN03"),H419,"")</f>
        <v/>
      </c>
      <c r="AF419" s="42" t="str">
        <f>IF(AND(C419=Master!$H$4,B419="2012-2013",E419="",G419="PLN03"),H419,"")</f>
        <v/>
      </c>
      <c r="AG419" s="42" t="str">
        <f>IF(AND(C419=Master!$H$5,B419="2012-2013",E419&gt;1000,G419="PLN03"),H419,"")</f>
        <v/>
      </c>
      <c r="AH419" s="42" t="str">
        <f>IF(AND(C419=Master!$H$5,B419="2012-2013",E419="",G419="PLN03"),H419,"")</f>
        <v/>
      </c>
      <c r="AI419" s="42" t="str">
        <f>IF(AND(C419=Master!$H$6,B419="2012-2013",E419&gt;1000,G419="PLN03"),H419,"")</f>
        <v/>
      </c>
      <c r="AJ419" s="42" t="str">
        <f>IF(AND(C419=Master!$H$6,B419="2012-2013",E419="",G419="PLN03"),H419,"")</f>
        <v/>
      </c>
      <c r="AK419" s="42" t="str">
        <f>IF(AND(C419=Master!$H$7,B419="2012-2013",E419&gt;1000,G419="PLN03"),H419,"")</f>
        <v/>
      </c>
      <c r="AL419" s="42" t="str">
        <f>IF(AND(C419=Master!$H$7,B419="2012-2013",E419="",G419="PLN03"),H419,"")</f>
        <v/>
      </c>
      <c r="AM419" s="42" t="str">
        <f>IF(AND(C419=Master!$H$8,B419="2012-2013",E419&gt;1000,G419="PLN03"),H419,"")</f>
        <v/>
      </c>
      <c r="AN419" s="42" t="str">
        <f>IF(AND(C419=Master!$H$8,B419="2012-2013",E419="",G419="PLN03"),H419,"")</f>
        <v/>
      </c>
      <c r="AO419" s="42" t="str">
        <f>IF(AND(C419=Master!$H$9,B419="2012-2013",E419&gt;1000,G419="PLN03"),H419,"")</f>
        <v/>
      </c>
      <c r="AP419" s="42" t="str">
        <f>IF(AND(C419=Master!$H$9,B419="2012-2013",E419="",G419="PLN03"),H419,"")</f>
        <v/>
      </c>
      <c r="AQ419" s="44" t="str">
        <f>IF(AND(C419=Master!$H$1,B419="2012-2013",E419&gt;1000,G419="NPN05"),H419,"")</f>
        <v/>
      </c>
      <c r="AR419" s="44" t="str">
        <f>IF(AND(C419=Master!$H$1,B419="2012-2013",E419="",G419="NPN05"),H419,"")</f>
        <v/>
      </c>
      <c r="AS419" s="44" t="str">
        <f>IF(AND(C419=Master!$H$2,B419="2012-2013",E419&gt;1000,G419="NPN05"),H419,"")</f>
        <v/>
      </c>
      <c r="AT419" s="44" t="str">
        <f>IF(AND(C419=Master!$H$2,B419="2012-2013",E419="",G419="NPN05"),H419,"")</f>
        <v/>
      </c>
      <c r="AU419" s="44" t="str">
        <f>IF(AND(C419=Master!$H$3,B419="2012-2013",E419&gt;1000,G419="NPN05"),H419,"")</f>
        <v/>
      </c>
      <c r="AV419" s="44" t="str">
        <f>IF(AND(C419=Master!$H$3,B419="2012-2013",E419="",G419="NPN05"),H419,"")</f>
        <v/>
      </c>
      <c r="AW419" s="44" t="str">
        <f>IF(AND(C419=Master!$H$4,B419="2012-2013",E419&gt;1000,G419="NPN05"),H419,"")</f>
        <v/>
      </c>
      <c r="AX419" s="44" t="str">
        <f>IF(AND(C419=Master!$H$4,B419="2012-2013",E419="",G419="NPN05"),H419,"")</f>
        <v/>
      </c>
      <c r="AY419" s="44" t="str">
        <f>IF(AND(C419=Master!$H$5,B419="2012-2013",E419&gt;1000,G419="NPN05"),H419,"")</f>
        <v/>
      </c>
      <c r="AZ419" s="44" t="str">
        <f>IF(AND(C419=Master!$H$5,B419="2012-2013",E419="",G419="NPN05"),H419,"")</f>
        <v/>
      </c>
      <c r="BA419" s="44" t="str">
        <f>IF(AND(C419=Master!$H$6,B419="2012-2013",E419&gt;1000,G419="NPN05"),H419,"")</f>
        <v/>
      </c>
      <c r="BB419" s="44" t="str">
        <f>IF(AND(C419=Master!$H$6,B419="2012-2013",E419="",G419="NPN05"),H419,"")</f>
        <v/>
      </c>
      <c r="BC419" s="44" t="str">
        <f>IF(AND(C419=Master!$H$7,B419="2012-2013",E419&gt;1000,G419="NPN05"),H419,"")</f>
        <v/>
      </c>
      <c r="BD419" s="44" t="str">
        <f>IF(AND(C419=Master!$H$7,B419="2012-2013",E419="",G419="NPN05"),H419,"")</f>
        <v/>
      </c>
      <c r="BE419" s="44" t="str">
        <f>IF(AND(C419=Master!$H$8,B419="2012-2013",E419&gt;1000,G419="NPN05"),H419,"")</f>
        <v/>
      </c>
      <c r="BF419" s="44" t="str">
        <f>IF(AND(C419=Master!$H$8,B419="2012-2013",E419="",G419="NPN05"),H419,"")</f>
        <v/>
      </c>
      <c r="BG419" s="44" t="str">
        <f>IF(AND(C419=Master!$H$9,B419="2012-2013",E419&gt;1000,G419="NPN05"),H419,"")</f>
        <v/>
      </c>
      <c r="BH419" s="44" t="str">
        <f>IF(AND(C419=Master!$H$9,B419="2012-2013",E419="",G419="NPN05"),H419,"")</f>
        <v/>
      </c>
    </row>
    <row r="420" spans="1:60" x14ac:dyDescent="0.25">
      <c r="A420" s="3">
        <v>418</v>
      </c>
      <c r="B420" s="12"/>
      <c r="C420" s="12"/>
      <c r="D420" s="31"/>
      <c r="E420" s="4"/>
      <c r="F420" s="13"/>
      <c r="G420" s="21"/>
      <c r="H420" s="35"/>
      <c r="I420" s="21"/>
      <c r="J420" s="25" t="str">
        <f>IF(NOT(I420=""),INDEX(Master!$B$1:$B$46,MATCH(I420,Master!$A$1:$A$46,0)),"")</f>
        <v/>
      </c>
      <c r="K420" s="18"/>
      <c r="L420" s="86"/>
      <c r="M420" s="13"/>
      <c r="N420" s="13"/>
      <c r="O420" s="18"/>
      <c r="P420" s="35"/>
      <c r="Q420" s="21"/>
      <c r="R420" s="21"/>
      <c r="S420" s="13"/>
      <c r="T420" s="12"/>
      <c r="U420" s="12"/>
      <c r="V420" s="12"/>
      <c r="W420" s="14"/>
      <c r="Y420" s="42" t="str">
        <f>IF(AND(C420=Master!$H$1,B420="2012-2013",E420&gt;1000,G420="PLN03"),H420,"")</f>
        <v/>
      </c>
      <c r="Z420" s="42" t="str">
        <f>IF(AND(C420=Master!$H$1,B420="2012-2013",E420="",G420="PLN03"),H420,"")</f>
        <v/>
      </c>
      <c r="AA420" s="42" t="str">
        <f>IF(AND(C420=Master!$H$2,B420="2012-2013",E420&gt;1000,G420="PLN03"),H420,"")</f>
        <v/>
      </c>
      <c r="AB420" s="42" t="str">
        <f>IF(AND(C420=Master!$H$2,B420="2012-2013",E420="",G420="PLN03"),H420,"")</f>
        <v/>
      </c>
      <c r="AC420" s="42" t="str">
        <f>IF(AND(C420=Master!$H$3,B420="2012-2013",E420&gt;1000,G420="PLN03"),H420,"")</f>
        <v/>
      </c>
      <c r="AD420" s="42" t="str">
        <f>IF(AND(C420=Master!$H$3,B420="2012-2013",E420="",G420="PLN03"),H420,"")</f>
        <v/>
      </c>
      <c r="AE420" s="42" t="str">
        <f>IF(AND(C420=Master!$H$4,B420="2012-2013",E420&gt;1000,G420="PLN03"),H420,"")</f>
        <v/>
      </c>
      <c r="AF420" s="42" t="str">
        <f>IF(AND(C420=Master!$H$4,B420="2012-2013",E420="",G420="PLN03"),H420,"")</f>
        <v/>
      </c>
      <c r="AG420" s="42" t="str">
        <f>IF(AND(C420=Master!$H$5,B420="2012-2013",E420&gt;1000,G420="PLN03"),H420,"")</f>
        <v/>
      </c>
      <c r="AH420" s="42" t="str">
        <f>IF(AND(C420=Master!$H$5,B420="2012-2013",E420="",G420="PLN03"),H420,"")</f>
        <v/>
      </c>
      <c r="AI420" s="42" t="str">
        <f>IF(AND(C420=Master!$H$6,B420="2012-2013",E420&gt;1000,G420="PLN03"),H420,"")</f>
        <v/>
      </c>
      <c r="AJ420" s="42" t="str">
        <f>IF(AND(C420=Master!$H$6,B420="2012-2013",E420="",G420="PLN03"),H420,"")</f>
        <v/>
      </c>
      <c r="AK420" s="42" t="str">
        <f>IF(AND(C420=Master!$H$7,B420="2012-2013",E420&gt;1000,G420="PLN03"),H420,"")</f>
        <v/>
      </c>
      <c r="AL420" s="42" t="str">
        <f>IF(AND(C420=Master!$H$7,B420="2012-2013",E420="",G420="PLN03"),H420,"")</f>
        <v/>
      </c>
      <c r="AM420" s="42" t="str">
        <f>IF(AND(C420=Master!$H$8,B420="2012-2013",E420&gt;1000,G420="PLN03"),H420,"")</f>
        <v/>
      </c>
      <c r="AN420" s="42" t="str">
        <f>IF(AND(C420=Master!$H$8,B420="2012-2013",E420="",G420="PLN03"),H420,"")</f>
        <v/>
      </c>
      <c r="AO420" s="42" t="str">
        <f>IF(AND(C420=Master!$H$9,B420="2012-2013",E420&gt;1000,G420="PLN03"),H420,"")</f>
        <v/>
      </c>
      <c r="AP420" s="42" t="str">
        <f>IF(AND(C420=Master!$H$9,B420="2012-2013",E420="",G420="PLN03"),H420,"")</f>
        <v/>
      </c>
      <c r="AQ420" s="44" t="str">
        <f>IF(AND(C420=Master!$H$1,B420="2012-2013",E420&gt;1000,G420="NPN05"),H420,"")</f>
        <v/>
      </c>
      <c r="AR420" s="44" t="str">
        <f>IF(AND(C420=Master!$H$1,B420="2012-2013",E420="",G420="NPN05"),H420,"")</f>
        <v/>
      </c>
      <c r="AS420" s="44" t="str">
        <f>IF(AND(C420=Master!$H$2,B420="2012-2013",E420&gt;1000,G420="NPN05"),H420,"")</f>
        <v/>
      </c>
      <c r="AT420" s="44" t="str">
        <f>IF(AND(C420=Master!$H$2,B420="2012-2013",E420="",G420="NPN05"),H420,"")</f>
        <v/>
      </c>
      <c r="AU420" s="44" t="str">
        <f>IF(AND(C420=Master!$H$3,B420="2012-2013",E420&gt;1000,G420="NPN05"),H420,"")</f>
        <v/>
      </c>
      <c r="AV420" s="44" t="str">
        <f>IF(AND(C420=Master!$H$3,B420="2012-2013",E420="",G420="NPN05"),H420,"")</f>
        <v/>
      </c>
      <c r="AW420" s="44" t="str">
        <f>IF(AND(C420=Master!$H$4,B420="2012-2013",E420&gt;1000,G420="NPN05"),H420,"")</f>
        <v/>
      </c>
      <c r="AX420" s="44" t="str">
        <f>IF(AND(C420=Master!$H$4,B420="2012-2013",E420="",G420="NPN05"),H420,"")</f>
        <v/>
      </c>
      <c r="AY420" s="44" t="str">
        <f>IF(AND(C420=Master!$H$5,B420="2012-2013",E420&gt;1000,G420="NPN05"),H420,"")</f>
        <v/>
      </c>
      <c r="AZ420" s="44" t="str">
        <f>IF(AND(C420=Master!$H$5,B420="2012-2013",E420="",G420="NPN05"),H420,"")</f>
        <v/>
      </c>
      <c r="BA420" s="44" t="str">
        <f>IF(AND(C420=Master!$H$6,B420="2012-2013",E420&gt;1000,G420="NPN05"),H420,"")</f>
        <v/>
      </c>
      <c r="BB420" s="44" t="str">
        <f>IF(AND(C420=Master!$H$6,B420="2012-2013",E420="",G420="NPN05"),H420,"")</f>
        <v/>
      </c>
      <c r="BC420" s="44" t="str">
        <f>IF(AND(C420=Master!$H$7,B420="2012-2013",E420&gt;1000,G420="NPN05"),H420,"")</f>
        <v/>
      </c>
      <c r="BD420" s="44" t="str">
        <f>IF(AND(C420=Master!$H$7,B420="2012-2013",E420="",G420="NPN05"),H420,"")</f>
        <v/>
      </c>
      <c r="BE420" s="44" t="str">
        <f>IF(AND(C420=Master!$H$8,B420="2012-2013",E420&gt;1000,G420="NPN05"),H420,"")</f>
        <v/>
      </c>
      <c r="BF420" s="44" t="str">
        <f>IF(AND(C420=Master!$H$8,B420="2012-2013",E420="",G420="NPN05"),H420,"")</f>
        <v/>
      </c>
      <c r="BG420" s="44" t="str">
        <f>IF(AND(C420=Master!$H$9,B420="2012-2013",E420&gt;1000,G420="NPN05"),H420,"")</f>
        <v/>
      </c>
      <c r="BH420" s="44" t="str">
        <f>IF(AND(C420=Master!$H$9,B420="2012-2013",E420="",G420="NPN05"),H420,"")</f>
        <v/>
      </c>
    </row>
    <row r="421" spans="1:60" x14ac:dyDescent="0.25">
      <c r="A421" s="3">
        <v>419</v>
      </c>
      <c r="B421" s="12"/>
      <c r="C421" s="12"/>
      <c r="D421" s="31"/>
      <c r="E421" s="4"/>
      <c r="F421" s="13"/>
      <c r="G421" s="21"/>
      <c r="H421" s="35"/>
      <c r="I421" s="21"/>
      <c r="J421" s="25" t="str">
        <f>IF(NOT(I421=""),INDEX(Master!$B$1:$B$46,MATCH(I421,Master!$A$1:$A$46,0)),"")</f>
        <v/>
      </c>
      <c r="K421" s="18"/>
      <c r="L421" s="86"/>
      <c r="M421" s="13"/>
      <c r="N421" s="13"/>
      <c r="O421" s="18"/>
      <c r="P421" s="35"/>
      <c r="Q421" s="21"/>
      <c r="R421" s="21"/>
      <c r="S421" s="13"/>
      <c r="T421" s="12"/>
      <c r="U421" s="12"/>
      <c r="V421" s="12"/>
      <c r="W421" s="14"/>
      <c r="Y421" s="42" t="str">
        <f>IF(AND(C421=Master!$H$1,B421="2012-2013",E421&gt;1000,G421="PLN03"),H421,"")</f>
        <v/>
      </c>
      <c r="Z421" s="42" t="str">
        <f>IF(AND(C421=Master!$H$1,B421="2012-2013",E421="",G421="PLN03"),H421,"")</f>
        <v/>
      </c>
      <c r="AA421" s="42" t="str">
        <f>IF(AND(C421=Master!$H$2,B421="2012-2013",E421&gt;1000,G421="PLN03"),H421,"")</f>
        <v/>
      </c>
      <c r="AB421" s="42" t="str">
        <f>IF(AND(C421=Master!$H$2,B421="2012-2013",E421="",G421="PLN03"),H421,"")</f>
        <v/>
      </c>
      <c r="AC421" s="42" t="str">
        <f>IF(AND(C421=Master!$H$3,B421="2012-2013",E421&gt;1000,G421="PLN03"),H421,"")</f>
        <v/>
      </c>
      <c r="AD421" s="42" t="str">
        <f>IF(AND(C421=Master!$H$3,B421="2012-2013",E421="",G421="PLN03"),H421,"")</f>
        <v/>
      </c>
      <c r="AE421" s="42" t="str">
        <f>IF(AND(C421=Master!$H$4,B421="2012-2013",E421&gt;1000,G421="PLN03"),H421,"")</f>
        <v/>
      </c>
      <c r="AF421" s="42" t="str">
        <f>IF(AND(C421=Master!$H$4,B421="2012-2013",E421="",G421="PLN03"),H421,"")</f>
        <v/>
      </c>
      <c r="AG421" s="42" t="str">
        <f>IF(AND(C421=Master!$H$5,B421="2012-2013",E421&gt;1000,G421="PLN03"),H421,"")</f>
        <v/>
      </c>
      <c r="AH421" s="42" t="str">
        <f>IF(AND(C421=Master!$H$5,B421="2012-2013",E421="",G421="PLN03"),H421,"")</f>
        <v/>
      </c>
      <c r="AI421" s="42" t="str">
        <f>IF(AND(C421=Master!$H$6,B421="2012-2013",E421&gt;1000,G421="PLN03"),H421,"")</f>
        <v/>
      </c>
      <c r="AJ421" s="42" t="str">
        <f>IF(AND(C421=Master!$H$6,B421="2012-2013",E421="",G421="PLN03"),H421,"")</f>
        <v/>
      </c>
      <c r="AK421" s="42" t="str">
        <f>IF(AND(C421=Master!$H$7,B421="2012-2013",E421&gt;1000,G421="PLN03"),H421,"")</f>
        <v/>
      </c>
      <c r="AL421" s="42" t="str">
        <f>IF(AND(C421=Master!$H$7,B421="2012-2013",E421="",G421="PLN03"),H421,"")</f>
        <v/>
      </c>
      <c r="AM421" s="42" t="str">
        <f>IF(AND(C421=Master!$H$8,B421="2012-2013",E421&gt;1000,G421="PLN03"),H421,"")</f>
        <v/>
      </c>
      <c r="AN421" s="42" t="str">
        <f>IF(AND(C421=Master!$H$8,B421="2012-2013",E421="",G421="PLN03"),H421,"")</f>
        <v/>
      </c>
      <c r="AO421" s="42" t="str">
        <f>IF(AND(C421=Master!$H$9,B421="2012-2013",E421&gt;1000,G421="PLN03"),H421,"")</f>
        <v/>
      </c>
      <c r="AP421" s="42" t="str">
        <f>IF(AND(C421=Master!$H$9,B421="2012-2013",E421="",G421="PLN03"),H421,"")</f>
        <v/>
      </c>
      <c r="AQ421" s="44" t="str">
        <f>IF(AND(C421=Master!$H$1,B421="2012-2013",E421&gt;1000,G421="NPN05"),H421,"")</f>
        <v/>
      </c>
      <c r="AR421" s="44" t="str">
        <f>IF(AND(C421=Master!$H$1,B421="2012-2013",E421="",G421="NPN05"),H421,"")</f>
        <v/>
      </c>
      <c r="AS421" s="44" t="str">
        <f>IF(AND(C421=Master!$H$2,B421="2012-2013",E421&gt;1000,G421="NPN05"),H421,"")</f>
        <v/>
      </c>
      <c r="AT421" s="44" t="str">
        <f>IF(AND(C421=Master!$H$2,B421="2012-2013",E421="",G421="NPN05"),H421,"")</f>
        <v/>
      </c>
      <c r="AU421" s="44" t="str">
        <f>IF(AND(C421=Master!$H$3,B421="2012-2013",E421&gt;1000,G421="NPN05"),H421,"")</f>
        <v/>
      </c>
      <c r="AV421" s="44" t="str">
        <f>IF(AND(C421=Master!$H$3,B421="2012-2013",E421="",G421="NPN05"),H421,"")</f>
        <v/>
      </c>
      <c r="AW421" s="44" t="str">
        <f>IF(AND(C421=Master!$H$4,B421="2012-2013",E421&gt;1000,G421="NPN05"),H421,"")</f>
        <v/>
      </c>
      <c r="AX421" s="44" t="str">
        <f>IF(AND(C421=Master!$H$4,B421="2012-2013",E421="",G421="NPN05"),H421,"")</f>
        <v/>
      </c>
      <c r="AY421" s="44" t="str">
        <f>IF(AND(C421=Master!$H$5,B421="2012-2013",E421&gt;1000,G421="NPN05"),H421,"")</f>
        <v/>
      </c>
      <c r="AZ421" s="44" t="str">
        <f>IF(AND(C421=Master!$H$5,B421="2012-2013",E421="",G421="NPN05"),H421,"")</f>
        <v/>
      </c>
      <c r="BA421" s="44" t="str">
        <f>IF(AND(C421=Master!$H$6,B421="2012-2013",E421&gt;1000,G421="NPN05"),H421,"")</f>
        <v/>
      </c>
      <c r="BB421" s="44" t="str">
        <f>IF(AND(C421=Master!$H$6,B421="2012-2013",E421="",G421="NPN05"),H421,"")</f>
        <v/>
      </c>
      <c r="BC421" s="44" t="str">
        <f>IF(AND(C421=Master!$H$7,B421="2012-2013",E421&gt;1000,G421="NPN05"),H421,"")</f>
        <v/>
      </c>
      <c r="BD421" s="44" t="str">
        <f>IF(AND(C421=Master!$H$7,B421="2012-2013",E421="",G421="NPN05"),H421,"")</f>
        <v/>
      </c>
      <c r="BE421" s="44" t="str">
        <f>IF(AND(C421=Master!$H$8,B421="2012-2013",E421&gt;1000,G421="NPN05"),H421,"")</f>
        <v/>
      </c>
      <c r="BF421" s="44" t="str">
        <f>IF(AND(C421=Master!$H$8,B421="2012-2013",E421="",G421="NPN05"),H421,"")</f>
        <v/>
      </c>
      <c r="BG421" s="44" t="str">
        <f>IF(AND(C421=Master!$H$9,B421="2012-2013",E421&gt;1000,G421="NPN05"),H421,"")</f>
        <v/>
      </c>
      <c r="BH421" s="44" t="str">
        <f>IF(AND(C421=Master!$H$9,B421="2012-2013",E421="",G421="NPN05"),H421,"")</f>
        <v/>
      </c>
    </row>
    <row r="422" spans="1:60" x14ac:dyDescent="0.25">
      <c r="A422" s="3">
        <v>420</v>
      </c>
      <c r="B422" s="12"/>
      <c r="C422" s="12"/>
      <c r="D422" s="31"/>
      <c r="E422" s="4"/>
      <c r="F422" s="13"/>
      <c r="G422" s="21"/>
      <c r="H422" s="35"/>
      <c r="I422" s="21"/>
      <c r="J422" s="25" t="str">
        <f>IF(NOT(I422=""),INDEX(Master!$B$1:$B$46,MATCH(I422,Master!$A$1:$A$46,0)),"")</f>
        <v/>
      </c>
      <c r="K422" s="18"/>
      <c r="L422" s="86"/>
      <c r="M422" s="13"/>
      <c r="N422" s="13"/>
      <c r="O422" s="18"/>
      <c r="P422" s="35"/>
      <c r="Q422" s="21"/>
      <c r="R422" s="21"/>
      <c r="S422" s="13"/>
      <c r="T422" s="12"/>
      <c r="U422" s="12"/>
      <c r="V422" s="12"/>
      <c r="W422" s="14"/>
      <c r="Y422" s="42" t="str">
        <f>IF(AND(C422=Master!$H$1,B422="2012-2013",E422&gt;1000,G422="PLN03"),H422,"")</f>
        <v/>
      </c>
      <c r="Z422" s="42" t="str">
        <f>IF(AND(C422=Master!$H$1,B422="2012-2013",E422="",G422="PLN03"),H422,"")</f>
        <v/>
      </c>
      <c r="AA422" s="42" t="str">
        <f>IF(AND(C422=Master!$H$2,B422="2012-2013",E422&gt;1000,G422="PLN03"),H422,"")</f>
        <v/>
      </c>
      <c r="AB422" s="42" t="str">
        <f>IF(AND(C422=Master!$H$2,B422="2012-2013",E422="",G422="PLN03"),H422,"")</f>
        <v/>
      </c>
      <c r="AC422" s="42" t="str">
        <f>IF(AND(C422=Master!$H$3,B422="2012-2013",E422&gt;1000,G422="PLN03"),H422,"")</f>
        <v/>
      </c>
      <c r="AD422" s="42" t="str">
        <f>IF(AND(C422=Master!$H$3,B422="2012-2013",E422="",G422="PLN03"),H422,"")</f>
        <v/>
      </c>
      <c r="AE422" s="42" t="str">
        <f>IF(AND(C422=Master!$H$4,B422="2012-2013",E422&gt;1000,G422="PLN03"),H422,"")</f>
        <v/>
      </c>
      <c r="AF422" s="42" t="str">
        <f>IF(AND(C422=Master!$H$4,B422="2012-2013",E422="",G422="PLN03"),H422,"")</f>
        <v/>
      </c>
      <c r="AG422" s="42" t="str">
        <f>IF(AND(C422=Master!$H$5,B422="2012-2013",E422&gt;1000,G422="PLN03"),H422,"")</f>
        <v/>
      </c>
      <c r="AH422" s="42" t="str">
        <f>IF(AND(C422=Master!$H$5,B422="2012-2013",E422="",G422="PLN03"),H422,"")</f>
        <v/>
      </c>
      <c r="AI422" s="42" t="str">
        <f>IF(AND(C422=Master!$H$6,B422="2012-2013",E422&gt;1000,G422="PLN03"),H422,"")</f>
        <v/>
      </c>
      <c r="AJ422" s="42" t="str">
        <f>IF(AND(C422=Master!$H$6,B422="2012-2013",E422="",G422="PLN03"),H422,"")</f>
        <v/>
      </c>
      <c r="AK422" s="42" t="str">
        <f>IF(AND(C422=Master!$H$7,B422="2012-2013",E422&gt;1000,G422="PLN03"),H422,"")</f>
        <v/>
      </c>
      <c r="AL422" s="42" t="str">
        <f>IF(AND(C422=Master!$H$7,B422="2012-2013",E422="",G422="PLN03"),H422,"")</f>
        <v/>
      </c>
      <c r="AM422" s="42" t="str">
        <f>IF(AND(C422=Master!$H$8,B422="2012-2013",E422&gt;1000,G422="PLN03"),H422,"")</f>
        <v/>
      </c>
      <c r="AN422" s="42" t="str">
        <f>IF(AND(C422=Master!$H$8,B422="2012-2013",E422="",G422="PLN03"),H422,"")</f>
        <v/>
      </c>
      <c r="AO422" s="42" t="str">
        <f>IF(AND(C422=Master!$H$9,B422="2012-2013",E422&gt;1000,G422="PLN03"),H422,"")</f>
        <v/>
      </c>
      <c r="AP422" s="42" t="str">
        <f>IF(AND(C422=Master!$H$9,B422="2012-2013",E422="",G422="PLN03"),H422,"")</f>
        <v/>
      </c>
      <c r="AQ422" s="44" t="str">
        <f>IF(AND(C422=Master!$H$1,B422="2012-2013",E422&gt;1000,G422="NPN05"),H422,"")</f>
        <v/>
      </c>
      <c r="AR422" s="44" t="str">
        <f>IF(AND(C422=Master!$H$1,B422="2012-2013",E422="",G422="NPN05"),H422,"")</f>
        <v/>
      </c>
      <c r="AS422" s="44" t="str">
        <f>IF(AND(C422=Master!$H$2,B422="2012-2013",E422&gt;1000,G422="NPN05"),H422,"")</f>
        <v/>
      </c>
      <c r="AT422" s="44" t="str">
        <f>IF(AND(C422=Master!$H$2,B422="2012-2013",E422="",G422="NPN05"),H422,"")</f>
        <v/>
      </c>
      <c r="AU422" s="44" t="str">
        <f>IF(AND(C422=Master!$H$3,B422="2012-2013",E422&gt;1000,G422="NPN05"),H422,"")</f>
        <v/>
      </c>
      <c r="AV422" s="44" t="str">
        <f>IF(AND(C422=Master!$H$3,B422="2012-2013",E422="",G422="NPN05"),H422,"")</f>
        <v/>
      </c>
      <c r="AW422" s="44" t="str">
        <f>IF(AND(C422=Master!$H$4,B422="2012-2013",E422&gt;1000,G422="NPN05"),H422,"")</f>
        <v/>
      </c>
      <c r="AX422" s="44" t="str">
        <f>IF(AND(C422=Master!$H$4,B422="2012-2013",E422="",G422="NPN05"),H422,"")</f>
        <v/>
      </c>
      <c r="AY422" s="44" t="str">
        <f>IF(AND(C422=Master!$H$5,B422="2012-2013",E422&gt;1000,G422="NPN05"),H422,"")</f>
        <v/>
      </c>
      <c r="AZ422" s="44" t="str">
        <f>IF(AND(C422=Master!$H$5,B422="2012-2013",E422="",G422="NPN05"),H422,"")</f>
        <v/>
      </c>
      <c r="BA422" s="44" t="str">
        <f>IF(AND(C422=Master!$H$6,B422="2012-2013",E422&gt;1000,G422="NPN05"),H422,"")</f>
        <v/>
      </c>
      <c r="BB422" s="44" t="str">
        <f>IF(AND(C422=Master!$H$6,B422="2012-2013",E422="",G422="NPN05"),H422,"")</f>
        <v/>
      </c>
      <c r="BC422" s="44" t="str">
        <f>IF(AND(C422=Master!$H$7,B422="2012-2013",E422&gt;1000,G422="NPN05"),H422,"")</f>
        <v/>
      </c>
      <c r="BD422" s="44" t="str">
        <f>IF(AND(C422=Master!$H$7,B422="2012-2013",E422="",G422="NPN05"),H422,"")</f>
        <v/>
      </c>
      <c r="BE422" s="44" t="str">
        <f>IF(AND(C422=Master!$H$8,B422="2012-2013",E422&gt;1000,G422="NPN05"),H422,"")</f>
        <v/>
      </c>
      <c r="BF422" s="44" t="str">
        <f>IF(AND(C422=Master!$H$8,B422="2012-2013",E422="",G422="NPN05"),H422,"")</f>
        <v/>
      </c>
      <c r="BG422" s="44" t="str">
        <f>IF(AND(C422=Master!$H$9,B422="2012-2013",E422&gt;1000,G422="NPN05"),H422,"")</f>
        <v/>
      </c>
      <c r="BH422" s="44" t="str">
        <f>IF(AND(C422=Master!$H$9,B422="2012-2013",E422="",G422="NPN05"),H422,"")</f>
        <v/>
      </c>
    </row>
    <row r="423" spans="1:60" x14ac:dyDescent="0.25">
      <c r="A423" s="3">
        <v>421</v>
      </c>
      <c r="B423" s="12"/>
      <c r="C423" s="12"/>
      <c r="D423" s="31"/>
      <c r="E423" s="4"/>
      <c r="F423" s="13"/>
      <c r="G423" s="21"/>
      <c r="H423" s="35"/>
      <c r="I423" s="21"/>
      <c r="J423" s="25" t="str">
        <f>IF(NOT(I423=""),INDEX(Master!$B$1:$B$46,MATCH(I423,Master!$A$1:$A$46,0)),"")</f>
        <v/>
      </c>
      <c r="K423" s="18"/>
      <c r="L423" s="86"/>
      <c r="M423" s="13"/>
      <c r="N423" s="13"/>
      <c r="O423" s="18"/>
      <c r="P423" s="35"/>
      <c r="Q423" s="21"/>
      <c r="R423" s="21"/>
      <c r="S423" s="13"/>
      <c r="T423" s="12"/>
      <c r="U423" s="12"/>
      <c r="V423" s="12"/>
      <c r="W423" s="14"/>
      <c r="Y423" s="42" t="str">
        <f>IF(AND(C423=Master!$H$1,B423="2012-2013",E423&gt;1000,G423="PLN03"),H423,"")</f>
        <v/>
      </c>
      <c r="Z423" s="42" t="str">
        <f>IF(AND(C423=Master!$H$1,B423="2012-2013",E423="",G423="PLN03"),H423,"")</f>
        <v/>
      </c>
      <c r="AA423" s="42" t="str">
        <f>IF(AND(C423=Master!$H$2,B423="2012-2013",E423&gt;1000,G423="PLN03"),H423,"")</f>
        <v/>
      </c>
      <c r="AB423" s="42" t="str">
        <f>IF(AND(C423=Master!$H$2,B423="2012-2013",E423="",G423="PLN03"),H423,"")</f>
        <v/>
      </c>
      <c r="AC423" s="42" t="str">
        <f>IF(AND(C423=Master!$H$3,B423="2012-2013",E423&gt;1000,G423="PLN03"),H423,"")</f>
        <v/>
      </c>
      <c r="AD423" s="42" t="str">
        <f>IF(AND(C423=Master!$H$3,B423="2012-2013",E423="",G423="PLN03"),H423,"")</f>
        <v/>
      </c>
      <c r="AE423" s="42" t="str">
        <f>IF(AND(C423=Master!$H$4,B423="2012-2013",E423&gt;1000,G423="PLN03"),H423,"")</f>
        <v/>
      </c>
      <c r="AF423" s="42" t="str">
        <f>IF(AND(C423=Master!$H$4,B423="2012-2013",E423="",G423="PLN03"),H423,"")</f>
        <v/>
      </c>
      <c r="AG423" s="42" t="str">
        <f>IF(AND(C423=Master!$H$5,B423="2012-2013",E423&gt;1000,G423="PLN03"),H423,"")</f>
        <v/>
      </c>
      <c r="AH423" s="42" t="str">
        <f>IF(AND(C423=Master!$H$5,B423="2012-2013",E423="",G423="PLN03"),H423,"")</f>
        <v/>
      </c>
      <c r="AI423" s="42" t="str">
        <f>IF(AND(C423=Master!$H$6,B423="2012-2013",E423&gt;1000,G423="PLN03"),H423,"")</f>
        <v/>
      </c>
      <c r="AJ423" s="42" t="str">
        <f>IF(AND(C423=Master!$H$6,B423="2012-2013",E423="",G423="PLN03"),H423,"")</f>
        <v/>
      </c>
      <c r="AK423" s="42" t="str">
        <f>IF(AND(C423=Master!$H$7,B423="2012-2013",E423&gt;1000,G423="PLN03"),H423,"")</f>
        <v/>
      </c>
      <c r="AL423" s="42" t="str">
        <f>IF(AND(C423=Master!$H$7,B423="2012-2013",E423="",G423="PLN03"),H423,"")</f>
        <v/>
      </c>
      <c r="AM423" s="42" t="str">
        <f>IF(AND(C423=Master!$H$8,B423="2012-2013",E423&gt;1000,G423="PLN03"),H423,"")</f>
        <v/>
      </c>
      <c r="AN423" s="42" t="str">
        <f>IF(AND(C423=Master!$H$8,B423="2012-2013",E423="",G423="PLN03"),H423,"")</f>
        <v/>
      </c>
      <c r="AO423" s="42" t="str">
        <f>IF(AND(C423=Master!$H$9,B423="2012-2013",E423&gt;1000,G423="PLN03"),H423,"")</f>
        <v/>
      </c>
      <c r="AP423" s="42" t="str">
        <f>IF(AND(C423=Master!$H$9,B423="2012-2013",E423="",G423="PLN03"),H423,"")</f>
        <v/>
      </c>
      <c r="AQ423" s="44" t="str">
        <f>IF(AND(C423=Master!$H$1,B423="2012-2013",E423&gt;1000,G423="NPN05"),H423,"")</f>
        <v/>
      </c>
      <c r="AR423" s="44" t="str">
        <f>IF(AND(C423=Master!$H$1,B423="2012-2013",E423="",G423="NPN05"),H423,"")</f>
        <v/>
      </c>
      <c r="AS423" s="44" t="str">
        <f>IF(AND(C423=Master!$H$2,B423="2012-2013",E423&gt;1000,G423="NPN05"),H423,"")</f>
        <v/>
      </c>
      <c r="AT423" s="44" t="str">
        <f>IF(AND(C423=Master!$H$2,B423="2012-2013",E423="",G423="NPN05"),H423,"")</f>
        <v/>
      </c>
      <c r="AU423" s="44" t="str">
        <f>IF(AND(C423=Master!$H$3,B423="2012-2013",E423&gt;1000,G423="NPN05"),H423,"")</f>
        <v/>
      </c>
      <c r="AV423" s="44" t="str">
        <f>IF(AND(C423=Master!$H$3,B423="2012-2013",E423="",G423="NPN05"),H423,"")</f>
        <v/>
      </c>
      <c r="AW423" s="44" t="str">
        <f>IF(AND(C423=Master!$H$4,B423="2012-2013",E423&gt;1000,G423="NPN05"),H423,"")</f>
        <v/>
      </c>
      <c r="AX423" s="44" t="str">
        <f>IF(AND(C423=Master!$H$4,B423="2012-2013",E423="",G423="NPN05"),H423,"")</f>
        <v/>
      </c>
      <c r="AY423" s="44" t="str">
        <f>IF(AND(C423=Master!$H$5,B423="2012-2013",E423&gt;1000,G423="NPN05"),H423,"")</f>
        <v/>
      </c>
      <c r="AZ423" s="44" t="str">
        <f>IF(AND(C423=Master!$H$5,B423="2012-2013",E423="",G423="NPN05"),H423,"")</f>
        <v/>
      </c>
      <c r="BA423" s="44" t="str">
        <f>IF(AND(C423=Master!$H$6,B423="2012-2013",E423&gt;1000,G423="NPN05"),H423,"")</f>
        <v/>
      </c>
      <c r="BB423" s="44" t="str">
        <f>IF(AND(C423=Master!$H$6,B423="2012-2013",E423="",G423="NPN05"),H423,"")</f>
        <v/>
      </c>
      <c r="BC423" s="44" t="str">
        <f>IF(AND(C423=Master!$H$7,B423="2012-2013",E423&gt;1000,G423="NPN05"),H423,"")</f>
        <v/>
      </c>
      <c r="BD423" s="44" t="str">
        <f>IF(AND(C423=Master!$H$7,B423="2012-2013",E423="",G423="NPN05"),H423,"")</f>
        <v/>
      </c>
      <c r="BE423" s="44" t="str">
        <f>IF(AND(C423=Master!$H$8,B423="2012-2013",E423&gt;1000,G423="NPN05"),H423,"")</f>
        <v/>
      </c>
      <c r="BF423" s="44" t="str">
        <f>IF(AND(C423=Master!$H$8,B423="2012-2013",E423="",G423="NPN05"),H423,"")</f>
        <v/>
      </c>
      <c r="BG423" s="44" t="str">
        <f>IF(AND(C423=Master!$H$9,B423="2012-2013",E423&gt;1000,G423="NPN05"),H423,"")</f>
        <v/>
      </c>
      <c r="BH423" s="44" t="str">
        <f>IF(AND(C423=Master!$H$9,B423="2012-2013",E423="",G423="NPN05"),H423,"")</f>
        <v/>
      </c>
    </row>
    <row r="424" spans="1:60" x14ac:dyDescent="0.25">
      <c r="A424" s="3">
        <v>422</v>
      </c>
      <c r="B424" s="12"/>
      <c r="C424" s="12"/>
      <c r="D424" s="31"/>
      <c r="E424" s="4"/>
      <c r="F424" s="13"/>
      <c r="G424" s="21"/>
      <c r="H424" s="35"/>
      <c r="I424" s="21"/>
      <c r="J424" s="25" t="str">
        <f>IF(NOT(I424=""),INDEX(Master!$B$1:$B$46,MATCH(I424,Master!$A$1:$A$46,0)),"")</f>
        <v/>
      </c>
      <c r="K424" s="18"/>
      <c r="L424" s="86"/>
      <c r="M424" s="13"/>
      <c r="N424" s="13"/>
      <c r="O424" s="18"/>
      <c r="P424" s="35"/>
      <c r="Q424" s="21"/>
      <c r="R424" s="21"/>
      <c r="S424" s="13"/>
      <c r="T424" s="12"/>
      <c r="U424" s="12"/>
      <c r="V424" s="12"/>
      <c r="W424" s="14"/>
      <c r="Y424" s="42" t="str">
        <f>IF(AND(C424=Master!$H$1,B424="2012-2013",E424&gt;1000,G424="PLN03"),H424,"")</f>
        <v/>
      </c>
      <c r="Z424" s="42" t="str">
        <f>IF(AND(C424=Master!$H$1,B424="2012-2013",E424="",G424="PLN03"),H424,"")</f>
        <v/>
      </c>
      <c r="AA424" s="42" t="str">
        <f>IF(AND(C424=Master!$H$2,B424="2012-2013",E424&gt;1000,G424="PLN03"),H424,"")</f>
        <v/>
      </c>
      <c r="AB424" s="42" t="str">
        <f>IF(AND(C424=Master!$H$2,B424="2012-2013",E424="",G424="PLN03"),H424,"")</f>
        <v/>
      </c>
      <c r="AC424" s="42" t="str">
        <f>IF(AND(C424=Master!$H$3,B424="2012-2013",E424&gt;1000,G424="PLN03"),H424,"")</f>
        <v/>
      </c>
      <c r="AD424" s="42" t="str">
        <f>IF(AND(C424=Master!$H$3,B424="2012-2013",E424="",G424="PLN03"),H424,"")</f>
        <v/>
      </c>
      <c r="AE424" s="42" t="str">
        <f>IF(AND(C424=Master!$H$4,B424="2012-2013",E424&gt;1000,G424="PLN03"),H424,"")</f>
        <v/>
      </c>
      <c r="AF424" s="42" t="str">
        <f>IF(AND(C424=Master!$H$4,B424="2012-2013",E424="",G424="PLN03"),H424,"")</f>
        <v/>
      </c>
      <c r="AG424" s="42" t="str">
        <f>IF(AND(C424=Master!$H$5,B424="2012-2013",E424&gt;1000,G424="PLN03"),H424,"")</f>
        <v/>
      </c>
      <c r="AH424" s="42" t="str">
        <f>IF(AND(C424=Master!$H$5,B424="2012-2013",E424="",G424="PLN03"),H424,"")</f>
        <v/>
      </c>
      <c r="AI424" s="42" t="str">
        <f>IF(AND(C424=Master!$H$6,B424="2012-2013",E424&gt;1000,G424="PLN03"),H424,"")</f>
        <v/>
      </c>
      <c r="AJ424" s="42" t="str">
        <f>IF(AND(C424=Master!$H$6,B424="2012-2013",E424="",G424="PLN03"),H424,"")</f>
        <v/>
      </c>
      <c r="AK424" s="42" t="str">
        <f>IF(AND(C424=Master!$H$7,B424="2012-2013",E424&gt;1000,G424="PLN03"),H424,"")</f>
        <v/>
      </c>
      <c r="AL424" s="42" t="str">
        <f>IF(AND(C424=Master!$H$7,B424="2012-2013",E424="",G424="PLN03"),H424,"")</f>
        <v/>
      </c>
      <c r="AM424" s="42" t="str">
        <f>IF(AND(C424=Master!$H$8,B424="2012-2013",E424&gt;1000,G424="PLN03"),H424,"")</f>
        <v/>
      </c>
      <c r="AN424" s="42" t="str">
        <f>IF(AND(C424=Master!$H$8,B424="2012-2013",E424="",G424="PLN03"),H424,"")</f>
        <v/>
      </c>
      <c r="AO424" s="42" t="str">
        <f>IF(AND(C424=Master!$H$9,B424="2012-2013",E424&gt;1000,G424="PLN03"),H424,"")</f>
        <v/>
      </c>
      <c r="AP424" s="42" t="str">
        <f>IF(AND(C424=Master!$H$9,B424="2012-2013",E424="",G424="PLN03"),H424,"")</f>
        <v/>
      </c>
      <c r="AQ424" s="44" t="str">
        <f>IF(AND(C424=Master!$H$1,B424="2012-2013",E424&gt;1000,G424="NPN05"),H424,"")</f>
        <v/>
      </c>
      <c r="AR424" s="44" t="str">
        <f>IF(AND(C424=Master!$H$1,B424="2012-2013",E424="",G424="NPN05"),H424,"")</f>
        <v/>
      </c>
      <c r="AS424" s="44" t="str">
        <f>IF(AND(C424=Master!$H$2,B424="2012-2013",E424&gt;1000,G424="NPN05"),H424,"")</f>
        <v/>
      </c>
      <c r="AT424" s="44" t="str">
        <f>IF(AND(C424=Master!$H$2,B424="2012-2013",E424="",G424="NPN05"),H424,"")</f>
        <v/>
      </c>
      <c r="AU424" s="44" t="str">
        <f>IF(AND(C424=Master!$H$3,B424="2012-2013",E424&gt;1000,G424="NPN05"),H424,"")</f>
        <v/>
      </c>
      <c r="AV424" s="44" t="str">
        <f>IF(AND(C424=Master!$H$3,B424="2012-2013",E424="",G424="NPN05"),H424,"")</f>
        <v/>
      </c>
      <c r="AW424" s="44" t="str">
        <f>IF(AND(C424=Master!$H$4,B424="2012-2013",E424&gt;1000,G424="NPN05"),H424,"")</f>
        <v/>
      </c>
      <c r="AX424" s="44" t="str">
        <f>IF(AND(C424=Master!$H$4,B424="2012-2013",E424="",G424="NPN05"),H424,"")</f>
        <v/>
      </c>
      <c r="AY424" s="44" t="str">
        <f>IF(AND(C424=Master!$H$5,B424="2012-2013",E424&gt;1000,G424="NPN05"),H424,"")</f>
        <v/>
      </c>
      <c r="AZ424" s="44" t="str">
        <f>IF(AND(C424=Master!$H$5,B424="2012-2013",E424="",G424="NPN05"),H424,"")</f>
        <v/>
      </c>
      <c r="BA424" s="44" t="str">
        <f>IF(AND(C424=Master!$H$6,B424="2012-2013",E424&gt;1000,G424="NPN05"),H424,"")</f>
        <v/>
      </c>
      <c r="BB424" s="44" t="str">
        <f>IF(AND(C424=Master!$H$6,B424="2012-2013",E424="",G424="NPN05"),H424,"")</f>
        <v/>
      </c>
      <c r="BC424" s="44" t="str">
        <f>IF(AND(C424=Master!$H$7,B424="2012-2013",E424&gt;1000,G424="NPN05"),H424,"")</f>
        <v/>
      </c>
      <c r="BD424" s="44" t="str">
        <f>IF(AND(C424=Master!$H$7,B424="2012-2013",E424="",G424="NPN05"),H424,"")</f>
        <v/>
      </c>
      <c r="BE424" s="44" t="str">
        <f>IF(AND(C424=Master!$H$8,B424="2012-2013",E424&gt;1000,G424="NPN05"),H424,"")</f>
        <v/>
      </c>
      <c r="BF424" s="44" t="str">
        <f>IF(AND(C424=Master!$H$8,B424="2012-2013",E424="",G424="NPN05"),H424,"")</f>
        <v/>
      </c>
      <c r="BG424" s="44" t="str">
        <f>IF(AND(C424=Master!$H$9,B424="2012-2013",E424&gt;1000,G424="NPN05"),H424,"")</f>
        <v/>
      </c>
      <c r="BH424" s="44" t="str">
        <f>IF(AND(C424=Master!$H$9,B424="2012-2013",E424="",G424="NPN05"),H424,"")</f>
        <v/>
      </c>
    </row>
    <row r="425" spans="1:60" x14ac:dyDescent="0.25">
      <c r="A425" s="3">
        <v>423</v>
      </c>
      <c r="B425" s="12"/>
      <c r="C425" s="12"/>
      <c r="D425" s="31"/>
      <c r="E425" s="4"/>
      <c r="F425" s="13"/>
      <c r="G425" s="21"/>
      <c r="H425" s="35"/>
      <c r="I425" s="21"/>
      <c r="J425" s="25" t="str">
        <f>IF(NOT(I425=""),INDEX(Master!$B$1:$B$46,MATCH(I425,Master!$A$1:$A$46,0)),"")</f>
        <v/>
      </c>
      <c r="K425" s="18"/>
      <c r="L425" s="86"/>
      <c r="M425" s="13"/>
      <c r="N425" s="13"/>
      <c r="O425" s="18"/>
      <c r="P425" s="35"/>
      <c r="Q425" s="21"/>
      <c r="R425" s="21"/>
      <c r="S425" s="13"/>
      <c r="T425" s="12"/>
      <c r="U425" s="12"/>
      <c r="V425" s="12"/>
      <c r="W425" s="14"/>
      <c r="Y425" s="42" t="str">
        <f>IF(AND(C425=Master!$H$1,B425="2012-2013",E425&gt;1000,G425="PLN03"),H425,"")</f>
        <v/>
      </c>
      <c r="Z425" s="42" t="str">
        <f>IF(AND(C425=Master!$H$1,B425="2012-2013",E425="",G425="PLN03"),H425,"")</f>
        <v/>
      </c>
      <c r="AA425" s="42" t="str">
        <f>IF(AND(C425=Master!$H$2,B425="2012-2013",E425&gt;1000,G425="PLN03"),H425,"")</f>
        <v/>
      </c>
      <c r="AB425" s="42" t="str">
        <f>IF(AND(C425=Master!$H$2,B425="2012-2013",E425="",G425="PLN03"),H425,"")</f>
        <v/>
      </c>
      <c r="AC425" s="42" t="str">
        <f>IF(AND(C425=Master!$H$3,B425="2012-2013",E425&gt;1000,G425="PLN03"),H425,"")</f>
        <v/>
      </c>
      <c r="AD425" s="42" t="str">
        <f>IF(AND(C425=Master!$H$3,B425="2012-2013",E425="",G425="PLN03"),H425,"")</f>
        <v/>
      </c>
      <c r="AE425" s="42" t="str">
        <f>IF(AND(C425=Master!$H$4,B425="2012-2013",E425&gt;1000,G425="PLN03"),H425,"")</f>
        <v/>
      </c>
      <c r="AF425" s="42" t="str">
        <f>IF(AND(C425=Master!$H$4,B425="2012-2013",E425="",G425="PLN03"),H425,"")</f>
        <v/>
      </c>
      <c r="AG425" s="42" t="str">
        <f>IF(AND(C425=Master!$H$5,B425="2012-2013",E425&gt;1000,G425="PLN03"),H425,"")</f>
        <v/>
      </c>
      <c r="AH425" s="42" t="str">
        <f>IF(AND(C425=Master!$H$5,B425="2012-2013",E425="",G425="PLN03"),H425,"")</f>
        <v/>
      </c>
      <c r="AI425" s="42" t="str">
        <f>IF(AND(C425=Master!$H$6,B425="2012-2013",E425&gt;1000,G425="PLN03"),H425,"")</f>
        <v/>
      </c>
      <c r="AJ425" s="42" t="str">
        <f>IF(AND(C425=Master!$H$6,B425="2012-2013",E425="",G425="PLN03"),H425,"")</f>
        <v/>
      </c>
      <c r="AK425" s="42" t="str">
        <f>IF(AND(C425=Master!$H$7,B425="2012-2013",E425&gt;1000,G425="PLN03"),H425,"")</f>
        <v/>
      </c>
      <c r="AL425" s="42" t="str">
        <f>IF(AND(C425=Master!$H$7,B425="2012-2013",E425="",G425="PLN03"),H425,"")</f>
        <v/>
      </c>
      <c r="AM425" s="42" t="str">
        <f>IF(AND(C425=Master!$H$8,B425="2012-2013",E425&gt;1000,G425="PLN03"),H425,"")</f>
        <v/>
      </c>
      <c r="AN425" s="42" t="str">
        <f>IF(AND(C425=Master!$H$8,B425="2012-2013",E425="",G425="PLN03"),H425,"")</f>
        <v/>
      </c>
      <c r="AO425" s="42" t="str">
        <f>IF(AND(C425=Master!$H$9,B425="2012-2013",E425&gt;1000,G425="PLN03"),H425,"")</f>
        <v/>
      </c>
      <c r="AP425" s="42" t="str">
        <f>IF(AND(C425=Master!$H$9,B425="2012-2013",E425="",G425="PLN03"),H425,"")</f>
        <v/>
      </c>
      <c r="AQ425" s="44" t="str">
        <f>IF(AND(C425=Master!$H$1,B425="2012-2013",E425&gt;1000,G425="NPN05"),H425,"")</f>
        <v/>
      </c>
      <c r="AR425" s="44" t="str">
        <f>IF(AND(C425=Master!$H$1,B425="2012-2013",E425="",G425="NPN05"),H425,"")</f>
        <v/>
      </c>
      <c r="AS425" s="44" t="str">
        <f>IF(AND(C425=Master!$H$2,B425="2012-2013",E425&gt;1000,G425="NPN05"),H425,"")</f>
        <v/>
      </c>
      <c r="AT425" s="44" t="str">
        <f>IF(AND(C425=Master!$H$2,B425="2012-2013",E425="",G425="NPN05"),H425,"")</f>
        <v/>
      </c>
      <c r="AU425" s="44" t="str">
        <f>IF(AND(C425=Master!$H$3,B425="2012-2013",E425&gt;1000,G425="NPN05"),H425,"")</f>
        <v/>
      </c>
      <c r="AV425" s="44" t="str">
        <f>IF(AND(C425=Master!$H$3,B425="2012-2013",E425="",G425="NPN05"),H425,"")</f>
        <v/>
      </c>
      <c r="AW425" s="44" t="str">
        <f>IF(AND(C425=Master!$H$4,B425="2012-2013",E425&gt;1000,G425="NPN05"),H425,"")</f>
        <v/>
      </c>
      <c r="AX425" s="44" t="str">
        <f>IF(AND(C425=Master!$H$4,B425="2012-2013",E425="",G425="NPN05"),H425,"")</f>
        <v/>
      </c>
      <c r="AY425" s="44" t="str">
        <f>IF(AND(C425=Master!$H$5,B425="2012-2013",E425&gt;1000,G425="NPN05"),H425,"")</f>
        <v/>
      </c>
      <c r="AZ425" s="44" t="str">
        <f>IF(AND(C425=Master!$H$5,B425="2012-2013",E425="",G425="NPN05"),H425,"")</f>
        <v/>
      </c>
      <c r="BA425" s="44" t="str">
        <f>IF(AND(C425=Master!$H$6,B425="2012-2013",E425&gt;1000,G425="NPN05"),H425,"")</f>
        <v/>
      </c>
      <c r="BB425" s="44" t="str">
        <f>IF(AND(C425=Master!$H$6,B425="2012-2013",E425="",G425="NPN05"),H425,"")</f>
        <v/>
      </c>
      <c r="BC425" s="44" t="str">
        <f>IF(AND(C425=Master!$H$7,B425="2012-2013",E425&gt;1000,G425="NPN05"),H425,"")</f>
        <v/>
      </c>
      <c r="BD425" s="44" t="str">
        <f>IF(AND(C425=Master!$H$7,B425="2012-2013",E425="",G425="NPN05"),H425,"")</f>
        <v/>
      </c>
      <c r="BE425" s="44" t="str">
        <f>IF(AND(C425=Master!$H$8,B425="2012-2013",E425&gt;1000,G425="NPN05"),H425,"")</f>
        <v/>
      </c>
      <c r="BF425" s="44" t="str">
        <f>IF(AND(C425=Master!$H$8,B425="2012-2013",E425="",G425="NPN05"),H425,"")</f>
        <v/>
      </c>
      <c r="BG425" s="44" t="str">
        <f>IF(AND(C425=Master!$H$9,B425="2012-2013",E425&gt;1000,G425="NPN05"),H425,"")</f>
        <v/>
      </c>
      <c r="BH425" s="44" t="str">
        <f>IF(AND(C425=Master!$H$9,B425="2012-2013",E425="",G425="NPN05"),H425,"")</f>
        <v/>
      </c>
    </row>
    <row r="426" spans="1:60" x14ac:dyDescent="0.25">
      <c r="A426" s="3">
        <v>424</v>
      </c>
      <c r="B426" s="12"/>
      <c r="C426" s="12"/>
      <c r="D426" s="31"/>
      <c r="E426" s="4"/>
      <c r="F426" s="13"/>
      <c r="G426" s="21"/>
      <c r="H426" s="35"/>
      <c r="I426" s="21"/>
      <c r="J426" s="25" t="str">
        <f>IF(NOT(I426=""),INDEX(Master!$B$1:$B$46,MATCH(I426,Master!$A$1:$A$46,0)),"")</f>
        <v/>
      </c>
      <c r="K426" s="18"/>
      <c r="L426" s="86"/>
      <c r="M426" s="13"/>
      <c r="N426" s="13"/>
      <c r="O426" s="18"/>
      <c r="P426" s="35"/>
      <c r="Q426" s="21"/>
      <c r="R426" s="21"/>
      <c r="S426" s="13"/>
      <c r="T426" s="12"/>
      <c r="U426" s="12"/>
      <c r="V426" s="12"/>
      <c r="W426" s="14"/>
      <c r="Y426" s="42" t="str">
        <f>IF(AND(C426=Master!$H$1,B426="2012-2013",E426&gt;1000,G426="PLN03"),H426,"")</f>
        <v/>
      </c>
      <c r="Z426" s="42" t="str">
        <f>IF(AND(C426=Master!$H$1,B426="2012-2013",E426="",G426="PLN03"),H426,"")</f>
        <v/>
      </c>
      <c r="AA426" s="42" t="str">
        <f>IF(AND(C426=Master!$H$2,B426="2012-2013",E426&gt;1000,G426="PLN03"),H426,"")</f>
        <v/>
      </c>
      <c r="AB426" s="42" t="str">
        <f>IF(AND(C426=Master!$H$2,B426="2012-2013",E426="",G426="PLN03"),H426,"")</f>
        <v/>
      </c>
      <c r="AC426" s="42" t="str">
        <f>IF(AND(C426=Master!$H$3,B426="2012-2013",E426&gt;1000,G426="PLN03"),H426,"")</f>
        <v/>
      </c>
      <c r="AD426" s="42" t="str">
        <f>IF(AND(C426=Master!$H$3,B426="2012-2013",E426="",G426="PLN03"),H426,"")</f>
        <v/>
      </c>
      <c r="AE426" s="42" t="str">
        <f>IF(AND(C426=Master!$H$4,B426="2012-2013",E426&gt;1000,G426="PLN03"),H426,"")</f>
        <v/>
      </c>
      <c r="AF426" s="42" t="str">
        <f>IF(AND(C426=Master!$H$4,B426="2012-2013",E426="",G426="PLN03"),H426,"")</f>
        <v/>
      </c>
      <c r="AG426" s="42" t="str">
        <f>IF(AND(C426=Master!$H$5,B426="2012-2013",E426&gt;1000,G426="PLN03"),H426,"")</f>
        <v/>
      </c>
      <c r="AH426" s="42" t="str">
        <f>IF(AND(C426=Master!$H$5,B426="2012-2013",E426="",G426="PLN03"),H426,"")</f>
        <v/>
      </c>
      <c r="AI426" s="42" t="str">
        <f>IF(AND(C426=Master!$H$6,B426="2012-2013",E426&gt;1000,G426="PLN03"),H426,"")</f>
        <v/>
      </c>
      <c r="AJ426" s="42" t="str">
        <f>IF(AND(C426=Master!$H$6,B426="2012-2013",E426="",G426="PLN03"),H426,"")</f>
        <v/>
      </c>
      <c r="AK426" s="42" t="str">
        <f>IF(AND(C426=Master!$H$7,B426="2012-2013",E426&gt;1000,G426="PLN03"),H426,"")</f>
        <v/>
      </c>
      <c r="AL426" s="42" t="str">
        <f>IF(AND(C426=Master!$H$7,B426="2012-2013",E426="",G426="PLN03"),H426,"")</f>
        <v/>
      </c>
      <c r="AM426" s="42" t="str">
        <f>IF(AND(C426=Master!$H$8,B426="2012-2013",E426&gt;1000,G426="PLN03"),H426,"")</f>
        <v/>
      </c>
      <c r="AN426" s="42" t="str">
        <f>IF(AND(C426=Master!$H$8,B426="2012-2013",E426="",G426="PLN03"),H426,"")</f>
        <v/>
      </c>
      <c r="AO426" s="42" t="str">
        <f>IF(AND(C426=Master!$H$9,B426="2012-2013",E426&gt;1000,G426="PLN03"),H426,"")</f>
        <v/>
      </c>
      <c r="AP426" s="42" t="str">
        <f>IF(AND(C426=Master!$H$9,B426="2012-2013",E426="",G426="PLN03"),H426,"")</f>
        <v/>
      </c>
      <c r="AQ426" s="44" t="str">
        <f>IF(AND(C426=Master!$H$1,B426="2012-2013",E426&gt;1000,G426="NPN05"),H426,"")</f>
        <v/>
      </c>
      <c r="AR426" s="44" t="str">
        <f>IF(AND(C426=Master!$H$1,B426="2012-2013",E426="",G426="NPN05"),H426,"")</f>
        <v/>
      </c>
      <c r="AS426" s="44" t="str">
        <f>IF(AND(C426=Master!$H$2,B426="2012-2013",E426&gt;1000,G426="NPN05"),H426,"")</f>
        <v/>
      </c>
      <c r="AT426" s="44" t="str">
        <f>IF(AND(C426=Master!$H$2,B426="2012-2013",E426="",G426="NPN05"),H426,"")</f>
        <v/>
      </c>
      <c r="AU426" s="44" t="str">
        <f>IF(AND(C426=Master!$H$3,B426="2012-2013",E426&gt;1000,G426="NPN05"),H426,"")</f>
        <v/>
      </c>
      <c r="AV426" s="44" t="str">
        <f>IF(AND(C426=Master!$H$3,B426="2012-2013",E426="",G426="NPN05"),H426,"")</f>
        <v/>
      </c>
      <c r="AW426" s="44" t="str">
        <f>IF(AND(C426=Master!$H$4,B426="2012-2013",E426&gt;1000,G426="NPN05"),H426,"")</f>
        <v/>
      </c>
      <c r="AX426" s="44" t="str">
        <f>IF(AND(C426=Master!$H$4,B426="2012-2013",E426="",G426="NPN05"),H426,"")</f>
        <v/>
      </c>
      <c r="AY426" s="44" t="str">
        <f>IF(AND(C426=Master!$H$5,B426="2012-2013",E426&gt;1000,G426="NPN05"),H426,"")</f>
        <v/>
      </c>
      <c r="AZ426" s="44" t="str">
        <f>IF(AND(C426=Master!$H$5,B426="2012-2013",E426="",G426="NPN05"),H426,"")</f>
        <v/>
      </c>
      <c r="BA426" s="44" t="str">
        <f>IF(AND(C426=Master!$H$6,B426="2012-2013",E426&gt;1000,G426="NPN05"),H426,"")</f>
        <v/>
      </c>
      <c r="BB426" s="44" t="str">
        <f>IF(AND(C426=Master!$H$6,B426="2012-2013",E426="",G426="NPN05"),H426,"")</f>
        <v/>
      </c>
      <c r="BC426" s="44" t="str">
        <f>IF(AND(C426=Master!$H$7,B426="2012-2013",E426&gt;1000,G426="NPN05"),H426,"")</f>
        <v/>
      </c>
      <c r="BD426" s="44" t="str">
        <f>IF(AND(C426=Master!$H$7,B426="2012-2013",E426="",G426="NPN05"),H426,"")</f>
        <v/>
      </c>
      <c r="BE426" s="44" t="str">
        <f>IF(AND(C426=Master!$H$8,B426="2012-2013",E426&gt;1000,G426="NPN05"),H426,"")</f>
        <v/>
      </c>
      <c r="BF426" s="44" t="str">
        <f>IF(AND(C426=Master!$H$8,B426="2012-2013",E426="",G426="NPN05"),H426,"")</f>
        <v/>
      </c>
      <c r="BG426" s="44" t="str">
        <f>IF(AND(C426=Master!$H$9,B426="2012-2013",E426&gt;1000,G426="NPN05"),H426,"")</f>
        <v/>
      </c>
      <c r="BH426" s="44" t="str">
        <f>IF(AND(C426=Master!$H$9,B426="2012-2013",E426="",G426="NPN05"),H426,"")</f>
        <v/>
      </c>
    </row>
    <row r="427" spans="1:60" x14ac:dyDescent="0.25">
      <c r="A427" s="5">
        <v>425</v>
      </c>
      <c r="B427" s="12"/>
      <c r="C427" s="12"/>
      <c r="D427" s="31"/>
      <c r="E427" s="4"/>
      <c r="F427" s="13"/>
      <c r="G427" s="21"/>
      <c r="H427" s="35"/>
      <c r="I427" s="21"/>
      <c r="J427" s="25" t="str">
        <f>IF(NOT(I427=""),INDEX(Master!$B$1:$B$46,MATCH(I427,Master!$A$1:$A$46,0)),"")</f>
        <v/>
      </c>
      <c r="K427" s="18"/>
      <c r="L427" s="86"/>
      <c r="M427" s="13"/>
      <c r="N427" s="13"/>
      <c r="O427" s="18"/>
      <c r="P427" s="35"/>
      <c r="Q427" s="21"/>
      <c r="R427" s="21"/>
      <c r="S427" s="13"/>
      <c r="T427" s="12"/>
      <c r="U427" s="12"/>
      <c r="V427" s="12"/>
      <c r="W427" s="14"/>
      <c r="Y427" s="42" t="str">
        <f>IF(AND(C427=Master!$H$1,B427="2012-2013",E427&gt;1000,G427="PLN03"),H427,"")</f>
        <v/>
      </c>
      <c r="Z427" s="42" t="str">
        <f>IF(AND(C427=Master!$H$1,B427="2012-2013",E427="",G427="PLN03"),H427,"")</f>
        <v/>
      </c>
      <c r="AA427" s="42" t="str">
        <f>IF(AND(C427=Master!$H$2,B427="2012-2013",E427&gt;1000,G427="PLN03"),H427,"")</f>
        <v/>
      </c>
      <c r="AB427" s="42" t="str">
        <f>IF(AND(C427=Master!$H$2,B427="2012-2013",E427="",G427="PLN03"),H427,"")</f>
        <v/>
      </c>
      <c r="AC427" s="42" t="str">
        <f>IF(AND(C427=Master!$H$3,B427="2012-2013",E427&gt;1000,G427="PLN03"),H427,"")</f>
        <v/>
      </c>
      <c r="AD427" s="42" t="str">
        <f>IF(AND(C427=Master!$H$3,B427="2012-2013",E427="",G427="PLN03"),H427,"")</f>
        <v/>
      </c>
      <c r="AE427" s="42" t="str">
        <f>IF(AND(C427=Master!$H$4,B427="2012-2013",E427&gt;1000,G427="PLN03"),H427,"")</f>
        <v/>
      </c>
      <c r="AF427" s="42" t="str">
        <f>IF(AND(C427=Master!$H$4,B427="2012-2013",E427="",G427="PLN03"),H427,"")</f>
        <v/>
      </c>
      <c r="AG427" s="42" t="str">
        <f>IF(AND(C427=Master!$H$5,B427="2012-2013",E427&gt;1000,G427="PLN03"),H427,"")</f>
        <v/>
      </c>
      <c r="AH427" s="42" t="str">
        <f>IF(AND(C427=Master!$H$5,B427="2012-2013",E427="",G427="PLN03"),H427,"")</f>
        <v/>
      </c>
      <c r="AI427" s="42" t="str">
        <f>IF(AND(C427=Master!$H$6,B427="2012-2013",E427&gt;1000,G427="PLN03"),H427,"")</f>
        <v/>
      </c>
      <c r="AJ427" s="42" t="str">
        <f>IF(AND(C427=Master!$H$6,B427="2012-2013",E427="",G427="PLN03"),H427,"")</f>
        <v/>
      </c>
      <c r="AK427" s="42" t="str">
        <f>IF(AND(C427=Master!$H$7,B427="2012-2013",E427&gt;1000,G427="PLN03"),H427,"")</f>
        <v/>
      </c>
      <c r="AL427" s="42" t="str">
        <f>IF(AND(C427=Master!$H$7,B427="2012-2013",E427="",G427="PLN03"),H427,"")</f>
        <v/>
      </c>
      <c r="AM427" s="42" t="str">
        <f>IF(AND(C427=Master!$H$8,B427="2012-2013",E427&gt;1000,G427="PLN03"),H427,"")</f>
        <v/>
      </c>
      <c r="AN427" s="42" t="str">
        <f>IF(AND(C427=Master!$H$8,B427="2012-2013",E427="",G427="PLN03"),H427,"")</f>
        <v/>
      </c>
      <c r="AO427" s="42" t="str">
        <f>IF(AND(C427=Master!$H$9,B427="2012-2013",E427&gt;1000,G427="PLN03"),H427,"")</f>
        <v/>
      </c>
      <c r="AP427" s="42" t="str">
        <f>IF(AND(C427=Master!$H$9,B427="2012-2013",E427="",G427="PLN03"),H427,"")</f>
        <v/>
      </c>
      <c r="AQ427" s="44" t="str">
        <f>IF(AND(C427=Master!$H$1,B427="2012-2013",E427&gt;1000,G427="NPN05"),H427,"")</f>
        <v/>
      </c>
      <c r="AR427" s="44" t="str">
        <f>IF(AND(C427=Master!$H$1,B427="2012-2013",E427="",G427="NPN05"),H427,"")</f>
        <v/>
      </c>
      <c r="AS427" s="44" t="str">
        <f>IF(AND(C427=Master!$H$2,B427="2012-2013",E427&gt;1000,G427="NPN05"),H427,"")</f>
        <v/>
      </c>
      <c r="AT427" s="44" t="str">
        <f>IF(AND(C427=Master!$H$2,B427="2012-2013",E427="",G427="NPN05"),H427,"")</f>
        <v/>
      </c>
      <c r="AU427" s="44" t="str">
        <f>IF(AND(C427=Master!$H$3,B427="2012-2013",E427&gt;1000,G427="NPN05"),H427,"")</f>
        <v/>
      </c>
      <c r="AV427" s="44" t="str">
        <f>IF(AND(C427=Master!$H$3,B427="2012-2013",E427="",G427="NPN05"),H427,"")</f>
        <v/>
      </c>
      <c r="AW427" s="44" t="str">
        <f>IF(AND(C427=Master!$H$4,B427="2012-2013",E427&gt;1000,G427="NPN05"),H427,"")</f>
        <v/>
      </c>
      <c r="AX427" s="44" t="str">
        <f>IF(AND(C427=Master!$H$4,B427="2012-2013",E427="",G427="NPN05"),H427,"")</f>
        <v/>
      </c>
      <c r="AY427" s="44" t="str">
        <f>IF(AND(C427=Master!$H$5,B427="2012-2013",E427&gt;1000,G427="NPN05"),H427,"")</f>
        <v/>
      </c>
      <c r="AZ427" s="44" t="str">
        <f>IF(AND(C427=Master!$H$5,B427="2012-2013",E427="",G427="NPN05"),H427,"")</f>
        <v/>
      </c>
      <c r="BA427" s="44" t="str">
        <f>IF(AND(C427=Master!$H$6,B427="2012-2013",E427&gt;1000,G427="NPN05"),H427,"")</f>
        <v/>
      </c>
      <c r="BB427" s="44" t="str">
        <f>IF(AND(C427=Master!$H$6,B427="2012-2013",E427="",G427="NPN05"),H427,"")</f>
        <v/>
      </c>
      <c r="BC427" s="44" t="str">
        <f>IF(AND(C427=Master!$H$7,B427="2012-2013",E427&gt;1000,G427="NPN05"),H427,"")</f>
        <v/>
      </c>
      <c r="BD427" s="44" t="str">
        <f>IF(AND(C427=Master!$H$7,B427="2012-2013",E427="",G427="NPN05"),H427,"")</f>
        <v/>
      </c>
      <c r="BE427" s="44" t="str">
        <f>IF(AND(C427=Master!$H$8,B427="2012-2013",E427&gt;1000,G427="NPN05"),H427,"")</f>
        <v/>
      </c>
      <c r="BF427" s="44" t="str">
        <f>IF(AND(C427=Master!$H$8,B427="2012-2013",E427="",G427="NPN05"),H427,"")</f>
        <v/>
      </c>
      <c r="BG427" s="44" t="str">
        <f>IF(AND(C427=Master!$H$9,B427="2012-2013",E427&gt;1000,G427="NPN05"),H427,"")</f>
        <v/>
      </c>
      <c r="BH427" s="44" t="str">
        <f>IF(AND(C427=Master!$H$9,B427="2012-2013",E427="",G427="NPN05"),H427,"")</f>
        <v/>
      </c>
    </row>
    <row r="428" spans="1:60" x14ac:dyDescent="0.25">
      <c r="A428" s="3">
        <v>426</v>
      </c>
      <c r="B428" s="12"/>
      <c r="C428" s="12"/>
      <c r="D428" s="31"/>
      <c r="E428" s="4"/>
      <c r="F428" s="13"/>
      <c r="G428" s="21"/>
      <c r="H428" s="35"/>
      <c r="I428" s="21"/>
      <c r="J428" s="25" t="str">
        <f>IF(NOT(I428=""),INDEX(Master!$B$1:$B$46,MATCH(I428,Master!$A$1:$A$46,0)),"")</f>
        <v/>
      </c>
      <c r="K428" s="18"/>
      <c r="L428" s="86"/>
      <c r="M428" s="13"/>
      <c r="N428" s="13"/>
      <c r="O428" s="18"/>
      <c r="P428" s="35"/>
      <c r="Q428" s="21"/>
      <c r="R428" s="21"/>
      <c r="S428" s="13"/>
      <c r="T428" s="12"/>
      <c r="U428" s="12"/>
      <c r="V428" s="12"/>
      <c r="W428" s="14"/>
      <c r="Y428" s="42" t="str">
        <f>IF(AND(C428=Master!$H$1,B428="2012-2013",E428&gt;1000,G428="PLN03"),H428,"")</f>
        <v/>
      </c>
      <c r="Z428" s="42" t="str">
        <f>IF(AND(C428=Master!$H$1,B428="2012-2013",E428="",G428="PLN03"),H428,"")</f>
        <v/>
      </c>
      <c r="AA428" s="42" t="str">
        <f>IF(AND(C428=Master!$H$2,B428="2012-2013",E428&gt;1000,G428="PLN03"),H428,"")</f>
        <v/>
      </c>
      <c r="AB428" s="42" t="str">
        <f>IF(AND(C428=Master!$H$2,B428="2012-2013",E428="",G428="PLN03"),H428,"")</f>
        <v/>
      </c>
      <c r="AC428" s="42" t="str">
        <f>IF(AND(C428=Master!$H$3,B428="2012-2013",E428&gt;1000,G428="PLN03"),H428,"")</f>
        <v/>
      </c>
      <c r="AD428" s="42" t="str">
        <f>IF(AND(C428=Master!$H$3,B428="2012-2013",E428="",G428="PLN03"),H428,"")</f>
        <v/>
      </c>
      <c r="AE428" s="42" t="str">
        <f>IF(AND(C428=Master!$H$4,B428="2012-2013",E428&gt;1000,G428="PLN03"),H428,"")</f>
        <v/>
      </c>
      <c r="AF428" s="42" t="str">
        <f>IF(AND(C428=Master!$H$4,B428="2012-2013",E428="",G428="PLN03"),H428,"")</f>
        <v/>
      </c>
      <c r="AG428" s="42" t="str">
        <f>IF(AND(C428=Master!$H$5,B428="2012-2013",E428&gt;1000,G428="PLN03"),H428,"")</f>
        <v/>
      </c>
      <c r="AH428" s="42" t="str">
        <f>IF(AND(C428=Master!$H$5,B428="2012-2013",E428="",G428="PLN03"),H428,"")</f>
        <v/>
      </c>
      <c r="AI428" s="42" t="str">
        <f>IF(AND(C428=Master!$H$6,B428="2012-2013",E428&gt;1000,G428="PLN03"),H428,"")</f>
        <v/>
      </c>
      <c r="AJ428" s="42" t="str">
        <f>IF(AND(C428=Master!$H$6,B428="2012-2013",E428="",G428="PLN03"),H428,"")</f>
        <v/>
      </c>
      <c r="AK428" s="42" t="str">
        <f>IF(AND(C428=Master!$H$7,B428="2012-2013",E428&gt;1000,G428="PLN03"),H428,"")</f>
        <v/>
      </c>
      <c r="AL428" s="42" t="str">
        <f>IF(AND(C428=Master!$H$7,B428="2012-2013",E428="",G428="PLN03"),H428,"")</f>
        <v/>
      </c>
      <c r="AM428" s="42" t="str">
        <f>IF(AND(C428=Master!$H$8,B428="2012-2013",E428&gt;1000,G428="PLN03"),H428,"")</f>
        <v/>
      </c>
      <c r="AN428" s="42" t="str">
        <f>IF(AND(C428=Master!$H$8,B428="2012-2013",E428="",G428="PLN03"),H428,"")</f>
        <v/>
      </c>
      <c r="AO428" s="42" t="str">
        <f>IF(AND(C428=Master!$H$9,B428="2012-2013",E428&gt;1000,G428="PLN03"),H428,"")</f>
        <v/>
      </c>
      <c r="AP428" s="42" t="str">
        <f>IF(AND(C428=Master!$H$9,B428="2012-2013",E428="",G428="PLN03"),H428,"")</f>
        <v/>
      </c>
      <c r="AQ428" s="44" t="str">
        <f>IF(AND(C428=Master!$H$1,B428="2012-2013",E428&gt;1000,G428="NPN05"),H428,"")</f>
        <v/>
      </c>
      <c r="AR428" s="44" t="str">
        <f>IF(AND(C428=Master!$H$1,B428="2012-2013",E428="",G428="NPN05"),H428,"")</f>
        <v/>
      </c>
      <c r="AS428" s="44" t="str">
        <f>IF(AND(C428=Master!$H$2,B428="2012-2013",E428&gt;1000,G428="NPN05"),H428,"")</f>
        <v/>
      </c>
      <c r="AT428" s="44" t="str">
        <f>IF(AND(C428=Master!$H$2,B428="2012-2013",E428="",G428="NPN05"),H428,"")</f>
        <v/>
      </c>
      <c r="AU428" s="44" t="str">
        <f>IF(AND(C428=Master!$H$3,B428="2012-2013",E428&gt;1000,G428="NPN05"),H428,"")</f>
        <v/>
      </c>
      <c r="AV428" s="44" t="str">
        <f>IF(AND(C428=Master!$H$3,B428="2012-2013",E428="",G428="NPN05"),H428,"")</f>
        <v/>
      </c>
      <c r="AW428" s="44" t="str">
        <f>IF(AND(C428=Master!$H$4,B428="2012-2013",E428&gt;1000,G428="NPN05"),H428,"")</f>
        <v/>
      </c>
      <c r="AX428" s="44" t="str">
        <f>IF(AND(C428=Master!$H$4,B428="2012-2013",E428="",G428="NPN05"),H428,"")</f>
        <v/>
      </c>
      <c r="AY428" s="44" t="str">
        <f>IF(AND(C428=Master!$H$5,B428="2012-2013",E428&gt;1000,G428="NPN05"),H428,"")</f>
        <v/>
      </c>
      <c r="AZ428" s="44" t="str">
        <f>IF(AND(C428=Master!$H$5,B428="2012-2013",E428="",G428="NPN05"),H428,"")</f>
        <v/>
      </c>
      <c r="BA428" s="44" t="str">
        <f>IF(AND(C428=Master!$H$6,B428="2012-2013",E428&gt;1000,G428="NPN05"),H428,"")</f>
        <v/>
      </c>
      <c r="BB428" s="44" t="str">
        <f>IF(AND(C428=Master!$H$6,B428="2012-2013",E428="",G428="NPN05"),H428,"")</f>
        <v/>
      </c>
      <c r="BC428" s="44" t="str">
        <f>IF(AND(C428=Master!$H$7,B428="2012-2013",E428&gt;1000,G428="NPN05"),H428,"")</f>
        <v/>
      </c>
      <c r="BD428" s="44" t="str">
        <f>IF(AND(C428=Master!$H$7,B428="2012-2013",E428="",G428="NPN05"),H428,"")</f>
        <v/>
      </c>
      <c r="BE428" s="44" t="str">
        <f>IF(AND(C428=Master!$H$8,B428="2012-2013",E428&gt;1000,G428="NPN05"),H428,"")</f>
        <v/>
      </c>
      <c r="BF428" s="44" t="str">
        <f>IF(AND(C428=Master!$H$8,B428="2012-2013",E428="",G428="NPN05"),H428,"")</f>
        <v/>
      </c>
      <c r="BG428" s="44" t="str">
        <f>IF(AND(C428=Master!$H$9,B428="2012-2013",E428&gt;1000,G428="NPN05"),H428,"")</f>
        <v/>
      </c>
      <c r="BH428" s="44" t="str">
        <f>IF(AND(C428=Master!$H$9,B428="2012-2013",E428="",G428="NPN05"),H428,"")</f>
        <v/>
      </c>
    </row>
    <row r="429" spans="1:60" x14ac:dyDescent="0.25">
      <c r="A429" s="3">
        <v>427</v>
      </c>
      <c r="B429" s="12"/>
      <c r="C429" s="12"/>
      <c r="D429" s="31"/>
      <c r="E429" s="4"/>
      <c r="F429" s="13"/>
      <c r="G429" s="21"/>
      <c r="H429" s="35"/>
      <c r="I429" s="21"/>
      <c r="J429" s="25" t="str">
        <f>IF(NOT(I429=""),INDEX(Master!$B$1:$B$46,MATCH(I429,Master!$A$1:$A$46,0)),"")</f>
        <v/>
      </c>
      <c r="K429" s="18"/>
      <c r="L429" s="86"/>
      <c r="M429" s="13"/>
      <c r="N429" s="13"/>
      <c r="O429" s="18"/>
      <c r="P429" s="35"/>
      <c r="Q429" s="21"/>
      <c r="R429" s="21"/>
      <c r="S429" s="13"/>
      <c r="T429" s="12"/>
      <c r="U429" s="12"/>
      <c r="V429" s="12"/>
      <c r="W429" s="14"/>
      <c r="Y429" s="42" t="str">
        <f>IF(AND(C429=Master!$H$1,B429="2012-2013",E429&gt;1000,G429="PLN03"),H429,"")</f>
        <v/>
      </c>
      <c r="Z429" s="42" t="str">
        <f>IF(AND(C429=Master!$H$1,B429="2012-2013",E429="",G429="PLN03"),H429,"")</f>
        <v/>
      </c>
      <c r="AA429" s="42" t="str">
        <f>IF(AND(C429=Master!$H$2,B429="2012-2013",E429&gt;1000,G429="PLN03"),H429,"")</f>
        <v/>
      </c>
      <c r="AB429" s="42" t="str">
        <f>IF(AND(C429=Master!$H$2,B429="2012-2013",E429="",G429="PLN03"),H429,"")</f>
        <v/>
      </c>
      <c r="AC429" s="42" t="str">
        <f>IF(AND(C429=Master!$H$3,B429="2012-2013",E429&gt;1000,G429="PLN03"),H429,"")</f>
        <v/>
      </c>
      <c r="AD429" s="42" t="str">
        <f>IF(AND(C429=Master!$H$3,B429="2012-2013",E429="",G429="PLN03"),H429,"")</f>
        <v/>
      </c>
      <c r="AE429" s="42" t="str">
        <f>IF(AND(C429=Master!$H$4,B429="2012-2013",E429&gt;1000,G429="PLN03"),H429,"")</f>
        <v/>
      </c>
      <c r="AF429" s="42" t="str">
        <f>IF(AND(C429=Master!$H$4,B429="2012-2013",E429="",G429="PLN03"),H429,"")</f>
        <v/>
      </c>
      <c r="AG429" s="42" t="str">
        <f>IF(AND(C429=Master!$H$5,B429="2012-2013",E429&gt;1000,G429="PLN03"),H429,"")</f>
        <v/>
      </c>
      <c r="AH429" s="42" t="str">
        <f>IF(AND(C429=Master!$H$5,B429="2012-2013",E429="",G429="PLN03"),H429,"")</f>
        <v/>
      </c>
      <c r="AI429" s="42" t="str">
        <f>IF(AND(C429=Master!$H$6,B429="2012-2013",E429&gt;1000,G429="PLN03"),H429,"")</f>
        <v/>
      </c>
      <c r="AJ429" s="42" t="str">
        <f>IF(AND(C429=Master!$H$6,B429="2012-2013",E429="",G429="PLN03"),H429,"")</f>
        <v/>
      </c>
      <c r="AK429" s="42" t="str">
        <f>IF(AND(C429=Master!$H$7,B429="2012-2013",E429&gt;1000,G429="PLN03"),H429,"")</f>
        <v/>
      </c>
      <c r="AL429" s="42" t="str">
        <f>IF(AND(C429=Master!$H$7,B429="2012-2013",E429="",G429="PLN03"),H429,"")</f>
        <v/>
      </c>
      <c r="AM429" s="42" t="str">
        <f>IF(AND(C429=Master!$H$8,B429="2012-2013",E429&gt;1000,G429="PLN03"),H429,"")</f>
        <v/>
      </c>
      <c r="AN429" s="42" t="str">
        <f>IF(AND(C429=Master!$H$8,B429="2012-2013",E429="",G429="PLN03"),H429,"")</f>
        <v/>
      </c>
      <c r="AO429" s="42" t="str">
        <f>IF(AND(C429=Master!$H$9,B429="2012-2013",E429&gt;1000,G429="PLN03"),H429,"")</f>
        <v/>
      </c>
      <c r="AP429" s="42" t="str">
        <f>IF(AND(C429=Master!$H$9,B429="2012-2013",E429="",G429="PLN03"),H429,"")</f>
        <v/>
      </c>
      <c r="AQ429" s="44" t="str">
        <f>IF(AND(C429=Master!$H$1,B429="2012-2013",E429&gt;1000,G429="NPN05"),H429,"")</f>
        <v/>
      </c>
      <c r="AR429" s="44" t="str">
        <f>IF(AND(C429=Master!$H$1,B429="2012-2013",E429="",G429="NPN05"),H429,"")</f>
        <v/>
      </c>
      <c r="AS429" s="44" t="str">
        <f>IF(AND(C429=Master!$H$2,B429="2012-2013",E429&gt;1000,G429="NPN05"),H429,"")</f>
        <v/>
      </c>
      <c r="AT429" s="44" t="str">
        <f>IF(AND(C429=Master!$H$2,B429="2012-2013",E429="",G429="NPN05"),H429,"")</f>
        <v/>
      </c>
      <c r="AU429" s="44" t="str">
        <f>IF(AND(C429=Master!$H$3,B429="2012-2013",E429&gt;1000,G429="NPN05"),H429,"")</f>
        <v/>
      </c>
      <c r="AV429" s="44" t="str">
        <f>IF(AND(C429=Master!$H$3,B429="2012-2013",E429="",G429="NPN05"),H429,"")</f>
        <v/>
      </c>
      <c r="AW429" s="44" t="str">
        <f>IF(AND(C429=Master!$H$4,B429="2012-2013",E429&gt;1000,G429="NPN05"),H429,"")</f>
        <v/>
      </c>
      <c r="AX429" s="44" t="str">
        <f>IF(AND(C429=Master!$H$4,B429="2012-2013",E429="",G429="NPN05"),H429,"")</f>
        <v/>
      </c>
      <c r="AY429" s="44" t="str">
        <f>IF(AND(C429=Master!$H$5,B429="2012-2013",E429&gt;1000,G429="NPN05"),H429,"")</f>
        <v/>
      </c>
      <c r="AZ429" s="44" t="str">
        <f>IF(AND(C429=Master!$H$5,B429="2012-2013",E429="",G429="NPN05"),H429,"")</f>
        <v/>
      </c>
      <c r="BA429" s="44" t="str">
        <f>IF(AND(C429=Master!$H$6,B429="2012-2013",E429&gt;1000,G429="NPN05"),H429,"")</f>
        <v/>
      </c>
      <c r="BB429" s="44" t="str">
        <f>IF(AND(C429=Master!$H$6,B429="2012-2013",E429="",G429="NPN05"),H429,"")</f>
        <v/>
      </c>
      <c r="BC429" s="44" t="str">
        <f>IF(AND(C429=Master!$H$7,B429="2012-2013",E429&gt;1000,G429="NPN05"),H429,"")</f>
        <v/>
      </c>
      <c r="BD429" s="44" t="str">
        <f>IF(AND(C429=Master!$H$7,B429="2012-2013",E429="",G429="NPN05"),H429,"")</f>
        <v/>
      </c>
      <c r="BE429" s="44" t="str">
        <f>IF(AND(C429=Master!$H$8,B429="2012-2013",E429&gt;1000,G429="NPN05"),H429,"")</f>
        <v/>
      </c>
      <c r="BF429" s="44" t="str">
        <f>IF(AND(C429=Master!$H$8,B429="2012-2013",E429="",G429="NPN05"),H429,"")</f>
        <v/>
      </c>
      <c r="BG429" s="44" t="str">
        <f>IF(AND(C429=Master!$H$9,B429="2012-2013",E429&gt;1000,G429="NPN05"),H429,"")</f>
        <v/>
      </c>
      <c r="BH429" s="44" t="str">
        <f>IF(AND(C429=Master!$H$9,B429="2012-2013",E429="",G429="NPN05"),H429,"")</f>
        <v/>
      </c>
    </row>
    <row r="430" spans="1:60" x14ac:dyDescent="0.25">
      <c r="A430" s="3">
        <v>428</v>
      </c>
      <c r="B430" s="12"/>
      <c r="C430" s="12"/>
      <c r="D430" s="31"/>
      <c r="E430" s="4"/>
      <c r="F430" s="13"/>
      <c r="G430" s="21"/>
      <c r="H430" s="35"/>
      <c r="I430" s="21"/>
      <c r="J430" s="25" t="str">
        <f>IF(NOT(I430=""),INDEX(Master!$B$1:$B$46,MATCH(I430,Master!$A$1:$A$46,0)),"")</f>
        <v/>
      </c>
      <c r="K430" s="18"/>
      <c r="L430" s="86"/>
      <c r="M430" s="13"/>
      <c r="N430" s="13"/>
      <c r="O430" s="18"/>
      <c r="P430" s="35"/>
      <c r="Q430" s="21"/>
      <c r="R430" s="21"/>
      <c r="S430" s="13"/>
      <c r="T430" s="12"/>
      <c r="U430" s="12"/>
      <c r="V430" s="12"/>
      <c r="W430" s="14"/>
      <c r="Y430" s="42" t="str">
        <f>IF(AND(C430=Master!$H$1,B430="2012-2013",E430&gt;1000,G430="PLN03"),H430,"")</f>
        <v/>
      </c>
      <c r="Z430" s="42" t="str">
        <f>IF(AND(C430=Master!$H$1,B430="2012-2013",E430="",G430="PLN03"),H430,"")</f>
        <v/>
      </c>
      <c r="AA430" s="42" t="str">
        <f>IF(AND(C430=Master!$H$2,B430="2012-2013",E430&gt;1000,G430="PLN03"),H430,"")</f>
        <v/>
      </c>
      <c r="AB430" s="42" t="str">
        <f>IF(AND(C430=Master!$H$2,B430="2012-2013",E430="",G430="PLN03"),H430,"")</f>
        <v/>
      </c>
      <c r="AC430" s="42" t="str">
        <f>IF(AND(C430=Master!$H$3,B430="2012-2013",E430&gt;1000,G430="PLN03"),H430,"")</f>
        <v/>
      </c>
      <c r="AD430" s="42" t="str">
        <f>IF(AND(C430=Master!$H$3,B430="2012-2013",E430="",G430="PLN03"),H430,"")</f>
        <v/>
      </c>
      <c r="AE430" s="42" t="str">
        <f>IF(AND(C430=Master!$H$4,B430="2012-2013",E430&gt;1000,G430="PLN03"),H430,"")</f>
        <v/>
      </c>
      <c r="AF430" s="42" t="str">
        <f>IF(AND(C430=Master!$H$4,B430="2012-2013",E430="",G430="PLN03"),H430,"")</f>
        <v/>
      </c>
      <c r="AG430" s="42" t="str">
        <f>IF(AND(C430=Master!$H$5,B430="2012-2013",E430&gt;1000,G430="PLN03"),H430,"")</f>
        <v/>
      </c>
      <c r="AH430" s="42" t="str">
        <f>IF(AND(C430=Master!$H$5,B430="2012-2013",E430="",G430="PLN03"),H430,"")</f>
        <v/>
      </c>
      <c r="AI430" s="42" t="str">
        <f>IF(AND(C430=Master!$H$6,B430="2012-2013",E430&gt;1000,G430="PLN03"),H430,"")</f>
        <v/>
      </c>
      <c r="AJ430" s="42" t="str">
        <f>IF(AND(C430=Master!$H$6,B430="2012-2013",E430="",G430="PLN03"),H430,"")</f>
        <v/>
      </c>
      <c r="AK430" s="42" t="str">
        <f>IF(AND(C430=Master!$H$7,B430="2012-2013",E430&gt;1000,G430="PLN03"),H430,"")</f>
        <v/>
      </c>
      <c r="AL430" s="42" t="str">
        <f>IF(AND(C430=Master!$H$7,B430="2012-2013",E430="",G430="PLN03"),H430,"")</f>
        <v/>
      </c>
      <c r="AM430" s="42" t="str">
        <f>IF(AND(C430=Master!$H$8,B430="2012-2013",E430&gt;1000,G430="PLN03"),H430,"")</f>
        <v/>
      </c>
      <c r="AN430" s="42" t="str">
        <f>IF(AND(C430=Master!$H$8,B430="2012-2013",E430="",G430="PLN03"),H430,"")</f>
        <v/>
      </c>
      <c r="AO430" s="42" t="str">
        <f>IF(AND(C430=Master!$H$9,B430="2012-2013",E430&gt;1000,G430="PLN03"),H430,"")</f>
        <v/>
      </c>
      <c r="AP430" s="42" t="str">
        <f>IF(AND(C430=Master!$H$9,B430="2012-2013",E430="",G430="PLN03"),H430,"")</f>
        <v/>
      </c>
      <c r="AQ430" s="44" t="str">
        <f>IF(AND(C430=Master!$H$1,B430="2012-2013",E430&gt;1000,G430="NPN05"),H430,"")</f>
        <v/>
      </c>
      <c r="AR430" s="44" t="str">
        <f>IF(AND(C430=Master!$H$1,B430="2012-2013",E430="",G430="NPN05"),H430,"")</f>
        <v/>
      </c>
      <c r="AS430" s="44" t="str">
        <f>IF(AND(C430=Master!$H$2,B430="2012-2013",E430&gt;1000,G430="NPN05"),H430,"")</f>
        <v/>
      </c>
      <c r="AT430" s="44" t="str">
        <f>IF(AND(C430=Master!$H$2,B430="2012-2013",E430="",G430="NPN05"),H430,"")</f>
        <v/>
      </c>
      <c r="AU430" s="44" t="str">
        <f>IF(AND(C430=Master!$H$3,B430="2012-2013",E430&gt;1000,G430="NPN05"),H430,"")</f>
        <v/>
      </c>
      <c r="AV430" s="44" t="str">
        <f>IF(AND(C430=Master!$H$3,B430="2012-2013",E430="",G430="NPN05"),H430,"")</f>
        <v/>
      </c>
      <c r="AW430" s="44" t="str">
        <f>IF(AND(C430=Master!$H$4,B430="2012-2013",E430&gt;1000,G430="NPN05"),H430,"")</f>
        <v/>
      </c>
      <c r="AX430" s="44" t="str">
        <f>IF(AND(C430=Master!$H$4,B430="2012-2013",E430="",G430="NPN05"),H430,"")</f>
        <v/>
      </c>
      <c r="AY430" s="44" t="str">
        <f>IF(AND(C430=Master!$H$5,B430="2012-2013",E430&gt;1000,G430="NPN05"),H430,"")</f>
        <v/>
      </c>
      <c r="AZ430" s="44" t="str">
        <f>IF(AND(C430=Master!$H$5,B430="2012-2013",E430="",G430="NPN05"),H430,"")</f>
        <v/>
      </c>
      <c r="BA430" s="44" t="str">
        <f>IF(AND(C430=Master!$H$6,B430="2012-2013",E430&gt;1000,G430="NPN05"),H430,"")</f>
        <v/>
      </c>
      <c r="BB430" s="44" t="str">
        <f>IF(AND(C430=Master!$H$6,B430="2012-2013",E430="",G430="NPN05"),H430,"")</f>
        <v/>
      </c>
      <c r="BC430" s="44" t="str">
        <f>IF(AND(C430=Master!$H$7,B430="2012-2013",E430&gt;1000,G430="NPN05"),H430,"")</f>
        <v/>
      </c>
      <c r="BD430" s="44" t="str">
        <f>IF(AND(C430=Master!$H$7,B430="2012-2013",E430="",G430="NPN05"),H430,"")</f>
        <v/>
      </c>
      <c r="BE430" s="44" t="str">
        <f>IF(AND(C430=Master!$H$8,B430="2012-2013",E430&gt;1000,G430="NPN05"),H430,"")</f>
        <v/>
      </c>
      <c r="BF430" s="44" t="str">
        <f>IF(AND(C430=Master!$H$8,B430="2012-2013",E430="",G430="NPN05"),H430,"")</f>
        <v/>
      </c>
      <c r="BG430" s="44" t="str">
        <f>IF(AND(C430=Master!$H$9,B430="2012-2013",E430&gt;1000,G430="NPN05"),H430,"")</f>
        <v/>
      </c>
      <c r="BH430" s="44" t="str">
        <f>IF(AND(C430=Master!$H$9,B430="2012-2013",E430="",G430="NPN05"),H430,"")</f>
        <v/>
      </c>
    </row>
    <row r="431" spans="1:60" x14ac:dyDescent="0.25">
      <c r="A431" s="3">
        <v>429</v>
      </c>
      <c r="B431" s="12"/>
      <c r="C431" s="12"/>
      <c r="D431" s="31"/>
      <c r="E431" s="4"/>
      <c r="F431" s="13"/>
      <c r="G431" s="21"/>
      <c r="H431" s="35"/>
      <c r="I431" s="21"/>
      <c r="J431" s="25" t="str">
        <f>IF(NOT(I431=""),INDEX(Master!$B$1:$B$46,MATCH(I431,Master!$A$1:$A$46,0)),"")</f>
        <v/>
      </c>
      <c r="K431" s="18"/>
      <c r="L431" s="86"/>
      <c r="M431" s="13"/>
      <c r="N431" s="13"/>
      <c r="O431" s="18"/>
      <c r="P431" s="35"/>
      <c r="Q431" s="21"/>
      <c r="R431" s="21"/>
      <c r="S431" s="13"/>
      <c r="T431" s="12"/>
      <c r="U431" s="12"/>
      <c r="V431" s="12"/>
      <c r="W431" s="14"/>
      <c r="Y431" s="42" t="str">
        <f>IF(AND(C431=Master!$H$1,B431="2012-2013",E431&gt;1000,G431="PLN03"),H431,"")</f>
        <v/>
      </c>
      <c r="Z431" s="42" t="str">
        <f>IF(AND(C431=Master!$H$1,B431="2012-2013",E431="",G431="PLN03"),H431,"")</f>
        <v/>
      </c>
      <c r="AA431" s="42" t="str">
        <f>IF(AND(C431=Master!$H$2,B431="2012-2013",E431&gt;1000,G431="PLN03"),H431,"")</f>
        <v/>
      </c>
      <c r="AB431" s="42" t="str">
        <f>IF(AND(C431=Master!$H$2,B431="2012-2013",E431="",G431="PLN03"),H431,"")</f>
        <v/>
      </c>
      <c r="AC431" s="42" t="str">
        <f>IF(AND(C431=Master!$H$3,B431="2012-2013",E431&gt;1000,G431="PLN03"),H431,"")</f>
        <v/>
      </c>
      <c r="AD431" s="42" t="str">
        <f>IF(AND(C431=Master!$H$3,B431="2012-2013",E431="",G431="PLN03"),H431,"")</f>
        <v/>
      </c>
      <c r="AE431" s="42" t="str">
        <f>IF(AND(C431=Master!$H$4,B431="2012-2013",E431&gt;1000,G431="PLN03"),H431,"")</f>
        <v/>
      </c>
      <c r="AF431" s="42" t="str">
        <f>IF(AND(C431=Master!$H$4,B431="2012-2013",E431="",G431="PLN03"),H431,"")</f>
        <v/>
      </c>
      <c r="AG431" s="42" t="str">
        <f>IF(AND(C431=Master!$H$5,B431="2012-2013",E431&gt;1000,G431="PLN03"),H431,"")</f>
        <v/>
      </c>
      <c r="AH431" s="42" t="str">
        <f>IF(AND(C431=Master!$H$5,B431="2012-2013",E431="",G431="PLN03"),H431,"")</f>
        <v/>
      </c>
      <c r="AI431" s="42" t="str">
        <f>IF(AND(C431=Master!$H$6,B431="2012-2013",E431&gt;1000,G431="PLN03"),H431,"")</f>
        <v/>
      </c>
      <c r="AJ431" s="42" t="str">
        <f>IF(AND(C431=Master!$H$6,B431="2012-2013",E431="",G431="PLN03"),H431,"")</f>
        <v/>
      </c>
      <c r="AK431" s="42" t="str">
        <f>IF(AND(C431=Master!$H$7,B431="2012-2013",E431&gt;1000,G431="PLN03"),H431,"")</f>
        <v/>
      </c>
      <c r="AL431" s="42" t="str">
        <f>IF(AND(C431=Master!$H$7,B431="2012-2013",E431="",G431="PLN03"),H431,"")</f>
        <v/>
      </c>
      <c r="AM431" s="42" t="str">
        <f>IF(AND(C431=Master!$H$8,B431="2012-2013",E431&gt;1000,G431="PLN03"),H431,"")</f>
        <v/>
      </c>
      <c r="AN431" s="42" t="str">
        <f>IF(AND(C431=Master!$H$8,B431="2012-2013",E431="",G431="PLN03"),H431,"")</f>
        <v/>
      </c>
      <c r="AO431" s="42" t="str">
        <f>IF(AND(C431=Master!$H$9,B431="2012-2013",E431&gt;1000,G431="PLN03"),H431,"")</f>
        <v/>
      </c>
      <c r="AP431" s="42" t="str">
        <f>IF(AND(C431=Master!$H$9,B431="2012-2013",E431="",G431="PLN03"),H431,"")</f>
        <v/>
      </c>
      <c r="AQ431" s="44" t="str">
        <f>IF(AND(C431=Master!$H$1,B431="2012-2013",E431&gt;1000,G431="NPN05"),H431,"")</f>
        <v/>
      </c>
      <c r="AR431" s="44" t="str">
        <f>IF(AND(C431=Master!$H$1,B431="2012-2013",E431="",G431="NPN05"),H431,"")</f>
        <v/>
      </c>
      <c r="AS431" s="44" t="str">
        <f>IF(AND(C431=Master!$H$2,B431="2012-2013",E431&gt;1000,G431="NPN05"),H431,"")</f>
        <v/>
      </c>
      <c r="AT431" s="44" t="str">
        <f>IF(AND(C431=Master!$H$2,B431="2012-2013",E431="",G431="NPN05"),H431,"")</f>
        <v/>
      </c>
      <c r="AU431" s="44" t="str">
        <f>IF(AND(C431=Master!$H$3,B431="2012-2013",E431&gt;1000,G431="NPN05"),H431,"")</f>
        <v/>
      </c>
      <c r="AV431" s="44" t="str">
        <f>IF(AND(C431=Master!$H$3,B431="2012-2013",E431="",G431="NPN05"),H431,"")</f>
        <v/>
      </c>
      <c r="AW431" s="44" t="str">
        <f>IF(AND(C431=Master!$H$4,B431="2012-2013",E431&gt;1000,G431="NPN05"),H431,"")</f>
        <v/>
      </c>
      <c r="AX431" s="44" t="str">
        <f>IF(AND(C431=Master!$H$4,B431="2012-2013",E431="",G431="NPN05"),H431,"")</f>
        <v/>
      </c>
      <c r="AY431" s="44" t="str">
        <f>IF(AND(C431=Master!$H$5,B431="2012-2013",E431&gt;1000,G431="NPN05"),H431,"")</f>
        <v/>
      </c>
      <c r="AZ431" s="44" t="str">
        <f>IF(AND(C431=Master!$H$5,B431="2012-2013",E431="",G431="NPN05"),H431,"")</f>
        <v/>
      </c>
      <c r="BA431" s="44" t="str">
        <f>IF(AND(C431=Master!$H$6,B431="2012-2013",E431&gt;1000,G431="NPN05"),H431,"")</f>
        <v/>
      </c>
      <c r="BB431" s="44" t="str">
        <f>IF(AND(C431=Master!$H$6,B431="2012-2013",E431="",G431="NPN05"),H431,"")</f>
        <v/>
      </c>
      <c r="BC431" s="44" t="str">
        <f>IF(AND(C431=Master!$H$7,B431="2012-2013",E431&gt;1000,G431="NPN05"),H431,"")</f>
        <v/>
      </c>
      <c r="BD431" s="44" t="str">
        <f>IF(AND(C431=Master!$H$7,B431="2012-2013",E431="",G431="NPN05"),H431,"")</f>
        <v/>
      </c>
      <c r="BE431" s="44" t="str">
        <f>IF(AND(C431=Master!$H$8,B431="2012-2013",E431&gt;1000,G431="NPN05"),H431,"")</f>
        <v/>
      </c>
      <c r="BF431" s="44" t="str">
        <f>IF(AND(C431=Master!$H$8,B431="2012-2013",E431="",G431="NPN05"),H431,"")</f>
        <v/>
      </c>
      <c r="BG431" s="44" t="str">
        <f>IF(AND(C431=Master!$H$9,B431="2012-2013",E431&gt;1000,G431="NPN05"),H431,"")</f>
        <v/>
      </c>
      <c r="BH431" s="44" t="str">
        <f>IF(AND(C431=Master!$H$9,B431="2012-2013",E431="",G431="NPN05"),H431,"")</f>
        <v/>
      </c>
    </row>
    <row r="432" spans="1:60" x14ac:dyDescent="0.25">
      <c r="A432" s="3">
        <v>430</v>
      </c>
      <c r="B432" s="12"/>
      <c r="C432" s="12"/>
      <c r="D432" s="31"/>
      <c r="E432" s="4"/>
      <c r="F432" s="13"/>
      <c r="G432" s="21"/>
      <c r="H432" s="35"/>
      <c r="I432" s="21"/>
      <c r="J432" s="25" t="str">
        <f>IF(NOT(I432=""),INDEX(Master!$B$1:$B$46,MATCH(I432,Master!$A$1:$A$46,0)),"")</f>
        <v/>
      </c>
      <c r="K432" s="18"/>
      <c r="L432" s="86"/>
      <c r="M432" s="13"/>
      <c r="N432" s="13"/>
      <c r="O432" s="18"/>
      <c r="P432" s="35"/>
      <c r="Q432" s="21"/>
      <c r="R432" s="21"/>
      <c r="S432" s="13"/>
      <c r="T432" s="12"/>
      <c r="U432" s="12"/>
      <c r="V432" s="12"/>
      <c r="W432" s="14"/>
      <c r="Y432" s="42" t="str">
        <f>IF(AND(C432=Master!$H$1,B432="2012-2013",E432&gt;1000,G432="PLN03"),H432,"")</f>
        <v/>
      </c>
      <c r="Z432" s="42" t="str">
        <f>IF(AND(C432=Master!$H$1,B432="2012-2013",E432="",G432="PLN03"),H432,"")</f>
        <v/>
      </c>
      <c r="AA432" s="42" t="str">
        <f>IF(AND(C432=Master!$H$2,B432="2012-2013",E432&gt;1000,G432="PLN03"),H432,"")</f>
        <v/>
      </c>
      <c r="AB432" s="42" t="str">
        <f>IF(AND(C432=Master!$H$2,B432="2012-2013",E432="",G432="PLN03"),H432,"")</f>
        <v/>
      </c>
      <c r="AC432" s="42" t="str">
        <f>IF(AND(C432=Master!$H$3,B432="2012-2013",E432&gt;1000,G432="PLN03"),H432,"")</f>
        <v/>
      </c>
      <c r="AD432" s="42" t="str">
        <f>IF(AND(C432=Master!$H$3,B432="2012-2013",E432="",G432="PLN03"),H432,"")</f>
        <v/>
      </c>
      <c r="AE432" s="42" t="str">
        <f>IF(AND(C432=Master!$H$4,B432="2012-2013",E432&gt;1000,G432="PLN03"),H432,"")</f>
        <v/>
      </c>
      <c r="AF432" s="42" t="str">
        <f>IF(AND(C432=Master!$H$4,B432="2012-2013",E432="",G432="PLN03"),H432,"")</f>
        <v/>
      </c>
      <c r="AG432" s="42" t="str">
        <f>IF(AND(C432=Master!$H$5,B432="2012-2013",E432&gt;1000,G432="PLN03"),H432,"")</f>
        <v/>
      </c>
      <c r="AH432" s="42" t="str">
        <f>IF(AND(C432=Master!$H$5,B432="2012-2013",E432="",G432="PLN03"),H432,"")</f>
        <v/>
      </c>
      <c r="AI432" s="42" t="str">
        <f>IF(AND(C432=Master!$H$6,B432="2012-2013",E432&gt;1000,G432="PLN03"),H432,"")</f>
        <v/>
      </c>
      <c r="AJ432" s="42" t="str">
        <f>IF(AND(C432=Master!$H$6,B432="2012-2013",E432="",G432="PLN03"),H432,"")</f>
        <v/>
      </c>
      <c r="AK432" s="42" t="str">
        <f>IF(AND(C432=Master!$H$7,B432="2012-2013",E432&gt;1000,G432="PLN03"),H432,"")</f>
        <v/>
      </c>
      <c r="AL432" s="42" t="str">
        <f>IF(AND(C432=Master!$H$7,B432="2012-2013",E432="",G432="PLN03"),H432,"")</f>
        <v/>
      </c>
      <c r="AM432" s="42" t="str">
        <f>IF(AND(C432=Master!$H$8,B432="2012-2013",E432&gt;1000,G432="PLN03"),H432,"")</f>
        <v/>
      </c>
      <c r="AN432" s="42" t="str">
        <f>IF(AND(C432=Master!$H$8,B432="2012-2013",E432="",G432="PLN03"),H432,"")</f>
        <v/>
      </c>
      <c r="AO432" s="42" t="str">
        <f>IF(AND(C432=Master!$H$9,B432="2012-2013",E432&gt;1000,G432="PLN03"),H432,"")</f>
        <v/>
      </c>
      <c r="AP432" s="42" t="str">
        <f>IF(AND(C432=Master!$H$9,B432="2012-2013",E432="",G432="PLN03"),H432,"")</f>
        <v/>
      </c>
      <c r="AQ432" s="44" t="str">
        <f>IF(AND(C432=Master!$H$1,B432="2012-2013",E432&gt;1000,G432="NPN05"),H432,"")</f>
        <v/>
      </c>
      <c r="AR432" s="44" t="str">
        <f>IF(AND(C432=Master!$H$1,B432="2012-2013",E432="",G432="NPN05"),H432,"")</f>
        <v/>
      </c>
      <c r="AS432" s="44" t="str">
        <f>IF(AND(C432=Master!$H$2,B432="2012-2013",E432&gt;1000,G432="NPN05"),H432,"")</f>
        <v/>
      </c>
      <c r="AT432" s="44" t="str">
        <f>IF(AND(C432=Master!$H$2,B432="2012-2013",E432="",G432="NPN05"),H432,"")</f>
        <v/>
      </c>
      <c r="AU432" s="44" t="str">
        <f>IF(AND(C432=Master!$H$3,B432="2012-2013",E432&gt;1000,G432="NPN05"),H432,"")</f>
        <v/>
      </c>
      <c r="AV432" s="44" t="str">
        <f>IF(AND(C432=Master!$H$3,B432="2012-2013",E432="",G432="NPN05"),H432,"")</f>
        <v/>
      </c>
      <c r="AW432" s="44" t="str">
        <f>IF(AND(C432=Master!$H$4,B432="2012-2013",E432&gt;1000,G432="NPN05"),H432,"")</f>
        <v/>
      </c>
      <c r="AX432" s="44" t="str">
        <f>IF(AND(C432=Master!$H$4,B432="2012-2013",E432="",G432="NPN05"),H432,"")</f>
        <v/>
      </c>
      <c r="AY432" s="44" t="str">
        <f>IF(AND(C432=Master!$H$5,B432="2012-2013",E432&gt;1000,G432="NPN05"),H432,"")</f>
        <v/>
      </c>
      <c r="AZ432" s="44" t="str">
        <f>IF(AND(C432=Master!$H$5,B432="2012-2013",E432="",G432="NPN05"),H432,"")</f>
        <v/>
      </c>
      <c r="BA432" s="44" t="str">
        <f>IF(AND(C432=Master!$H$6,B432="2012-2013",E432&gt;1000,G432="NPN05"),H432,"")</f>
        <v/>
      </c>
      <c r="BB432" s="44" t="str">
        <f>IF(AND(C432=Master!$H$6,B432="2012-2013",E432="",G432="NPN05"),H432,"")</f>
        <v/>
      </c>
      <c r="BC432" s="44" t="str">
        <f>IF(AND(C432=Master!$H$7,B432="2012-2013",E432&gt;1000,G432="NPN05"),H432,"")</f>
        <v/>
      </c>
      <c r="BD432" s="44" t="str">
        <f>IF(AND(C432=Master!$H$7,B432="2012-2013",E432="",G432="NPN05"),H432,"")</f>
        <v/>
      </c>
      <c r="BE432" s="44" t="str">
        <f>IF(AND(C432=Master!$H$8,B432="2012-2013",E432&gt;1000,G432="NPN05"),H432,"")</f>
        <v/>
      </c>
      <c r="BF432" s="44" t="str">
        <f>IF(AND(C432=Master!$H$8,B432="2012-2013",E432="",G432="NPN05"),H432,"")</f>
        <v/>
      </c>
      <c r="BG432" s="44" t="str">
        <f>IF(AND(C432=Master!$H$9,B432="2012-2013",E432&gt;1000,G432="NPN05"),H432,"")</f>
        <v/>
      </c>
      <c r="BH432" s="44" t="str">
        <f>IF(AND(C432=Master!$H$9,B432="2012-2013",E432="",G432="NPN05"),H432,"")</f>
        <v/>
      </c>
    </row>
    <row r="433" spans="1:60" x14ac:dyDescent="0.25">
      <c r="A433" s="3">
        <v>431</v>
      </c>
      <c r="B433" s="12"/>
      <c r="C433" s="12"/>
      <c r="D433" s="31"/>
      <c r="E433" s="4"/>
      <c r="F433" s="13"/>
      <c r="G433" s="21"/>
      <c r="H433" s="35"/>
      <c r="I433" s="21"/>
      <c r="J433" s="25" t="str">
        <f>IF(NOT(I433=""),INDEX(Master!$B$1:$B$46,MATCH(I433,Master!$A$1:$A$46,0)),"")</f>
        <v/>
      </c>
      <c r="K433" s="18"/>
      <c r="L433" s="86"/>
      <c r="M433" s="13"/>
      <c r="N433" s="13"/>
      <c r="O433" s="18"/>
      <c r="P433" s="35"/>
      <c r="Q433" s="21"/>
      <c r="R433" s="21"/>
      <c r="S433" s="13"/>
      <c r="T433" s="12"/>
      <c r="U433" s="12"/>
      <c r="V433" s="12"/>
      <c r="W433" s="14"/>
      <c r="Y433" s="42" t="str">
        <f>IF(AND(C433=Master!$H$1,B433="2012-2013",E433&gt;1000,G433="PLN03"),H433,"")</f>
        <v/>
      </c>
      <c r="Z433" s="42" t="str">
        <f>IF(AND(C433=Master!$H$1,B433="2012-2013",E433="",G433="PLN03"),H433,"")</f>
        <v/>
      </c>
      <c r="AA433" s="42" t="str">
        <f>IF(AND(C433=Master!$H$2,B433="2012-2013",E433&gt;1000,G433="PLN03"),H433,"")</f>
        <v/>
      </c>
      <c r="AB433" s="42" t="str">
        <f>IF(AND(C433=Master!$H$2,B433="2012-2013",E433="",G433="PLN03"),H433,"")</f>
        <v/>
      </c>
      <c r="AC433" s="42" t="str">
        <f>IF(AND(C433=Master!$H$3,B433="2012-2013",E433&gt;1000,G433="PLN03"),H433,"")</f>
        <v/>
      </c>
      <c r="AD433" s="42" t="str">
        <f>IF(AND(C433=Master!$H$3,B433="2012-2013",E433="",G433="PLN03"),H433,"")</f>
        <v/>
      </c>
      <c r="AE433" s="42" t="str">
        <f>IF(AND(C433=Master!$H$4,B433="2012-2013",E433&gt;1000,G433="PLN03"),H433,"")</f>
        <v/>
      </c>
      <c r="AF433" s="42" t="str">
        <f>IF(AND(C433=Master!$H$4,B433="2012-2013",E433="",G433="PLN03"),H433,"")</f>
        <v/>
      </c>
      <c r="AG433" s="42" t="str">
        <f>IF(AND(C433=Master!$H$5,B433="2012-2013",E433&gt;1000,G433="PLN03"),H433,"")</f>
        <v/>
      </c>
      <c r="AH433" s="42" t="str">
        <f>IF(AND(C433=Master!$H$5,B433="2012-2013",E433="",G433="PLN03"),H433,"")</f>
        <v/>
      </c>
      <c r="AI433" s="42" t="str">
        <f>IF(AND(C433=Master!$H$6,B433="2012-2013",E433&gt;1000,G433="PLN03"),H433,"")</f>
        <v/>
      </c>
      <c r="AJ433" s="42" t="str">
        <f>IF(AND(C433=Master!$H$6,B433="2012-2013",E433="",G433="PLN03"),H433,"")</f>
        <v/>
      </c>
      <c r="AK433" s="42" t="str">
        <f>IF(AND(C433=Master!$H$7,B433="2012-2013",E433&gt;1000,G433="PLN03"),H433,"")</f>
        <v/>
      </c>
      <c r="AL433" s="42" t="str">
        <f>IF(AND(C433=Master!$H$7,B433="2012-2013",E433="",G433="PLN03"),H433,"")</f>
        <v/>
      </c>
      <c r="AM433" s="42" t="str">
        <f>IF(AND(C433=Master!$H$8,B433="2012-2013",E433&gt;1000,G433="PLN03"),H433,"")</f>
        <v/>
      </c>
      <c r="AN433" s="42" t="str">
        <f>IF(AND(C433=Master!$H$8,B433="2012-2013",E433="",G433="PLN03"),H433,"")</f>
        <v/>
      </c>
      <c r="AO433" s="42" t="str">
        <f>IF(AND(C433=Master!$H$9,B433="2012-2013",E433&gt;1000,G433="PLN03"),H433,"")</f>
        <v/>
      </c>
      <c r="AP433" s="42" t="str">
        <f>IF(AND(C433=Master!$H$9,B433="2012-2013",E433="",G433="PLN03"),H433,"")</f>
        <v/>
      </c>
      <c r="AQ433" s="44" t="str">
        <f>IF(AND(C433=Master!$H$1,B433="2012-2013",E433&gt;1000,G433="NPN05"),H433,"")</f>
        <v/>
      </c>
      <c r="AR433" s="44" t="str">
        <f>IF(AND(C433=Master!$H$1,B433="2012-2013",E433="",G433="NPN05"),H433,"")</f>
        <v/>
      </c>
      <c r="AS433" s="44" t="str">
        <f>IF(AND(C433=Master!$H$2,B433="2012-2013",E433&gt;1000,G433="NPN05"),H433,"")</f>
        <v/>
      </c>
      <c r="AT433" s="44" t="str">
        <f>IF(AND(C433=Master!$H$2,B433="2012-2013",E433="",G433="NPN05"),H433,"")</f>
        <v/>
      </c>
      <c r="AU433" s="44" t="str">
        <f>IF(AND(C433=Master!$H$3,B433="2012-2013",E433&gt;1000,G433="NPN05"),H433,"")</f>
        <v/>
      </c>
      <c r="AV433" s="44" t="str">
        <f>IF(AND(C433=Master!$H$3,B433="2012-2013",E433="",G433="NPN05"),H433,"")</f>
        <v/>
      </c>
      <c r="AW433" s="44" t="str">
        <f>IF(AND(C433=Master!$H$4,B433="2012-2013",E433&gt;1000,G433="NPN05"),H433,"")</f>
        <v/>
      </c>
      <c r="AX433" s="44" t="str">
        <f>IF(AND(C433=Master!$H$4,B433="2012-2013",E433="",G433="NPN05"),H433,"")</f>
        <v/>
      </c>
      <c r="AY433" s="44" t="str">
        <f>IF(AND(C433=Master!$H$5,B433="2012-2013",E433&gt;1000,G433="NPN05"),H433,"")</f>
        <v/>
      </c>
      <c r="AZ433" s="44" t="str">
        <f>IF(AND(C433=Master!$H$5,B433="2012-2013",E433="",G433="NPN05"),H433,"")</f>
        <v/>
      </c>
      <c r="BA433" s="44" t="str">
        <f>IF(AND(C433=Master!$H$6,B433="2012-2013",E433&gt;1000,G433="NPN05"),H433,"")</f>
        <v/>
      </c>
      <c r="BB433" s="44" t="str">
        <f>IF(AND(C433=Master!$H$6,B433="2012-2013",E433="",G433="NPN05"),H433,"")</f>
        <v/>
      </c>
      <c r="BC433" s="44" t="str">
        <f>IF(AND(C433=Master!$H$7,B433="2012-2013",E433&gt;1000,G433="NPN05"),H433,"")</f>
        <v/>
      </c>
      <c r="BD433" s="44" t="str">
        <f>IF(AND(C433=Master!$H$7,B433="2012-2013",E433="",G433="NPN05"),H433,"")</f>
        <v/>
      </c>
      <c r="BE433" s="44" t="str">
        <f>IF(AND(C433=Master!$H$8,B433="2012-2013",E433&gt;1000,G433="NPN05"),H433,"")</f>
        <v/>
      </c>
      <c r="BF433" s="44" t="str">
        <f>IF(AND(C433=Master!$H$8,B433="2012-2013",E433="",G433="NPN05"),H433,"")</f>
        <v/>
      </c>
      <c r="BG433" s="44" t="str">
        <f>IF(AND(C433=Master!$H$9,B433="2012-2013",E433&gt;1000,G433="NPN05"),H433,"")</f>
        <v/>
      </c>
      <c r="BH433" s="44" t="str">
        <f>IF(AND(C433=Master!$H$9,B433="2012-2013",E433="",G433="NPN05"),H433,"")</f>
        <v/>
      </c>
    </row>
    <row r="434" spans="1:60" x14ac:dyDescent="0.25">
      <c r="A434" s="3">
        <v>432</v>
      </c>
      <c r="B434" s="12"/>
      <c r="C434" s="12"/>
      <c r="D434" s="31"/>
      <c r="E434" s="4"/>
      <c r="F434" s="13"/>
      <c r="G434" s="21"/>
      <c r="H434" s="35"/>
      <c r="I434" s="21"/>
      <c r="J434" s="25" t="str">
        <f>IF(NOT(I434=""),INDEX(Master!$B$1:$B$46,MATCH(I434,Master!$A$1:$A$46,0)),"")</f>
        <v/>
      </c>
      <c r="K434" s="18"/>
      <c r="L434" s="86"/>
      <c r="M434" s="13"/>
      <c r="N434" s="13"/>
      <c r="O434" s="18"/>
      <c r="P434" s="35"/>
      <c r="Q434" s="21"/>
      <c r="R434" s="21"/>
      <c r="S434" s="13"/>
      <c r="T434" s="12"/>
      <c r="U434" s="12"/>
      <c r="V434" s="12"/>
      <c r="W434" s="14"/>
      <c r="Y434" s="42" t="str">
        <f>IF(AND(C434=Master!$H$1,B434="2012-2013",E434&gt;1000,G434="PLN03"),H434,"")</f>
        <v/>
      </c>
      <c r="Z434" s="42" t="str">
        <f>IF(AND(C434=Master!$H$1,B434="2012-2013",E434="",G434="PLN03"),H434,"")</f>
        <v/>
      </c>
      <c r="AA434" s="42" t="str">
        <f>IF(AND(C434=Master!$H$2,B434="2012-2013",E434&gt;1000,G434="PLN03"),H434,"")</f>
        <v/>
      </c>
      <c r="AB434" s="42" t="str">
        <f>IF(AND(C434=Master!$H$2,B434="2012-2013",E434="",G434="PLN03"),H434,"")</f>
        <v/>
      </c>
      <c r="AC434" s="42" t="str">
        <f>IF(AND(C434=Master!$H$3,B434="2012-2013",E434&gt;1000,G434="PLN03"),H434,"")</f>
        <v/>
      </c>
      <c r="AD434" s="42" t="str">
        <f>IF(AND(C434=Master!$H$3,B434="2012-2013",E434="",G434="PLN03"),H434,"")</f>
        <v/>
      </c>
      <c r="AE434" s="42" t="str">
        <f>IF(AND(C434=Master!$H$4,B434="2012-2013",E434&gt;1000,G434="PLN03"),H434,"")</f>
        <v/>
      </c>
      <c r="AF434" s="42" t="str">
        <f>IF(AND(C434=Master!$H$4,B434="2012-2013",E434="",G434="PLN03"),H434,"")</f>
        <v/>
      </c>
      <c r="AG434" s="42" t="str">
        <f>IF(AND(C434=Master!$H$5,B434="2012-2013",E434&gt;1000,G434="PLN03"),H434,"")</f>
        <v/>
      </c>
      <c r="AH434" s="42" t="str">
        <f>IF(AND(C434=Master!$H$5,B434="2012-2013",E434="",G434="PLN03"),H434,"")</f>
        <v/>
      </c>
      <c r="AI434" s="42" t="str">
        <f>IF(AND(C434=Master!$H$6,B434="2012-2013",E434&gt;1000,G434="PLN03"),H434,"")</f>
        <v/>
      </c>
      <c r="AJ434" s="42" t="str">
        <f>IF(AND(C434=Master!$H$6,B434="2012-2013",E434="",G434="PLN03"),H434,"")</f>
        <v/>
      </c>
      <c r="AK434" s="42" t="str">
        <f>IF(AND(C434=Master!$H$7,B434="2012-2013",E434&gt;1000,G434="PLN03"),H434,"")</f>
        <v/>
      </c>
      <c r="AL434" s="42" t="str">
        <f>IF(AND(C434=Master!$H$7,B434="2012-2013",E434="",G434="PLN03"),H434,"")</f>
        <v/>
      </c>
      <c r="AM434" s="42" t="str">
        <f>IF(AND(C434=Master!$H$8,B434="2012-2013",E434&gt;1000,G434="PLN03"),H434,"")</f>
        <v/>
      </c>
      <c r="AN434" s="42" t="str">
        <f>IF(AND(C434=Master!$H$8,B434="2012-2013",E434="",G434="PLN03"),H434,"")</f>
        <v/>
      </c>
      <c r="AO434" s="42" t="str">
        <f>IF(AND(C434=Master!$H$9,B434="2012-2013",E434&gt;1000,G434="PLN03"),H434,"")</f>
        <v/>
      </c>
      <c r="AP434" s="42" t="str">
        <f>IF(AND(C434=Master!$H$9,B434="2012-2013",E434="",G434="PLN03"),H434,"")</f>
        <v/>
      </c>
      <c r="AQ434" s="44" t="str">
        <f>IF(AND(C434=Master!$H$1,B434="2012-2013",E434&gt;1000,G434="NPN05"),H434,"")</f>
        <v/>
      </c>
      <c r="AR434" s="44" t="str">
        <f>IF(AND(C434=Master!$H$1,B434="2012-2013",E434="",G434="NPN05"),H434,"")</f>
        <v/>
      </c>
      <c r="AS434" s="44" t="str">
        <f>IF(AND(C434=Master!$H$2,B434="2012-2013",E434&gt;1000,G434="NPN05"),H434,"")</f>
        <v/>
      </c>
      <c r="AT434" s="44" t="str">
        <f>IF(AND(C434=Master!$H$2,B434="2012-2013",E434="",G434="NPN05"),H434,"")</f>
        <v/>
      </c>
      <c r="AU434" s="44" t="str">
        <f>IF(AND(C434=Master!$H$3,B434="2012-2013",E434&gt;1000,G434="NPN05"),H434,"")</f>
        <v/>
      </c>
      <c r="AV434" s="44" t="str">
        <f>IF(AND(C434=Master!$H$3,B434="2012-2013",E434="",G434="NPN05"),H434,"")</f>
        <v/>
      </c>
      <c r="AW434" s="44" t="str">
        <f>IF(AND(C434=Master!$H$4,B434="2012-2013",E434&gt;1000,G434="NPN05"),H434,"")</f>
        <v/>
      </c>
      <c r="AX434" s="44" t="str">
        <f>IF(AND(C434=Master!$H$4,B434="2012-2013",E434="",G434="NPN05"),H434,"")</f>
        <v/>
      </c>
      <c r="AY434" s="44" t="str">
        <f>IF(AND(C434=Master!$H$5,B434="2012-2013",E434&gt;1000,G434="NPN05"),H434,"")</f>
        <v/>
      </c>
      <c r="AZ434" s="44" t="str">
        <f>IF(AND(C434=Master!$H$5,B434="2012-2013",E434="",G434="NPN05"),H434,"")</f>
        <v/>
      </c>
      <c r="BA434" s="44" t="str">
        <f>IF(AND(C434=Master!$H$6,B434="2012-2013",E434&gt;1000,G434="NPN05"),H434,"")</f>
        <v/>
      </c>
      <c r="BB434" s="44" t="str">
        <f>IF(AND(C434=Master!$H$6,B434="2012-2013",E434="",G434="NPN05"),H434,"")</f>
        <v/>
      </c>
      <c r="BC434" s="44" t="str">
        <f>IF(AND(C434=Master!$H$7,B434="2012-2013",E434&gt;1000,G434="NPN05"),H434,"")</f>
        <v/>
      </c>
      <c r="BD434" s="44" t="str">
        <f>IF(AND(C434=Master!$H$7,B434="2012-2013",E434="",G434="NPN05"),H434,"")</f>
        <v/>
      </c>
      <c r="BE434" s="44" t="str">
        <f>IF(AND(C434=Master!$H$8,B434="2012-2013",E434&gt;1000,G434="NPN05"),H434,"")</f>
        <v/>
      </c>
      <c r="BF434" s="44" t="str">
        <f>IF(AND(C434=Master!$H$8,B434="2012-2013",E434="",G434="NPN05"),H434,"")</f>
        <v/>
      </c>
      <c r="BG434" s="44" t="str">
        <f>IF(AND(C434=Master!$H$9,B434="2012-2013",E434&gt;1000,G434="NPN05"),H434,"")</f>
        <v/>
      </c>
      <c r="BH434" s="44" t="str">
        <f>IF(AND(C434=Master!$H$9,B434="2012-2013",E434="",G434="NPN05"),H434,"")</f>
        <v/>
      </c>
    </row>
    <row r="435" spans="1:60" x14ac:dyDescent="0.25">
      <c r="A435" s="3">
        <v>433</v>
      </c>
      <c r="B435" s="12"/>
      <c r="C435" s="12"/>
      <c r="D435" s="31"/>
      <c r="E435" s="4"/>
      <c r="F435" s="13"/>
      <c r="G435" s="21"/>
      <c r="H435" s="35"/>
      <c r="I435" s="21"/>
      <c r="J435" s="25" t="str">
        <f>IF(NOT(I435=""),INDEX(Master!$B$1:$B$46,MATCH(I435,Master!$A$1:$A$46,0)),"")</f>
        <v/>
      </c>
      <c r="K435" s="18"/>
      <c r="L435" s="86"/>
      <c r="M435" s="13"/>
      <c r="N435" s="13"/>
      <c r="O435" s="18"/>
      <c r="P435" s="35"/>
      <c r="Q435" s="21"/>
      <c r="R435" s="21"/>
      <c r="S435" s="13"/>
      <c r="T435" s="12"/>
      <c r="U435" s="12"/>
      <c r="V435" s="12"/>
      <c r="W435" s="14"/>
      <c r="Y435" s="42" t="str">
        <f>IF(AND(C435=Master!$H$1,B435="2012-2013",E435&gt;1000,G435="PLN03"),H435,"")</f>
        <v/>
      </c>
      <c r="Z435" s="42" t="str">
        <f>IF(AND(C435=Master!$H$1,B435="2012-2013",E435="",G435="PLN03"),H435,"")</f>
        <v/>
      </c>
      <c r="AA435" s="42" t="str">
        <f>IF(AND(C435=Master!$H$2,B435="2012-2013",E435&gt;1000,G435="PLN03"),H435,"")</f>
        <v/>
      </c>
      <c r="AB435" s="42" t="str">
        <f>IF(AND(C435=Master!$H$2,B435="2012-2013",E435="",G435="PLN03"),H435,"")</f>
        <v/>
      </c>
      <c r="AC435" s="42" t="str">
        <f>IF(AND(C435=Master!$H$3,B435="2012-2013",E435&gt;1000,G435="PLN03"),H435,"")</f>
        <v/>
      </c>
      <c r="AD435" s="42" t="str">
        <f>IF(AND(C435=Master!$H$3,B435="2012-2013",E435="",G435="PLN03"),H435,"")</f>
        <v/>
      </c>
      <c r="AE435" s="42" t="str">
        <f>IF(AND(C435=Master!$H$4,B435="2012-2013",E435&gt;1000,G435="PLN03"),H435,"")</f>
        <v/>
      </c>
      <c r="AF435" s="42" t="str">
        <f>IF(AND(C435=Master!$H$4,B435="2012-2013",E435="",G435="PLN03"),H435,"")</f>
        <v/>
      </c>
      <c r="AG435" s="42" t="str">
        <f>IF(AND(C435=Master!$H$5,B435="2012-2013",E435&gt;1000,G435="PLN03"),H435,"")</f>
        <v/>
      </c>
      <c r="AH435" s="42" t="str">
        <f>IF(AND(C435=Master!$H$5,B435="2012-2013",E435="",G435="PLN03"),H435,"")</f>
        <v/>
      </c>
      <c r="AI435" s="42" t="str">
        <f>IF(AND(C435=Master!$H$6,B435="2012-2013",E435&gt;1000,G435="PLN03"),H435,"")</f>
        <v/>
      </c>
      <c r="AJ435" s="42" t="str">
        <f>IF(AND(C435=Master!$H$6,B435="2012-2013",E435="",G435="PLN03"),H435,"")</f>
        <v/>
      </c>
      <c r="AK435" s="42" t="str">
        <f>IF(AND(C435=Master!$H$7,B435="2012-2013",E435&gt;1000,G435="PLN03"),H435,"")</f>
        <v/>
      </c>
      <c r="AL435" s="42" t="str">
        <f>IF(AND(C435=Master!$H$7,B435="2012-2013",E435="",G435="PLN03"),H435,"")</f>
        <v/>
      </c>
      <c r="AM435" s="42" t="str">
        <f>IF(AND(C435=Master!$H$8,B435="2012-2013",E435&gt;1000,G435="PLN03"),H435,"")</f>
        <v/>
      </c>
      <c r="AN435" s="42" t="str">
        <f>IF(AND(C435=Master!$H$8,B435="2012-2013",E435="",G435="PLN03"),H435,"")</f>
        <v/>
      </c>
      <c r="AO435" s="42" t="str">
        <f>IF(AND(C435=Master!$H$9,B435="2012-2013",E435&gt;1000,G435="PLN03"),H435,"")</f>
        <v/>
      </c>
      <c r="AP435" s="42" t="str">
        <f>IF(AND(C435=Master!$H$9,B435="2012-2013",E435="",G435="PLN03"),H435,"")</f>
        <v/>
      </c>
      <c r="AQ435" s="44" t="str">
        <f>IF(AND(C435=Master!$H$1,B435="2012-2013",E435&gt;1000,G435="NPN05"),H435,"")</f>
        <v/>
      </c>
      <c r="AR435" s="44" t="str">
        <f>IF(AND(C435=Master!$H$1,B435="2012-2013",E435="",G435="NPN05"),H435,"")</f>
        <v/>
      </c>
      <c r="AS435" s="44" t="str">
        <f>IF(AND(C435=Master!$H$2,B435="2012-2013",E435&gt;1000,G435="NPN05"),H435,"")</f>
        <v/>
      </c>
      <c r="AT435" s="44" t="str">
        <f>IF(AND(C435=Master!$H$2,B435="2012-2013",E435="",G435="NPN05"),H435,"")</f>
        <v/>
      </c>
      <c r="AU435" s="44" t="str">
        <f>IF(AND(C435=Master!$H$3,B435="2012-2013",E435&gt;1000,G435="NPN05"),H435,"")</f>
        <v/>
      </c>
      <c r="AV435" s="44" t="str">
        <f>IF(AND(C435=Master!$H$3,B435="2012-2013",E435="",G435="NPN05"),H435,"")</f>
        <v/>
      </c>
      <c r="AW435" s="44" t="str">
        <f>IF(AND(C435=Master!$H$4,B435="2012-2013",E435&gt;1000,G435="NPN05"),H435,"")</f>
        <v/>
      </c>
      <c r="AX435" s="44" t="str">
        <f>IF(AND(C435=Master!$H$4,B435="2012-2013",E435="",G435="NPN05"),H435,"")</f>
        <v/>
      </c>
      <c r="AY435" s="44" t="str">
        <f>IF(AND(C435=Master!$H$5,B435="2012-2013",E435&gt;1000,G435="NPN05"),H435,"")</f>
        <v/>
      </c>
      <c r="AZ435" s="44" t="str">
        <f>IF(AND(C435=Master!$H$5,B435="2012-2013",E435="",G435="NPN05"),H435,"")</f>
        <v/>
      </c>
      <c r="BA435" s="44" t="str">
        <f>IF(AND(C435=Master!$H$6,B435="2012-2013",E435&gt;1000,G435="NPN05"),H435,"")</f>
        <v/>
      </c>
      <c r="BB435" s="44" t="str">
        <f>IF(AND(C435=Master!$H$6,B435="2012-2013",E435="",G435="NPN05"),H435,"")</f>
        <v/>
      </c>
      <c r="BC435" s="44" t="str">
        <f>IF(AND(C435=Master!$H$7,B435="2012-2013",E435&gt;1000,G435="NPN05"),H435,"")</f>
        <v/>
      </c>
      <c r="BD435" s="44" t="str">
        <f>IF(AND(C435=Master!$H$7,B435="2012-2013",E435="",G435="NPN05"),H435,"")</f>
        <v/>
      </c>
      <c r="BE435" s="44" t="str">
        <f>IF(AND(C435=Master!$H$8,B435="2012-2013",E435&gt;1000,G435="NPN05"),H435,"")</f>
        <v/>
      </c>
      <c r="BF435" s="44" t="str">
        <f>IF(AND(C435=Master!$H$8,B435="2012-2013",E435="",G435="NPN05"),H435,"")</f>
        <v/>
      </c>
      <c r="BG435" s="44" t="str">
        <f>IF(AND(C435=Master!$H$9,B435="2012-2013",E435&gt;1000,G435="NPN05"),H435,"")</f>
        <v/>
      </c>
      <c r="BH435" s="44" t="str">
        <f>IF(AND(C435=Master!$H$9,B435="2012-2013",E435="",G435="NPN05"),H435,"")</f>
        <v/>
      </c>
    </row>
    <row r="436" spans="1:60" x14ac:dyDescent="0.25">
      <c r="A436" s="5">
        <v>434</v>
      </c>
      <c r="B436" s="12"/>
      <c r="C436" s="12"/>
      <c r="D436" s="31"/>
      <c r="E436" s="4"/>
      <c r="F436" s="13"/>
      <c r="G436" s="21"/>
      <c r="H436" s="35"/>
      <c r="I436" s="21"/>
      <c r="J436" s="25" t="str">
        <f>IF(NOT(I436=""),INDEX(Master!$B$1:$B$46,MATCH(I436,Master!$A$1:$A$46,0)),"")</f>
        <v/>
      </c>
      <c r="K436" s="18"/>
      <c r="L436" s="86"/>
      <c r="M436" s="13"/>
      <c r="N436" s="13"/>
      <c r="O436" s="18"/>
      <c r="P436" s="35"/>
      <c r="Q436" s="21"/>
      <c r="R436" s="21"/>
      <c r="S436" s="13"/>
      <c r="T436" s="12"/>
      <c r="U436" s="12"/>
      <c r="V436" s="12"/>
      <c r="W436" s="14"/>
      <c r="Y436" s="42" t="str">
        <f>IF(AND(C436=Master!$H$1,B436="2012-2013",E436&gt;1000,G436="PLN03"),H436,"")</f>
        <v/>
      </c>
      <c r="Z436" s="42" t="str">
        <f>IF(AND(C436=Master!$H$1,B436="2012-2013",E436="",G436="PLN03"),H436,"")</f>
        <v/>
      </c>
      <c r="AA436" s="42" t="str">
        <f>IF(AND(C436=Master!$H$2,B436="2012-2013",E436&gt;1000,G436="PLN03"),H436,"")</f>
        <v/>
      </c>
      <c r="AB436" s="42" t="str">
        <f>IF(AND(C436=Master!$H$2,B436="2012-2013",E436="",G436="PLN03"),H436,"")</f>
        <v/>
      </c>
      <c r="AC436" s="42" t="str">
        <f>IF(AND(C436=Master!$H$3,B436="2012-2013",E436&gt;1000,G436="PLN03"),H436,"")</f>
        <v/>
      </c>
      <c r="AD436" s="42" t="str">
        <f>IF(AND(C436=Master!$H$3,B436="2012-2013",E436="",G436="PLN03"),H436,"")</f>
        <v/>
      </c>
      <c r="AE436" s="42" t="str">
        <f>IF(AND(C436=Master!$H$4,B436="2012-2013",E436&gt;1000,G436="PLN03"),H436,"")</f>
        <v/>
      </c>
      <c r="AF436" s="42" t="str">
        <f>IF(AND(C436=Master!$H$4,B436="2012-2013",E436="",G436="PLN03"),H436,"")</f>
        <v/>
      </c>
      <c r="AG436" s="42" t="str">
        <f>IF(AND(C436=Master!$H$5,B436="2012-2013",E436&gt;1000,G436="PLN03"),H436,"")</f>
        <v/>
      </c>
      <c r="AH436" s="42" t="str">
        <f>IF(AND(C436=Master!$H$5,B436="2012-2013",E436="",G436="PLN03"),H436,"")</f>
        <v/>
      </c>
      <c r="AI436" s="42" t="str">
        <f>IF(AND(C436=Master!$H$6,B436="2012-2013",E436&gt;1000,G436="PLN03"),H436,"")</f>
        <v/>
      </c>
      <c r="AJ436" s="42" t="str">
        <f>IF(AND(C436=Master!$H$6,B436="2012-2013",E436="",G436="PLN03"),H436,"")</f>
        <v/>
      </c>
      <c r="AK436" s="42" t="str">
        <f>IF(AND(C436=Master!$H$7,B436="2012-2013",E436&gt;1000,G436="PLN03"),H436,"")</f>
        <v/>
      </c>
      <c r="AL436" s="42" t="str">
        <f>IF(AND(C436=Master!$H$7,B436="2012-2013",E436="",G436="PLN03"),H436,"")</f>
        <v/>
      </c>
      <c r="AM436" s="42" t="str">
        <f>IF(AND(C436=Master!$H$8,B436="2012-2013",E436&gt;1000,G436="PLN03"),H436,"")</f>
        <v/>
      </c>
      <c r="AN436" s="42" t="str">
        <f>IF(AND(C436=Master!$H$8,B436="2012-2013",E436="",G436="PLN03"),H436,"")</f>
        <v/>
      </c>
      <c r="AO436" s="42" t="str">
        <f>IF(AND(C436=Master!$H$9,B436="2012-2013",E436&gt;1000,G436="PLN03"),H436,"")</f>
        <v/>
      </c>
      <c r="AP436" s="42" t="str">
        <f>IF(AND(C436=Master!$H$9,B436="2012-2013",E436="",G436="PLN03"),H436,"")</f>
        <v/>
      </c>
      <c r="AQ436" s="44" t="str">
        <f>IF(AND(C436=Master!$H$1,B436="2012-2013",E436&gt;1000,G436="NPN05"),H436,"")</f>
        <v/>
      </c>
      <c r="AR436" s="44" t="str">
        <f>IF(AND(C436=Master!$H$1,B436="2012-2013",E436="",G436="NPN05"),H436,"")</f>
        <v/>
      </c>
      <c r="AS436" s="44" t="str">
        <f>IF(AND(C436=Master!$H$2,B436="2012-2013",E436&gt;1000,G436="NPN05"),H436,"")</f>
        <v/>
      </c>
      <c r="AT436" s="44" t="str">
        <f>IF(AND(C436=Master!$H$2,B436="2012-2013",E436="",G436="NPN05"),H436,"")</f>
        <v/>
      </c>
      <c r="AU436" s="44" t="str">
        <f>IF(AND(C436=Master!$H$3,B436="2012-2013",E436&gt;1000,G436="NPN05"),H436,"")</f>
        <v/>
      </c>
      <c r="AV436" s="44" t="str">
        <f>IF(AND(C436=Master!$H$3,B436="2012-2013",E436="",G436="NPN05"),H436,"")</f>
        <v/>
      </c>
      <c r="AW436" s="44" t="str">
        <f>IF(AND(C436=Master!$H$4,B436="2012-2013",E436&gt;1000,G436="NPN05"),H436,"")</f>
        <v/>
      </c>
      <c r="AX436" s="44" t="str">
        <f>IF(AND(C436=Master!$H$4,B436="2012-2013",E436="",G436="NPN05"),H436,"")</f>
        <v/>
      </c>
      <c r="AY436" s="44" t="str">
        <f>IF(AND(C436=Master!$H$5,B436="2012-2013",E436&gt;1000,G436="NPN05"),H436,"")</f>
        <v/>
      </c>
      <c r="AZ436" s="44" t="str">
        <f>IF(AND(C436=Master!$H$5,B436="2012-2013",E436="",G436="NPN05"),H436,"")</f>
        <v/>
      </c>
      <c r="BA436" s="44" t="str">
        <f>IF(AND(C436=Master!$H$6,B436="2012-2013",E436&gt;1000,G436="NPN05"),H436,"")</f>
        <v/>
      </c>
      <c r="BB436" s="44" t="str">
        <f>IF(AND(C436=Master!$H$6,B436="2012-2013",E436="",G436="NPN05"),H436,"")</f>
        <v/>
      </c>
      <c r="BC436" s="44" t="str">
        <f>IF(AND(C436=Master!$H$7,B436="2012-2013",E436&gt;1000,G436="NPN05"),H436,"")</f>
        <v/>
      </c>
      <c r="BD436" s="44" t="str">
        <f>IF(AND(C436=Master!$H$7,B436="2012-2013",E436="",G436="NPN05"),H436,"")</f>
        <v/>
      </c>
      <c r="BE436" s="44" t="str">
        <f>IF(AND(C436=Master!$H$8,B436="2012-2013",E436&gt;1000,G436="NPN05"),H436,"")</f>
        <v/>
      </c>
      <c r="BF436" s="44" t="str">
        <f>IF(AND(C436=Master!$H$8,B436="2012-2013",E436="",G436="NPN05"),H436,"")</f>
        <v/>
      </c>
      <c r="BG436" s="44" t="str">
        <f>IF(AND(C436=Master!$H$9,B436="2012-2013",E436&gt;1000,G436="NPN05"),H436,"")</f>
        <v/>
      </c>
      <c r="BH436" s="44" t="str">
        <f>IF(AND(C436=Master!$H$9,B436="2012-2013",E436="",G436="NPN05"),H436,"")</f>
        <v/>
      </c>
    </row>
    <row r="437" spans="1:60" x14ac:dyDescent="0.25">
      <c r="A437" s="3">
        <v>435</v>
      </c>
      <c r="B437" s="12"/>
      <c r="C437" s="12"/>
      <c r="D437" s="31"/>
      <c r="E437" s="4"/>
      <c r="F437" s="13"/>
      <c r="G437" s="21"/>
      <c r="H437" s="35"/>
      <c r="I437" s="21"/>
      <c r="J437" s="25" t="str">
        <f>IF(NOT(I437=""),INDEX(Master!$B$1:$B$46,MATCH(I437,Master!$A$1:$A$46,0)),"")</f>
        <v/>
      </c>
      <c r="K437" s="18"/>
      <c r="L437" s="86"/>
      <c r="M437" s="13"/>
      <c r="N437" s="13"/>
      <c r="O437" s="18"/>
      <c r="P437" s="35"/>
      <c r="Q437" s="21"/>
      <c r="R437" s="21"/>
      <c r="S437" s="13"/>
      <c r="T437" s="12"/>
      <c r="U437" s="12"/>
      <c r="V437" s="12"/>
      <c r="W437" s="14"/>
      <c r="Y437" s="42" t="str">
        <f>IF(AND(C437=Master!$H$1,B437="2012-2013",E437&gt;1000,G437="PLN03"),H437,"")</f>
        <v/>
      </c>
      <c r="Z437" s="42" t="str">
        <f>IF(AND(C437=Master!$H$1,B437="2012-2013",E437="",G437="PLN03"),H437,"")</f>
        <v/>
      </c>
      <c r="AA437" s="42" t="str">
        <f>IF(AND(C437=Master!$H$2,B437="2012-2013",E437&gt;1000,G437="PLN03"),H437,"")</f>
        <v/>
      </c>
      <c r="AB437" s="42" t="str">
        <f>IF(AND(C437=Master!$H$2,B437="2012-2013",E437="",G437="PLN03"),H437,"")</f>
        <v/>
      </c>
      <c r="AC437" s="42" t="str">
        <f>IF(AND(C437=Master!$H$3,B437="2012-2013",E437&gt;1000,G437="PLN03"),H437,"")</f>
        <v/>
      </c>
      <c r="AD437" s="42" t="str">
        <f>IF(AND(C437=Master!$H$3,B437="2012-2013",E437="",G437="PLN03"),H437,"")</f>
        <v/>
      </c>
      <c r="AE437" s="42" t="str">
        <f>IF(AND(C437=Master!$H$4,B437="2012-2013",E437&gt;1000,G437="PLN03"),H437,"")</f>
        <v/>
      </c>
      <c r="AF437" s="42" t="str">
        <f>IF(AND(C437=Master!$H$4,B437="2012-2013",E437="",G437="PLN03"),H437,"")</f>
        <v/>
      </c>
      <c r="AG437" s="42" t="str">
        <f>IF(AND(C437=Master!$H$5,B437="2012-2013",E437&gt;1000,G437="PLN03"),H437,"")</f>
        <v/>
      </c>
      <c r="AH437" s="42" t="str">
        <f>IF(AND(C437=Master!$H$5,B437="2012-2013",E437="",G437="PLN03"),H437,"")</f>
        <v/>
      </c>
      <c r="AI437" s="42" t="str">
        <f>IF(AND(C437=Master!$H$6,B437="2012-2013",E437&gt;1000,G437="PLN03"),H437,"")</f>
        <v/>
      </c>
      <c r="AJ437" s="42" t="str">
        <f>IF(AND(C437=Master!$H$6,B437="2012-2013",E437="",G437="PLN03"),H437,"")</f>
        <v/>
      </c>
      <c r="AK437" s="42" t="str">
        <f>IF(AND(C437=Master!$H$7,B437="2012-2013",E437&gt;1000,G437="PLN03"),H437,"")</f>
        <v/>
      </c>
      <c r="AL437" s="42" t="str">
        <f>IF(AND(C437=Master!$H$7,B437="2012-2013",E437="",G437="PLN03"),H437,"")</f>
        <v/>
      </c>
      <c r="AM437" s="42" t="str">
        <f>IF(AND(C437=Master!$H$8,B437="2012-2013",E437&gt;1000,G437="PLN03"),H437,"")</f>
        <v/>
      </c>
      <c r="AN437" s="42" t="str">
        <f>IF(AND(C437=Master!$H$8,B437="2012-2013",E437="",G437="PLN03"),H437,"")</f>
        <v/>
      </c>
      <c r="AO437" s="42" t="str">
        <f>IF(AND(C437=Master!$H$9,B437="2012-2013",E437&gt;1000,G437="PLN03"),H437,"")</f>
        <v/>
      </c>
      <c r="AP437" s="42" t="str">
        <f>IF(AND(C437=Master!$H$9,B437="2012-2013",E437="",G437="PLN03"),H437,"")</f>
        <v/>
      </c>
      <c r="AQ437" s="44" t="str">
        <f>IF(AND(C437=Master!$H$1,B437="2012-2013",E437&gt;1000,G437="NPN05"),H437,"")</f>
        <v/>
      </c>
      <c r="AR437" s="44" t="str">
        <f>IF(AND(C437=Master!$H$1,B437="2012-2013",E437="",G437="NPN05"),H437,"")</f>
        <v/>
      </c>
      <c r="AS437" s="44" t="str">
        <f>IF(AND(C437=Master!$H$2,B437="2012-2013",E437&gt;1000,G437="NPN05"),H437,"")</f>
        <v/>
      </c>
      <c r="AT437" s="44" t="str">
        <f>IF(AND(C437=Master!$H$2,B437="2012-2013",E437="",G437="NPN05"),H437,"")</f>
        <v/>
      </c>
      <c r="AU437" s="44" t="str">
        <f>IF(AND(C437=Master!$H$3,B437="2012-2013",E437&gt;1000,G437="NPN05"),H437,"")</f>
        <v/>
      </c>
      <c r="AV437" s="44" t="str">
        <f>IF(AND(C437=Master!$H$3,B437="2012-2013",E437="",G437="NPN05"),H437,"")</f>
        <v/>
      </c>
      <c r="AW437" s="44" t="str">
        <f>IF(AND(C437=Master!$H$4,B437="2012-2013",E437&gt;1000,G437="NPN05"),H437,"")</f>
        <v/>
      </c>
      <c r="AX437" s="44" t="str">
        <f>IF(AND(C437=Master!$H$4,B437="2012-2013",E437="",G437="NPN05"),H437,"")</f>
        <v/>
      </c>
      <c r="AY437" s="44" t="str">
        <f>IF(AND(C437=Master!$H$5,B437="2012-2013",E437&gt;1000,G437="NPN05"),H437,"")</f>
        <v/>
      </c>
      <c r="AZ437" s="44" t="str">
        <f>IF(AND(C437=Master!$H$5,B437="2012-2013",E437="",G437="NPN05"),H437,"")</f>
        <v/>
      </c>
      <c r="BA437" s="44" t="str">
        <f>IF(AND(C437=Master!$H$6,B437="2012-2013",E437&gt;1000,G437="NPN05"),H437,"")</f>
        <v/>
      </c>
      <c r="BB437" s="44" t="str">
        <f>IF(AND(C437=Master!$H$6,B437="2012-2013",E437="",G437="NPN05"),H437,"")</f>
        <v/>
      </c>
      <c r="BC437" s="44" t="str">
        <f>IF(AND(C437=Master!$H$7,B437="2012-2013",E437&gt;1000,G437="NPN05"),H437,"")</f>
        <v/>
      </c>
      <c r="BD437" s="44" t="str">
        <f>IF(AND(C437=Master!$H$7,B437="2012-2013",E437="",G437="NPN05"),H437,"")</f>
        <v/>
      </c>
      <c r="BE437" s="44" t="str">
        <f>IF(AND(C437=Master!$H$8,B437="2012-2013",E437&gt;1000,G437="NPN05"),H437,"")</f>
        <v/>
      </c>
      <c r="BF437" s="44" t="str">
        <f>IF(AND(C437=Master!$H$8,B437="2012-2013",E437="",G437="NPN05"),H437,"")</f>
        <v/>
      </c>
      <c r="BG437" s="44" t="str">
        <f>IF(AND(C437=Master!$H$9,B437="2012-2013",E437&gt;1000,G437="NPN05"),H437,"")</f>
        <v/>
      </c>
      <c r="BH437" s="44" t="str">
        <f>IF(AND(C437=Master!$H$9,B437="2012-2013",E437="",G437="NPN05"),H437,"")</f>
        <v/>
      </c>
    </row>
    <row r="438" spans="1:60" x14ac:dyDescent="0.25">
      <c r="A438" s="3">
        <v>436</v>
      </c>
      <c r="B438" s="12"/>
      <c r="C438" s="12"/>
      <c r="D438" s="31"/>
      <c r="E438" s="4"/>
      <c r="F438" s="13"/>
      <c r="G438" s="21"/>
      <c r="H438" s="35"/>
      <c r="I438" s="21"/>
      <c r="J438" s="25" t="str">
        <f>IF(NOT(I438=""),INDEX(Master!$B$1:$B$46,MATCH(I438,Master!$A$1:$A$46,0)),"")</f>
        <v/>
      </c>
      <c r="K438" s="18"/>
      <c r="L438" s="86"/>
      <c r="M438" s="13"/>
      <c r="N438" s="13"/>
      <c r="O438" s="18"/>
      <c r="P438" s="35"/>
      <c r="Q438" s="21"/>
      <c r="R438" s="21"/>
      <c r="S438" s="13"/>
      <c r="T438" s="12"/>
      <c r="U438" s="12"/>
      <c r="V438" s="12"/>
      <c r="W438" s="14"/>
      <c r="Y438" s="42" t="str">
        <f>IF(AND(C438=Master!$H$1,B438="2012-2013",E438&gt;1000,G438="PLN03"),H438,"")</f>
        <v/>
      </c>
      <c r="Z438" s="42" t="str">
        <f>IF(AND(C438=Master!$H$1,B438="2012-2013",E438="",G438="PLN03"),H438,"")</f>
        <v/>
      </c>
      <c r="AA438" s="42" t="str">
        <f>IF(AND(C438=Master!$H$2,B438="2012-2013",E438&gt;1000,G438="PLN03"),H438,"")</f>
        <v/>
      </c>
      <c r="AB438" s="42" t="str">
        <f>IF(AND(C438=Master!$H$2,B438="2012-2013",E438="",G438="PLN03"),H438,"")</f>
        <v/>
      </c>
      <c r="AC438" s="42" t="str">
        <f>IF(AND(C438=Master!$H$3,B438="2012-2013",E438&gt;1000,G438="PLN03"),H438,"")</f>
        <v/>
      </c>
      <c r="AD438" s="42" t="str">
        <f>IF(AND(C438=Master!$H$3,B438="2012-2013",E438="",G438="PLN03"),H438,"")</f>
        <v/>
      </c>
      <c r="AE438" s="42" t="str">
        <f>IF(AND(C438=Master!$H$4,B438="2012-2013",E438&gt;1000,G438="PLN03"),H438,"")</f>
        <v/>
      </c>
      <c r="AF438" s="42" t="str">
        <f>IF(AND(C438=Master!$H$4,B438="2012-2013",E438="",G438="PLN03"),H438,"")</f>
        <v/>
      </c>
      <c r="AG438" s="42" t="str">
        <f>IF(AND(C438=Master!$H$5,B438="2012-2013",E438&gt;1000,G438="PLN03"),H438,"")</f>
        <v/>
      </c>
      <c r="AH438" s="42" t="str">
        <f>IF(AND(C438=Master!$H$5,B438="2012-2013",E438="",G438="PLN03"),H438,"")</f>
        <v/>
      </c>
      <c r="AI438" s="42" t="str">
        <f>IF(AND(C438=Master!$H$6,B438="2012-2013",E438&gt;1000,G438="PLN03"),H438,"")</f>
        <v/>
      </c>
      <c r="AJ438" s="42" t="str">
        <f>IF(AND(C438=Master!$H$6,B438="2012-2013",E438="",G438="PLN03"),H438,"")</f>
        <v/>
      </c>
      <c r="AK438" s="42" t="str">
        <f>IF(AND(C438=Master!$H$7,B438="2012-2013",E438&gt;1000,G438="PLN03"),H438,"")</f>
        <v/>
      </c>
      <c r="AL438" s="42" t="str">
        <f>IF(AND(C438=Master!$H$7,B438="2012-2013",E438="",G438="PLN03"),H438,"")</f>
        <v/>
      </c>
      <c r="AM438" s="42" t="str">
        <f>IF(AND(C438=Master!$H$8,B438="2012-2013",E438&gt;1000,G438="PLN03"),H438,"")</f>
        <v/>
      </c>
      <c r="AN438" s="42" t="str">
        <f>IF(AND(C438=Master!$H$8,B438="2012-2013",E438="",G438="PLN03"),H438,"")</f>
        <v/>
      </c>
      <c r="AO438" s="42" t="str">
        <f>IF(AND(C438=Master!$H$9,B438="2012-2013",E438&gt;1000,G438="PLN03"),H438,"")</f>
        <v/>
      </c>
      <c r="AP438" s="42" t="str">
        <f>IF(AND(C438=Master!$H$9,B438="2012-2013",E438="",G438="PLN03"),H438,"")</f>
        <v/>
      </c>
      <c r="AQ438" s="44" t="str">
        <f>IF(AND(C438=Master!$H$1,B438="2012-2013",E438&gt;1000,G438="NPN05"),H438,"")</f>
        <v/>
      </c>
      <c r="AR438" s="44" t="str">
        <f>IF(AND(C438=Master!$H$1,B438="2012-2013",E438="",G438="NPN05"),H438,"")</f>
        <v/>
      </c>
      <c r="AS438" s="44" t="str">
        <f>IF(AND(C438=Master!$H$2,B438="2012-2013",E438&gt;1000,G438="NPN05"),H438,"")</f>
        <v/>
      </c>
      <c r="AT438" s="44" t="str">
        <f>IF(AND(C438=Master!$H$2,B438="2012-2013",E438="",G438="NPN05"),H438,"")</f>
        <v/>
      </c>
      <c r="AU438" s="44" t="str">
        <f>IF(AND(C438=Master!$H$3,B438="2012-2013",E438&gt;1000,G438="NPN05"),H438,"")</f>
        <v/>
      </c>
      <c r="AV438" s="44" t="str">
        <f>IF(AND(C438=Master!$H$3,B438="2012-2013",E438="",G438="NPN05"),H438,"")</f>
        <v/>
      </c>
      <c r="AW438" s="44" t="str">
        <f>IF(AND(C438=Master!$H$4,B438="2012-2013",E438&gt;1000,G438="NPN05"),H438,"")</f>
        <v/>
      </c>
      <c r="AX438" s="44" t="str">
        <f>IF(AND(C438=Master!$H$4,B438="2012-2013",E438="",G438="NPN05"),H438,"")</f>
        <v/>
      </c>
      <c r="AY438" s="44" t="str">
        <f>IF(AND(C438=Master!$H$5,B438="2012-2013",E438&gt;1000,G438="NPN05"),H438,"")</f>
        <v/>
      </c>
      <c r="AZ438" s="44" t="str">
        <f>IF(AND(C438=Master!$H$5,B438="2012-2013",E438="",G438="NPN05"),H438,"")</f>
        <v/>
      </c>
      <c r="BA438" s="44" t="str">
        <f>IF(AND(C438=Master!$H$6,B438="2012-2013",E438&gt;1000,G438="NPN05"),H438,"")</f>
        <v/>
      </c>
      <c r="BB438" s="44" t="str">
        <f>IF(AND(C438=Master!$H$6,B438="2012-2013",E438="",G438="NPN05"),H438,"")</f>
        <v/>
      </c>
      <c r="BC438" s="44" t="str">
        <f>IF(AND(C438=Master!$H$7,B438="2012-2013",E438&gt;1000,G438="NPN05"),H438,"")</f>
        <v/>
      </c>
      <c r="BD438" s="44" t="str">
        <f>IF(AND(C438=Master!$H$7,B438="2012-2013",E438="",G438="NPN05"),H438,"")</f>
        <v/>
      </c>
      <c r="BE438" s="44" t="str">
        <f>IF(AND(C438=Master!$H$8,B438="2012-2013",E438&gt;1000,G438="NPN05"),H438,"")</f>
        <v/>
      </c>
      <c r="BF438" s="44" t="str">
        <f>IF(AND(C438=Master!$H$8,B438="2012-2013",E438="",G438="NPN05"),H438,"")</f>
        <v/>
      </c>
      <c r="BG438" s="44" t="str">
        <f>IF(AND(C438=Master!$H$9,B438="2012-2013",E438&gt;1000,G438="NPN05"),H438,"")</f>
        <v/>
      </c>
      <c r="BH438" s="44" t="str">
        <f>IF(AND(C438=Master!$H$9,B438="2012-2013",E438="",G438="NPN05"),H438,"")</f>
        <v/>
      </c>
    </row>
    <row r="439" spans="1:60" x14ac:dyDescent="0.25">
      <c r="A439" s="3">
        <v>437</v>
      </c>
      <c r="B439" s="12"/>
      <c r="C439" s="12"/>
      <c r="D439" s="31"/>
      <c r="E439" s="4"/>
      <c r="F439" s="13"/>
      <c r="G439" s="21"/>
      <c r="H439" s="35"/>
      <c r="I439" s="21"/>
      <c r="J439" s="25" t="str">
        <f>IF(NOT(I439=""),INDEX(Master!$B$1:$B$46,MATCH(I439,Master!$A$1:$A$46,0)),"")</f>
        <v/>
      </c>
      <c r="K439" s="18"/>
      <c r="L439" s="86"/>
      <c r="M439" s="13"/>
      <c r="N439" s="13"/>
      <c r="O439" s="18"/>
      <c r="P439" s="35"/>
      <c r="Q439" s="21"/>
      <c r="R439" s="21"/>
      <c r="S439" s="13"/>
      <c r="T439" s="12"/>
      <c r="U439" s="12"/>
      <c r="V439" s="12"/>
      <c r="W439" s="14"/>
      <c r="Y439" s="42" t="str">
        <f>IF(AND(C439=Master!$H$1,B439="2012-2013",E439&gt;1000,G439="PLN03"),H439,"")</f>
        <v/>
      </c>
      <c r="Z439" s="42" t="str">
        <f>IF(AND(C439=Master!$H$1,B439="2012-2013",E439="",G439="PLN03"),H439,"")</f>
        <v/>
      </c>
      <c r="AA439" s="42" t="str">
        <f>IF(AND(C439=Master!$H$2,B439="2012-2013",E439&gt;1000,G439="PLN03"),H439,"")</f>
        <v/>
      </c>
      <c r="AB439" s="42" t="str">
        <f>IF(AND(C439=Master!$H$2,B439="2012-2013",E439="",G439="PLN03"),H439,"")</f>
        <v/>
      </c>
      <c r="AC439" s="42" t="str">
        <f>IF(AND(C439=Master!$H$3,B439="2012-2013",E439&gt;1000,G439="PLN03"),H439,"")</f>
        <v/>
      </c>
      <c r="AD439" s="42" t="str">
        <f>IF(AND(C439=Master!$H$3,B439="2012-2013",E439="",G439="PLN03"),H439,"")</f>
        <v/>
      </c>
      <c r="AE439" s="42" t="str">
        <f>IF(AND(C439=Master!$H$4,B439="2012-2013",E439&gt;1000,G439="PLN03"),H439,"")</f>
        <v/>
      </c>
      <c r="AF439" s="42" t="str">
        <f>IF(AND(C439=Master!$H$4,B439="2012-2013",E439="",G439="PLN03"),H439,"")</f>
        <v/>
      </c>
      <c r="AG439" s="42" t="str">
        <f>IF(AND(C439=Master!$H$5,B439="2012-2013",E439&gt;1000,G439="PLN03"),H439,"")</f>
        <v/>
      </c>
      <c r="AH439" s="42" t="str">
        <f>IF(AND(C439=Master!$H$5,B439="2012-2013",E439="",G439="PLN03"),H439,"")</f>
        <v/>
      </c>
      <c r="AI439" s="42" t="str">
        <f>IF(AND(C439=Master!$H$6,B439="2012-2013",E439&gt;1000,G439="PLN03"),H439,"")</f>
        <v/>
      </c>
      <c r="AJ439" s="42" t="str">
        <f>IF(AND(C439=Master!$H$6,B439="2012-2013",E439="",G439="PLN03"),H439,"")</f>
        <v/>
      </c>
      <c r="AK439" s="42" t="str">
        <f>IF(AND(C439=Master!$H$7,B439="2012-2013",E439&gt;1000,G439="PLN03"),H439,"")</f>
        <v/>
      </c>
      <c r="AL439" s="42" t="str">
        <f>IF(AND(C439=Master!$H$7,B439="2012-2013",E439="",G439="PLN03"),H439,"")</f>
        <v/>
      </c>
      <c r="AM439" s="42" t="str">
        <f>IF(AND(C439=Master!$H$8,B439="2012-2013",E439&gt;1000,G439="PLN03"),H439,"")</f>
        <v/>
      </c>
      <c r="AN439" s="42" t="str">
        <f>IF(AND(C439=Master!$H$8,B439="2012-2013",E439="",G439="PLN03"),H439,"")</f>
        <v/>
      </c>
      <c r="AO439" s="42" t="str">
        <f>IF(AND(C439=Master!$H$9,B439="2012-2013",E439&gt;1000,G439="PLN03"),H439,"")</f>
        <v/>
      </c>
      <c r="AP439" s="42" t="str">
        <f>IF(AND(C439=Master!$H$9,B439="2012-2013",E439="",G439="PLN03"),H439,"")</f>
        <v/>
      </c>
      <c r="AQ439" s="44" t="str">
        <f>IF(AND(C439=Master!$H$1,B439="2012-2013",E439&gt;1000,G439="NPN05"),H439,"")</f>
        <v/>
      </c>
      <c r="AR439" s="44" t="str">
        <f>IF(AND(C439=Master!$H$1,B439="2012-2013",E439="",G439="NPN05"),H439,"")</f>
        <v/>
      </c>
      <c r="AS439" s="44" t="str">
        <f>IF(AND(C439=Master!$H$2,B439="2012-2013",E439&gt;1000,G439="NPN05"),H439,"")</f>
        <v/>
      </c>
      <c r="AT439" s="44" t="str">
        <f>IF(AND(C439=Master!$H$2,B439="2012-2013",E439="",G439="NPN05"),H439,"")</f>
        <v/>
      </c>
      <c r="AU439" s="44" t="str">
        <f>IF(AND(C439=Master!$H$3,B439="2012-2013",E439&gt;1000,G439="NPN05"),H439,"")</f>
        <v/>
      </c>
      <c r="AV439" s="44" t="str">
        <f>IF(AND(C439=Master!$H$3,B439="2012-2013",E439="",G439="NPN05"),H439,"")</f>
        <v/>
      </c>
      <c r="AW439" s="44" t="str">
        <f>IF(AND(C439=Master!$H$4,B439="2012-2013",E439&gt;1000,G439="NPN05"),H439,"")</f>
        <v/>
      </c>
      <c r="AX439" s="44" t="str">
        <f>IF(AND(C439=Master!$H$4,B439="2012-2013",E439="",G439="NPN05"),H439,"")</f>
        <v/>
      </c>
      <c r="AY439" s="44" t="str">
        <f>IF(AND(C439=Master!$H$5,B439="2012-2013",E439&gt;1000,G439="NPN05"),H439,"")</f>
        <v/>
      </c>
      <c r="AZ439" s="44" t="str">
        <f>IF(AND(C439=Master!$H$5,B439="2012-2013",E439="",G439="NPN05"),H439,"")</f>
        <v/>
      </c>
      <c r="BA439" s="44" t="str">
        <f>IF(AND(C439=Master!$H$6,B439="2012-2013",E439&gt;1000,G439="NPN05"),H439,"")</f>
        <v/>
      </c>
      <c r="BB439" s="44" t="str">
        <f>IF(AND(C439=Master!$H$6,B439="2012-2013",E439="",G439="NPN05"),H439,"")</f>
        <v/>
      </c>
      <c r="BC439" s="44" t="str">
        <f>IF(AND(C439=Master!$H$7,B439="2012-2013",E439&gt;1000,G439="NPN05"),H439,"")</f>
        <v/>
      </c>
      <c r="BD439" s="44" t="str">
        <f>IF(AND(C439=Master!$H$7,B439="2012-2013",E439="",G439="NPN05"),H439,"")</f>
        <v/>
      </c>
      <c r="BE439" s="44" t="str">
        <f>IF(AND(C439=Master!$H$8,B439="2012-2013",E439&gt;1000,G439="NPN05"),H439,"")</f>
        <v/>
      </c>
      <c r="BF439" s="44" t="str">
        <f>IF(AND(C439=Master!$H$8,B439="2012-2013",E439="",G439="NPN05"),H439,"")</f>
        <v/>
      </c>
      <c r="BG439" s="44" t="str">
        <f>IF(AND(C439=Master!$H$9,B439="2012-2013",E439&gt;1000,G439="NPN05"),H439,"")</f>
        <v/>
      </c>
      <c r="BH439" s="44" t="str">
        <f>IF(AND(C439=Master!$H$9,B439="2012-2013",E439="",G439="NPN05"),H439,"")</f>
        <v/>
      </c>
    </row>
    <row r="440" spans="1:60" x14ac:dyDescent="0.25">
      <c r="A440" s="3">
        <v>438</v>
      </c>
      <c r="B440" s="12"/>
      <c r="C440" s="12"/>
      <c r="D440" s="31"/>
      <c r="E440" s="4"/>
      <c r="F440" s="13"/>
      <c r="G440" s="21"/>
      <c r="H440" s="35"/>
      <c r="I440" s="21"/>
      <c r="J440" s="25" t="str">
        <f>IF(NOT(I440=""),INDEX(Master!$B$1:$B$46,MATCH(I440,Master!$A$1:$A$46,0)),"")</f>
        <v/>
      </c>
      <c r="K440" s="18"/>
      <c r="L440" s="86"/>
      <c r="M440" s="13"/>
      <c r="N440" s="13"/>
      <c r="O440" s="18"/>
      <c r="P440" s="35"/>
      <c r="Q440" s="21"/>
      <c r="R440" s="21"/>
      <c r="S440" s="13"/>
      <c r="T440" s="12"/>
      <c r="U440" s="12"/>
      <c r="V440" s="12"/>
      <c r="W440" s="14"/>
      <c r="Y440" s="42" t="str">
        <f>IF(AND(C440=Master!$H$1,B440="2012-2013",E440&gt;1000,G440="PLN03"),H440,"")</f>
        <v/>
      </c>
      <c r="Z440" s="42" t="str">
        <f>IF(AND(C440=Master!$H$1,B440="2012-2013",E440="",G440="PLN03"),H440,"")</f>
        <v/>
      </c>
      <c r="AA440" s="42" t="str">
        <f>IF(AND(C440=Master!$H$2,B440="2012-2013",E440&gt;1000,G440="PLN03"),H440,"")</f>
        <v/>
      </c>
      <c r="AB440" s="42" t="str">
        <f>IF(AND(C440=Master!$H$2,B440="2012-2013",E440="",G440="PLN03"),H440,"")</f>
        <v/>
      </c>
      <c r="AC440" s="42" t="str">
        <f>IF(AND(C440=Master!$H$3,B440="2012-2013",E440&gt;1000,G440="PLN03"),H440,"")</f>
        <v/>
      </c>
      <c r="AD440" s="42" t="str">
        <f>IF(AND(C440=Master!$H$3,B440="2012-2013",E440="",G440="PLN03"),H440,"")</f>
        <v/>
      </c>
      <c r="AE440" s="42" t="str">
        <f>IF(AND(C440=Master!$H$4,B440="2012-2013",E440&gt;1000,G440="PLN03"),H440,"")</f>
        <v/>
      </c>
      <c r="AF440" s="42" t="str">
        <f>IF(AND(C440=Master!$H$4,B440="2012-2013",E440="",G440="PLN03"),H440,"")</f>
        <v/>
      </c>
      <c r="AG440" s="42" t="str">
        <f>IF(AND(C440=Master!$H$5,B440="2012-2013",E440&gt;1000,G440="PLN03"),H440,"")</f>
        <v/>
      </c>
      <c r="AH440" s="42" t="str">
        <f>IF(AND(C440=Master!$H$5,B440="2012-2013",E440="",G440="PLN03"),H440,"")</f>
        <v/>
      </c>
      <c r="AI440" s="42" t="str">
        <f>IF(AND(C440=Master!$H$6,B440="2012-2013",E440&gt;1000,G440="PLN03"),H440,"")</f>
        <v/>
      </c>
      <c r="AJ440" s="42" t="str">
        <f>IF(AND(C440=Master!$H$6,B440="2012-2013",E440="",G440="PLN03"),H440,"")</f>
        <v/>
      </c>
      <c r="AK440" s="42" t="str">
        <f>IF(AND(C440=Master!$H$7,B440="2012-2013",E440&gt;1000,G440="PLN03"),H440,"")</f>
        <v/>
      </c>
      <c r="AL440" s="42" t="str">
        <f>IF(AND(C440=Master!$H$7,B440="2012-2013",E440="",G440="PLN03"),H440,"")</f>
        <v/>
      </c>
      <c r="AM440" s="42" t="str">
        <f>IF(AND(C440=Master!$H$8,B440="2012-2013",E440&gt;1000,G440="PLN03"),H440,"")</f>
        <v/>
      </c>
      <c r="AN440" s="42" t="str">
        <f>IF(AND(C440=Master!$H$8,B440="2012-2013",E440="",G440="PLN03"),H440,"")</f>
        <v/>
      </c>
      <c r="AO440" s="42" t="str">
        <f>IF(AND(C440=Master!$H$9,B440="2012-2013",E440&gt;1000,G440="PLN03"),H440,"")</f>
        <v/>
      </c>
      <c r="AP440" s="42" t="str">
        <f>IF(AND(C440=Master!$H$9,B440="2012-2013",E440="",G440="PLN03"),H440,"")</f>
        <v/>
      </c>
      <c r="AQ440" s="44" t="str">
        <f>IF(AND(C440=Master!$H$1,B440="2012-2013",E440&gt;1000,G440="NPN05"),H440,"")</f>
        <v/>
      </c>
      <c r="AR440" s="44" t="str">
        <f>IF(AND(C440=Master!$H$1,B440="2012-2013",E440="",G440="NPN05"),H440,"")</f>
        <v/>
      </c>
      <c r="AS440" s="44" t="str">
        <f>IF(AND(C440=Master!$H$2,B440="2012-2013",E440&gt;1000,G440="NPN05"),H440,"")</f>
        <v/>
      </c>
      <c r="AT440" s="44" t="str">
        <f>IF(AND(C440=Master!$H$2,B440="2012-2013",E440="",G440="NPN05"),H440,"")</f>
        <v/>
      </c>
      <c r="AU440" s="44" t="str">
        <f>IF(AND(C440=Master!$H$3,B440="2012-2013",E440&gt;1000,G440="NPN05"),H440,"")</f>
        <v/>
      </c>
      <c r="AV440" s="44" t="str">
        <f>IF(AND(C440=Master!$H$3,B440="2012-2013",E440="",G440="NPN05"),H440,"")</f>
        <v/>
      </c>
      <c r="AW440" s="44" t="str">
        <f>IF(AND(C440=Master!$H$4,B440="2012-2013",E440&gt;1000,G440="NPN05"),H440,"")</f>
        <v/>
      </c>
      <c r="AX440" s="44" t="str">
        <f>IF(AND(C440=Master!$H$4,B440="2012-2013",E440="",G440="NPN05"),H440,"")</f>
        <v/>
      </c>
      <c r="AY440" s="44" t="str">
        <f>IF(AND(C440=Master!$H$5,B440="2012-2013",E440&gt;1000,G440="NPN05"),H440,"")</f>
        <v/>
      </c>
      <c r="AZ440" s="44" t="str">
        <f>IF(AND(C440=Master!$H$5,B440="2012-2013",E440="",G440="NPN05"),H440,"")</f>
        <v/>
      </c>
      <c r="BA440" s="44" t="str">
        <f>IF(AND(C440=Master!$H$6,B440="2012-2013",E440&gt;1000,G440="NPN05"),H440,"")</f>
        <v/>
      </c>
      <c r="BB440" s="44" t="str">
        <f>IF(AND(C440=Master!$H$6,B440="2012-2013",E440="",G440="NPN05"),H440,"")</f>
        <v/>
      </c>
      <c r="BC440" s="44" t="str">
        <f>IF(AND(C440=Master!$H$7,B440="2012-2013",E440&gt;1000,G440="NPN05"),H440,"")</f>
        <v/>
      </c>
      <c r="BD440" s="44" t="str">
        <f>IF(AND(C440=Master!$H$7,B440="2012-2013",E440="",G440="NPN05"),H440,"")</f>
        <v/>
      </c>
      <c r="BE440" s="44" t="str">
        <f>IF(AND(C440=Master!$H$8,B440="2012-2013",E440&gt;1000,G440="NPN05"),H440,"")</f>
        <v/>
      </c>
      <c r="BF440" s="44" t="str">
        <f>IF(AND(C440=Master!$H$8,B440="2012-2013",E440="",G440="NPN05"),H440,"")</f>
        <v/>
      </c>
      <c r="BG440" s="44" t="str">
        <f>IF(AND(C440=Master!$H$9,B440="2012-2013",E440&gt;1000,G440="NPN05"),H440,"")</f>
        <v/>
      </c>
      <c r="BH440" s="44" t="str">
        <f>IF(AND(C440=Master!$H$9,B440="2012-2013",E440="",G440="NPN05"),H440,"")</f>
        <v/>
      </c>
    </row>
    <row r="441" spans="1:60" x14ac:dyDescent="0.25">
      <c r="A441" s="3">
        <v>439</v>
      </c>
      <c r="B441" s="12"/>
      <c r="C441" s="12"/>
      <c r="D441" s="31"/>
      <c r="E441" s="4"/>
      <c r="F441" s="13"/>
      <c r="G441" s="21"/>
      <c r="H441" s="35"/>
      <c r="I441" s="21"/>
      <c r="J441" s="25" t="str">
        <f>IF(NOT(I441=""),INDEX(Master!$B$1:$B$46,MATCH(I441,Master!$A$1:$A$46,0)),"")</f>
        <v/>
      </c>
      <c r="K441" s="18"/>
      <c r="L441" s="86"/>
      <c r="M441" s="13"/>
      <c r="N441" s="13"/>
      <c r="O441" s="18"/>
      <c r="P441" s="35"/>
      <c r="Q441" s="21"/>
      <c r="R441" s="21"/>
      <c r="S441" s="13"/>
      <c r="T441" s="12"/>
      <c r="U441" s="12"/>
      <c r="V441" s="12"/>
      <c r="W441" s="14"/>
      <c r="Y441" s="42" t="str">
        <f>IF(AND(C441=Master!$H$1,B441="2012-2013",E441&gt;1000,G441="PLN03"),H441,"")</f>
        <v/>
      </c>
      <c r="Z441" s="42" t="str">
        <f>IF(AND(C441=Master!$H$1,B441="2012-2013",E441="",G441="PLN03"),H441,"")</f>
        <v/>
      </c>
      <c r="AA441" s="42" t="str">
        <f>IF(AND(C441=Master!$H$2,B441="2012-2013",E441&gt;1000,G441="PLN03"),H441,"")</f>
        <v/>
      </c>
      <c r="AB441" s="42" t="str">
        <f>IF(AND(C441=Master!$H$2,B441="2012-2013",E441="",G441="PLN03"),H441,"")</f>
        <v/>
      </c>
      <c r="AC441" s="42" t="str">
        <f>IF(AND(C441=Master!$H$3,B441="2012-2013",E441&gt;1000,G441="PLN03"),H441,"")</f>
        <v/>
      </c>
      <c r="AD441" s="42" t="str">
        <f>IF(AND(C441=Master!$H$3,B441="2012-2013",E441="",G441="PLN03"),H441,"")</f>
        <v/>
      </c>
      <c r="AE441" s="42" t="str">
        <f>IF(AND(C441=Master!$H$4,B441="2012-2013",E441&gt;1000,G441="PLN03"),H441,"")</f>
        <v/>
      </c>
      <c r="AF441" s="42" t="str">
        <f>IF(AND(C441=Master!$H$4,B441="2012-2013",E441="",G441="PLN03"),H441,"")</f>
        <v/>
      </c>
      <c r="AG441" s="42" t="str">
        <f>IF(AND(C441=Master!$H$5,B441="2012-2013",E441&gt;1000,G441="PLN03"),H441,"")</f>
        <v/>
      </c>
      <c r="AH441" s="42" t="str">
        <f>IF(AND(C441=Master!$H$5,B441="2012-2013",E441="",G441="PLN03"),H441,"")</f>
        <v/>
      </c>
      <c r="AI441" s="42" t="str">
        <f>IF(AND(C441=Master!$H$6,B441="2012-2013",E441&gt;1000,G441="PLN03"),H441,"")</f>
        <v/>
      </c>
      <c r="AJ441" s="42" t="str">
        <f>IF(AND(C441=Master!$H$6,B441="2012-2013",E441="",G441="PLN03"),H441,"")</f>
        <v/>
      </c>
      <c r="AK441" s="42" t="str">
        <f>IF(AND(C441=Master!$H$7,B441="2012-2013",E441&gt;1000,G441="PLN03"),H441,"")</f>
        <v/>
      </c>
      <c r="AL441" s="42" t="str">
        <f>IF(AND(C441=Master!$H$7,B441="2012-2013",E441="",G441="PLN03"),H441,"")</f>
        <v/>
      </c>
      <c r="AM441" s="42" t="str">
        <f>IF(AND(C441=Master!$H$8,B441="2012-2013",E441&gt;1000,G441="PLN03"),H441,"")</f>
        <v/>
      </c>
      <c r="AN441" s="42" t="str">
        <f>IF(AND(C441=Master!$H$8,B441="2012-2013",E441="",G441="PLN03"),H441,"")</f>
        <v/>
      </c>
      <c r="AO441" s="42" t="str">
        <f>IF(AND(C441=Master!$H$9,B441="2012-2013",E441&gt;1000,G441="PLN03"),H441,"")</f>
        <v/>
      </c>
      <c r="AP441" s="42" t="str">
        <f>IF(AND(C441=Master!$H$9,B441="2012-2013",E441="",G441="PLN03"),H441,"")</f>
        <v/>
      </c>
      <c r="AQ441" s="44" t="str">
        <f>IF(AND(C441=Master!$H$1,B441="2012-2013",E441&gt;1000,G441="NPN05"),H441,"")</f>
        <v/>
      </c>
      <c r="AR441" s="44" t="str">
        <f>IF(AND(C441=Master!$H$1,B441="2012-2013",E441="",G441="NPN05"),H441,"")</f>
        <v/>
      </c>
      <c r="AS441" s="44" t="str">
        <f>IF(AND(C441=Master!$H$2,B441="2012-2013",E441&gt;1000,G441="NPN05"),H441,"")</f>
        <v/>
      </c>
      <c r="AT441" s="44" t="str">
        <f>IF(AND(C441=Master!$H$2,B441="2012-2013",E441="",G441="NPN05"),H441,"")</f>
        <v/>
      </c>
      <c r="AU441" s="44" t="str">
        <f>IF(AND(C441=Master!$H$3,B441="2012-2013",E441&gt;1000,G441="NPN05"),H441,"")</f>
        <v/>
      </c>
      <c r="AV441" s="44" t="str">
        <f>IF(AND(C441=Master!$H$3,B441="2012-2013",E441="",G441="NPN05"),H441,"")</f>
        <v/>
      </c>
      <c r="AW441" s="44" t="str">
        <f>IF(AND(C441=Master!$H$4,B441="2012-2013",E441&gt;1000,G441="NPN05"),H441,"")</f>
        <v/>
      </c>
      <c r="AX441" s="44" t="str">
        <f>IF(AND(C441=Master!$H$4,B441="2012-2013",E441="",G441="NPN05"),H441,"")</f>
        <v/>
      </c>
      <c r="AY441" s="44" t="str">
        <f>IF(AND(C441=Master!$H$5,B441="2012-2013",E441&gt;1000,G441="NPN05"),H441,"")</f>
        <v/>
      </c>
      <c r="AZ441" s="44" t="str">
        <f>IF(AND(C441=Master!$H$5,B441="2012-2013",E441="",G441="NPN05"),H441,"")</f>
        <v/>
      </c>
      <c r="BA441" s="44" t="str">
        <f>IF(AND(C441=Master!$H$6,B441="2012-2013",E441&gt;1000,G441="NPN05"),H441,"")</f>
        <v/>
      </c>
      <c r="BB441" s="44" t="str">
        <f>IF(AND(C441=Master!$H$6,B441="2012-2013",E441="",G441="NPN05"),H441,"")</f>
        <v/>
      </c>
      <c r="BC441" s="44" t="str">
        <f>IF(AND(C441=Master!$H$7,B441="2012-2013",E441&gt;1000,G441="NPN05"),H441,"")</f>
        <v/>
      </c>
      <c r="BD441" s="44" t="str">
        <f>IF(AND(C441=Master!$H$7,B441="2012-2013",E441="",G441="NPN05"),H441,"")</f>
        <v/>
      </c>
      <c r="BE441" s="44" t="str">
        <f>IF(AND(C441=Master!$H$8,B441="2012-2013",E441&gt;1000,G441="NPN05"),H441,"")</f>
        <v/>
      </c>
      <c r="BF441" s="44" t="str">
        <f>IF(AND(C441=Master!$H$8,B441="2012-2013",E441="",G441="NPN05"),H441,"")</f>
        <v/>
      </c>
      <c r="BG441" s="44" t="str">
        <f>IF(AND(C441=Master!$H$9,B441="2012-2013",E441&gt;1000,G441="NPN05"),H441,"")</f>
        <v/>
      </c>
      <c r="BH441" s="44" t="str">
        <f>IF(AND(C441=Master!$H$9,B441="2012-2013",E441="",G441="NPN05"),H441,"")</f>
        <v/>
      </c>
    </row>
    <row r="442" spans="1:60" x14ac:dyDescent="0.25">
      <c r="A442" s="3">
        <v>440</v>
      </c>
      <c r="B442" s="12"/>
      <c r="C442" s="12"/>
      <c r="D442" s="31"/>
      <c r="E442" s="4"/>
      <c r="F442" s="13"/>
      <c r="G442" s="21"/>
      <c r="H442" s="35"/>
      <c r="I442" s="21"/>
      <c r="J442" s="25" t="str">
        <f>IF(NOT(I442=""),INDEX(Master!$B$1:$B$46,MATCH(I442,Master!$A$1:$A$46,0)),"")</f>
        <v/>
      </c>
      <c r="K442" s="18"/>
      <c r="L442" s="86"/>
      <c r="M442" s="13"/>
      <c r="N442" s="13"/>
      <c r="O442" s="18"/>
      <c r="P442" s="35"/>
      <c r="Q442" s="21"/>
      <c r="R442" s="21"/>
      <c r="S442" s="13"/>
      <c r="T442" s="12"/>
      <c r="U442" s="12"/>
      <c r="V442" s="12"/>
      <c r="W442" s="14"/>
      <c r="Y442" s="42" t="str">
        <f>IF(AND(C442=Master!$H$1,B442="2012-2013",E442&gt;1000,G442="PLN03"),H442,"")</f>
        <v/>
      </c>
      <c r="Z442" s="42" t="str">
        <f>IF(AND(C442=Master!$H$1,B442="2012-2013",E442="",G442="PLN03"),H442,"")</f>
        <v/>
      </c>
      <c r="AA442" s="42" t="str">
        <f>IF(AND(C442=Master!$H$2,B442="2012-2013",E442&gt;1000,G442="PLN03"),H442,"")</f>
        <v/>
      </c>
      <c r="AB442" s="42" t="str">
        <f>IF(AND(C442=Master!$H$2,B442="2012-2013",E442="",G442="PLN03"),H442,"")</f>
        <v/>
      </c>
      <c r="AC442" s="42" t="str">
        <f>IF(AND(C442=Master!$H$3,B442="2012-2013",E442&gt;1000,G442="PLN03"),H442,"")</f>
        <v/>
      </c>
      <c r="AD442" s="42" t="str">
        <f>IF(AND(C442=Master!$H$3,B442="2012-2013",E442="",G442="PLN03"),H442,"")</f>
        <v/>
      </c>
      <c r="AE442" s="42" t="str">
        <f>IF(AND(C442=Master!$H$4,B442="2012-2013",E442&gt;1000,G442="PLN03"),H442,"")</f>
        <v/>
      </c>
      <c r="AF442" s="42" t="str">
        <f>IF(AND(C442=Master!$H$4,B442="2012-2013",E442="",G442="PLN03"),H442,"")</f>
        <v/>
      </c>
      <c r="AG442" s="42" t="str">
        <f>IF(AND(C442=Master!$H$5,B442="2012-2013",E442&gt;1000,G442="PLN03"),H442,"")</f>
        <v/>
      </c>
      <c r="AH442" s="42" t="str">
        <f>IF(AND(C442=Master!$H$5,B442="2012-2013",E442="",G442="PLN03"),H442,"")</f>
        <v/>
      </c>
      <c r="AI442" s="42" t="str">
        <f>IF(AND(C442=Master!$H$6,B442="2012-2013",E442&gt;1000,G442="PLN03"),H442,"")</f>
        <v/>
      </c>
      <c r="AJ442" s="42" t="str">
        <f>IF(AND(C442=Master!$H$6,B442="2012-2013",E442="",G442="PLN03"),H442,"")</f>
        <v/>
      </c>
      <c r="AK442" s="42" t="str">
        <f>IF(AND(C442=Master!$H$7,B442="2012-2013",E442&gt;1000,G442="PLN03"),H442,"")</f>
        <v/>
      </c>
      <c r="AL442" s="42" t="str">
        <f>IF(AND(C442=Master!$H$7,B442="2012-2013",E442="",G442="PLN03"),H442,"")</f>
        <v/>
      </c>
      <c r="AM442" s="42" t="str">
        <f>IF(AND(C442=Master!$H$8,B442="2012-2013",E442&gt;1000,G442="PLN03"),H442,"")</f>
        <v/>
      </c>
      <c r="AN442" s="42" t="str">
        <f>IF(AND(C442=Master!$H$8,B442="2012-2013",E442="",G442="PLN03"),H442,"")</f>
        <v/>
      </c>
      <c r="AO442" s="42" t="str">
        <f>IF(AND(C442=Master!$H$9,B442="2012-2013",E442&gt;1000,G442="PLN03"),H442,"")</f>
        <v/>
      </c>
      <c r="AP442" s="42" t="str">
        <f>IF(AND(C442=Master!$H$9,B442="2012-2013",E442="",G442="PLN03"),H442,"")</f>
        <v/>
      </c>
      <c r="AQ442" s="44" t="str">
        <f>IF(AND(C442=Master!$H$1,B442="2012-2013",E442&gt;1000,G442="NPN05"),H442,"")</f>
        <v/>
      </c>
      <c r="AR442" s="44" t="str">
        <f>IF(AND(C442=Master!$H$1,B442="2012-2013",E442="",G442="NPN05"),H442,"")</f>
        <v/>
      </c>
      <c r="AS442" s="44" t="str">
        <f>IF(AND(C442=Master!$H$2,B442="2012-2013",E442&gt;1000,G442="NPN05"),H442,"")</f>
        <v/>
      </c>
      <c r="AT442" s="44" t="str">
        <f>IF(AND(C442=Master!$H$2,B442="2012-2013",E442="",G442="NPN05"),H442,"")</f>
        <v/>
      </c>
      <c r="AU442" s="44" t="str">
        <f>IF(AND(C442=Master!$H$3,B442="2012-2013",E442&gt;1000,G442="NPN05"),H442,"")</f>
        <v/>
      </c>
      <c r="AV442" s="44" t="str">
        <f>IF(AND(C442=Master!$H$3,B442="2012-2013",E442="",G442="NPN05"),H442,"")</f>
        <v/>
      </c>
      <c r="AW442" s="44" t="str">
        <f>IF(AND(C442=Master!$H$4,B442="2012-2013",E442&gt;1000,G442="NPN05"),H442,"")</f>
        <v/>
      </c>
      <c r="AX442" s="44" t="str">
        <f>IF(AND(C442=Master!$H$4,B442="2012-2013",E442="",G442="NPN05"),H442,"")</f>
        <v/>
      </c>
      <c r="AY442" s="44" t="str">
        <f>IF(AND(C442=Master!$H$5,B442="2012-2013",E442&gt;1000,G442="NPN05"),H442,"")</f>
        <v/>
      </c>
      <c r="AZ442" s="44" t="str">
        <f>IF(AND(C442=Master!$H$5,B442="2012-2013",E442="",G442="NPN05"),H442,"")</f>
        <v/>
      </c>
      <c r="BA442" s="44" t="str">
        <f>IF(AND(C442=Master!$H$6,B442="2012-2013",E442&gt;1000,G442="NPN05"),H442,"")</f>
        <v/>
      </c>
      <c r="BB442" s="44" t="str">
        <f>IF(AND(C442=Master!$H$6,B442="2012-2013",E442="",G442="NPN05"),H442,"")</f>
        <v/>
      </c>
      <c r="BC442" s="44" t="str">
        <f>IF(AND(C442=Master!$H$7,B442="2012-2013",E442&gt;1000,G442="NPN05"),H442,"")</f>
        <v/>
      </c>
      <c r="BD442" s="44" t="str">
        <f>IF(AND(C442=Master!$H$7,B442="2012-2013",E442="",G442="NPN05"),H442,"")</f>
        <v/>
      </c>
      <c r="BE442" s="44" t="str">
        <f>IF(AND(C442=Master!$H$8,B442="2012-2013",E442&gt;1000,G442="NPN05"),H442,"")</f>
        <v/>
      </c>
      <c r="BF442" s="44" t="str">
        <f>IF(AND(C442=Master!$H$8,B442="2012-2013",E442="",G442="NPN05"),H442,"")</f>
        <v/>
      </c>
      <c r="BG442" s="44" t="str">
        <f>IF(AND(C442=Master!$H$9,B442="2012-2013",E442&gt;1000,G442="NPN05"),H442,"")</f>
        <v/>
      </c>
      <c r="BH442" s="44" t="str">
        <f>IF(AND(C442=Master!$H$9,B442="2012-2013",E442="",G442="NPN05"),H442,"")</f>
        <v/>
      </c>
    </row>
    <row r="443" spans="1:60" x14ac:dyDescent="0.25">
      <c r="A443" s="3">
        <v>441</v>
      </c>
      <c r="B443" s="12"/>
      <c r="C443" s="12"/>
      <c r="D443" s="31"/>
      <c r="E443" s="4"/>
      <c r="F443" s="13"/>
      <c r="G443" s="21"/>
      <c r="H443" s="35"/>
      <c r="I443" s="21"/>
      <c r="J443" s="25" t="str">
        <f>IF(NOT(I443=""),INDEX(Master!$B$1:$B$46,MATCH(I443,Master!$A$1:$A$46,0)),"")</f>
        <v/>
      </c>
      <c r="K443" s="18"/>
      <c r="L443" s="86"/>
      <c r="M443" s="13"/>
      <c r="N443" s="13"/>
      <c r="O443" s="18"/>
      <c r="P443" s="35"/>
      <c r="Q443" s="21"/>
      <c r="R443" s="21"/>
      <c r="S443" s="13"/>
      <c r="T443" s="12"/>
      <c r="U443" s="12"/>
      <c r="V443" s="12"/>
      <c r="W443" s="14"/>
      <c r="Y443" s="42" t="str">
        <f>IF(AND(C443=Master!$H$1,B443="2012-2013",E443&gt;1000,G443="PLN03"),H443,"")</f>
        <v/>
      </c>
      <c r="Z443" s="42" t="str">
        <f>IF(AND(C443=Master!$H$1,B443="2012-2013",E443="",G443="PLN03"),H443,"")</f>
        <v/>
      </c>
      <c r="AA443" s="42" t="str">
        <f>IF(AND(C443=Master!$H$2,B443="2012-2013",E443&gt;1000,G443="PLN03"),H443,"")</f>
        <v/>
      </c>
      <c r="AB443" s="42" t="str">
        <f>IF(AND(C443=Master!$H$2,B443="2012-2013",E443="",G443="PLN03"),H443,"")</f>
        <v/>
      </c>
      <c r="AC443" s="42" t="str">
        <f>IF(AND(C443=Master!$H$3,B443="2012-2013",E443&gt;1000,G443="PLN03"),H443,"")</f>
        <v/>
      </c>
      <c r="AD443" s="42" t="str">
        <f>IF(AND(C443=Master!$H$3,B443="2012-2013",E443="",G443="PLN03"),H443,"")</f>
        <v/>
      </c>
      <c r="AE443" s="42" t="str">
        <f>IF(AND(C443=Master!$H$4,B443="2012-2013",E443&gt;1000,G443="PLN03"),H443,"")</f>
        <v/>
      </c>
      <c r="AF443" s="42" t="str">
        <f>IF(AND(C443=Master!$H$4,B443="2012-2013",E443="",G443="PLN03"),H443,"")</f>
        <v/>
      </c>
      <c r="AG443" s="42" t="str">
        <f>IF(AND(C443=Master!$H$5,B443="2012-2013",E443&gt;1000,G443="PLN03"),H443,"")</f>
        <v/>
      </c>
      <c r="AH443" s="42" t="str">
        <f>IF(AND(C443=Master!$H$5,B443="2012-2013",E443="",G443="PLN03"),H443,"")</f>
        <v/>
      </c>
      <c r="AI443" s="42" t="str">
        <f>IF(AND(C443=Master!$H$6,B443="2012-2013",E443&gt;1000,G443="PLN03"),H443,"")</f>
        <v/>
      </c>
      <c r="AJ443" s="42" t="str">
        <f>IF(AND(C443=Master!$H$6,B443="2012-2013",E443="",G443="PLN03"),H443,"")</f>
        <v/>
      </c>
      <c r="AK443" s="42" t="str">
        <f>IF(AND(C443=Master!$H$7,B443="2012-2013",E443&gt;1000,G443="PLN03"),H443,"")</f>
        <v/>
      </c>
      <c r="AL443" s="42" t="str">
        <f>IF(AND(C443=Master!$H$7,B443="2012-2013",E443="",G443="PLN03"),H443,"")</f>
        <v/>
      </c>
      <c r="AM443" s="42" t="str">
        <f>IF(AND(C443=Master!$H$8,B443="2012-2013",E443&gt;1000,G443="PLN03"),H443,"")</f>
        <v/>
      </c>
      <c r="AN443" s="42" t="str">
        <f>IF(AND(C443=Master!$H$8,B443="2012-2013",E443="",G443="PLN03"),H443,"")</f>
        <v/>
      </c>
      <c r="AO443" s="42" t="str">
        <f>IF(AND(C443=Master!$H$9,B443="2012-2013",E443&gt;1000,G443="PLN03"),H443,"")</f>
        <v/>
      </c>
      <c r="AP443" s="42" t="str">
        <f>IF(AND(C443=Master!$H$9,B443="2012-2013",E443="",G443="PLN03"),H443,"")</f>
        <v/>
      </c>
      <c r="AQ443" s="44" t="str">
        <f>IF(AND(C443=Master!$H$1,B443="2012-2013",E443&gt;1000,G443="NPN05"),H443,"")</f>
        <v/>
      </c>
      <c r="AR443" s="44" t="str">
        <f>IF(AND(C443=Master!$H$1,B443="2012-2013",E443="",G443="NPN05"),H443,"")</f>
        <v/>
      </c>
      <c r="AS443" s="44" t="str">
        <f>IF(AND(C443=Master!$H$2,B443="2012-2013",E443&gt;1000,G443="NPN05"),H443,"")</f>
        <v/>
      </c>
      <c r="AT443" s="44" t="str">
        <f>IF(AND(C443=Master!$H$2,B443="2012-2013",E443="",G443="NPN05"),H443,"")</f>
        <v/>
      </c>
      <c r="AU443" s="44" t="str">
        <f>IF(AND(C443=Master!$H$3,B443="2012-2013",E443&gt;1000,G443="NPN05"),H443,"")</f>
        <v/>
      </c>
      <c r="AV443" s="44" t="str">
        <f>IF(AND(C443=Master!$H$3,B443="2012-2013",E443="",G443="NPN05"),H443,"")</f>
        <v/>
      </c>
      <c r="AW443" s="44" t="str">
        <f>IF(AND(C443=Master!$H$4,B443="2012-2013",E443&gt;1000,G443="NPN05"),H443,"")</f>
        <v/>
      </c>
      <c r="AX443" s="44" t="str">
        <f>IF(AND(C443=Master!$H$4,B443="2012-2013",E443="",G443="NPN05"),H443,"")</f>
        <v/>
      </c>
      <c r="AY443" s="44" t="str">
        <f>IF(AND(C443=Master!$H$5,B443="2012-2013",E443&gt;1000,G443="NPN05"),H443,"")</f>
        <v/>
      </c>
      <c r="AZ443" s="44" t="str">
        <f>IF(AND(C443=Master!$H$5,B443="2012-2013",E443="",G443="NPN05"),H443,"")</f>
        <v/>
      </c>
      <c r="BA443" s="44" t="str">
        <f>IF(AND(C443=Master!$H$6,B443="2012-2013",E443&gt;1000,G443="NPN05"),H443,"")</f>
        <v/>
      </c>
      <c r="BB443" s="44" t="str">
        <f>IF(AND(C443=Master!$H$6,B443="2012-2013",E443="",G443="NPN05"),H443,"")</f>
        <v/>
      </c>
      <c r="BC443" s="44" t="str">
        <f>IF(AND(C443=Master!$H$7,B443="2012-2013",E443&gt;1000,G443="NPN05"),H443,"")</f>
        <v/>
      </c>
      <c r="BD443" s="44" t="str">
        <f>IF(AND(C443=Master!$H$7,B443="2012-2013",E443="",G443="NPN05"),H443,"")</f>
        <v/>
      </c>
      <c r="BE443" s="44" t="str">
        <f>IF(AND(C443=Master!$H$8,B443="2012-2013",E443&gt;1000,G443="NPN05"),H443,"")</f>
        <v/>
      </c>
      <c r="BF443" s="44" t="str">
        <f>IF(AND(C443=Master!$H$8,B443="2012-2013",E443="",G443="NPN05"),H443,"")</f>
        <v/>
      </c>
      <c r="BG443" s="44" t="str">
        <f>IF(AND(C443=Master!$H$9,B443="2012-2013",E443&gt;1000,G443="NPN05"),H443,"")</f>
        <v/>
      </c>
      <c r="BH443" s="44" t="str">
        <f>IF(AND(C443=Master!$H$9,B443="2012-2013",E443="",G443="NPN05"),H443,"")</f>
        <v/>
      </c>
    </row>
    <row r="444" spans="1:60" x14ac:dyDescent="0.25">
      <c r="A444" s="3">
        <v>442</v>
      </c>
      <c r="B444" s="12"/>
      <c r="C444" s="12"/>
      <c r="D444" s="31"/>
      <c r="E444" s="4"/>
      <c r="F444" s="13"/>
      <c r="G444" s="21"/>
      <c r="H444" s="35"/>
      <c r="I444" s="21"/>
      <c r="J444" s="25" t="str">
        <f>IF(NOT(I444=""),INDEX(Master!$B$1:$B$46,MATCH(I444,Master!$A$1:$A$46,0)),"")</f>
        <v/>
      </c>
      <c r="K444" s="18"/>
      <c r="L444" s="86"/>
      <c r="M444" s="13"/>
      <c r="N444" s="13"/>
      <c r="O444" s="18"/>
      <c r="P444" s="35"/>
      <c r="Q444" s="21"/>
      <c r="R444" s="21"/>
      <c r="S444" s="13"/>
      <c r="T444" s="12"/>
      <c r="U444" s="12"/>
      <c r="V444" s="12"/>
      <c r="W444" s="14"/>
      <c r="Y444" s="42" t="str">
        <f>IF(AND(C444=Master!$H$1,B444="2012-2013",E444&gt;1000,G444="PLN03"),H444,"")</f>
        <v/>
      </c>
      <c r="Z444" s="42" t="str">
        <f>IF(AND(C444=Master!$H$1,B444="2012-2013",E444="",G444="PLN03"),H444,"")</f>
        <v/>
      </c>
      <c r="AA444" s="42" t="str">
        <f>IF(AND(C444=Master!$H$2,B444="2012-2013",E444&gt;1000,G444="PLN03"),H444,"")</f>
        <v/>
      </c>
      <c r="AB444" s="42" t="str">
        <f>IF(AND(C444=Master!$H$2,B444="2012-2013",E444="",G444="PLN03"),H444,"")</f>
        <v/>
      </c>
      <c r="AC444" s="42" t="str">
        <f>IF(AND(C444=Master!$H$3,B444="2012-2013",E444&gt;1000,G444="PLN03"),H444,"")</f>
        <v/>
      </c>
      <c r="AD444" s="42" t="str">
        <f>IF(AND(C444=Master!$H$3,B444="2012-2013",E444="",G444="PLN03"),H444,"")</f>
        <v/>
      </c>
      <c r="AE444" s="42" t="str">
        <f>IF(AND(C444=Master!$H$4,B444="2012-2013",E444&gt;1000,G444="PLN03"),H444,"")</f>
        <v/>
      </c>
      <c r="AF444" s="42" t="str">
        <f>IF(AND(C444=Master!$H$4,B444="2012-2013",E444="",G444="PLN03"),H444,"")</f>
        <v/>
      </c>
      <c r="AG444" s="42" t="str">
        <f>IF(AND(C444=Master!$H$5,B444="2012-2013",E444&gt;1000,G444="PLN03"),H444,"")</f>
        <v/>
      </c>
      <c r="AH444" s="42" t="str">
        <f>IF(AND(C444=Master!$H$5,B444="2012-2013",E444="",G444="PLN03"),H444,"")</f>
        <v/>
      </c>
      <c r="AI444" s="42" t="str">
        <f>IF(AND(C444=Master!$H$6,B444="2012-2013",E444&gt;1000,G444="PLN03"),H444,"")</f>
        <v/>
      </c>
      <c r="AJ444" s="42" t="str">
        <f>IF(AND(C444=Master!$H$6,B444="2012-2013",E444="",G444="PLN03"),H444,"")</f>
        <v/>
      </c>
      <c r="AK444" s="42" t="str">
        <f>IF(AND(C444=Master!$H$7,B444="2012-2013",E444&gt;1000,G444="PLN03"),H444,"")</f>
        <v/>
      </c>
      <c r="AL444" s="42" t="str">
        <f>IF(AND(C444=Master!$H$7,B444="2012-2013",E444="",G444="PLN03"),H444,"")</f>
        <v/>
      </c>
      <c r="AM444" s="42" t="str">
        <f>IF(AND(C444=Master!$H$8,B444="2012-2013",E444&gt;1000,G444="PLN03"),H444,"")</f>
        <v/>
      </c>
      <c r="AN444" s="42" t="str">
        <f>IF(AND(C444=Master!$H$8,B444="2012-2013",E444="",G444="PLN03"),H444,"")</f>
        <v/>
      </c>
      <c r="AO444" s="42" t="str">
        <f>IF(AND(C444=Master!$H$9,B444="2012-2013",E444&gt;1000,G444="PLN03"),H444,"")</f>
        <v/>
      </c>
      <c r="AP444" s="42" t="str">
        <f>IF(AND(C444=Master!$H$9,B444="2012-2013",E444="",G444="PLN03"),H444,"")</f>
        <v/>
      </c>
      <c r="AQ444" s="44" t="str">
        <f>IF(AND(C444=Master!$H$1,B444="2012-2013",E444&gt;1000,G444="NPN05"),H444,"")</f>
        <v/>
      </c>
      <c r="AR444" s="44" t="str">
        <f>IF(AND(C444=Master!$H$1,B444="2012-2013",E444="",G444="NPN05"),H444,"")</f>
        <v/>
      </c>
      <c r="AS444" s="44" t="str">
        <f>IF(AND(C444=Master!$H$2,B444="2012-2013",E444&gt;1000,G444="NPN05"),H444,"")</f>
        <v/>
      </c>
      <c r="AT444" s="44" t="str">
        <f>IF(AND(C444=Master!$H$2,B444="2012-2013",E444="",G444="NPN05"),H444,"")</f>
        <v/>
      </c>
      <c r="AU444" s="44" t="str">
        <f>IF(AND(C444=Master!$H$3,B444="2012-2013",E444&gt;1000,G444="NPN05"),H444,"")</f>
        <v/>
      </c>
      <c r="AV444" s="44" t="str">
        <f>IF(AND(C444=Master!$H$3,B444="2012-2013",E444="",G444="NPN05"),H444,"")</f>
        <v/>
      </c>
      <c r="AW444" s="44" t="str">
        <f>IF(AND(C444=Master!$H$4,B444="2012-2013",E444&gt;1000,G444="NPN05"),H444,"")</f>
        <v/>
      </c>
      <c r="AX444" s="44" t="str">
        <f>IF(AND(C444=Master!$H$4,B444="2012-2013",E444="",G444="NPN05"),H444,"")</f>
        <v/>
      </c>
      <c r="AY444" s="44" t="str">
        <f>IF(AND(C444=Master!$H$5,B444="2012-2013",E444&gt;1000,G444="NPN05"),H444,"")</f>
        <v/>
      </c>
      <c r="AZ444" s="44" t="str">
        <f>IF(AND(C444=Master!$H$5,B444="2012-2013",E444="",G444="NPN05"),H444,"")</f>
        <v/>
      </c>
      <c r="BA444" s="44" t="str">
        <f>IF(AND(C444=Master!$H$6,B444="2012-2013",E444&gt;1000,G444="NPN05"),H444,"")</f>
        <v/>
      </c>
      <c r="BB444" s="44" t="str">
        <f>IF(AND(C444=Master!$H$6,B444="2012-2013",E444="",G444="NPN05"),H444,"")</f>
        <v/>
      </c>
      <c r="BC444" s="44" t="str">
        <f>IF(AND(C444=Master!$H$7,B444="2012-2013",E444&gt;1000,G444="NPN05"),H444,"")</f>
        <v/>
      </c>
      <c r="BD444" s="44" t="str">
        <f>IF(AND(C444=Master!$H$7,B444="2012-2013",E444="",G444="NPN05"),H444,"")</f>
        <v/>
      </c>
      <c r="BE444" s="44" t="str">
        <f>IF(AND(C444=Master!$H$8,B444="2012-2013",E444&gt;1000,G444="NPN05"),H444,"")</f>
        <v/>
      </c>
      <c r="BF444" s="44" t="str">
        <f>IF(AND(C444=Master!$H$8,B444="2012-2013",E444="",G444="NPN05"),H444,"")</f>
        <v/>
      </c>
      <c r="BG444" s="44" t="str">
        <f>IF(AND(C444=Master!$H$9,B444="2012-2013",E444&gt;1000,G444="NPN05"),H444,"")</f>
        <v/>
      </c>
      <c r="BH444" s="44" t="str">
        <f>IF(AND(C444=Master!$H$9,B444="2012-2013",E444="",G444="NPN05"),H444,"")</f>
        <v/>
      </c>
    </row>
    <row r="445" spans="1:60" x14ac:dyDescent="0.25">
      <c r="A445" s="5">
        <v>443</v>
      </c>
      <c r="B445" s="12"/>
      <c r="C445" s="12"/>
      <c r="D445" s="31"/>
      <c r="E445" s="4"/>
      <c r="F445" s="13"/>
      <c r="G445" s="21"/>
      <c r="H445" s="35"/>
      <c r="I445" s="21"/>
      <c r="J445" s="25" t="str">
        <f>IF(NOT(I445=""),INDEX(Master!$B$1:$B$46,MATCH(I445,Master!$A$1:$A$46,0)),"")</f>
        <v/>
      </c>
      <c r="K445" s="18"/>
      <c r="L445" s="86"/>
      <c r="M445" s="13"/>
      <c r="N445" s="13"/>
      <c r="O445" s="18"/>
      <c r="P445" s="35"/>
      <c r="Q445" s="21"/>
      <c r="R445" s="21"/>
      <c r="S445" s="13"/>
      <c r="T445" s="12"/>
      <c r="U445" s="12"/>
      <c r="V445" s="12"/>
      <c r="W445" s="14"/>
      <c r="Y445" s="42" t="str">
        <f>IF(AND(C445=Master!$H$1,B445="2012-2013",E445&gt;1000,G445="PLN03"),H445,"")</f>
        <v/>
      </c>
      <c r="Z445" s="42" t="str">
        <f>IF(AND(C445=Master!$H$1,B445="2012-2013",E445="",G445="PLN03"),H445,"")</f>
        <v/>
      </c>
      <c r="AA445" s="42" t="str">
        <f>IF(AND(C445=Master!$H$2,B445="2012-2013",E445&gt;1000,G445="PLN03"),H445,"")</f>
        <v/>
      </c>
      <c r="AB445" s="42" t="str">
        <f>IF(AND(C445=Master!$H$2,B445="2012-2013",E445="",G445="PLN03"),H445,"")</f>
        <v/>
      </c>
      <c r="AC445" s="42" t="str">
        <f>IF(AND(C445=Master!$H$3,B445="2012-2013",E445&gt;1000,G445="PLN03"),H445,"")</f>
        <v/>
      </c>
      <c r="AD445" s="42" t="str">
        <f>IF(AND(C445=Master!$H$3,B445="2012-2013",E445="",G445="PLN03"),H445,"")</f>
        <v/>
      </c>
      <c r="AE445" s="42" t="str">
        <f>IF(AND(C445=Master!$H$4,B445="2012-2013",E445&gt;1000,G445="PLN03"),H445,"")</f>
        <v/>
      </c>
      <c r="AF445" s="42" t="str">
        <f>IF(AND(C445=Master!$H$4,B445="2012-2013",E445="",G445="PLN03"),H445,"")</f>
        <v/>
      </c>
      <c r="AG445" s="42" t="str">
        <f>IF(AND(C445=Master!$H$5,B445="2012-2013",E445&gt;1000,G445="PLN03"),H445,"")</f>
        <v/>
      </c>
      <c r="AH445" s="42" t="str">
        <f>IF(AND(C445=Master!$H$5,B445="2012-2013",E445="",G445="PLN03"),H445,"")</f>
        <v/>
      </c>
      <c r="AI445" s="42" t="str">
        <f>IF(AND(C445=Master!$H$6,B445="2012-2013",E445&gt;1000,G445="PLN03"),H445,"")</f>
        <v/>
      </c>
      <c r="AJ445" s="42" t="str">
        <f>IF(AND(C445=Master!$H$6,B445="2012-2013",E445="",G445="PLN03"),H445,"")</f>
        <v/>
      </c>
      <c r="AK445" s="42" t="str">
        <f>IF(AND(C445=Master!$H$7,B445="2012-2013",E445&gt;1000,G445="PLN03"),H445,"")</f>
        <v/>
      </c>
      <c r="AL445" s="42" t="str">
        <f>IF(AND(C445=Master!$H$7,B445="2012-2013",E445="",G445="PLN03"),H445,"")</f>
        <v/>
      </c>
      <c r="AM445" s="42" t="str">
        <f>IF(AND(C445=Master!$H$8,B445="2012-2013",E445&gt;1000,G445="PLN03"),H445,"")</f>
        <v/>
      </c>
      <c r="AN445" s="42" t="str">
        <f>IF(AND(C445=Master!$H$8,B445="2012-2013",E445="",G445="PLN03"),H445,"")</f>
        <v/>
      </c>
      <c r="AO445" s="42" t="str">
        <f>IF(AND(C445=Master!$H$9,B445="2012-2013",E445&gt;1000,G445="PLN03"),H445,"")</f>
        <v/>
      </c>
      <c r="AP445" s="42" t="str">
        <f>IF(AND(C445=Master!$H$9,B445="2012-2013",E445="",G445="PLN03"),H445,"")</f>
        <v/>
      </c>
      <c r="AQ445" s="44" t="str">
        <f>IF(AND(C445=Master!$H$1,B445="2012-2013",E445&gt;1000,G445="NPN05"),H445,"")</f>
        <v/>
      </c>
      <c r="AR445" s="44" t="str">
        <f>IF(AND(C445=Master!$H$1,B445="2012-2013",E445="",G445="NPN05"),H445,"")</f>
        <v/>
      </c>
      <c r="AS445" s="44" t="str">
        <f>IF(AND(C445=Master!$H$2,B445="2012-2013",E445&gt;1000,G445="NPN05"),H445,"")</f>
        <v/>
      </c>
      <c r="AT445" s="44" t="str">
        <f>IF(AND(C445=Master!$H$2,B445="2012-2013",E445="",G445="NPN05"),H445,"")</f>
        <v/>
      </c>
      <c r="AU445" s="44" t="str">
        <f>IF(AND(C445=Master!$H$3,B445="2012-2013",E445&gt;1000,G445="NPN05"),H445,"")</f>
        <v/>
      </c>
      <c r="AV445" s="44" t="str">
        <f>IF(AND(C445=Master!$H$3,B445="2012-2013",E445="",G445="NPN05"),H445,"")</f>
        <v/>
      </c>
      <c r="AW445" s="44" t="str">
        <f>IF(AND(C445=Master!$H$4,B445="2012-2013",E445&gt;1000,G445="NPN05"),H445,"")</f>
        <v/>
      </c>
      <c r="AX445" s="44" t="str">
        <f>IF(AND(C445=Master!$H$4,B445="2012-2013",E445="",G445="NPN05"),H445,"")</f>
        <v/>
      </c>
      <c r="AY445" s="44" t="str">
        <f>IF(AND(C445=Master!$H$5,B445="2012-2013",E445&gt;1000,G445="NPN05"),H445,"")</f>
        <v/>
      </c>
      <c r="AZ445" s="44" t="str">
        <f>IF(AND(C445=Master!$H$5,B445="2012-2013",E445="",G445="NPN05"),H445,"")</f>
        <v/>
      </c>
      <c r="BA445" s="44" t="str">
        <f>IF(AND(C445=Master!$H$6,B445="2012-2013",E445&gt;1000,G445="NPN05"),H445,"")</f>
        <v/>
      </c>
      <c r="BB445" s="44" t="str">
        <f>IF(AND(C445=Master!$H$6,B445="2012-2013",E445="",G445="NPN05"),H445,"")</f>
        <v/>
      </c>
      <c r="BC445" s="44" t="str">
        <f>IF(AND(C445=Master!$H$7,B445="2012-2013",E445&gt;1000,G445="NPN05"),H445,"")</f>
        <v/>
      </c>
      <c r="BD445" s="44" t="str">
        <f>IF(AND(C445=Master!$H$7,B445="2012-2013",E445="",G445="NPN05"),H445,"")</f>
        <v/>
      </c>
      <c r="BE445" s="44" t="str">
        <f>IF(AND(C445=Master!$H$8,B445="2012-2013",E445&gt;1000,G445="NPN05"),H445,"")</f>
        <v/>
      </c>
      <c r="BF445" s="44" t="str">
        <f>IF(AND(C445=Master!$H$8,B445="2012-2013",E445="",G445="NPN05"),H445,"")</f>
        <v/>
      </c>
      <c r="BG445" s="44" t="str">
        <f>IF(AND(C445=Master!$H$9,B445="2012-2013",E445&gt;1000,G445="NPN05"),H445,"")</f>
        <v/>
      </c>
      <c r="BH445" s="44" t="str">
        <f>IF(AND(C445=Master!$H$9,B445="2012-2013",E445="",G445="NPN05"),H445,"")</f>
        <v/>
      </c>
    </row>
    <row r="446" spans="1:60" x14ac:dyDescent="0.25">
      <c r="A446" s="3">
        <v>444</v>
      </c>
      <c r="B446" s="12"/>
      <c r="C446" s="12"/>
      <c r="D446" s="31"/>
      <c r="E446" s="4"/>
      <c r="F446" s="13"/>
      <c r="G446" s="21"/>
      <c r="H446" s="35"/>
      <c r="I446" s="21"/>
      <c r="J446" s="25" t="str">
        <f>IF(NOT(I446=""),INDEX(Master!$B$1:$B$46,MATCH(I446,Master!$A$1:$A$46,0)),"")</f>
        <v/>
      </c>
      <c r="K446" s="18"/>
      <c r="L446" s="86"/>
      <c r="M446" s="13"/>
      <c r="N446" s="13"/>
      <c r="O446" s="18"/>
      <c r="P446" s="35"/>
      <c r="Q446" s="21"/>
      <c r="R446" s="21"/>
      <c r="S446" s="13"/>
      <c r="T446" s="12"/>
      <c r="U446" s="12"/>
      <c r="V446" s="12"/>
      <c r="W446" s="14"/>
      <c r="Y446" s="42" t="str">
        <f>IF(AND(C446=Master!$H$1,B446="2012-2013",E446&gt;1000,G446="PLN03"),H446,"")</f>
        <v/>
      </c>
      <c r="Z446" s="42" t="str">
        <f>IF(AND(C446=Master!$H$1,B446="2012-2013",E446="",G446="PLN03"),H446,"")</f>
        <v/>
      </c>
      <c r="AA446" s="42" t="str">
        <f>IF(AND(C446=Master!$H$2,B446="2012-2013",E446&gt;1000,G446="PLN03"),H446,"")</f>
        <v/>
      </c>
      <c r="AB446" s="42" t="str">
        <f>IF(AND(C446=Master!$H$2,B446="2012-2013",E446="",G446="PLN03"),H446,"")</f>
        <v/>
      </c>
      <c r="AC446" s="42" t="str">
        <f>IF(AND(C446=Master!$H$3,B446="2012-2013",E446&gt;1000,G446="PLN03"),H446,"")</f>
        <v/>
      </c>
      <c r="AD446" s="42" t="str">
        <f>IF(AND(C446=Master!$H$3,B446="2012-2013",E446="",G446="PLN03"),H446,"")</f>
        <v/>
      </c>
      <c r="AE446" s="42" t="str">
        <f>IF(AND(C446=Master!$H$4,B446="2012-2013",E446&gt;1000,G446="PLN03"),H446,"")</f>
        <v/>
      </c>
      <c r="AF446" s="42" t="str">
        <f>IF(AND(C446=Master!$H$4,B446="2012-2013",E446="",G446="PLN03"),H446,"")</f>
        <v/>
      </c>
      <c r="AG446" s="42" t="str">
        <f>IF(AND(C446=Master!$H$5,B446="2012-2013",E446&gt;1000,G446="PLN03"),H446,"")</f>
        <v/>
      </c>
      <c r="AH446" s="42" t="str">
        <f>IF(AND(C446=Master!$H$5,B446="2012-2013",E446="",G446="PLN03"),H446,"")</f>
        <v/>
      </c>
      <c r="AI446" s="42" t="str">
        <f>IF(AND(C446=Master!$H$6,B446="2012-2013",E446&gt;1000,G446="PLN03"),H446,"")</f>
        <v/>
      </c>
      <c r="AJ446" s="42" t="str">
        <f>IF(AND(C446=Master!$H$6,B446="2012-2013",E446="",G446="PLN03"),H446,"")</f>
        <v/>
      </c>
      <c r="AK446" s="42" t="str">
        <f>IF(AND(C446=Master!$H$7,B446="2012-2013",E446&gt;1000,G446="PLN03"),H446,"")</f>
        <v/>
      </c>
      <c r="AL446" s="42" t="str">
        <f>IF(AND(C446=Master!$H$7,B446="2012-2013",E446="",G446="PLN03"),H446,"")</f>
        <v/>
      </c>
      <c r="AM446" s="42" t="str">
        <f>IF(AND(C446=Master!$H$8,B446="2012-2013",E446&gt;1000,G446="PLN03"),H446,"")</f>
        <v/>
      </c>
      <c r="AN446" s="42" t="str">
        <f>IF(AND(C446=Master!$H$8,B446="2012-2013",E446="",G446="PLN03"),H446,"")</f>
        <v/>
      </c>
      <c r="AO446" s="42" t="str">
        <f>IF(AND(C446=Master!$H$9,B446="2012-2013",E446&gt;1000,G446="PLN03"),H446,"")</f>
        <v/>
      </c>
      <c r="AP446" s="42" t="str">
        <f>IF(AND(C446=Master!$H$9,B446="2012-2013",E446="",G446="PLN03"),H446,"")</f>
        <v/>
      </c>
      <c r="AQ446" s="44" t="str">
        <f>IF(AND(C446=Master!$H$1,B446="2012-2013",E446&gt;1000,G446="NPN05"),H446,"")</f>
        <v/>
      </c>
      <c r="AR446" s="44" t="str">
        <f>IF(AND(C446=Master!$H$1,B446="2012-2013",E446="",G446="NPN05"),H446,"")</f>
        <v/>
      </c>
      <c r="AS446" s="44" t="str">
        <f>IF(AND(C446=Master!$H$2,B446="2012-2013",E446&gt;1000,G446="NPN05"),H446,"")</f>
        <v/>
      </c>
      <c r="AT446" s="44" t="str">
        <f>IF(AND(C446=Master!$H$2,B446="2012-2013",E446="",G446="NPN05"),H446,"")</f>
        <v/>
      </c>
      <c r="AU446" s="44" t="str">
        <f>IF(AND(C446=Master!$H$3,B446="2012-2013",E446&gt;1000,G446="NPN05"),H446,"")</f>
        <v/>
      </c>
      <c r="AV446" s="44" t="str">
        <f>IF(AND(C446=Master!$H$3,B446="2012-2013",E446="",G446="NPN05"),H446,"")</f>
        <v/>
      </c>
      <c r="AW446" s="44" t="str">
        <f>IF(AND(C446=Master!$H$4,B446="2012-2013",E446&gt;1000,G446="NPN05"),H446,"")</f>
        <v/>
      </c>
      <c r="AX446" s="44" t="str">
        <f>IF(AND(C446=Master!$H$4,B446="2012-2013",E446="",G446="NPN05"),H446,"")</f>
        <v/>
      </c>
      <c r="AY446" s="44" t="str">
        <f>IF(AND(C446=Master!$H$5,B446="2012-2013",E446&gt;1000,G446="NPN05"),H446,"")</f>
        <v/>
      </c>
      <c r="AZ446" s="44" t="str">
        <f>IF(AND(C446=Master!$H$5,B446="2012-2013",E446="",G446="NPN05"),H446,"")</f>
        <v/>
      </c>
      <c r="BA446" s="44" t="str">
        <f>IF(AND(C446=Master!$H$6,B446="2012-2013",E446&gt;1000,G446="NPN05"),H446,"")</f>
        <v/>
      </c>
      <c r="BB446" s="44" t="str">
        <f>IF(AND(C446=Master!$H$6,B446="2012-2013",E446="",G446="NPN05"),H446,"")</f>
        <v/>
      </c>
      <c r="BC446" s="44" t="str">
        <f>IF(AND(C446=Master!$H$7,B446="2012-2013",E446&gt;1000,G446="NPN05"),H446,"")</f>
        <v/>
      </c>
      <c r="BD446" s="44" t="str">
        <f>IF(AND(C446=Master!$H$7,B446="2012-2013",E446="",G446="NPN05"),H446,"")</f>
        <v/>
      </c>
      <c r="BE446" s="44" t="str">
        <f>IF(AND(C446=Master!$H$8,B446="2012-2013",E446&gt;1000,G446="NPN05"),H446,"")</f>
        <v/>
      </c>
      <c r="BF446" s="44" t="str">
        <f>IF(AND(C446=Master!$H$8,B446="2012-2013",E446="",G446="NPN05"),H446,"")</f>
        <v/>
      </c>
      <c r="BG446" s="44" t="str">
        <f>IF(AND(C446=Master!$H$9,B446="2012-2013",E446&gt;1000,G446="NPN05"),H446,"")</f>
        <v/>
      </c>
      <c r="BH446" s="44" t="str">
        <f>IF(AND(C446=Master!$H$9,B446="2012-2013",E446="",G446="NPN05"),H446,"")</f>
        <v/>
      </c>
    </row>
    <row r="447" spans="1:60" x14ac:dyDescent="0.25">
      <c r="A447" s="3">
        <v>445</v>
      </c>
      <c r="B447" s="12"/>
      <c r="C447" s="12"/>
      <c r="D447" s="31"/>
      <c r="E447" s="4"/>
      <c r="F447" s="13"/>
      <c r="G447" s="21"/>
      <c r="H447" s="35"/>
      <c r="I447" s="21"/>
      <c r="J447" s="25" t="str">
        <f>IF(NOT(I447=""),INDEX(Master!$B$1:$B$46,MATCH(I447,Master!$A$1:$A$46,0)),"")</f>
        <v/>
      </c>
      <c r="K447" s="18"/>
      <c r="L447" s="86"/>
      <c r="M447" s="13"/>
      <c r="N447" s="13"/>
      <c r="O447" s="18"/>
      <c r="P447" s="35"/>
      <c r="Q447" s="21"/>
      <c r="R447" s="21"/>
      <c r="S447" s="13"/>
      <c r="T447" s="12"/>
      <c r="U447" s="12"/>
      <c r="V447" s="12"/>
      <c r="W447" s="14"/>
      <c r="Y447" s="42" t="str">
        <f>IF(AND(C447=Master!$H$1,B447="2012-2013",E447&gt;1000,G447="PLN03"),H447,"")</f>
        <v/>
      </c>
      <c r="Z447" s="42" t="str">
        <f>IF(AND(C447=Master!$H$1,B447="2012-2013",E447="",G447="PLN03"),H447,"")</f>
        <v/>
      </c>
      <c r="AA447" s="42" t="str">
        <f>IF(AND(C447=Master!$H$2,B447="2012-2013",E447&gt;1000,G447="PLN03"),H447,"")</f>
        <v/>
      </c>
      <c r="AB447" s="42" t="str">
        <f>IF(AND(C447=Master!$H$2,B447="2012-2013",E447="",G447="PLN03"),H447,"")</f>
        <v/>
      </c>
      <c r="AC447" s="42" t="str">
        <f>IF(AND(C447=Master!$H$3,B447="2012-2013",E447&gt;1000,G447="PLN03"),H447,"")</f>
        <v/>
      </c>
      <c r="AD447" s="42" t="str">
        <f>IF(AND(C447=Master!$H$3,B447="2012-2013",E447="",G447="PLN03"),H447,"")</f>
        <v/>
      </c>
      <c r="AE447" s="42" t="str">
        <f>IF(AND(C447=Master!$H$4,B447="2012-2013",E447&gt;1000,G447="PLN03"),H447,"")</f>
        <v/>
      </c>
      <c r="AF447" s="42" t="str">
        <f>IF(AND(C447=Master!$H$4,B447="2012-2013",E447="",G447="PLN03"),H447,"")</f>
        <v/>
      </c>
      <c r="AG447" s="42" t="str">
        <f>IF(AND(C447=Master!$H$5,B447="2012-2013",E447&gt;1000,G447="PLN03"),H447,"")</f>
        <v/>
      </c>
      <c r="AH447" s="42" t="str">
        <f>IF(AND(C447=Master!$H$5,B447="2012-2013",E447="",G447="PLN03"),H447,"")</f>
        <v/>
      </c>
      <c r="AI447" s="42" t="str">
        <f>IF(AND(C447=Master!$H$6,B447="2012-2013",E447&gt;1000,G447="PLN03"),H447,"")</f>
        <v/>
      </c>
      <c r="AJ447" s="42" t="str">
        <f>IF(AND(C447=Master!$H$6,B447="2012-2013",E447="",G447="PLN03"),H447,"")</f>
        <v/>
      </c>
      <c r="AK447" s="42" t="str">
        <f>IF(AND(C447=Master!$H$7,B447="2012-2013",E447&gt;1000,G447="PLN03"),H447,"")</f>
        <v/>
      </c>
      <c r="AL447" s="42" t="str">
        <f>IF(AND(C447=Master!$H$7,B447="2012-2013",E447="",G447="PLN03"),H447,"")</f>
        <v/>
      </c>
      <c r="AM447" s="42" t="str">
        <f>IF(AND(C447=Master!$H$8,B447="2012-2013",E447&gt;1000,G447="PLN03"),H447,"")</f>
        <v/>
      </c>
      <c r="AN447" s="42" t="str">
        <f>IF(AND(C447=Master!$H$8,B447="2012-2013",E447="",G447="PLN03"),H447,"")</f>
        <v/>
      </c>
      <c r="AO447" s="42" t="str">
        <f>IF(AND(C447=Master!$H$9,B447="2012-2013",E447&gt;1000,G447="PLN03"),H447,"")</f>
        <v/>
      </c>
      <c r="AP447" s="42" t="str">
        <f>IF(AND(C447=Master!$H$9,B447="2012-2013",E447="",G447="PLN03"),H447,"")</f>
        <v/>
      </c>
      <c r="AQ447" s="44" t="str">
        <f>IF(AND(C447=Master!$H$1,B447="2012-2013",E447&gt;1000,G447="NPN05"),H447,"")</f>
        <v/>
      </c>
      <c r="AR447" s="44" t="str">
        <f>IF(AND(C447=Master!$H$1,B447="2012-2013",E447="",G447="NPN05"),H447,"")</f>
        <v/>
      </c>
      <c r="AS447" s="44" t="str">
        <f>IF(AND(C447=Master!$H$2,B447="2012-2013",E447&gt;1000,G447="NPN05"),H447,"")</f>
        <v/>
      </c>
      <c r="AT447" s="44" t="str">
        <f>IF(AND(C447=Master!$H$2,B447="2012-2013",E447="",G447="NPN05"),H447,"")</f>
        <v/>
      </c>
      <c r="AU447" s="44" t="str">
        <f>IF(AND(C447=Master!$H$3,B447="2012-2013",E447&gt;1000,G447="NPN05"),H447,"")</f>
        <v/>
      </c>
      <c r="AV447" s="44" t="str">
        <f>IF(AND(C447=Master!$H$3,B447="2012-2013",E447="",G447="NPN05"),H447,"")</f>
        <v/>
      </c>
      <c r="AW447" s="44" t="str">
        <f>IF(AND(C447=Master!$H$4,B447="2012-2013",E447&gt;1000,G447="NPN05"),H447,"")</f>
        <v/>
      </c>
      <c r="AX447" s="44" t="str">
        <f>IF(AND(C447=Master!$H$4,B447="2012-2013",E447="",G447="NPN05"),H447,"")</f>
        <v/>
      </c>
      <c r="AY447" s="44" t="str">
        <f>IF(AND(C447=Master!$H$5,B447="2012-2013",E447&gt;1000,G447="NPN05"),H447,"")</f>
        <v/>
      </c>
      <c r="AZ447" s="44" t="str">
        <f>IF(AND(C447=Master!$H$5,B447="2012-2013",E447="",G447="NPN05"),H447,"")</f>
        <v/>
      </c>
      <c r="BA447" s="44" t="str">
        <f>IF(AND(C447=Master!$H$6,B447="2012-2013",E447&gt;1000,G447="NPN05"),H447,"")</f>
        <v/>
      </c>
      <c r="BB447" s="44" t="str">
        <f>IF(AND(C447=Master!$H$6,B447="2012-2013",E447="",G447="NPN05"),H447,"")</f>
        <v/>
      </c>
      <c r="BC447" s="44" t="str">
        <f>IF(AND(C447=Master!$H$7,B447="2012-2013",E447&gt;1000,G447="NPN05"),H447,"")</f>
        <v/>
      </c>
      <c r="BD447" s="44" t="str">
        <f>IF(AND(C447=Master!$H$7,B447="2012-2013",E447="",G447="NPN05"),H447,"")</f>
        <v/>
      </c>
      <c r="BE447" s="44" t="str">
        <f>IF(AND(C447=Master!$H$8,B447="2012-2013",E447&gt;1000,G447="NPN05"),H447,"")</f>
        <v/>
      </c>
      <c r="BF447" s="44" t="str">
        <f>IF(AND(C447=Master!$H$8,B447="2012-2013",E447="",G447="NPN05"),H447,"")</f>
        <v/>
      </c>
      <c r="BG447" s="44" t="str">
        <f>IF(AND(C447=Master!$H$9,B447="2012-2013",E447&gt;1000,G447="NPN05"),H447,"")</f>
        <v/>
      </c>
      <c r="BH447" s="44" t="str">
        <f>IF(AND(C447=Master!$H$9,B447="2012-2013",E447="",G447="NPN05"),H447,"")</f>
        <v/>
      </c>
    </row>
    <row r="448" spans="1:60" x14ac:dyDescent="0.25">
      <c r="A448" s="3">
        <v>446</v>
      </c>
      <c r="B448" s="12"/>
      <c r="C448" s="12"/>
      <c r="D448" s="31"/>
      <c r="E448" s="4"/>
      <c r="F448" s="13"/>
      <c r="G448" s="21"/>
      <c r="H448" s="35"/>
      <c r="I448" s="21"/>
      <c r="J448" s="25" t="str">
        <f>IF(NOT(I448=""),INDEX(Master!$B$1:$B$46,MATCH(I448,Master!$A$1:$A$46,0)),"")</f>
        <v/>
      </c>
      <c r="K448" s="18"/>
      <c r="L448" s="86"/>
      <c r="M448" s="13"/>
      <c r="N448" s="13"/>
      <c r="O448" s="18"/>
      <c r="P448" s="35"/>
      <c r="Q448" s="21"/>
      <c r="R448" s="21"/>
      <c r="S448" s="13"/>
      <c r="T448" s="12"/>
      <c r="U448" s="12"/>
      <c r="V448" s="12"/>
      <c r="W448" s="14"/>
      <c r="Y448" s="42" t="str">
        <f>IF(AND(C448=Master!$H$1,B448="2012-2013",E448&gt;1000,G448="PLN03"),H448,"")</f>
        <v/>
      </c>
      <c r="Z448" s="42" t="str">
        <f>IF(AND(C448=Master!$H$1,B448="2012-2013",E448="",G448="PLN03"),H448,"")</f>
        <v/>
      </c>
      <c r="AA448" s="42" t="str">
        <f>IF(AND(C448=Master!$H$2,B448="2012-2013",E448&gt;1000,G448="PLN03"),H448,"")</f>
        <v/>
      </c>
      <c r="AB448" s="42" t="str">
        <f>IF(AND(C448=Master!$H$2,B448="2012-2013",E448="",G448="PLN03"),H448,"")</f>
        <v/>
      </c>
      <c r="AC448" s="42" t="str">
        <f>IF(AND(C448=Master!$H$3,B448="2012-2013",E448&gt;1000,G448="PLN03"),H448,"")</f>
        <v/>
      </c>
      <c r="AD448" s="42" t="str">
        <f>IF(AND(C448=Master!$H$3,B448="2012-2013",E448="",G448="PLN03"),H448,"")</f>
        <v/>
      </c>
      <c r="AE448" s="42" t="str">
        <f>IF(AND(C448=Master!$H$4,B448="2012-2013",E448&gt;1000,G448="PLN03"),H448,"")</f>
        <v/>
      </c>
      <c r="AF448" s="42" t="str">
        <f>IF(AND(C448=Master!$H$4,B448="2012-2013",E448="",G448="PLN03"),H448,"")</f>
        <v/>
      </c>
      <c r="AG448" s="42" t="str">
        <f>IF(AND(C448=Master!$H$5,B448="2012-2013",E448&gt;1000,G448="PLN03"),H448,"")</f>
        <v/>
      </c>
      <c r="AH448" s="42" t="str">
        <f>IF(AND(C448=Master!$H$5,B448="2012-2013",E448="",G448="PLN03"),H448,"")</f>
        <v/>
      </c>
      <c r="AI448" s="42" t="str">
        <f>IF(AND(C448=Master!$H$6,B448="2012-2013",E448&gt;1000,G448="PLN03"),H448,"")</f>
        <v/>
      </c>
      <c r="AJ448" s="42" t="str">
        <f>IF(AND(C448=Master!$H$6,B448="2012-2013",E448="",G448="PLN03"),H448,"")</f>
        <v/>
      </c>
      <c r="AK448" s="42" t="str">
        <f>IF(AND(C448=Master!$H$7,B448="2012-2013",E448&gt;1000,G448="PLN03"),H448,"")</f>
        <v/>
      </c>
      <c r="AL448" s="42" t="str">
        <f>IF(AND(C448=Master!$H$7,B448="2012-2013",E448="",G448="PLN03"),H448,"")</f>
        <v/>
      </c>
      <c r="AM448" s="42" t="str">
        <f>IF(AND(C448=Master!$H$8,B448="2012-2013",E448&gt;1000,G448="PLN03"),H448,"")</f>
        <v/>
      </c>
      <c r="AN448" s="42" t="str">
        <f>IF(AND(C448=Master!$H$8,B448="2012-2013",E448="",G448="PLN03"),H448,"")</f>
        <v/>
      </c>
      <c r="AO448" s="42" t="str">
        <f>IF(AND(C448=Master!$H$9,B448="2012-2013",E448&gt;1000,G448="PLN03"),H448,"")</f>
        <v/>
      </c>
      <c r="AP448" s="42" t="str">
        <f>IF(AND(C448=Master!$H$9,B448="2012-2013",E448="",G448="PLN03"),H448,"")</f>
        <v/>
      </c>
      <c r="AQ448" s="44" t="str">
        <f>IF(AND(C448=Master!$H$1,B448="2012-2013",E448&gt;1000,G448="NPN05"),H448,"")</f>
        <v/>
      </c>
      <c r="AR448" s="44" t="str">
        <f>IF(AND(C448=Master!$H$1,B448="2012-2013",E448="",G448="NPN05"),H448,"")</f>
        <v/>
      </c>
      <c r="AS448" s="44" t="str">
        <f>IF(AND(C448=Master!$H$2,B448="2012-2013",E448&gt;1000,G448="NPN05"),H448,"")</f>
        <v/>
      </c>
      <c r="AT448" s="44" t="str">
        <f>IF(AND(C448=Master!$H$2,B448="2012-2013",E448="",G448="NPN05"),H448,"")</f>
        <v/>
      </c>
      <c r="AU448" s="44" t="str">
        <f>IF(AND(C448=Master!$H$3,B448="2012-2013",E448&gt;1000,G448="NPN05"),H448,"")</f>
        <v/>
      </c>
      <c r="AV448" s="44" t="str">
        <f>IF(AND(C448=Master!$H$3,B448="2012-2013",E448="",G448="NPN05"),H448,"")</f>
        <v/>
      </c>
      <c r="AW448" s="44" t="str">
        <f>IF(AND(C448=Master!$H$4,B448="2012-2013",E448&gt;1000,G448="NPN05"),H448,"")</f>
        <v/>
      </c>
      <c r="AX448" s="44" t="str">
        <f>IF(AND(C448=Master!$H$4,B448="2012-2013",E448="",G448="NPN05"),H448,"")</f>
        <v/>
      </c>
      <c r="AY448" s="44" t="str">
        <f>IF(AND(C448=Master!$H$5,B448="2012-2013",E448&gt;1000,G448="NPN05"),H448,"")</f>
        <v/>
      </c>
      <c r="AZ448" s="44" t="str">
        <f>IF(AND(C448=Master!$H$5,B448="2012-2013",E448="",G448="NPN05"),H448,"")</f>
        <v/>
      </c>
      <c r="BA448" s="44" t="str">
        <f>IF(AND(C448=Master!$H$6,B448="2012-2013",E448&gt;1000,G448="NPN05"),H448,"")</f>
        <v/>
      </c>
      <c r="BB448" s="44" t="str">
        <f>IF(AND(C448=Master!$H$6,B448="2012-2013",E448="",G448="NPN05"),H448,"")</f>
        <v/>
      </c>
      <c r="BC448" s="44" t="str">
        <f>IF(AND(C448=Master!$H$7,B448="2012-2013",E448&gt;1000,G448="NPN05"),H448,"")</f>
        <v/>
      </c>
      <c r="BD448" s="44" t="str">
        <f>IF(AND(C448=Master!$H$7,B448="2012-2013",E448="",G448="NPN05"),H448,"")</f>
        <v/>
      </c>
      <c r="BE448" s="44" t="str">
        <f>IF(AND(C448=Master!$H$8,B448="2012-2013",E448&gt;1000,G448="NPN05"),H448,"")</f>
        <v/>
      </c>
      <c r="BF448" s="44" t="str">
        <f>IF(AND(C448=Master!$H$8,B448="2012-2013",E448="",G448="NPN05"),H448,"")</f>
        <v/>
      </c>
      <c r="BG448" s="44" t="str">
        <f>IF(AND(C448=Master!$H$9,B448="2012-2013",E448&gt;1000,G448="NPN05"),H448,"")</f>
        <v/>
      </c>
      <c r="BH448" s="44" t="str">
        <f>IF(AND(C448=Master!$H$9,B448="2012-2013",E448="",G448="NPN05"),H448,"")</f>
        <v/>
      </c>
    </row>
    <row r="449" spans="1:60" x14ac:dyDescent="0.25">
      <c r="A449" s="3">
        <v>447</v>
      </c>
      <c r="B449" s="12"/>
      <c r="C449" s="12"/>
      <c r="D449" s="31"/>
      <c r="E449" s="4"/>
      <c r="F449" s="13"/>
      <c r="G449" s="21"/>
      <c r="H449" s="35"/>
      <c r="I449" s="21"/>
      <c r="J449" s="25" t="str">
        <f>IF(NOT(I449=""),INDEX(Master!$B$1:$B$46,MATCH(I449,Master!$A$1:$A$46,0)),"")</f>
        <v/>
      </c>
      <c r="K449" s="18"/>
      <c r="L449" s="86"/>
      <c r="M449" s="13"/>
      <c r="N449" s="13"/>
      <c r="O449" s="18"/>
      <c r="P449" s="35"/>
      <c r="Q449" s="21"/>
      <c r="R449" s="21"/>
      <c r="S449" s="13"/>
      <c r="T449" s="12"/>
      <c r="U449" s="12"/>
      <c r="V449" s="12"/>
      <c r="W449" s="14"/>
      <c r="Y449" s="42" t="str">
        <f>IF(AND(C449=Master!$H$1,B449="2012-2013",E449&gt;1000,G449="PLN03"),H449,"")</f>
        <v/>
      </c>
      <c r="Z449" s="42" t="str">
        <f>IF(AND(C449=Master!$H$1,B449="2012-2013",E449="",G449="PLN03"),H449,"")</f>
        <v/>
      </c>
      <c r="AA449" s="42" t="str">
        <f>IF(AND(C449=Master!$H$2,B449="2012-2013",E449&gt;1000,G449="PLN03"),H449,"")</f>
        <v/>
      </c>
      <c r="AB449" s="42" t="str">
        <f>IF(AND(C449=Master!$H$2,B449="2012-2013",E449="",G449="PLN03"),H449,"")</f>
        <v/>
      </c>
      <c r="AC449" s="42" t="str">
        <f>IF(AND(C449=Master!$H$3,B449="2012-2013",E449&gt;1000,G449="PLN03"),H449,"")</f>
        <v/>
      </c>
      <c r="AD449" s="42" t="str">
        <f>IF(AND(C449=Master!$H$3,B449="2012-2013",E449="",G449="PLN03"),H449,"")</f>
        <v/>
      </c>
      <c r="AE449" s="42" t="str">
        <f>IF(AND(C449=Master!$H$4,B449="2012-2013",E449&gt;1000,G449="PLN03"),H449,"")</f>
        <v/>
      </c>
      <c r="AF449" s="42" t="str">
        <f>IF(AND(C449=Master!$H$4,B449="2012-2013",E449="",G449="PLN03"),H449,"")</f>
        <v/>
      </c>
      <c r="AG449" s="42" t="str">
        <f>IF(AND(C449=Master!$H$5,B449="2012-2013",E449&gt;1000,G449="PLN03"),H449,"")</f>
        <v/>
      </c>
      <c r="AH449" s="42" t="str">
        <f>IF(AND(C449=Master!$H$5,B449="2012-2013",E449="",G449="PLN03"),H449,"")</f>
        <v/>
      </c>
      <c r="AI449" s="42" t="str">
        <f>IF(AND(C449=Master!$H$6,B449="2012-2013",E449&gt;1000,G449="PLN03"),H449,"")</f>
        <v/>
      </c>
      <c r="AJ449" s="42" t="str">
        <f>IF(AND(C449=Master!$H$6,B449="2012-2013",E449="",G449="PLN03"),H449,"")</f>
        <v/>
      </c>
      <c r="AK449" s="42" t="str">
        <f>IF(AND(C449=Master!$H$7,B449="2012-2013",E449&gt;1000,G449="PLN03"),H449,"")</f>
        <v/>
      </c>
      <c r="AL449" s="42" t="str">
        <f>IF(AND(C449=Master!$H$7,B449="2012-2013",E449="",G449="PLN03"),H449,"")</f>
        <v/>
      </c>
      <c r="AM449" s="42" t="str">
        <f>IF(AND(C449=Master!$H$8,B449="2012-2013",E449&gt;1000,G449="PLN03"),H449,"")</f>
        <v/>
      </c>
      <c r="AN449" s="42" t="str">
        <f>IF(AND(C449=Master!$H$8,B449="2012-2013",E449="",G449="PLN03"),H449,"")</f>
        <v/>
      </c>
      <c r="AO449" s="42" t="str">
        <f>IF(AND(C449=Master!$H$9,B449="2012-2013",E449&gt;1000,G449="PLN03"),H449,"")</f>
        <v/>
      </c>
      <c r="AP449" s="42" t="str">
        <f>IF(AND(C449=Master!$H$9,B449="2012-2013",E449="",G449="PLN03"),H449,"")</f>
        <v/>
      </c>
      <c r="AQ449" s="44" t="str">
        <f>IF(AND(C449=Master!$H$1,B449="2012-2013",E449&gt;1000,G449="NPN05"),H449,"")</f>
        <v/>
      </c>
      <c r="AR449" s="44" t="str">
        <f>IF(AND(C449=Master!$H$1,B449="2012-2013",E449="",G449="NPN05"),H449,"")</f>
        <v/>
      </c>
      <c r="AS449" s="44" t="str">
        <f>IF(AND(C449=Master!$H$2,B449="2012-2013",E449&gt;1000,G449="NPN05"),H449,"")</f>
        <v/>
      </c>
      <c r="AT449" s="44" t="str">
        <f>IF(AND(C449=Master!$H$2,B449="2012-2013",E449="",G449="NPN05"),H449,"")</f>
        <v/>
      </c>
      <c r="AU449" s="44" t="str">
        <f>IF(AND(C449=Master!$H$3,B449="2012-2013",E449&gt;1000,G449="NPN05"),H449,"")</f>
        <v/>
      </c>
      <c r="AV449" s="44" t="str">
        <f>IF(AND(C449=Master!$H$3,B449="2012-2013",E449="",G449="NPN05"),H449,"")</f>
        <v/>
      </c>
      <c r="AW449" s="44" t="str">
        <f>IF(AND(C449=Master!$H$4,B449="2012-2013",E449&gt;1000,G449="NPN05"),H449,"")</f>
        <v/>
      </c>
      <c r="AX449" s="44" t="str">
        <f>IF(AND(C449=Master!$H$4,B449="2012-2013",E449="",G449="NPN05"),H449,"")</f>
        <v/>
      </c>
      <c r="AY449" s="44" t="str">
        <f>IF(AND(C449=Master!$H$5,B449="2012-2013",E449&gt;1000,G449="NPN05"),H449,"")</f>
        <v/>
      </c>
      <c r="AZ449" s="44" t="str">
        <f>IF(AND(C449=Master!$H$5,B449="2012-2013",E449="",G449="NPN05"),H449,"")</f>
        <v/>
      </c>
      <c r="BA449" s="44" t="str">
        <f>IF(AND(C449=Master!$H$6,B449="2012-2013",E449&gt;1000,G449="NPN05"),H449,"")</f>
        <v/>
      </c>
      <c r="BB449" s="44" t="str">
        <f>IF(AND(C449=Master!$H$6,B449="2012-2013",E449="",G449="NPN05"),H449,"")</f>
        <v/>
      </c>
      <c r="BC449" s="44" t="str">
        <f>IF(AND(C449=Master!$H$7,B449="2012-2013",E449&gt;1000,G449="NPN05"),H449,"")</f>
        <v/>
      </c>
      <c r="BD449" s="44" t="str">
        <f>IF(AND(C449=Master!$H$7,B449="2012-2013",E449="",G449="NPN05"),H449,"")</f>
        <v/>
      </c>
      <c r="BE449" s="44" t="str">
        <f>IF(AND(C449=Master!$H$8,B449="2012-2013",E449&gt;1000,G449="NPN05"),H449,"")</f>
        <v/>
      </c>
      <c r="BF449" s="44" t="str">
        <f>IF(AND(C449=Master!$H$8,B449="2012-2013",E449="",G449="NPN05"),H449,"")</f>
        <v/>
      </c>
      <c r="BG449" s="44" t="str">
        <f>IF(AND(C449=Master!$H$9,B449="2012-2013",E449&gt;1000,G449="NPN05"),H449,"")</f>
        <v/>
      </c>
      <c r="BH449" s="44" t="str">
        <f>IF(AND(C449=Master!$H$9,B449="2012-2013",E449="",G449="NPN05"),H449,"")</f>
        <v/>
      </c>
    </row>
    <row r="450" spans="1:60" x14ac:dyDescent="0.25">
      <c r="A450" s="3">
        <v>448</v>
      </c>
      <c r="B450" s="12"/>
      <c r="C450" s="12"/>
      <c r="D450" s="31"/>
      <c r="E450" s="4"/>
      <c r="F450" s="13"/>
      <c r="G450" s="21"/>
      <c r="H450" s="35"/>
      <c r="I450" s="21"/>
      <c r="J450" s="25" t="str">
        <f>IF(NOT(I450=""),INDEX(Master!$B$1:$B$46,MATCH(I450,Master!$A$1:$A$46,0)),"")</f>
        <v/>
      </c>
      <c r="K450" s="18"/>
      <c r="L450" s="86"/>
      <c r="M450" s="13"/>
      <c r="N450" s="13"/>
      <c r="O450" s="18"/>
      <c r="P450" s="35"/>
      <c r="Q450" s="21"/>
      <c r="R450" s="21"/>
      <c r="S450" s="13"/>
      <c r="T450" s="12"/>
      <c r="U450" s="12"/>
      <c r="V450" s="12"/>
      <c r="W450" s="14"/>
      <c r="Y450" s="42" t="str">
        <f>IF(AND(C450=Master!$H$1,B450="2012-2013",E450&gt;1000,G450="PLN03"),H450,"")</f>
        <v/>
      </c>
      <c r="Z450" s="42" t="str">
        <f>IF(AND(C450=Master!$H$1,B450="2012-2013",E450="",G450="PLN03"),H450,"")</f>
        <v/>
      </c>
      <c r="AA450" s="42" t="str">
        <f>IF(AND(C450=Master!$H$2,B450="2012-2013",E450&gt;1000,G450="PLN03"),H450,"")</f>
        <v/>
      </c>
      <c r="AB450" s="42" t="str">
        <f>IF(AND(C450=Master!$H$2,B450="2012-2013",E450="",G450="PLN03"),H450,"")</f>
        <v/>
      </c>
      <c r="AC450" s="42" t="str">
        <f>IF(AND(C450=Master!$H$3,B450="2012-2013",E450&gt;1000,G450="PLN03"),H450,"")</f>
        <v/>
      </c>
      <c r="AD450" s="42" t="str">
        <f>IF(AND(C450=Master!$H$3,B450="2012-2013",E450="",G450="PLN03"),H450,"")</f>
        <v/>
      </c>
      <c r="AE450" s="42" t="str">
        <f>IF(AND(C450=Master!$H$4,B450="2012-2013",E450&gt;1000,G450="PLN03"),H450,"")</f>
        <v/>
      </c>
      <c r="AF450" s="42" t="str">
        <f>IF(AND(C450=Master!$H$4,B450="2012-2013",E450="",G450="PLN03"),H450,"")</f>
        <v/>
      </c>
      <c r="AG450" s="42" t="str">
        <f>IF(AND(C450=Master!$H$5,B450="2012-2013",E450&gt;1000,G450="PLN03"),H450,"")</f>
        <v/>
      </c>
      <c r="AH450" s="42" t="str">
        <f>IF(AND(C450=Master!$H$5,B450="2012-2013",E450="",G450="PLN03"),H450,"")</f>
        <v/>
      </c>
      <c r="AI450" s="42" t="str">
        <f>IF(AND(C450=Master!$H$6,B450="2012-2013",E450&gt;1000,G450="PLN03"),H450,"")</f>
        <v/>
      </c>
      <c r="AJ450" s="42" t="str">
        <f>IF(AND(C450=Master!$H$6,B450="2012-2013",E450="",G450="PLN03"),H450,"")</f>
        <v/>
      </c>
      <c r="AK450" s="42" t="str">
        <f>IF(AND(C450=Master!$H$7,B450="2012-2013",E450&gt;1000,G450="PLN03"),H450,"")</f>
        <v/>
      </c>
      <c r="AL450" s="42" t="str">
        <f>IF(AND(C450=Master!$H$7,B450="2012-2013",E450="",G450="PLN03"),H450,"")</f>
        <v/>
      </c>
      <c r="AM450" s="42" t="str">
        <f>IF(AND(C450=Master!$H$8,B450="2012-2013",E450&gt;1000,G450="PLN03"),H450,"")</f>
        <v/>
      </c>
      <c r="AN450" s="42" t="str">
        <f>IF(AND(C450=Master!$H$8,B450="2012-2013",E450="",G450="PLN03"),H450,"")</f>
        <v/>
      </c>
      <c r="AO450" s="42" t="str">
        <f>IF(AND(C450=Master!$H$9,B450="2012-2013",E450&gt;1000,G450="PLN03"),H450,"")</f>
        <v/>
      </c>
      <c r="AP450" s="42" t="str">
        <f>IF(AND(C450=Master!$H$9,B450="2012-2013",E450="",G450="PLN03"),H450,"")</f>
        <v/>
      </c>
      <c r="AQ450" s="44" t="str">
        <f>IF(AND(C450=Master!$H$1,B450="2012-2013",E450&gt;1000,G450="NPN05"),H450,"")</f>
        <v/>
      </c>
      <c r="AR450" s="44" t="str">
        <f>IF(AND(C450=Master!$H$1,B450="2012-2013",E450="",G450="NPN05"),H450,"")</f>
        <v/>
      </c>
      <c r="AS450" s="44" t="str">
        <f>IF(AND(C450=Master!$H$2,B450="2012-2013",E450&gt;1000,G450="NPN05"),H450,"")</f>
        <v/>
      </c>
      <c r="AT450" s="44" t="str">
        <f>IF(AND(C450=Master!$H$2,B450="2012-2013",E450="",G450="NPN05"),H450,"")</f>
        <v/>
      </c>
      <c r="AU450" s="44" t="str">
        <f>IF(AND(C450=Master!$H$3,B450="2012-2013",E450&gt;1000,G450="NPN05"),H450,"")</f>
        <v/>
      </c>
      <c r="AV450" s="44" t="str">
        <f>IF(AND(C450=Master!$H$3,B450="2012-2013",E450="",G450="NPN05"),H450,"")</f>
        <v/>
      </c>
      <c r="AW450" s="44" t="str">
        <f>IF(AND(C450=Master!$H$4,B450="2012-2013",E450&gt;1000,G450="NPN05"),H450,"")</f>
        <v/>
      </c>
      <c r="AX450" s="44" t="str">
        <f>IF(AND(C450=Master!$H$4,B450="2012-2013",E450="",G450="NPN05"),H450,"")</f>
        <v/>
      </c>
      <c r="AY450" s="44" t="str">
        <f>IF(AND(C450=Master!$H$5,B450="2012-2013",E450&gt;1000,G450="NPN05"),H450,"")</f>
        <v/>
      </c>
      <c r="AZ450" s="44" t="str">
        <f>IF(AND(C450=Master!$H$5,B450="2012-2013",E450="",G450="NPN05"),H450,"")</f>
        <v/>
      </c>
      <c r="BA450" s="44" t="str">
        <f>IF(AND(C450=Master!$H$6,B450="2012-2013",E450&gt;1000,G450="NPN05"),H450,"")</f>
        <v/>
      </c>
      <c r="BB450" s="44" t="str">
        <f>IF(AND(C450=Master!$H$6,B450="2012-2013",E450="",G450="NPN05"),H450,"")</f>
        <v/>
      </c>
      <c r="BC450" s="44" t="str">
        <f>IF(AND(C450=Master!$H$7,B450="2012-2013",E450&gt;1000,G450="NPN05"),H450,"")</f>
        <v/>
      </c>
      <c r="BD450" s="44" t="str">
        <f>IF(AND(C450=Master!$H$7,B450="2012-2013",E450="",G450="NPN05"),H450,"")</f>
        <v/>
      </c>
      <c r="BE450" s="44" t="str">
        <f>IF(AND(C450=Master!$H$8,B450="2012-2013",E450&gt;1000,G450="NPN05"),H450,"")</f>
        <v/>
      </c>
      <c r="BF450" s="44" t="str">
        <f>IF(AND(C450=Master!$H$8,B450="2012-2013",E450="",G450="NPN05"),H450,"")</f>
        <v/>
      </c>
      <c r="BG450" s="44" t="str">
        <f>IF(AND(C450=Master!$H$9,B450="2012-2013",E450&gt;1000,G450="NPN05"),H450,"")</f>
        <v/>
      </c>
      <c r="BH450" s="44" t="str">
        <f>IF(AND(C450=Master!$H$9,B450="2012-2013",E450="",G450="NPN05"),H450,"")</f>
        <v/>
      </c>
    </row>
    <row r="451" spans="1:60" x14ac:dyDescent="0.25">
      <c r="A451" s="3">
        <v>449</v>
      </c>
      <c r="B451" s="12"/>
      <c r="C451" s="12"/>
      <c r="D451" s="31"/>
      <c r="E451" s="4"/>
      <c r="F451" s="13"/>
      <c r="G451" s="21"/>
      <c r="H451" s="35"/>
      <c r="I451" s="21"/>
      <c r="J451" s="25" t="str">
        <f>IF(NOT(I451=""),INDEX(Master!$B$1:$B$46,MATCH(I451,Master!$A$1:$A$46,0)),"")</f>
        <v/>
      </c>
      <c r="K451" s="18"/>
      <c r="L451" s="86"/>
      <c r="M451" s="13"/>
      <c r="N451" s="13"/>
      <c r="O451" s="18"/>
      <c r="P451" s="35"/>
      <c r="Q451" s="21"/>
      <c r="R451" s="21"/>
      <c r="S451" s="13"/>
      <c r="T451" s="12"/>
      <c r="U451" s="12"/>
      <c r="V451" s="12"/>
      <c r="W451" s="14"/>
      <c r="Y451" s="42" t="str">
        <f>IF(AND(C451=Master!$H$1,B451="2012-2013",E451&gt;1000,G451="PLN03"),H451,"")</f>
        <v/>
      </c>
      <c r="Z451" s="42" t="str">
        <f>IF(AND(C451=Master!$H$1,B451="2012-2013",E451="",G451="PLN03"),H451,"")</f>
        <v/>
      </c>
      <c r="AA451" s="42" t="str">
        <f>IF(AND(C451=Master!$H$2,B451="2012-2013",E451&gt;1000,G451="PLN03"),H451,"")</f>
        <v/>
      </c>
      <c r="AB451" s="42" t="str">
        <f>IF(AND(C451=Master!$H$2,B451="2012-2013",E451="",G451="PLN03"),H451,"")</f>
        <v/>
      </c>
      <c r="AC451" s="42" t="str">
        <f>IF(AND(C451=Master!$H$3,B451="2012-2013",E451&gt;1000,G451="PLN03"),H451,"")</f>
        <v/>
      </c>
      <c r="AD451" s="42" t="str">
        <f>IF(AND(C451=Master!$H$3,B451="2012-2013",E451="",G451="PLN03"),H451,"")</f>
        <v/>
      </c>
      <c r="AE451" s="42" t="str">
        <f>IF(AND(C451=Master!$H$4,B451="2012-2013",E451&gt;1000,G451="PLN03"),H451,"")</f>
        <v/>
      </c>
      <c r="AF451" s="42" t="str">
        <f>IF(AND(C451=Master!$H$4,B451="2012-2013",E451="",G451="PLN03"),H451,"")</f>
        <v/>
      </c>
      <c r="AG451" s="42" t="str">
        <f>IF(AND(C451=Master!$H$5,B451="2012-2013",E451&gt;1000,G451="PLN03"),H451,"")</f>
        <v/>
      </c>
      <c r="AH451" s="42" t="str">
        <f>IF(AND(C451=Master!$H$5,B451="2012-2013",E451="",G451="PLN03"),H451,"")</f>
        <v/>
      </c>
      <c r="AI451" s="42" t="str">
        <f>IF(AND(C451=Master!$H$6,B451="2012-2013",E451&gt;1000,G451="PLN03"),H451,"")</f>
        <v/>
      </c>
      <c r="AJ451" s="42" t="str">
        <f>IF(AND(C451=Master!$H$6,B451="2012-2013",E451="",G451="PLN03"),H451,"")</f>
        <v/>
      </c>
      <c r="AK451" s="42" t="str">
        <f>IF(AND(C451=Master!$H$7,B451="2012-2013",E451&gt;1000,G451="PLN03"),H451,"")</f>
        <v/>
      </c>
      <c r="AL451" s="42" t="str">
        <f>IF(AND(C451=Master!$H$7,B451="2012-2013",E451="",G451="PLN03"),H451,"")</f>
        <v/>
      </c>
      <c r="AM451" s="42" t="str">
        <f>IF(AND(C451=Master!$H$8,B451="2012-2013",E451&gt;1000,G451="PLN03"),H451,"")</f>
        <v/>
      </c>
      <c r="AN451" s="42" t="str">
        <f>IF(AND(C451=Master!$H$8,B451="2012-2013",E451="",G451="PLN03"),H451,"")</f>
        <v/>
      </c>
      <c r="AO451" s="42" t="str">
        <f>IF(AND(C451=Master!$H$9,B451="2012-2013",E451&gt;1000,G451="PLN03"),H451,"")</f>
        <v/>
      </c>
      <c r="AP451" s="42" t="str">
        <f>IF(AND(C451=Master!$H$9,B451="2012-2013",E451="",G451="PLN03"),H451,"")</f>
        <v/>
      </c>
      <c r="AQ451" s="44" t="str">
        <f>IF(AND(C451=Master!$H$1,B451="2012-2013",E451&gt;1000,G451="NPN05"),H451,"")</f>
        <v/>
      </c>
      <c r="AR451" s="44" t="str">
        <f>IF(AND(C451=Master!$H$1,B451="2012-2013",E451="",G451="NPN05"),H451,"")</f>
        <v/>
      </c>
      <c r="AS451" s="44" t="str">
        <f>IF(AND(C451=Master!$H$2,B451="2012-2013",E451&gt;1000,G451="NPN05"),H451,"")</f>
        <v/>
      </c>
      <c r="AT451" s="44" t="str">
        <f>IF(AND(C451=Master!$H$2,B451="2012-2013",E451="",G451="NPN05"),H451,"")</f>
        <v/>
      </c>
      <c r="AU451" s="44" t="str">
        <f>IF(AND(C451=Master!$H$3,B451="2012-2013",E451&gt;1000,G451="NPN05"),H451,"")</f>
        <v/>
      </c>
      <c r="AV451" s="44" t="str">
        <f>IF(AND(C451=Master!$H$3,B451="2012-2013",E451="",G451="NPN05"),H451,"")</f>
        <v/>
      </c>
      <c r="AW451" s="44" t="str">
        <f>IF(AND(C451=Master!$H$4,B451="2012-2013",E451&gt;1000,G451="NPN05"),H451,"")</f>
        <v/>
      </c>
      <c r="AX451" s="44" t="str">
        <f>IF(AND(C451=Master!$H$4,B451="2012-2013",E451="",G451="NPN05"),H451,"")</f>
        <v/>
      </c>
      <c r="AY451" s="44" t="str">
        <f>IF(AND(C451=Master!$H$5,B451="2012-2013",E451&gt;1000,G451="NPN05"),H451,"")</f>
        <v/>
      </c>
      <c r="AZ451" s="44" t="str">
        <f>IF(AND(C451=Master!$H$5,B451="2012-2013",E451="",G451="NPN05"),H451,"")</f>
        <v/>
      </c>
      <c r="BA451" s="44" t="str">
        <f>IF(AND(C451=Master!$H$6,B451="2012-2013",E451&gt;1000,G451="NPN05"),H451,"")</f>
        <v/>
      </c>
      <c r="BB451" s="44" t="str">
        <f>IF(AND(C451=Master!$H$6,B451="2012-2013",E451="",G451="NPN05"),H451,"")</f>
        <v/>
      </c>
      <c r="BC451" s="44" t="str">
        <f>IF(AND(C451=Master!$H$7,B451="2012-2013",E451&gt;1000,G451="NPN05"),H451,"")</f>
        <v/>
      </c>
      <c r="BD451" s="44" t="str">
        <f>IF(AND(C451=Master!$H$7,B451="2012-2013",E451="",G451="NPN05"),H451,"")</f>
        <v/>
      </c>
      <c r="BE451" s="44" t="str">
        <f>IF(AND(C451=Master!$H$8,B451="2012-2013",E451&gt;1000,G451="NPN05"),H451,"")</f>
        <v/>
      </c>
      <c r="BF451" s="44" t="str">
        <f>IF(AND(C451=Master!$H$8,B451="2012-2013",E451="",G451="NPN05"),H451,"")</f>
        <v/>
      </c>
      <c r="BG451" s="44" t="str">
        <f>IF(AND(C451=Master!$H$9,B451="2012-2013",E451&gt;1000,G451="NPN05"),H451,"")</f>
        <v/>
      </c>
      <c r="BH451" s="44" t="str">
        <f>IF(AND(C451=Master!$H$9,B451="2012-2013",E451="",G451="NPN05"),H451,"")</f>
        <v/>
      </c>
    </row>
    <row r="452" spans="1:60" x14ac:dyDescent="0.25">
      <c r="A452" s="3">
        <v>450</v>
      </c>
      <c r="B452" s="12"/>
      <c r="C452" s="12"/>
      <c r="D452" s="31"/>
      <c r="E452" s="4"/>
      <c r="F452" s="13"/>
      <c r="G452" s="21"/>
      <c r="H452" s="35"/>
      <c r="I452" s="21"/>
      <c r="J452" s="25" t="str">
        <f>IF(NOT(I452=""),INDEX(Master!$B$1:$B$46,MATCH(I452,Master!$A$1:$A$46,0)),"")</f>
        <v/>
      </c>
      <c r="K452" s="18"/>
      <c r="L452" s="86"/>
      <c r="M452" s="13"/>
      <c r="N452" s="13"/>
      <c r="O452" s="18"/>
      <c r="P452" s="35"/>
      <c r="Q452" s="21"/>
      <c r="R452" s="21"/>
      <c r="S452" s="13"/>
      <c r="T452" s="12"/>
      <c r="U452" s="12"/>
      <c r="V452" s="12"/>
      <c r="W452" s="14"/>
      <c r="Y452" s="42" t="str">
        <f>IF(AND(C452=Master!$H$1,B452="2012-2013",E452&gt;1000,G452="PLN03"),H452,"")</f>
        <v/>
      </c>
      <c r="Z452" s="42" t="str">
        <f>IF(AND(C452=Master!$H$1,B452="2012-2013",E452="",G452="PLN03"),H452,"")</f>
        <v/>
      </c>
      <c r="AA452" s="42" t="str">
        <f>IF(AND(C452=Master!$H$2,B452="2012-2013",E452&gt;1000,G452="PLN03"),H452,"")</f>
        <v/>
      </c>
      <c r="AB452" s="42" t="str">
        <f>IF(AND(C452=Master!$H$2,B452="2012-2013",E452="",G452="PLN03"),H452,"")</f>
        <v/>
      </c>
      <c r="AC452" s="42" t="str">
        <f>IF(AND(C452=Master!$H$3,B452="2012-2013",E452&gt;1000,G452="PLN03"),H452,"")</f>
        <v/>
      </c>
      <c r="AD452" s="42" t="str">
        <f>IF(AND(C452=Master!$H$3,B452="2012-2013",E452="",G452="PLN03"),H452,"")</f>
        <v/>
      </c>
      <c r="AE452" s="42" t="str">
        <f>IF(AND(C452=Master!$H$4,B452="2012-2013",E452&gt;1000,G452="PLN03"),H452,"")</f>
        <v/>
      </c>
      <c r="AF452" s="42" t="str">
        <f>IF(AND(C452=Master!$H$4,B452="2012-2013",E452="",G452="PLN03"),H452,"")</f>
        <v/>
      </c>
      <c r="AG452" s="42" t="str">
        <f>IF(AND(C452=Master!$H$5,B452="2012-2013",E452&gt;1000,G452="PLN03"),H452,"")</f>
        <v/>
      </c>
      <c r="AH452" s="42" t="str">
        <f>IF(AND(C452=Master!$H$5,B452="2012-2013",E452="",G452="PLN03"),H452,"")</f>
        <v/>
      </c>
      <c r="AI452" s="42" t="str">
        <f>IF(AND(C452=Master!$H$6,B452="2012-2013",E452&gt;1000,G452="PLN03"),H452,"")</f>
        <v/>
      </c>
      <c r="AJ452" s="42" t="str">
        <f>IF(AND(C452=Master!$H$6,B452="2012-2013",E452="",G452="PLN03"),H452,"")</f>
        <v/>
      </c>
      <c r="AK452" s="42" t="str">
        <f>IF(AND(C452=Master!$H$7,B452="2012-2013",E452&gt;1000,G452="PLN03"),H452,"")</f>
        <v/>
      </c>
      <c r="AL452" s="42" t="str">
        <f>IF(AND(C452=Master!$H$7,B452="2012-2013",E452="",G452="PLN03"),H452,"")</f>
        <v/>
      </c>
      <c r="AM452" s="42" t="str">
        <f>IF(AND(C452=Master!$H$8,B452="2012-2013",E452&gt;1000,G452="PLN03"),H452,"")</f>
        <v/>
      </c>
      <c r="AN452" s="42" t="str">
        <f>IF(AND(C452=Master!$H$8,B452="2012-2013",E452="",G452="PLN03"),H452,"")</f>
        <v/>
      </c>
      <c r="AO452" s="42" t="str">
        <f>IF(AND(C452=Master!$H$9,B452="2012-2013",E452&gt;1000,G452="PLN03"),H452,"")</f>
        <v/>
      </c>
      <c r="AP452" s="42" t="str">
        <f>IF(AND(C452=Master!$H$9,B452="2012-2013",E452="",G452="PLN03"),H452,"")</f>
        <v/>
      </c>
      <c r="AQ452" s="44" t="str">
        <f>IF(AND(C452=Master!$H$1,B452="2012-2013",E452&gt;1000,G452="NPN05"),H452,"")</f>
        <v/>
      </c>
      <c r="AR452" s="44" t="str">
        <f>IF(AND(C452=Master!$H$1,B452="2012-2013",E452="",G452="NPN05"),H452,"")</f>
        <v/>
      </c>
      <c r="AS452" s="44" t="str">
        <f>IF(AND(C452=Master!$H$2,B452="2012-2013",E452&gt;1000,G452="NPN05"),H452,"")</f>
        <v/>
      </c>
      <c r="AT452" s="44" t="str">
        <f>IF(AND(C452=Master!$H$2,B452="2012-2013",E452="",G452="NPN05"),H452,"")</f>
        <v/>
      </c>
      <c r="AU452" s="44" t="str">
        <f>IF(AND(C452=Master!$H$3,B452="2012-2013",E452&gt;1000,G452="NPN05"),H452,"")</f>
        <v/>
      </c>
      <c r="AV452" s="44" t="str">
        <f>IF(AND(C452=Master!$H$3,B452="2012-2013",E452="",G452="NPN05"),H452,"")</f>
        <v/>
      </c>
      <c r="AW452" s="44" t="str">
        <f>IF(AND(C452=Master!$H$4,B452="2012-2013",E452&gt;1000,G452="NPN05"),H452,"")</f>
        <v/>
      </c>
      <c r="AX452" s="44" t="str">
        <f>IF(AND(C452=Master!$H$4,B452="2012-2013",E452="",G452="NPN05"),H452,"")</f>
        <v/>
      </c>
      <c r="AY452" s="44" t="str">
        <f>IF(AND(C452=Master!$H$5,B452="2012-2013",E452&gt;1000,G452="NPN05"),H452,"")</f>
        <v/>
      </c>
      <c r="AZ452" s="44" t="str">
        <f>IF(AND(C452=Master!$H$5,B452="2012-2013",E452="",G452="NPN05"),H452,"")</f>
        <v/>
      </c>
      <c r="BA452" s="44" t="str">
        <f>IF(AND(C452=Master!$H$6,B452="2012-2013",E452&gt;1000,G452="NPN05"),H452,"")</f>
        <v/>
      </c>
      <c r="BB452" s="44" t="str">
        <f>IF(AND(C452=Master!$H$6,B452="2012-2013",E452="",G452="NPN05"),H452,"")</f>
        <v/>
      </c>
      <c r="BC452" s="44" t="str">
        <f>IF(AND(C452=Master!$H$7,B452="2012-2013",E452&gt;1000,G452="NPN05"),H452,"")</f>
        <v/>
      </c>
      <c r="BD452" s="44" t="str">
        <f>IF(AND(C452=Master!$H$7,B452="2012-2013",E452="",G452="NPN05"),H452,"")</f>
        <v/>
      </c>
      <c r="BE452" s="44" t="str">
        <f>IF(AND(C452=Master!$H$8,B452="2012-2013",E452&gt;1000,G452="NPN05"),H452,"")</f>
        <v/>
      </c>
      <c r="BF452" s="44" t="str">
        <f>IF(AND(C452=Master!$H$8,B452="2012-2013",E452="",G452="NPN05"),H452,"")</f>
        <v/>
      </c>
      <c r="BG452" s="44" t="str">
        <f>IF(AND(C452=Master!$H$9,B452="2012-2013",E452&gt;1000,G452="NPN05"),H452,"")</f>
        <v/>
      </c>
      <c r="BH452" s="44" t="str">
        <f>IF(AND(C452=Master!$H$9,B452="2012-2013",E452="",G452="NPN05"),H452,"")</f>
        <v/>
      </c>
    </row>
    <row r="453" spans="1:60" x14ac:dyDescent="0.25">
      <c r="A453" s="3">
        <v>451</v>
      </c>
      <c r="B453" s="12"/>
      <c r="C453" s="12"/>
      <c r="D453" s="31"/>
      <c r="E453" s="4"/>
      <c r="F453" s="13"/>
      <c r="G453" s="21"/>
      <c r="H453" s="35"/>
      <c r="I453" s="21"/>
      <c r="J453" s="25" t="str">
        <f>IF(NOT(I453=""),INDEX(Master!$B$1:$B$46,MATCH(I453,Master!$A$1:$A$46,0)),"")</f>
        <v/>
      </c>
      <c r="K453" s="18"/>
      <c r="L453" s="86"/>
      <c r="M453" s="13"/>
      <c r="N453" s="13"/>
      <c r="O453" s="18"/>
      <c r="P453" s="35"/>
      <c r="Q453" s="21"/>
      <c r="R453" s="21"/>
      <c r="S453" s="13"/>
      <c r="T453" s="12"/>
      <c r="U453" s="12"/>
      <c r="V453" s="12"/>
      <c r="W453" s="14"/>
      <c r="Y453" s="42" t="str">
        <f>IF(AND(C453=Master!$H$1,B453="2012-2013",E453&gt;1000,G453="PLN03"),H453,"")</f>
        <v/>
      </c>
      <c r="Z453" s="42" t="str">
        <f>IF(AND(C453=Master!$H$1,B453="2012-2013",E453="",G453="PLN03"),H453,"")</f>
        <v/>
      </c>
      <c r="AA453" s="42" t="str">
        <f>IF(AND(C453=Master!$H$2,B453="2012-2013",E453&gt;1000,G453="PLN03"),H453,"")</f>
        <v/>
      </c>
      <c r="AB453" s="42" t="str">
        <f>IF(AND(C453=Master!$H$2,B453="2012-2013",E453="",G453="PLN03"),H453,"")</f>
        <v/>
      </c>
      <c r="AC453" s="42" t="str">
        <f>IF(AND(C453=Master!$H$3,B453="2012-2013",E453&gt;1000,G453="PLN03"),H453,"")</f>
        <v/>
      </c>
      <c r="AD453" s="42" t="str">
        <f>IF(AND(C453=Master!$H$3,B453="2012-2013",E453="",G453="PLN03"),H453,"")</f>
        <v/>
      </c>
      <c r="AE453" s="42" t="str">
        <f>IF(AND(C453=Master!$H$4,B453="2012-2013",E453&gt;1000,G453="PLN03"),H453,"")</f>
        <v/>
      </c>
      <c r="AF453" s="42" t="str">
        <f>IF(AND(C453=Master!$H$4,B453="2012-2013",E453="",G453="PLN03"),H453,"")</f>
        <v/>
      </c>
      <c r="AG453" s="42" t="str">
        <f>IF(AND(C453=Master!$H$5,B453="2012-2013",E453&gt;1000,G453="PLN03"),H453,"")</f>
        <v/>
      </c>
      <c r="AH453" s="42" t="str">
        <f>IF(AND(C453=Master!$H$5,B453="2012-2013",E453="",G453="PLN03"),H453,"")</f>
        <v/>
      </c>
      <c r="AI453" s="42" t="str">
        <f>IF(AND(C453=Master!$H$6,B453="2012-2013",E453&gt;1000,G453="PLN03"),H453,"")</f>
        <v/>
      </c>
      <c r="AJ453" s="42" t="str">
        <f>IF(AND(C453=Master!$H$6,B453="2012-2013",E453="",G453="PLN03"),H453,"")</f>
        <v/>
      </c>
      <c r="AK453" s="42" t="str">
        <f>IF(AND(C453=Master!$H$7,B453="2012-2013",E453&gt;1000,G453="PLN03"),H453,"")</f>
        <v/>
      </c>
      <c r="AL453" s="42" t="str">
        <f>IF(AND(C453=Master!$H$7,B453="2012-2013",E453="",G453="PLN03"),H453,"")</f>
        <v/>
      </c>
      <c r="AM453" s="42" t="str">
        <f>IF(AND(C453=Master!$H$8,B453="2012-2013",E453&gt;1000,G453="PLN03"),H453,"")</f>
        <v/>
      </c>
      <c r="AN453" s="42" t="str">
        <f>IF(AND(C453=Master!$H$8,B453="2012-2013",E453="",G453="PLN03"),H453,"")</f>
        <v/>
      </c>
      <c r="AO453" s="42" t="str">
        <f>IF(AND(C453=Master!$H$9,B453="2012-2013",E453&gt;1000,G453="PLN03"),H453,"")</f>
        <v/>
      </c>
      <c r="AP453" s="42" t="str">
        <f>IF(AND(C453=Master!$H$9,B453="2012-2013",E453="",G453="PLN03"),H453,"")</f>
        <v/>
      </c>
      <c r="AQ453" s="44" t="str">
        <f>IF(AND(C453=Master!$H$1,B453="2012-2013",E453&gt;1000,G453="NPN05"),H453,"")</f>
        <v/>
      </c>
      <c r="AR453" s="44" t="str">
        <f>IF(AND(C453=Master!$H$1,B453="2012-2013",E453="",G453="NPN05"),H453,"")</f>
        <v/>
      </c>
      <c r="AS453" s="44" t="str">
        <f>IF(AND(C453=Master!$H$2,B453="2012-2013",E453&gt;1000,G453="NPN05"),H453,"")</f>
        <v/>
      </c>
      <c r="AT453" s="44" t="str">
        <f>IF(AND(C453=Master!$H$2,B453="2012-2013",E453="",G453="NPN05"),H453,"")</f>
        <v/>
      </c>
      <c r="AU453" s="44" t="str">
        <f>IF(AND(C453=Master!$H$3,B453="2012-2013",E453&gt;1000,G453="NPN05"),H453,"")</f>
        <v/>
      </c>
      <c r="AV453" s="44" t="str">
        <f>IF(AND(C453=Master!$H$3,B453="2012-2013",E453="",G453="NPN05"),H453,"")</f>
        <v/>
      </c>
      <c r="AW453" s="44" t="str">
        <f>IF(AND(C453=Master!$H$4,B453="2012-2013",E453&gt;1000,G453="NPN05"),H453,"")</f>
        <v/>
      </c>
      <c r="AX453" s="44" t="str">
        <f>IF(AND(C453=Master!$H$4,B453="2012-2013",E453="",G453="NPN05"),H453,"")</f>
        <v/>
      </c>
      <c r="AY453" s="44" t="str">
        <f>IF(AND(C453=Master!$H$5,B453="2012-2013",E453&gt;1000,G453="NPN05"),H453,"")</f>
        <v/>
      </c>
      <c r="AZ453" s="44" t="str">
        <f>IF(AND(C453=Master!$H$5,B453="2012-2013",E453="",G453="NPN05"),H453,"")</f>
        <v/>
      </c>
      <c r="BA453" s="44" t="str">
        <f>IF(AND(C453=Master!$H$6,B453="2012-2013",E453&gt;1000,G453="NPN05"),H453,"")</f>
        <v/>
      </c>
      <c r="BB453" s="44" t="str">
        <f>IF(AND(C453=Master!$H$6,B453="2012-2013",E453="",G453="NPN05"),H453,"")</f>
        <v/>
      </c>
      <c r="BC453" s="44" t="str">
        <f>IF(AND(C453=Master!$H$7,B453="2012-2013",E453&gt;1000,G453="NPN05"),H453,"")</f>
        <v/>
      </c>
      <c r="BD453" s="44" t="str">
        <f>IF(AND(C453=Master!$H$7,B453="2012-2013",E453="",G453="NPN05"),H453,"")</f>
        <v/>
      </c>
      <c r="BE453" s="44" t="str">
        <f>IF(AND(C453=Master!$H$8,B453="2012-2013",E453&gt;1000,G453="NPN05"),H453,"")</f>
        <v/>
      </c>
      <c r="BF453" s="44" t="str">
        <f>IF(AND(C453=Master!$H$8,B453="2012-2013",E453="",G453="NPN05"),H453,"")</f>
        <v/>
      </c>
      <c r="BG453" s="44" t="str">
        <f>IF(AND(C453=Master!$H$9,B453="2012-2013",E453&gt;1000,G453="NPN05"),H453,"")</f>
        <v/>
      </c>
      <c r="BH453" s="44" t="str">
        <f>IF(AND(C453=Master!$H$9,B453="2012-2013",E453="",G453="NPN05"),H453,"")</f>
        <v/>
      </c>
    </row>
    <row r="454" spans="1:60" x14ac:dyDescent="0.25">
      <c r="A454" s="5">
        <v>452</v>
      </c>
      <c r="B454" s="12"/>
      <c r="C454" s="12"/>
      <c r="D454" s="31"/>
      <c r="E454" s="4"/>
      <c r="F454" s="13"/>
      <c r="G454" s="21"/>
      <c r="H454" s="35"/>
      <c r="I454" s="21"/>
      <c r="J454" s="25" t="str">
        <f>IF(NOT(I454=""),INDEX(Master!$B$1:$B$46,MATCH(I454,Master!$A$1:$A$46,0)),"")</f>
        <v/>
      </c>
      <c r="K454" s="18"/>
      <c r="L454" s="86"/>
      <c r="M454" s="13"/>
      <c r="N454" s="13"/>
      <c r="O454" s="18"/>
      <c r="P454" s="35"/>
      <c r="Q454" s="21"/>
      <c r="R454" s="21"/>
      <c r="S454" s="13"/>
      <c r="T454" s="12"/>
      <c r="U454" s="12"/>
      <c r="V454" s="12"/>
      <c r="W454" s="14"/>
      <c r="Y454" s="42" t="str">
        <f>IF(AND(C454=Master!$H$1,B454="2012-2013",E454&gt;1000,G454="PLN03"),H454,"")</f>
        <v/>
      </c>
      <c r="Z454" s="42" t="str">
        <f>IF(AND(C454=Master!$H$1,B454="2012-2013",E454="",G454="PLN03"),H454,"")</f>
        <v/>
      </c>
      <c r="AA454" s="42" t="str">
        <f>IF(AND(C454=Master!$H$2,B454="2012-2013",E454&gt;1000,G454="PLN03"),H454,"")</f>
        <v/>
      </c>
      <c r="AB454" s="42" t="str">
        <f>IF(AND(C454=Master!$H$2,B454="2012-2013",E454="",G454="PLN03"),H454,"")</f>
        <v/>
      </c>
      <c r="AC454" s="42" t="str">
        <f>IF(AND(C454=Master!$H$3,B454="2012-2013",E454&gt;1000,G454="PLN03"),H454,"")</f>
        <v/>
      </c>
      <c r="AD454" s="42" t="str">
        <f>IF(AND(C454=Master!$H$3,B454="2012-2013",E454="",G454="PLN03"),H454,"")</f>
        <v/>
      </c>
      <c r="AE454" s="42" t="str">
        <f>IF(AND(C454=Master!$H$4,B454="2012-2013",E454&gt;1000,G454="PLN03"),H454,"")</f>
        <v/>
      </c>
      <c r="AF454" s="42" t="str">
        <f>IF(AND(C454=Master!$H$4,B454="2012-2013",E454="",G454="PLN03"),H454,"")</f>
        <v/>
      </c>
      <c r="AG454" s="42" t="str">
        <f>IF(AND(C454=Master!$H$5,B454="2012-2013",E454&gt;1000,G454="PLN03"),H454,"")</f>
        <v/>
      </c>
      <c r="AH454" s="42" t="str">
        <f>IF(AND(C454=Master!$H$5,B454="2012-2013",E454="",G454="PLN03"),H454,"")</f>
        <v/>
      </c>
      <c r="AI454" s="42" t="str">
        <f>IF(AND(C454=Master!$H$6,B454="2012-2013",E454&gt;1000,G454="PLN03"),H454,"")</f>
        <v/>
      </c>
      <c r="AJ454" s="42" t="str">
        <f>IF(AND(C454=Master!$H$6,B454="2012-2013",E454="",G454="PLN03"),H454,"")</f>
        <v/>
      </c>
      <c r="AK454" s="42" t="str">
        <f>IF(AND(C454=Master!$H$7,B454="2012-2013",E454&gt;1000,G454="PLN03"),H454,"")</f>
        <v/>
      </c>
      <c r="AL454" s="42" t="str">
        <f>IF(AND(C454=Master!$H$7,B454="2012-2013",E454="",G454="PLN03"),H454,"")</f>
        <v/>
      </c>
      <c r="AM454" s="42" t="str">
        <f>IF(AND(C454=Master!$H$8,B454="2012-2013",E454&gt;1000,G454="PLN03"),H454,"")</f>
        <v/>
      </c>
      <c r="AN454" s="42" t="str">
        <f>IF(AND(C454=Master!$H$8,B454="2012-2013",E454="",G454="PLN03"),H454,"")</f>
        <v/>
      </c>
      <c r="AO454" s="42" t="str">
        <f>IF(AND(C454=Master!$H$9,B454="2012-2013",E454&gt;1000,G454="PLN03"),H454,"")</f>
        <v/>
      </c>
      <c r="AP454" s="42" t="str">
        <f>IF(AND(C454=Master!$H$9,B454="2012-2013",E454="",G454="PLN03"),H454,"")</f>
        <v/>
      </c>
      <c r="AQ454" s="44" t="str">
        <f>IF(AND(C454=Master!$H$1,B454="2012-2013",E454&gt;1000,G454="NPN05"),H454,"")</f>
        <v/>
      </c>
      <c r="AR454" s="44" t="str">
        <f>IF(AND(C454=Master!$H$1,B454="2012-2013",E454="",G454="NPN05"),H454,"")</f>
        <v/>
      </c>
      <c r="AS454" s="44" t="str">
        <f>IF(AND(C454=Master!$H$2,B454="2012-2013",E454&gt;1000,G454="NPN05"),H454,"")</f>
        <v/>
      </c>
      <c r="AT454" s="44" t="str">
        <f>IF(AND(C454=Master!$H$2,B454="2012-2013",E454="",G454="NPN05"),H454,"")</f>
        <v/>
      </c>
      <c r="AU454" s="44" t="str">
        <f>IF(AND(C454=Master!$H$3,B454="2012-2013",E454&gt;1000,G454="NPN05"),H454,"")</f>
        <v/>
      </c>
      <c r="AV454" s="44" t="str">
        <f>IF(AND(C454=Master!$H$3,B454="2012-2013",E454="",G454="NPN05"),H454,"")</f>
        <v/>
      </c>
      <c r="AW454" s="44" t="str">
        <f>IF(AND(C454=Master!$H$4,B454="2012-2013",E454&gt;1000,G454="NPN05"),H454,"")</f>
        <v/>
      </c>
      <c r="AX454" s="44" t="str">
        <f>IF(AND(C454=Master!$H$4,B454="2012-2013",E454="",G454="NPN05"),H454,"")</f>
        <v/>
      </c>
      <c r="AY454" s="44" t="str">
        <f>IF(AND(C454=Master!$H$5,B454="2012-2013",E454&gt;1000,G454="NPN05"),H454,"")</f>
        <v/>
      </c>
      <c r="AZ454" s="44" t="str">
        <f>IF(AND(C454=Master!$H$5,B454="2012-2013",E454="",G454="NPN05"),H454,"")</f>
        <v/>
      </c>
      <c r="BA454" s="44" t="str">
        <f>IF(AND(C454=Master!$H$6,B454="2012-2013",E454&gt;1000,G454="NPN05"),H454,"")</f>
        <v/>
      </c>
      <c r="BB454" s="44" t="str">
        <f>IF(AND(C454=Master!$H$6,B454="2012-2013",E454="",G454="NPN05"),H454,"")</f>
        <v/>
      </c>
      <c r="BC454" s="44" t="str">
        <f>IF(AND(C454=Master!$H$7,B454="2012-2013",E454&gt;1000,G454="NPN05"),H454,"")</f>
        <v/>
      </c>
      <c r="BD454" s="44" t="str">
        <f>IF(AND(C454=Master!$H$7,B454="2012-2013",E454="",G454="NPN05"),H454,"")</f>
        <v/>
      </c>
      <c r="BE454" s="44" t="str">
        <f>IF(AND(C454=Master!$H$8,B454="2012-2013",E454&gt;1000,G454="NPN05"),H454,"")</f>
        <v/>
      </c>
      <c r="BF454" s="44" t="str">
        <f>IF(AND(C454=Master!$H$8,B454="2012-2013",E454="",G454="NPN05"),H454,"")</f>
        <v/>
      </c>
      <c r="BG454" s="44" t="str">
        <f>IF(AND(C454=Master!$H$9,B454="2012-2013",E454&gt;1000,G454="NPN05"),H454,"")</f>
        <v/>
      </c>
      <c r="BH454" s="44" t="str">
        <f>IF(AND(C454=Master!$H$9,B454="2012-2013",E454="",G454="NPN05"),H454,"")</f>
        <v/>
      </c>
    </row>
    <row r="455" spans="1:60" x14ac:dyDescent="0.25">
      <c r="A455" s="3">
        <v>453</v>
      </c>
      <c r="B455" s="12"/>
      <c r="C455" s="12"/>
      <c r="D455" s="31"/>
      <c r="E455" s="4"/>
      <c r="F455" s="13"/>
      <c r="G455" s="21"/>
      <c r="H455" s="35"/>
      <c r="I455" s="21"/>
      <c r="J455" s="25" t="str">
        <f>IF(NOT(I455=""),INDEX(Master!$B$1:$B$46,MATCH(I455,Master!$A$1:$A$46,0)),"")</f>
        <v/>
      </c>
      <c r="K455" s="18"/>
      <c r="L455" s="86"/>
      <c r="M455" s="13"/>
      <c r="N455" s="13"/>
      <c r="O455" s="18"/>
      <c r="P455" s="35"/>
      <c r="Q455" s="21"/>
      <c r="R455" s="21"/>
      <c r="S455" s="13"/>
      <c r="T455" s="12"/>
      <c r="U455" s="12"/>
      <c r="V455" s="12"/>
      <c r="W455" s="14"/>
      <c r="Y455" s="42" t="str">
        <f>IF(AND(C455=Master!$H$1,B455="2012-2013",E455&gt;1000,G455="PLN03"),H455,"")</f>
        <v/>
      </c>
      <c r="Z455" s="42" t="str">
        <f>IF(AND(C455=Master!$H$1,B455="2012-2013",E455="",G455="PLN03"),H455,"")</f>
        <v/>
      </c>
      <c r="AA455" s="42" t="str">
        <f>IF(AND(C455=Master!$H$2,B455="2012-2013",E455&gt;1000,G455="PLN03"),H455,"")</f>
        <v/>
      </c>
      <c r="AB455" s="42" t="str">
        <f>IF(AND(C455=Master!$H$2,B455="2012-2013",E455="",G455="PLN03"),H455,"")</f>
        <v/>
      </c>
      <c r="AC455" s="42" t="str">
        <f>IF(AND(C455=Master!$H$3,B455="2012-2013",E455&gt;1000,G455="PLN03"),H455,"")</f>
        <v/>
      </c>
      <c r="AD455" s="42" t="str">
        <f>IF(AND(C455=Master!$H$3,B455="2012-2013",E455="",G455="PLN03"),H455,"")</f>
        <v/>
      </c>
      <c r="AE455" s="42" t="str">
        <f>IF(AND(C455=Master!$H$4,B455="2012-2013",E455&gt;1000,G455="PLN03"),H455,"")</f>
        <v/>
      </c>
      <c r="AF455" s="42" t="str">
        <f>IF(AND(C455=Master!$H$4,B455="2012-2013",E455="",G455="PLN03"),H455,"")</f>
        <v/>
      </c>
      <c r="AG455" s="42" t="str">
        <f>IF(AND(C455=Master!$H$5,B455="2012-2013",E455&gt;1000,G455="PLN03"),H455,"")</f>
        <v/>
      </c>
      <c r="AH455" s="42" t="str">
        <f>IF(AND(C455=Master!$H$5,B455="2012-2013",E455="",G455="PLN03"),H455,"")</f>
        <v/>
      </c>
      <c r="AI455" s="42" t="str">
        <f>IF(AND(C455=Master!$H$6,B455="2012-2013",E455&gt;1000,G455="PLN03"),H455,"")</f>
        <v/>
      </c>
      <c r="AJ455" s="42" t="str">
        <f>IF(AND(C455=Master!$H$6,B455="2012-2013",E455="",G455="PLN03"),H455,"")</f>
        <v/>
      </c>
      <c r="AK455" s="42" t="str">
        <f>IF(AND(C455=Master!$H$7,B455="2012-2013",E455&gt;1000,G455="PLN03"),H455,"")</f>
        <v/>
      </c>
      <c r="AL455" s="42" t="str">
        <f>IF(AND(C455=Master!$H$7,B455="2012-2013",E455="",G455="PLN03"),H455,"")</f>
        <v/>
      </c>
      <c r="AM455" s="42" t="str">
        <f>IF(AND(C455=Master!$H$8,B455="2012-2013",E455&gt;1000,G455="PLN03"),H455,"")</f>
        <v/>
      </c>
      <c r="AN455" s="42" t="str">
        <f>IF(AND(C455=Master!$H$8,B455="2012-2013",E455="",G455="PLN03"),H455,"")</f>
        <v/>
      </c>
      <c r="AO455" s="42" t="str">
        <f>IF(AND(C455=Master!$H$9,B455="2012-2013",E455&gt;1000,G455="PLN03"),H455,"")</f>
        <v/>
      </c>
      <c r="AP455" s="42" t="str">
        <f>IF(AND(C455=Master!$H$9,B455="2012-2013",E455="",G455="PLN03"),H455,"")</f>
        <v/>
      </c>
      <c r="AQ455" s="44" t="str">
        <f>IF(AND(C455=Master!$H$1,B455="2012-2013",E455&gt;1000,G455="NPN05"),H455,"")</f>
        <v/>
      </c>
      <c r="AR455" s="44" t="str">
        <f>IF(AND(C455=Master!$H$1,B455="2012-2013",E455="",G455="NPN05"),H455,"")</f>
        <v/>
      </c>
      <c r="AS455" s="44" t="str">
        <f>IF(AND(C455=Master!$H$2,B455="2012-2013",E455&gt;1000,G455="NPN05"),H455,"")</f>
        <v/>
      </c>
      <c r="AT455" s="44" t="str">
        <f>IF(AND(C455=Master!$H$2,B455="2012-2013",E455="",G455="NPN05"),H455,"")</f>
        <v/>
      </c>
      <c r="AU455" s="44" t="str">
        <f>IF(AND(C455=Master!$H$3,B455="2012-2013",E455&gt;1000,G455="NPN05"),H455,"")</f>
        <v/>
      </c>
      <c r="AV455" s="44" t="str">
        <f>IF(AND(C455=Master!$H$3,B455="2012-2013",E455="",G455="NPN05"),H455,"")</f>
        <v/>
      </c>
      <c r="AW455" s="44" t="str">
        <f>IF(AND(C455=Master!$H$4,B455="2012-2013",E455&gt;1000,G455="NPN05"),H455,"")</f>
        <v/>
      </c>
      <c r="AX455" s="44" t="str">
        <f>IF(AND(C455=Master!$H$4,B455="2012-2013",E455="",G455="NPN05"),H455,"")</f>
        <v/>
      </c>
      <c r="AY455" s="44" t="str">
        <f>IF(AND(C455=Master!$H$5,B455="2012-2013",E455&gt;1000,G455="NPN05"),H455,"")</f>
        <v/>
      </c>
      <c r="AZ455" s="44" t="str">
        <f>IF(AND(C455=Master!$H$5,B455="2012-2013",E455="",G455="NPN05"),H455,"")</f>
        <v/>
      </c>
      <c r="BA455" s="44" t="str">
        <f>IF(AND(C455=Master!$H$6,B455="2012-2013",E455&gt;1000,G455="NPN05"),H455,"")</f>
        <v/>
      </c>
      <c r="BB455" s="44" t="str">
        <f>IF(AND(C455=Master!$H$6,B455="2012-2013",E455="",G455="NPN05"),H455,"")</f>
        <v/>
      </c>
      <c r="BC455" s="44" t="str">
        <f>IF(AND(C455=Master!$H$7,B455="2012-2013",E455&gt;1000,G455="NPN05"),H455,"")</f>
        <v/>
      </c>
      <c r="BD455" s="44" t="str">
        <f>IF(AND(C455=Master!$H$7,B455="2012-2013",E455="",G455="NPN05"),H455,"")</f>
        <v/>
      </c>
      <c r="BE455" s="44" t="str">
        <f>IF(AND(C455=Master!$H$8,B455="2012-2013",E455&gt;1000,G455="NPN05"),H455,"")</f>
        <v/>
      </c>
      <c r="BF455" s="44" t="str">
        <f>IF(AND(C455=Master!$H$8,B455="2012-2013",E455="",G455="NPN05"),H455,"")</f>
        <v/>
      </c>
      <c r="BG455" s="44" t="str">
        <f>IF(AND(C455=Master!$H$9,B455="2012-2013",E455&gt;1000,G455="NPN05"),H455,"")</f>
        <v/>
      </c>
      <c r="BH455" s="44" t="str">
        <f>IF(AND(C455=Master!$H$9,B455="2012-2013",E455="",G455="NPN05"),H455,"")</f>
        <v/>
      </c>
    </row>
    <row r="456" spans="1:60" x14ac:dyDescent="0.25">
      <c r="A456" s="3">
        <v>454</v>
      </c>
      <c r="B456" s="12"/>
      <c r="C456" s="12"/>
      <c r="D456" s="31"/>
      <c r="E456" s="4"/>
      <c r="F456" s="13"/>
      <c r="G456" s="21"/>
      <c r="H456" s="35"/>
      <c r="I456" s="21"/>
      <c r="J456" s="25" t="str">
        <f>IF(NOT(I456=""),INDEX(Master!$B$1:$B$46,MATCH(I456,Master!$A$1:$A$46,0)),"")</f>
        <v/>
      </c>
      <c r="K456" s="18"/>
      <c r="L456" s="86"/>
      <c r="M456" s="13"/>
      <c r="N456" s="13"/>
      <c r="O456" s="18"/>
      <c r="P456" s="35"/>
      <c r="Q456" s="21"/>
      <c r="R456" s="21"/>
      <c r="S456" s="13"/>
      <c r="T456" s="12"/>
      <c r="U456" s="12"/>
      <c r="V456" s="12"/>
      <c r="W456" s="14"/>
      <c r="Y456" s="42" t="str">
        <f>IF(AND(C456=Master!$H$1,B456="2012-2013",E456&gt;1000,G456="PLN03"),H456,"")</f>
        <v/>
      </c>
      <c r="Z456" s="42" t="str">
        <f>IF(AND(C456=Master!$H$1,B456="2012-2013",E456="",G456="PLN03"),H456,"")</f>
        <v/>
      </c>
      <c r="AA456" s="42" t="str">
        <f>IF(AND(C456=Master!$H$2,B456="2012-2013",E456&gt;1000,G456="PLN03"),H456,"")</f>
        <v/>
      </c>
      <c r="AB456" s="42" t="str">
        <f>IF(AND(C456=Master!$H$2,B456="2012-2013",E456="",G456="PLN03"),H456,"")</f>
        <v/>
      </c>
      <c r="AC456" s="42" t="str">
        <f>IF(AND(C456=Master!$H$3,B456="2012-2013",E456&gt;1000,G456="PLN03"),H456,"")</f>
        <v/>
      </c>
      <c r="AD456" s="42" t="str">
        <f>IF(AND(C456=Master!$H$3,B456="2012-2013",E456="",G456="PLN03"),H456,"")</f>
        <v/>
      </c>
      <c r="AE456" s="42" t="str">
        <f>IF(AND(C456=Master!$H$4,B456="2012-2013",E456&gt;1000,G456="PLN03"),H456,"")</f>
        <v/>
      </c>
      <c r="AF456" s="42" t="str">
        <f>IF(AND(C456=Master!$H$4,B456="2012-2013",E456="",G456="PLN03"),H456,"")</f>
        <v/>
      </c>
      <c r="AG456" s="42" t="str">
        <f>IF(AND(C456=Master!$H$5,B456="2012-2013",E456&gt;1000,G456="PLN03"),H456,"")</f>
        <v/>
      </c>
      <c r="AH456" s="42" t="str">
        <f>IF(AND(C456=Master!$H$5,B456="2012-2013",E456="",G456="PLN03"),H456,"")</f>
        <v/>
      </c>
      <c r="AI456" s="42" t="str">
        <f>IF(AND(C456=Master!$H$6,B456="2012-2013",E456&gt;1000,G456="PLN03"),H456,"")</f>
        <v/>
      </c>
      <c r="AJ456" s="42" t="str">
        <f>IF(AND(C456=Master!$H$6,B456="2012-2013",E456="",G456="PLN03"),H456,"")</f>
        <v/>
      </c>
      <c r="AK456" s="42" t="str">
        <f>IF(AND(C456=Master!$H$7,B456="2012-2013",E456&gt;1000,G456="PLN03"),H456,"")</f>
        <v/>
      </c>
      <c r="AL456" s="42" t="str">
        <f>IF(AND(C456=Master!$H$7,B456="2012-2013",E456="",G456="PLN03"),H456,"")</f>
        <v/>
      </c>
      <c r="AM456" s="42" t="str">
        <f>IF(AND(C456=Master!$H$8,B456="2012-2013",E456&gt;1000,G456="PLN03"),H456,"")</f>
        <v/>
      </c>
      <c r="AN456" s="42" t="str">
        <f>IF(AND(C456=Master!$H$8,B456="2012-2013",E456="",G456="PLN03"),H456,"")</f>
        <v/>
      </c>
      <c r="AO456" s="42" t="str">
        <f>IF(AND(C456=Master!$H$9,B456="2012-2013",E456&gt;1000,G456="PLN03"),H456,"")</f>
        <v/>
      </c>
      <c r="AP456" s="42" t="str">
        <f>IF(AND(C456=Master!$H$9,B456="2012-2013",E456="",G456="PLN03"),H456,"")</f>
        <v/>
      </c>
      <c r="AQ456" s="44" t="str">
        <f>IF(AND(C456=Master!$H$1,B456="2012-2013",E456&gt;1000,G456="NPN05"),H456,"")</f>
        <v/>
      </c>
      <c r="AR456" s="44" t="str">
        <f>IF(AND(C456=Master!$H$1,B456="2012-2013",E456="",G456="NPN05"),H456,"")</f>
        <v/>
      </c>
      <c r="AS456" s="44" t="str">
        <f>IF(AND(C456=Master!$H$2,B456="2012-2013",E456&gt;1000,G456="NPN05"),H456,"")</f>
        <v/>
      </c>
      <c r="AT456" s="44" t="str">
        <f>IF(AND(C456=Master!$H$2,B456="2012-2013",E456="",G456="NPN05"),H456,"")</f>
        <v/>
      </c>
      <c r="AU456" s="44" t="str">
        <f>IF(AND(C456=Master!$H$3,B456="2012-2013",E456&gt;1000,G456="NPN05"),H456,"")</f>
        <v/>
      </c>
      <c r="AV456" s="44" t="str">
        <f>IF(AND(C456=Master!$H$3,B456="2012-2013",E456="",G456="NPN05"),H456,"")</f>
        <v/>
      </c>
      <c r="AW456" s="44" t="str">
        <f>IF(AND(C456=Master!$H$4,B456="2012-2013",E456&gt;1000,G456="NPN05"),H456,"")</f>
        <v/>
      </c>
      <c r="AX456" s="44" t="str">
        <f>IF(AND(C456=Master!$H$4,B456="2012-2013",E456="",G456="NPN05"),H456,"")</f>
        <v/>
      </c>
      <c r="AY456" s="44" t="str">
        <f>IF(AND(C456=Master!$H$5,B456="2012-2013",E456&gt;1000,G456="NPN05"),H456,"")</f>
        <v/>
      </c>
      <c r="AZ456" s="44" t="str">
        <f>IF(AND(C456=Master!$H$5,B456="2012-2013",E456="",G456="NPN05"),H456,"")</f>
        <v/>
      </c>
      <c r="BA456" s="44" t="str">
        <f>IF(AND(C456=Master!$H$6,B456="2012-2013",E456&gt;1000,G456="NPN05"),H456,"")</f>
        <v/>
      </c>
      <c r="BB456" s="44" t="str">
        <f>IF(AND(C456=Master!$H$6,B456="2012-2013",E456="",G456="NPN05"),H456,"")</f>
        <v/>
      </c>
      <c r="BC456" s="44" t="str">
        <f>IF(AND(C456=Master!$H$7,B456="2012-2013",E456&gt;1000,G456="NPN05"),H456,"")</f>
        <v/>
      </c>
      <c r="BD456" s="44" t="str">
        <f>IF(AND(C456=Master!$H$7,B456="2012-2013",E456="",G456="NPN05"),H456,"")</f>
        <v/>
      </c>
      <c r="BE456" s="44" t="str">
        <f>IF(AND(C456=Master!$H$8,B456="2012-2013",E456&gt;1000,G456="NPN05"),H456,"")</f>
        <v/>
      </c>
      <c r="BF456" s="44" t="str">
        <f>IF(AND(C456=Master!$H$8,B456="2012-2013",E456="",G456="NPN05"),H456,"")</f>
        <v/>
      </c>
      <c r="BG456" s="44" t="str">
        <f>IF(AND(C456=Master!$H$9,B456="2012-2013",E456&gt;1000,G456="NPN05"),H456,"")</f>
        <v/>
      </c>
      <c r="BH456" s="44" t="str">
        <f>IF(AND(C456=Master!$H$9,B456="2012-2013",E456="",G456="NPN05"),H456,"")</f>
        <v/>
      </c>
    </row>
    <row r="457" spans="1:60" x14ac:dyDescent="0.25">
      <c r="A457" s="3">
        <v>455</v>
      </c>
      <c r="B457" s="12"/>
      <c r="C457" s="12"/>
      <c r="D457" s="31"/>
      <c r="E457" s="4"/>
      <c r="F457" s="13"/>
      <c r="G457" s="21"/>
      <c r="H457" s="35"/>
      <c r="I457" s="21"/>
      <c r="J457" s="25" t="str">
        <f>IF(NOT(I457=""),INDEX(Master!$B$1:$B$46,MATCH(I457,Master!$A$1:$A$46,0)),"")</f>
        <v/>
      </c>
      <c r="K457" s="18"/>
      <c r="L457" s="86"/>
      <c r="M457" s="13"/>
      <c r="N457" s="13"/>
      <c r="O457" s="18"/>
      <c r="P457" s="35"/>
      <c r="Q457" s="21"/>
      <c r="R457" s="21"/>
      <c r="S457" s="13"/>
      <c r="T457" s="12"/>
      <c r="U457" s="12"/>
      <c r="V457" s="12"/>
      <c r="W457" s="14"/>
      <c r="Y457" s="42" t="str">
        <f>IF(AND(C457=Master!$H$1,B457="2012-2013",E457&gt;1000,G457="PLN03"),H457,"")</f>
        <v/>
      </c>
      <c r="Z457" s="42" t="str">
        <f>IF(AND(C457=Master!$H$1,B457="2012-2013",E457="",G457="PLN03"),H457,"")</f>
        <v/>
      </c>
      <c r="AA457" s="42" t="str">
        <f>IF(AND(C457=Master!$H$2,B457="2012-2013",E457&gt;1000,G457="PLN03"),H457,"")</f>
        <v/>
      </c>
      <c r="AB457" s="42" t="str">
        <f>IF(AND(C457=Master!$H$2,B457="2012-2013",E457="",G457="PLN03"),H457,"")</f>
        <v/>
      </c>
      <c r="AC457" s="42" t="str">
        <f>IF(AND(C457=Master!$H$3,B457="2012-2013",E457&gt;1000,G457="PLN03"),H457,"")</f>
        <v/>
      </c>
      <c r="AD457" s="42" t="str">
        <f>IF(AND(C457=Master!$H$3,B457="2012-2013",E457="",G457="PLN03"),H457,"")</f>
        <v/>
      </c>
      <c r="AE457" s="42" t="str">
        <f>IF(AND(C457=Master!$H$4,B457="2012-2013",E457&gt;1000,G457="PLN03"),H457,"")</f>
        <v/>
      </c>
      <c r="AF457" s="42" t="str">
        <f>IF(AND(C457=Master!$H$4,B457="2012-2013",E457="",G457="PLN03"),H457,"")</f>
        <v/>
      </c>
      <c r="AG457" s="42" t="str">
        <f>IF(AND(C457=Master!$H$5,B457="2012-2013",E457&gt;1000,G457="PLN03"),H457,"")</f>
        <v/>
      </c>
      <c r="AH457" s="42" t="str">
        <f>IF(AND(C457=Master!$H$5,B457="2012-2013",E457="",G457="PLN03"),H457,"")</f>
        <v/>
      </c>
      <c r="AI457" s="42" t="str">
        <f>IF(AND(C457=Master!$H$6,B457="2012-2013",E457&gt;1000,G457="PLN03"),H457,"")</f>
        <v/>
      </c>
      <c r="AJ457" s="42" t="str">
        <f>IF(AND(C457=Master!$H$6,B457="2012-2013",E457="",G457="PLN03"),H457,"")</f>
        <v/>
      </c>
      <c r="AK457" s="42" t="str">
        <f>IF(AND(C457=Master!$H$7,B457="2012-2013",E457&gt;1000,G457="PLN03"),H457,"")</f>
        <v/>
      </c>
      <c r="AL457" s="42" t="str">
        <f>IF(AND(C457=Master!$H$7,B457="2012-2013",E457="",G457="PLN03"),H457,"")</f>
        <v/>
      </c>
      <c r="AM457" s="42" t="str">
        <f>IF(AND(C457=Master!$H$8,B457="2012-2013",E457&gt;1000,G457="PLN03"),H457,"")</f>
        <v/>
      </c>
      <c r="AN457" s="42" t="str">
        <f>IF(AND(C457=Master!$H$8,B457="2012-2013",E457="",G457="PLN03"),H457,"")</f>
        <v/>
      </c>
      <c r="AO457" s="42" t="str">
        <f>IF(AND(C457=Master!$H$9,B457="2012-2013",E457&gt;1000,G457="PLN03"),H457,"")</f>
        <v/>
      </c>
      <c r="AP457" s="42" t="str">
        <f>IF(AND(C457=Master!$H$9,B457="2012-2013",E457="",G457="PLN03"),H457,"")</f>
        <v/>
      </c>
      <c r="AQ457" s="44" t="str">
        <f>IF(AND(C457=Master!$H$1,B457="2012-2013",E457&gt;1000,G457="NPN05"),H457,"")</f>
        <v/>
      </c>
      <c r="AR457" s="44" t="str">
        <f>IF(AND(C457=Master!$H$1,B457="2012-2013",E457="",G457="NPN05"),H457,"")</f>
        <v/>
      </c>
      <c r="AS457" s="44" t="str">
        <f>IF(AND(C457=Master!$H$2,B457="2012-2013",E457&gt;1000,G457="NPN05"),H457,"")</f>
        <v/>
      </c>
      <c r="AT457" s="44" t="str">
        <f>IF(AND(C457=Master!$H$2,B457="2012-2013",E457="",G457="NPN05"),H457,"")</f>
        <v/>
      </c>
      <c r="AU457" s="44" t="str">
        <f>IF(AND(C457=Master!$H$3,B457="2012-2013",E457&gt;1000,G457="NPN05"),H457,"")</f>
        <v/>
      </c>
      <c r="AV457" s="44" t="str">
        <f>IF(AND(C457=Master!$H$3,B457="2012-2013",E457="",G457="NPN05"),H457,"")</f>
        <v/>
      </c>
      <c r="AW457" s="44" t="str">
        <f>IF(AND(C457=Master!$H$4,B457="2012-2013",E457&gt;1000,G457="NPN05"),H457,"")</f>
        <v/>
      </c>
      <c r="AX457" s="44" t="str">
        <f>IF(AND(C457=Master!$H$4,B457="2012-2013",E457="",G457="NPN05"),H457,"")</f>
        <v/>
      </c>
      <c r="AY457" s="44" t="str">
        <f>IF(AND(C457=Master!$H$5,B457="2012-2013",E457&gt;1000,G457="NPN05"),H457,"")</f>
        <v/>
      </c>
      <c r="AZ457" s="44" t="str">
        <f>IF(AND(C457=Master!$H$5,B457="2012-2013",E457="",G457="NPN05"),H457,"")</f>
        <v/>
      </c>
      <c r="BA457" s="44" t="str">
        <f>IF(AND(C457=Master!$H$6,B457="2012-2013",E457&gt;1000,G457="NPN05"),H457,"")</f>
        <v/>
      </c>
      <c r="BB457" s="44" t="str">
        <f>IF(AND(C457=Master!$H$6,B457="2012-2013",E457="",G457="NPN05"),H457,"")</f>
        <v/>
      </c>
      <c r="BC457" s="44" t="str">
        <f>IF(AND(C457=Master!$H$7,B457="2012-2013",E457&gt;1000,G457="NPN05"),H457,"")</f>
        <v/>
      </c>
      <c r="BD457" s="44" t="str">
        <f>IF(AND(C457=Master!$H$7,B457="2012-2013",E457="",G457="NPN05"),H457,"")</f>
        <v/>
      </c>
      <c r="BE457" s="44" t="str">
        <f>IF(AND(C457=Master!$H$8,B457="2012-2013",E457&gt;1000,G457="NPN05"),H457,"")</f>
        <v/>
      </c>
      <c r="BF457" s="44" t="str">
        <f>IF(AND(C457=Master!$H$8,B457="2012-2013",E457="",G457="NPN05"),H457,"")</f>
        <v/>
      </c>
      <c r="BG457" s="44" t="str">
        <f>IF(AND(C457=Master!$H$9,B457="2012-2013",E457&gt;1000,G457="NPN05"),H457,"")</f>
        <v/>
      </c>
      <c r="BH457" s="44" t="str">
        <f>IF(AND(C457=Master!$H$9,B457="2012-2013",E457="",G457="NPN05"),H457,"")</f>
        <v/>
      </c>
    </row>
    <row r="458" spans="1:60" x14ac:dyDescent="0.25">
      <c r="A458" s="3">
        <v>456</v>
      </c>
      <c r="B458" s="12"/>
      <c r="C458" s="12"/>
      <c r="D458" s="31"/>
      <c r="E458" s="4"/>
      <c r="F458" s="13"/>
      <c r="G458" s="21"/>
      <c r="H458" s="35"/>
      <c r="I458" s="21"/>
      <c r="J458" s="25" t="str">
        <f>IF(NOT(I458=""),INDEX(Master!$B$1:$B$46,MATCH(I458,Master!$A$1:$A$46,0)),"")</f>
        <v/>
      </c>
      <c r="K458" s="18"/>
      <c r="L458" s="86"/>
      <c r="M458" s="13"/>
      <c r="N458" s="13"/>
      <c r="O458" s="18"/>
      <c r="P458" s="35"/>
      <c r="Q458" s="21"/>
      <c r="R458" s="21"/>
      <c r="S458" s="13"/>
      <c r="T458" s="12"/>
      <c r="U458" s="12"/>
      <c r="V458" s="12"/>
      <c r="W458" s="14"/>
      <c r="Y458" s="42" t="str">
        <f>IF(AND(C458=Master!$H$1,B458="2012-2013",E458&gt;1000,G458="PLN03"),H458,"")</f>
        <v/>
      </c>
      <c r="Z458" s="42" t="str">
        <f>IF(AND(C458=Master!$H$1,B458="2012-2013",E458="",G458="PLN03"),H458,"")</f>
        <v/>
      </c>
      <c r="AA458" s="42" t="str">
        <f>IF(AND(C458=Master!$H$2,B458="2012-2013",E458&gt;1000,G458="PLN03"),H458,"")</f>
        <v/>
      </c>
      <c r="AB458" s="42" t="str">
        <f>IF(AND(C458=Master!$H$2,B458="2012-2013",E458="",G458="PLN03"),H458,"")</f>
        <v/>
      </c>
      <c r="AC458" s="42" t="str">
        <f>IF(AND(C458=Master!$H$3,B458="2012-2013",E458&gt;1000,G458="PLN03"),H458,"")</f>
        <v/>
      </c>
      <c r="AD458" s="42" t="str">
        <f>IF(AND(C458=Master!$H$3,B458="2012-2013",E458="",G458="PLN03"),H458,"")</f>
        <v/>
      </c>
      <c r="AE458" s="42" t="str">
        <f>IF(AND(C458=Master!$H$4,B458="2012-2013",E458&gt;1000,G458="PLN03"),H458,"")</f>
        <v/>
      </c>
      <c r="AF458" s="42" t="str">
        <f>IF(AND(C458=Master!$H$4,B458="2012-2013",E458="",G458="PLN03"),H458,"")</f>
        <v/>
      </c>
      <c r="AG458" s="42" t="str">
        <f>IF(AND(C458=Master!$H$5,B458="2012-2013",E458&gt;1000,G458="PLN03"),H458,"")</f>
        <v/>
      </c>
      <c r="AH458" s="42" t="str">
        <f>IF(AND(C458=Master!$H$5,B458="2012-2013",E458="",G458="PLN03"),H458,"")</f>
        <v/>
      </c>
      <c r="AI458" s="42" t="str">
        <f>IF(AND(C458=Master!$H$6,B458="2012-2013",E458&gt;1000,G458="PLN03"),H458,"")</f>
        <v/>
      </c>
      <c r="AJ458" s="42" t="str">
        <f>IF(AND(C458=Master!$H$6,B458="2012-2013",E458="",G458="PLN03"),H458,"")</f>
        <v/>
      </c>
      <c r="AK458" s="42" t="str">
        <f>IF(AND(C458=Master!$H$7,B458="2012-2013",E458&gt;1000,G458="PLN03"),H458,"")</f>
        <v/>
      </c>
      <c r="AL458" s="42" t="str">
        <f>IF(AND(C458=Master!$H$7,B458="2012-2013",E458="",G458="PLN03"),H458,"")</f>
        <v/>
      </c>
      <c r="AM458" s="42" t="str">
        <f>IF(AND(C458=Master!$H$8,B458="2012-2013",E458&gt;1000,G458="PLN03"),H458,"")</f>
        <v/>
      </c>
      <c r="AN458" s="42" t="str">
        <f>IF(AND(C458=Master!$H$8,B458="2012-2013",E458="",G458="PLN03"),H458,"")</f>
        <v/>
      </c>
      <c r="AO458" s="42" t="str">
        <f>IF(AND(C458=Master!$H$9,B458="2012-2013",E458&gt;1000,G458="PLN03"),H458,"")</f>
        <v/>
      </c>
      <c r="AP458" s="42" t="str">
        <f>IF(AND(C458=Master!$H$9,B458="2012-2013",E458="",G458="PLN03"),H458,"")</f>
        <v/>
      </c>
      <c r="AQ458" s="44" t="str">
        <f>IF(AND(C458=Master!$H$1,B458="2012-2013",E458&gt;1000,G458="NPN05"),H458,"")</f>
        <v/>
      </c>
      <c r="AR458" s="44" t="str">
        <f>IF(AND(C458=Master!$H$1,B458="2012-2013",E458="",G458="NPN05"),H458,"")</f>
        <v/>
      </c>
      <c r="AS458" s="44" t="str">
        <f>IF(AND(C458=Master!$H$2,B458="2012-2013",E458&gt;1000,G458="NPN05"),H458,"")</f>
        <v/>
      </c>
      <c r="AT458" s="44" t="str">
        <f>IF(AND(C458=Master!$H$2,B458="2012-2013",E458="",G458="NPN05"),H458,"")</f>
        <v/>
      </c>
      <c r="AU458" s="44" t="str">
        <f>IF(AND(C458=Master!$H$3,B458="2012-2013",E458&gt;1000,G458="NPN05"),H458,"")</f>
        <v/>
      </c>
      <c r="AV458" s="44" t="str">
        <f>IF(AND(C458=Master!$H$3,B458="2012-2013",E458="",G458="NPN05"),H458,"")</f>
        <v/>
      </c>
      <c r="AW458" s="44" t="str">
        <f>IF(AND(C458=Master!$H$4,B458="2012-2013",E458&gt;1000,G458="NPN05"),H458,"")</f>
        <v/>
      </c>
      <c r="AX458" s="44" t="str">
        <f>IF(AND(C458=Master!$H$4,B458="2012-2013",E458="",G458="NPN05"),H458,"")</f>
        <v/>
      </c>
      <c r="AY458" s="44" t="str">
        <f>IF(AND(C458=Master!$H$5,B458="2012-2013",E458&gt;1000,G458="NPN05"),H458,"")</f>
        <v/>
      </c>
      <c r="AZ458" s="44" t="str">
        <f>IF(AND(C458=Master!$H$5,B458="2012-2013",E458="",G458="NPN05"),H458,"")</f>
        <v/>
      </c>
      <c r="BA458" s="44" t="str">
        <f>IF(AND(C458=Master!$H$6,B458="2012-2013",E458&gt;1000,G458="NPN05"),H458,"")</f>
        <v/>
      </c>
      <c r="BB458" s="44" t="str">
        <f>IF(AND(C458=Master!$H$6,B458="2012-2013",E458="",G458="NPN05"),H458,"")</f>
        <v/>
      </c>
      <c r="BC458" s="44" t="str">
        <f>IF(AND(C458=Master!$H$7,B458="2012-2013",E458&gt;1000,G458="NPN05"),H458,"")</f>
        <v/>
      </c>
      <c r="BD458" s="44" t="str">
        <f>IF(AND(C458=Master!$H$7,B458="2012-2013",E458="",G458="NPN05"),H458,"")</f>
        <v/>
      </c>
      <c r="BE458" s="44" t="str">
        <f>IF(AND(C458=Master!$H$8,B458="2012-2013",E458&gt;1000,G458="NPN05"),H458,"")</f>
        <v/>
      </c>
      <c r="BF458" s="44" t="str">
        <f>IF(AND(C458=Master!$H$8,B458="2012-2013",E458="",G458="NPN05"),H458,"")</f>
        <v/>
      </c>
      <c r="BG458" s="44" t="str">
        <f>IF(AND(C458=Master!$H$9,B458="2012-2013",E458&gt;1000,G458="NPN05"),H458,"")</f>
        <v/>
      </c>
      <c r="BH458" s="44" t="str">
        <f>IF(AND(C458=Master!$H$9,B458="2012-2013",E458="",G458="NPN05"),H458,"")</f>
        <v/>
      </c>
    </row>
    <row r="459" spans="1:60" x14ac:dyDescent="0.25">
      <c r="A459" s="3">
        <v>457</v>
      </c>
      <c r="B459" s="12"/>
      <c r="C459" s="12"/>
      <c r="D459" s="31"/>
      <c r="E459" s="4"/>
      <c r="F459" s="13"/>
      <c r="G459" s="21"/>
      <c r="H459" s="35"/>
      <c r="I459" s="21"/>
      <c r="J459" s="25" t="str">
        <f>IF(NOT(I459=""),INDEX(Master!$B$1:$B$46,MATCH(I459,Master!$A$1:$A$46,0)),"")</f>
        <v/>
      </c>
      <c r="K459" s="18"/>
      <c r="L459" s="86"/>
      <c r="M459" s="13"/>
      <c r="N459" s="13"/>
      <c r="O459" s="18"/>
      <c r="P459" s="35"/>
      <c r="Q459" s="21"/>
      <c r="R459" s="21"/>
      <c r="S459" s="13"/>
      <c r="T459" s="12"/>
      <c r="U459" s="12"/>
      <c r="V459" s="12"/>
      <c r="W459" s="14"/>
      <c r="Y459" s="42" t="str">
        <f>IF(AND(C459=Master!$H$1,B459="2012-2013",E459&gt;1000,G459="PLN03"),H459,"")</f>
        <v/>
      </c>
      <c r="Z459" s="42" t="str">
        <f>IF(AND(C459=Master!$H$1,B459="2012-2013",E459="",G459="PLN03"),H459,"")</f>
        <v/>
      </c>
      <c r="AA459" s="42" t="str">
        <f>IF(AND(C459=Master!$H$2,B459="2012-2013",E459&gt;1000,G459="PLN03"),H459,"")</f>
        <v/>
      </c>
      <c r="AB459" s="42" t="str">
        <f>IF(AND(C459=Master!$H$2,B459="2012-2013",E459="",G459="PLN03"),H459,"")</f>
        <v/>
      </c>
      <c r="AC459" s="42" t="str">
        <f>IF(AND(C459=Master!$H$3,B459="2012-2013",E459&gt;1000,G459="PLN03"),H459,"")</f>
        <v/>
      </c>
      <c r="AD459" s="42" t="str">
        <f>IF(AND(C459=Master!$H$3,B459="2012-2013",E459="",G459="PLN03"),H459,"")</f>
        <v/>
      </c>
      <c r="AE459" s="42" t="str">
        <f>IF(AND(C459=Master!$H$4,B459="2012-2013",E459&gt;1000,G459="PLN03"),H459,"")</f>
        <v/>
      </c>
      <c r="AF459" s="42" t="str">
        <f>IF(AND(C459=Master!$H$4,B459="2012-2013",E459="",G459="PLN03"),H459,"")</f>
        <v/>
      </c>
      <c r="AG459" s="42" t="str">
        <f>IF(AND(C459=Master!$H$5,B459="2012-2013",E459&gt;1000,G459="PLN03"),H459,"")</f>
        <v/>
      </c>
      <c r="AH459" s="42" t="str">
        <f>IF(AND(C459=Master!$H$5,B459="2012-2013",E459="",G459="PLN03"),H459,"")</f>
        <v/>
      </c>
      <c r="AI459" s="42" t="str">
        <f>IF(AND(C459=Master!$H$6,B459="2012-2013",E459&gt;1000,G459="PLN03"),H459,"")</f>
        <v/>
      </c>
      <c r="AJ459" s="42" t="str">
        <f>IF(AND(C459=Master!$H$6,B459="2012-2013",E459="",G459="PLN03"),H459,"")</f>
        <v/>
      </c>
      <c r="AK459" s="42" t="str">
        <f>IF(AND(C459=Master!$H$7,B459="2012-2013",E459&gt;1000,G459="PLN03"),H459,"")</f>
        <v/>
      </c>
      <c r="AL459" s="42" t="str">
        <f>IF(AND(C459=Master!$H$7,B459="2012-2013",E459="",G459="PLN03"),H459,"")</f>
        <v/>
      </c>
      <c r="AM459" s="42" t="str">
        <f>IF(AND(C459=Master!$H$8,B459="2012-2013",E459&gt;1000,G459="PLN03"),H459,"")</f>
        <v/>
      </c>
      <c r="AN459" s="42" t="str">
        <f>IF(AND(C459=Master!$H$8,B459="2012-2013",E459="",G459="PLN03"),H459,"")</f>
        <v/>
      </c>
      <c r="AO459" s="42" t="str">
        <f>IF(AND(C459=Master!$H$9,B459="2012-2013",E459&gt;1000,G459="PLN03"),H459,"")</f>
        <v/>
      </c>
      <c r="AP459" s="42" t="str">
        <f>IF(AND(C459=Master!$H$9,B459="2012-2013",E459="",G459="PLN03"),H459,"")</f>
        <v/>
      </c>
      <c r="AQ459" s="44" t="str">
        <f>IF(AND(C459=Master!$H$1,B459="2012-2013",E459&gt;1000,G459="NPN05"),H459,"")</f>
        <v/>
      </c>
      <c r="AR459" s="44" t="str">
        <f>IF(AND(C459=Master!$H$1,B459="2012-2013",E459="",G459="NPN05"),H459,"")</f>
        <v/>
      </c>
      <c r="AS459" s="44" t="str">
        <f>IF(AND(C459=Master!$H$2,B459="2012-2013",E459&gt;1000,G459="NPN05"),H459,"")</f>
        <v/>
      </c>
      <c r="AT459" s="44" t="str">
        <f>IF(AND(C459=Master!$H$2,B459="2012-2013",E459="",G459="NPN05"),H459,"")</f>
        <v/>
      </c>
      <c r="AU459" s="44" t="str">
        <f>IF(AND(C459=Master!$H$3,B459="2012-2013",E459&gt;1000,G459="NPN05"),H459,"")</f>
        <v/>
      </c>
      <c r="AV459" s="44" t="str">
        <f>IF(AND(C459=Master!$H$3,B459="2012-2013",E459="",G459="NPN05"),H459,"")</f>
        <v/>
      </c>
      <c r="AW459" s="44" t="str">
        <f>IF(AND(C459=Master!$H$4,B459="2012-2013",E459&gt;1000,G459="NPN05"),H459,"")</f>
        <v/>
      </c>
      <c r="AX459" s="44" t="str">
        <f>IF(AND(C459=Master!$H$4,B459="2012-2013",E459="",G459="NPN05"),H459,"")</f>
        <v/>
      </c>
      <c r="AY459" s="44" t="str">
        <f>IF(AND(C459=Master!$H$5,B459="2012-2013",E459&gt;1000,G459="NPN05"),H459,"")</f>
        <v/>
      </c>
      <c r="AZ459" s="44" t="str">
        <f>IF(AND(C459=Master!$H$5,B459="2012-2013",E459="",G459="NPN05"),H459,"")</f>
        <v/>
      </c>
      <c r="BA459" s="44" t="str">
        <f>IF(AND(C459=Master!$H$6,B459="2012-2013",E459&gt;1000,G459="NPN05"),H459,"")</f>
        <v/>
      </c>
      <c r="BB459" s="44" t="str">
        <f>IF(AND(C459=Master!$H$6,B459="2012-2013",E459="",G459="NPN05"),H459,"")</f>
        <v/>
      </c>
      <c r="BC459" s="44" t="str">
        <f>IF(AND(C459=Master!$H$7,B459="2012-2013",E459&gt;1000,G459="NPN05"),H459,"")</f>
        <v/>
      </c>
      <c r="BD459" s="44" t="str">
        <f>IF(AND(C459=Master!$H$7,B459="2012-2013",E459="",G459="NPN05"),H459,"")</f>
        <v/>
      </c>
      <c r="BE459" s="44" t="str">
        <f>IF(AND(C459=Master!$H$8,B459="2012-2013",E459&gt;1000,G459="NPN05"),H459,"")</f>
        <v/>
      </c>
      <c r="BF459" s="44" t="str">
        <f>IF(AND(C459=Master!$H$8,B459="2012-2013",E459="",G459="NPN05"),H459,"")</f>
        <v/>
      </c>
      <c r="BG459" s="44" t="str">
        <f>IF(AND(C459=Master!$H$9,B459="2012-2013",E459&gt;1000,G459="NPN05"),H459,"")</f>
        <v/>
      </c>
      <c r="BH459" s="44" t="str">
        <f>IF(AND(C459=Master!$H$9,B459="2012-2013",E459="",G459="NPN05"),H459,"")</f>
        <v/>
      </c>
    </row>
    <row r="460" spans="1:60" x14ac:dyDescent="0.25">
      <c r="A460" s="3">
        <v>458</v>
      </c>
      <c r="B460" s="12"/>
      <c r="C460" s="12"/>
      <c r="D460" s="31"/>
      <c r="E460" s="4"/>
      <c r="F460" s="13"/>
      <c r="G460" s="21"/>
      <c r="H460" s="35"/>
      <c r="I460" s="21"/>
      <c r="J460" s="25" t="str">
        <f>IF(NOT(I460=""),INDEX(Master!$B$1:$B$46,MATCH(I460,Master!$A$1:$A$46,0)),"")</f>
        <v/>
      </c>
      <c r="K460" s="18"/>
      <c r="L460" s="86"/>
      <c r="M460" s="13"/>
      <c r="N460" s="13"/>
      <c r="O460" s="18"/>
      <c r="P460" s="35"/>
      <c r="Q460" s="21"/>
      <c r="R460" s="21"/>
      <c r="S460" s="13"/>
      <c r="T460" s="12"/>
      <c r="U460" s="12"/>
      <c r="V460" s="12"/>
      <c r="W460" s="14"/>
      <c r="Y460" s="42" t="str">
        <f>IF(AND(C460=Master!$H$1,B460="2012-2013",E460&gt;1000,G460="PLN03"),H460,"")</f>
        <v/>
      </c>
      <c r="Z460" s="42" t="str">
        <f>IF(AND(C460=Master!$H$1,B460="2012-2013",E460="",G460="PLN03"),H460,"")</f>
        <v/>
      </c>
      <c r="AA460" s="42" t="str">
        <f>IF(AND(C460=Master!$H$2,B460="2012-2013",E460&gt;1000,G460="PLN03"),H460,"")</f>
        <v/>
      </c>
      <c r="AB460" s="42" t="str">
        <f>IF(AND(C460=Master!$H$2,B460="2012-2013",E460="",G460="PLN03"),H460,"")</f>
        <v/>
      </c>
      <c r="AC460" s="42" t="str">
        <f>IF(AND(C460=Master!$H$3,B460="2012-2013",E460&gt;1000,G460="PLN03"),H460,"")</f>
        <v/>
      </c>
      <c r="AD460" s="42" t="str">
        <f>IF(AND(C460=Master!$H$3,B460="2012-2013",E460="",G460="PLN03"),H460,"")</f>
        <v/>
      </c>
      <c r="AE460" s="42" t="str">
        <f>IF(AND(C460=Master!$H$4,B460="2012-2013",E460&gt;1000,G460="PLN03"),H460,"")</f>
        <v/>
      </c>
      <c r="AF460" s="42" t="str">
        <f>IF(AND(C460=Master!$H$4,B460="2012-2013",E460="",G460="PLN03"),H460,"")</f>
        <v/>
      </c>
      <c r="AG460" s="42" t="str">
        <f>IF(AND(C460=Master!$H$5,B460="2012-2013",E460&gt;1000,G460="PLN03"),H460,"")</f>
        <v/>
      </c>
      <c r="AH460" s="42" t="str">
        <f>IF(AND(C460=Master!$H$5,B460="2012-2013",E460="",G460="PLN03"),H460,"")</f>
        <v/>
      </c>
      <c r="AI460" s="42" t="str">
        <f>IF(AND(C460=Master!$H$6,B460="2012-2013",E460&gt;1000,G460="PLN03"),H460,"")</f>
        <v/>
      </c>
      <c r="AJ460" s="42" t="str">
        <f>IF(AND(C460=Master!$H$6,B460="2012-2013",E460="",G460="PLN03"),H460,"")</f>
        <v/>
      </c>
      <c r="AK460" s="42" t="str">
        <f>IF(AND(C460=Master!$H$7,B460="2012-2013",E460&gt;1000,G460="PLN03"),H460,"")</f>
        <v/>
      </c>
      <c r="AL460" s="42" t="str">
        <f>IF(AND(C460=Master!$H$7,B460="2012-2013",E460="",G460="PLN03"),H460,"")</f>
        <v/>
      </c>
      <c r="AM460" s="42" t="str">
        <f>IF(AND(C460=Master!$H$8,B460="2012-2013",E460&gt;1000,G460="PLN03"),H460,"")</f>
        <v/>
      </c>
      <c r="AN460" s="42" t="str">
        <f>IF(AND(C460=Master!$H$8,B460="2012-2013",E460="",G460="PLN03"),H460,"")</f>
        <v/>
      </c>
      <c r="AO460" s="42" t="str">
        <f>IF(AND(C460=Master!$H$9,B460="2012-2013",E460&gt;1000,G460="PLN03"),H460,"")</f>
        <v/>
      </c>
      <c r="AP460" s="42" t="str">
        <f>IF(AND(C460=Master!$H$9,B460="2012-2013",E460="",G460="PLN03"),H460,"")</f>
        <v/>
      </c>
      <c r="AQ460" s="44" t="str">
        <f>IF(AND(C460=Master!$H$1,B460="2012-2013",E460&gt;1000,G460="NPN05"),H460,"")</f>
        <v/>
      </c>
      <c r="AR460" s="44" t="str">
        <f>IF(AND(C460=Master!$H$1,B460="2012-2013",E460="",G460="NPN05"),H460,"")</f>
        <v/>
      </c>
      <c r="AS460" s="44" t="str">
        <f>IF(AND(C460=Master!$H$2,B460="2012-2013",E460&gt;1000,G460="NPN05"),H460,"")</f>
        <v/>
      </c>
      <c r="AT460" s="44" t="str">
        <f>IF(AND(C460=Master!$H$2,B460="2012-2013",E460="",G460="NPN05"),H460,"")</f>
        <v/>
      </c>
      <c r="AU460" s="44" t="str">
        <f>IF(AND(C460=Master!$H$3,B460="2012-2013",E460&gt;1000,G460="NPN05"),H460,"")</f>
        <v/>
      </c>
      <c r="AV460" s="44" t="str">
        <f>IF(AND(C460=Master!$H$3,B460="2012-2013",E460="",G460="NPN05"),H460,"")</f>
        <v/>
      </c>
      <c r="AW460" s="44" t="str">
        <f>IF(AND(C460=Master!$H$4,B460="2012-2013",E460&gt;1000,G460="NPN05"),H460,"")</f>
        <v/>
      </c>
      <c r="AX460" s="44" t="str">
        <f>IF(AND(C460=Master!$H$4,B460="2012-2013",E460="",G460="NPN05"),H460,"")</f>
        <v/>
      </c>
      <c r="AY460" s="44" t="str">
        <f>IF(AND(C460=Master!$H$5,B460="2012-2013",E460&gt;1000,G460="NPN05"),H460,"")</f>
        <v/>
      </c>
      <c r="AZ460" s="44" t="str">
        <f>IF(AND(C460=Master!$H$5,B460="2012-2013",E460="",G460="NPN05"),H460,"")</f>
        <v/>
      </c>
      <c r="BA460" s="44" t="str">
        <f>IF(AND(C460=Master!$H$6,B460="2012-2013",E460&gt;1000,G460="NPN05"),H460,"")</f>
        <v/>
      </c>
      <c r="BB460" s="44" t="str">
        <f>IF(AND(C460=Master!$H$6,B460="2012-2013",E460="",G460="NPN05"),H460,"")</f>
        <v/>
      </c>
      <c r="BC460" s="44" t="str">
        <f>IF(AND(C460=Master!$H$7,B460="2012-2013",E460&gt;1000,G460="NPN05"),H460,"")</f>
        <v/>
      </c>
      <c r="BD460" s="44" t="str">
        <f>IF(AND(C460=Master!$H$7,B460="2012-2013",E460="",G460="NPN05"),H460,"")</f>
        <v/>
      </c>
      <c r="BE460" s="44" t="str">
        <f>IF(AND(C460=Master!$H$8,B460="2012-2013",E460&gt;1000,G460="NPN05"),H460,"")</f>
        <v/>
      </c>
      <c r="BF460" s="44" t="str">
        <f>IF(AND(C460=Master!$H$8,B460="2012-2013",E460="",G460="NPN05"),H460,"")</f>
        <v/>
      </c>
      <c r="BG460" s="44" t="str">
        <f>IF(AND(C460=Master!$H$9,B460="2012-2013",E460&gt;1000,G460="NPN05"),H460,"")</f>
        <v/>
      </c>
      <c r="BH460" s="44" t="str">
        <f>IF(AND(C460=Master!$H$9,B460="2012-2013",E460="",G460="NPN05"),H460,"")</f>
        <v/>
      </c>
    </row>
    <row r="461" spans="1:60" x14ac:dyDescent="0.25">
      <c r="A461" s="3">
        <v>459</v>
      </c>
      <c r="B461" s="12"/>
      <c r="C461" s="12"/>
      <c r="D461" s="31"/>
      <c r="E461" s="4"/>
      <c r="F461" s="13"/>
      <c r="G461" s="21"/>
      <c r="H461" s="35"/>
      <c r="I461" s="21"/>
      <c r="J461" s="25" t="str">
        <f>IF(NOT(I461=""),INDEX(Master!$B$1:$B$46,MATCH(I461,Master!$A$1:$A$46,0)),"")</f>
        <v/>
      </c>
      <c r="K461" s="18"/>
      <c r="L461" s="86"/>
      <c r="M461" s="13"/>
      <c r="N461" s="13"/>
      <c r="O461" s="18"/>
      <c r="P461" s="35"/>
      <c r="Q461" s="21"/>
      <c r="R461" s="21"/>
      <c r="S461" s="13"/>
      <c r="T461" s="12"/>
      <c r="U461" s="12"/>
      <c r="V461" s="12"/>
      <c r="W461" s="14"/>
      <c r="Y461" s="42" t="str">
        <f>IF(AND(C461=Master!$H$1,B461="2012-2013",E461&gt;1000,G461="PLN03"),H461,"")</f>
        <v/>
      </c>
      <c r="Z461" s="42" t="str">
        <f>IF(AND(C461=Master!$H$1,B461="2012-2013",E461="",G461="PLN03"),H461,"")</f>
        <v/>
      </c>
      <c r="AA461" s="42" t="str">
        <f>IF(AND(C461=Master!$H$2,B461="2012-2013",E461&gt;1000,G461="PLN03"),H461,"")</f>
        <v/>
      </c>
      <c r="AB461" s="42" t="str">
        <f>IF(AND(C461=Master!$H$2,B461="2012-2013",E461="",G461="PLN03"),H461,"")</f>
        <v/>
      </c>
      <c r="AC461" s="42" t="str">
        <f>IF(AND(C461=Master!$H$3,B461="2012-2013",E461&gt;1000,G461="PLN03"),H461,"")</f>
        <v/>
      </c>
      <c r="AD461" s="42" t="str">
        <f>IF(AND(C461=Master!$H$3,B461="2012-2013",E461="",G461="PLN03"),H461,"")</f>
        <v/>
      </c>
      <c r="AE461" s="42" t="str">
        <f>IF(AND(C461=Master!$H$4,B461="2012-2013",E461&gt;1000,G461="PLN03"),H461,"")</f>
        <v/>
      </c>
      <c r="AF461" s="42" t="str">
        <f>IF(AND(C461=Master!$H$4,B461="2012-2013",E461="",G461="PLN03"),H461,"")</f>
        <v/>
      </c>
      <c r="AG461" s="42" t="str">
        <f>IF(AND(C461=Master!$H$5,B461="2012-2013",E461&gt;1000,G461="PLN03"),H461,"")</f>
        <v/>
      </c>
      <c r="AH461" s="42" t="str">
        <f>IF(AND(C461=Master!$H$5,B461="2012-2013",E461="",G461="PLN03"),H461,"")</f>
        <v/>
      </c>
      <c r="AI461" s="42" t="str">
        <f>IF(AND(C461=Master!$H$6,B461="2012-2013",E461&gt;1000,G461="PLN03"),H461,"")</f>
        <v/>
      </c>
      <c r="AJ461" s="42" t="str">
        <f>IF(AND(C461=Master!$H$6,B461="2012-2013",E461="",G461="PLN03"),H461,"")</f>
        <v/>
      </c>
      <c r="AK461" s="42" t="str">
        <f>IF(AND(C461=Master!$H$7,B461="2012-2013",E461&gt;1000,G461="PLN03"),H461,"")</f>
        <v/>
      </c>
      <c r="AL461" s="42" t="str">
        <f>IF(AND(C461=Master!$H$7,B461="2012-2013",E461="",G461="PLN03"),H461,"")</f>
        <v/>
      </c>
      <c r="AM461" s="42" t="str">
        <f>IF(AND(C461=Master!$H$8,B461="2012-2013",E461&gt;1000,G461="PLN03"),H461,"")</f>
        <v/>
      </c>
      <c r="AN461" s="42" t="str">
        <f>IF(AND(C461=Master!$H$8,B461="2012-2013",E461="",G461="PLN03"),H461,"")</f>
        <v/>
      </c>
      <c r="AO461" s="42" t="str">
        <f>IF(AND(C461=Master!$H$9,B461="2012-2013",E461&gt;1000,G461="PLN03"),H461,"")</f>
        <v/>
      </c>
      <c r="AP461" s="42" t="str">
        <f>IF(AND(C461=Master!$H$9,B461="2012-2013",E461="",G461="PLN03"),H461,"")</f>
        <v/>
      </c>
      <c r="AQ461" s="44" t="str">
        <f>IF(AND(C461=Master!$H$1,B461="2012-2013",E461&gt;1000,G461="NPN05"),H461,"")</f>
        <v/>
      </c>
      <c r="AR461" s="44" t="str">
        <f>IF(AND(C461=Master!$H$1,B461="2012-2013",E461="",G461="NPN05"),H461,"")</f>
        <v/>
      </c>
      <c r="AS461" s="44" t="str">
        <f>IF(AND(C461=Master!$H$2,B461="2012-2013",E461&gt;1000,G461="NPN05"),H461,"")</f>
        <v/>
      </c>
      <c r="AT461" s="44" t="str">
        <f>IF(AND(C461=Master!$H$2,B461="2012-2013",E461="",G461="NPN05"),H461,"")</f>
        <v/>
      </c>
      <c r="AU461" s="44" t="str">
        <f>IF(AND(C461=Master!$H$3,B461="2012-2013",E461&gt;1000,G461="NPN05"),H461,"")</f>
        <v/>
      </c>
      <c r="AV461" s="44" t="str">
        <f>IF(AND(C461=Master!$H$3,B461="2012-2013",E461="",G461="NPN05"),H461,"")</f>
        <v/>
      </c>
      <c r="AW461" s="44" t="str">
        <f>IF(AND(C461=Master!$H$4,B461="2012-2013",E461&gt;1000,G461="NPN05"),H461,"")</f>
        <v/>
      </c>
      <c r="AX461" s="44" t="str">
        <f>IF(AND(C461=Master!$H$4,B461="2012-2013",E461="",G461="NPN05"),H461,"")</f>
        <v/>
      </c>
      <c r="AY461" s="44" t="str">
        <f>IF(AND(C461=Master!$H$5,B461="2012-2013",E461&gt;1000,G461="NPN05"),H461,"")</f>
        <v/>
      </c>
      <c r="AZ461" s="44" t="str">
        <f>IF(AND(C461=Master!$H$5,B461="2012-2013",E461="",G461="NPN05"),H461,"")</f>
        <v/>
      </c>
      <c r="BA461" s="44" t="str">
        <f>IF(AND(C461=Master!$H$6,B461="2012-2013",E461&gt;1000,G461="NPN05"),H461,"")</f>
        <v/>
      </c>
      <c r="BB461" s="44" t="str">
        <f>IF(AND(C461=Master!$H$6,B461="2012-2013",E461="",G461="NPN05"),H461,"")</f>
        <v/>
      </c>
      <c r="BC461" s="44" t="str">
        <f>IF(AND(C461=Master!$H$7,B461="2012-2013",E461&gt;1000,G461="NPN05"),H461,"")</f>
        <v/>
      </c>
      <c r="BD461" s="44" t="str">
        <f>IF(AND(C461=Master!$H$7,B461="2012-2013",E461="",G461="NPN05"),H461,"")</f>
        <v/>
      </c>
      <c r="BE461" s="44" t="str">
        <f>IF(AND(C461=Master!$H$8,B461="2012-2013",E461&gt;1000,G461="NPN05"),H461,"")</f>
        <v/>
      </c>
      <c r="BF461" s="44" t="str">
        <f>IF(AND(C461=Master!$H$8,B461="2012-2013",E461="",G461="NPN05"),H461,"")</f>
        <v/>
      </c>
      <c r="BG461" s="44" t="str">
        <f>IF(AND(C461=Master!$H$9,B461="2012-2013",E461&gt;1000,G461="NPN05"),H461,"")</f>
        <v/>
      </c>
      <c r="BH461" s="44" t="str">
        <f>IF(AND(C461=Master!$H$9,B461="2012-2013",E461="",G461="NPN05"),H461,"")</f>
        <v/>
      </c>
    </row>
    <row r="462" spans="1:60" x14ac:dyDescent="0.25">
      <c r="A462" s="3">
        <v>460</v>
      </c>
      <c r="B462" s="12"/>
      <c r="C462" s="12"/>
      <c r="D462" s="31"/>
      <c r="E462" s="4"/>
      <c r="F462" s="13"/>
      <c r="G462" s="21"/>
      <c r="H462" s="35"/>
      <c r="I462" s="21"/>
      <c r="J462" s="25" t="str">
        <f>IF(NOT(I462=""),INDEX(Master!$B$1:$B$46,MATCH(I462,Master!$A$1:$A$46,0)),"")</f>
        <v/>
      </c>
      <c r="K462" s="18"/>
      <c r="L462" s="86"/>
      <c r="M462" s="13"/>
      <c r="N462" s="13"/>
      <c r="O462" s="18"/>
      <c r="P462" s="35"/>
      <c r="Q462" s="21"/>
      <c r="R462" s="21"/>
      <c r="S462" s="13"/>
      <c r="T462" s="12"/>
      <c r="U462" s="12"/>
      <c r="V462" s="12"/>
      <c r="W462" s="14"/>
      <c r="Y462" s="42" t="str">
        <f>IF(AND(C462=Master!$H$1,B462="2012-2013",E462&gt;1000,G462="PLN03"),H462,"")</f>
        <v/>
      </c>
      <c r="Z462" s="42" t="str">
        <f>IF(AND(C462=Master!$H$1,B462="2012-2013",E462="",G462="PLN03"),H462,"")</f>
        <v/>
      </c>
      <c r="AA462" s="42" t="str">
        <f>IF(AND(C462=Master!$H$2,B462="2012-2013",E462&gt;1000,G462="PLN03"),H462,"")</f>
        <v/>
      </c>
      <c r="AB462" s="42" t="str">
        <f>IF(AND(C462=Master!$H$2,B462="2012-2013",E462="",G462="PLN03"),H462,"")</f>
        <v/>
      </c>
      <c r="AC462" s="42" t="str">
        <f>IF(AND(C462=Master!$H$3,B462="2012-2013",E462&gt;1000,G462="PLN03"),H462,"")</f>
        <v/>
      </c>
      <c r="AD462" s="42" t="str">
        <f>IF(AND(C462=Master!$H$3,B462="2012-2013",E462="",G462="PLN03"),H462,"")</f>
        <v/>
      </c>
      <c r="AE462" s="42" t="str">
        <f>IF(AND(C462=Master!$H$4,B462="2012-2013",E462&gt;1000,G462="PLN03"),H462,"")</f>
        <v/>
      </c>
      <c r="AF462" s="42" t="str">
        <f>IF(AND(C462=Master!$H$4,B462="2012-2013",E462="",G462="PLN03"),H462,"")</f>
        <v/>
      </c>
      <c r="AG462" s="42" t="str">
        <f>IF(AND(C462=Master!$H$5,B462="2012-2013",E462&gt;1000,G462="PLN03"),H462,"")</f>
        <v/>
      </c>
      <c r="AH462" s="42" t="str">
        <f>IF(AND(C462=Master!$H$5,B462="2012-2013",E462="",G462="PLN03"),H462,"")</f>
        <v/>
      </c>
      <c r="AI462" s="42" t="str">
        <f>IF(AND(C462=Master!$H$6,B462="2012-2013",E462&gt;1000,G462="PLN03"),H462,"")</f>
        <v/>
      </c>
      <c r="AJ462" s="42" t="str">
        <f>IF(AND(C462=Master!$H$6,B462="2012-2013",E462="",G462="PLN03"),H462,"")</f>
        <v/>
      </c>
      <c r="AK462" s="42" t="str">
        <f>IF(AND(C462=Master!$H$7,B462="2012-2013",E462&gt;1000,G462="PLN03"),H462,"")</f>
        <v/>
      </c>
      <c r="AL462" s="42" t="str">
        <f>IF(AND(C462=Master!$H$7,B462="2012-2013",E462="",G462="PLN03"),H462,"")</f>
        <v/>
      </c>
      <c r="AM462" s="42" t="str">
        <f>IF(AND(C462=Master!$H$8,B462="2012-2013",E462&gt;1000,G462="PLN03"),H462,"")</f>
        <v/>
      </c>
      <c r="AN462" s="42" t="str">
        <f>IF(AND(C462=Master!$H$8,B462="2012-2013",E462="",G462="PLN03"),H462,"")</f>
        <v/>
      </c>
      <c r="AO462" s="42" t="str">
        <f>IF(AND(C462=Master!$H$9,B462="2012-2013",E462&gt;1000,G462="PLN03"),H462,"")</f>
        <v/>
      </c>
      <c r="AP462" s="42" t="str">
        <f>IF(AND(C462=Master!$H$9,B462="2012-2013",E462="",G462="PLN03"),H462,"")</f>
        <v/>
      </c>
      <c r="AQ462" s="44" t="str">
        <f>IF(AND(C462=Master!$H$1,B462="2012-2013",E462&gt;1000,G462="NPN05"),H462,"")</f>
        <v/>
      </c>
      <c r="AR462" s="44" t="str">
        <f>IF(AND(C462=Master!$H$1,B462="2012-2013",E462="",G462="NPN05"),H462,"")</f>
        <v/>
      </c>
      <c r="AS462" s="44" t="str">
        <f>IF(AND(C462=Master!$H$2,B462="2012-2013",E462&gt;1000,G462="NPN05"),H462,"")</f>
        <v/>
      </c>
      <c r="AT462" s="44" t="str">
        <f>IF(AND(C462=Master!$H$2,B462="2012-2013",E462="",G462="NPN05"),H462,"")</f>
        <v/>
      </c>
      <c r="AU462" s="44" t="str">
        <f>IF(AND(C462=Master!$H$3,B462="2012-2013",E462&gt;1000,G462="NPN05"),H462,"")</f>
        <v/>
      </c>
      <c r="AV462" s="44" t="str">
        <f>IF(AND(C462=Master!$H$3,B462="2012-2013",E462="",G462="NPN05"),H462,"")</f>
        <v/>
      </c>
      <c r="AW462" s="44" t="str">
        <f>IF(AND(C462=Master!$H$4,B462="2012-2013",E462&gt;1000,G462="NPN05"),H462,"")</f>
        <v/>
      </c>
      <c r="AX462" s="44" t="str">
        <f>IF(AND(C462=Master!$H$4,B462="2012-2013",E462="",G462="NPN05"),H462,"")</f>
        <v/>
      </c>
      <c r="AY462" s="44" t="str">
        <f>IF(AND(C462=Master!$H$5,B462="2012-2013",E462&gt;1000,G462="NPN05"),H462,"")</f>
        <v/>
      </c>
      <c r="AZ462" s="44" t="str">
        <f>IF(AND(C462=Master!$H$5,B462="2012-2013",E462="",G462="NPN05"),H462,"")</f>
        <v/>
      </c>
      <c r="BA462" s="44" t="str">
        <f>IF(AND(C462=Master!$H$6,B462="2012-2013",E462&gt;1000,G462="NPN05"),H462,"")</f>
        <v/>
      </c>
      <c r="BB462" s="44" t="str">
        <f>IF(AND(C462=Master!$H$6,B462="2012-2013",E462="",G462="NPN05"),H462,"")</f>
        <v/>
      </c>
      <c r="BC462" s="44" t="str">
        <f>IF(AND(C462=Master!$H$7,B462="2012-2013",E462&gt;1000,G462="NPN05"),H462,"")</f>
        <v/>
      </c>
      <c r="BD462" s="44" t="str">
        <f>IF(AND(C462=Master!$H$7,B462="2012-2013",E462="",G462="NPN05"),H462,"")</f>
        <v/>
      </c>
      <c r="BE462" s="44" t="str">
        <f>IF(AND(C462=Master!$H$8,B462="2012-2013",E462&gt;1000,G462="NPN05"),H462,"")</f>
        <v/>
      </c>
      <c r="BF462" s="44" t="str">
        <f>IF(AND(C462=Master!$H$8,B462="2012-2013",E462="",G462="NPN05"),H462,"")</f>
        <v/>
      </c>
      <c r="BG462" s="44" t="str">
        <f>IF(AND(C462=Master!$H$9,B462="2012-2013",E462&gt;1000,G462="NPN05"),H462,"")</f>
        <v/>
      </c>
      <c r="BH462" s="44" t="str">
        <f>IF(AND(C462=Master!$H$9,B462="2012-2013",E462="",G462="NPN05"),H462,"")</f>
        <v/>
      </c>
    </row>
    <row r="463" spans="1:60" x14ac:dyDescent="0.25">
      <c r="A463" s="5">
        <v>461</v>
      </c>
      <c r="B463" s="12"/>
      <c r="C463" s="12"/>
      <c r="D463" s="31"/>
      <c r="E463" s="4"/>
      <c r="F463" s="13"/>
      <c r="G463" s="21"/>
      <c r="H463" s="35"/>
      <c r="I463" s="21"/>
      <c r="J463" s="25" t="str">
        <f>IF(NOT(I463=""),INDEX(Master!$B$1:$B$46,MATCH(I463,Master!$A$1:$A$46,0)),"")</f>
        <v/>
      </c>
      <c r="K463" s="18"/>
      <c r="L463" s="86"/>
      <c r="M463" s="13"/>
      <c r="N463" s="13"/>
      <c r="O463" s="18"/>
      <c r="P463" s="35"/>
      <c r="Q463" s="21"/>
      <c r="R463" s="21"/>
      <c r="S463" s="13"/>
      <c r="T463" s="12"/>
      <c r="U463" s="12"/>
      <c r="V463" s="12"/>
      <c r="W463" s="14"/>
      <c r="Y463" s="42" t="str">
        <f>IF(AND(C463=Master!$H$1,B463="2012-2013",E463&gt;1000,G463="PLN03"),H463,"")</f>
        <v/>
      </c>
      <c r="Z463" s="42" t="str">
        <f>IF(AND(C463=Master!$H$1,B463="2012-2013",E463="",G463="PLN03"),H463,"")</f>
        <v/>
      </c>
      <c r="AA463" s="42" t="str">
        <f>IF(AND(C463=Master!$H$2,B463="2012-2013",E463&gt;1000,G463="PLN03"),H463,"")</f>
        <v/>
      </c>
      <c r="AB463" s="42" t="str">
        <f>IF(AND(C463=Master!$H$2,B463="2012-2013",E463="",G463="PLN03"),H463,"")</f>
        <v/>
      </c>
      <c r="AC463" s="42" t="str">
        <f>IF(AND(C463=Master!$H$3,B463="2012-2013",E463&gt;1000,G463="PLN03"),H463,"")</f>
        <v/>
      </c>
      <c r="AD463" s="42" t="str">
        <f>IF(AND(C463=Master!$H$3,B463="2012-2013",E463="",G463="PLN03"),H463,"")</f>
        <v/>
      </c>
      <c r="AE463" s="42" t="str">
        <f>IF(AND(C463=Master!$H$4,B463="2012-2013",E463&gt;1000,G463="PLN03"),H463,"")</f>
        <v/>
      </c>
      <c r="AF463" s="42" t="str">
        <f>IF(AND(C463=Master!$H$4,B463="2012-2013",E463="",G463="PLN03"),H463,"")</f>
        <v/>
      </c>
      <c r="AG463" s="42" t="str">
        <f>IF(AND(C463=Master!$H$5,B463="2012-2013",E463&gt;1000,G463="PLN03"),H463,"")</f>
        <v/>
      </c>
      <c r="AH463" s="42" t="str">
        <f>IF(AND(C463=Master!$H$5,B463="2012-2013",E463="",G463="PLN03"),H463,"")</f>
        <v/>
      </c>
      <c r="AI463" s="42" t="str">
        <f>IF(AND(C463=Master!$H$6,B463="2012-2013",E463&gt;1000,G463="PLN03"),H463,"")</f>
        <v/>
      </c>
      <c r="AJ463" s="42" t="str">
        <f>IF(AND(C463=Master!$H$6,B463="2012-2013",E463="",G463="PLN03"),H463,"")</f>
        <v/>
      </c>
      <c r="AK463" s="42" t="str">
        <f>IF(AND(C463=Master!$H$7,B463="2012-2013",E463&gt;1000,G463="PLN03"),H463,"")</f>
        <v/>
      </c>
      <c r="AL463" s="42" t="str">
        <f>IF(AND(C463=Master!$H$7,B463="2012-2013",E463="",G463="PLN03"),H463,"")</f>
        <v/>
      </c>
      <c r="AM463" s="42" t="str">
        <f>IF(AND(C463=Master!$H$8,B463="2012-2013",E463&gt;1000,G463="PLN03"),H463,"")</f>
        <v/>
      </c>
      <c r="AN463" s="42" t="str">
        <f>IF(AND(C463=Master!$H$8,B463="2012-2013",E463="",G463="PLN03"),H463,"")</f>
        <v/>
      </c>
      <c r="AO463" s="42" t="str">
        <f>IF(AND(C463=Master!$H$9,B463="2012-2013",E463&gt;1000,G463="PLN03"),H463,"")</f>
        <v/>
      </c>
      <c r="AP463" s="42" t="str">
        <f>IF(AND(C463=Master!$H$9,B463="2012-2013",E463="",G463="PLN03"),H463,"")</f>
        <v/>
      </c>
      <c r="AQ463" s="44" t="str">
        <f>IF(AND(C463=Master!$H$1,B463="2012-2013",E463&gt;1000,G463="NPN05"),H463,"")</f>
        <v/>
      </c>
      <c r="AR463" s="44" t="str">
        <f>IF(AND(C463=Master!$H$1,B463="2012-2013",E463="",G463="NPN05"),H463,"")</f>
        <v/>
      </c>
      <c r="AS463" s="44" t="str">
        <f>IF(AND(C463=Master!$H$2,B463="2012-2013",E463&gt;1000,G463="NPN05"),H463,"")</f>
        <v/>
      </c>
      <c r="AT463" s="44" t="str">
        <f>IF(AND(C463=Master!$H$2,B463="2012-2013",E463="",G463="NPN05"),H463,"")</f>
        <v/>
      </c>
      <c r="AU463" s="44" t="str">
        <f>IF(AND(C463=Master!$H$3,B463="2012-2013",E463&gt;1000,G463="NPN05"),H463,"")</f>
        <v/>
      </c>
      <c r="AV463" s="44" t="str">
        <f>IF(AND(C463=Master!$H$3,B463="2012-2013",E463="",G463="NPN05"),H463,"")</f>
        <v/>
      </c>
      <c r="AW463" s="44" t="str">
        <f>IF(AND(C463=Master!$H$4,B463="2012-2013",E463&gt;1000,G463="NPN05"),H463,"")</f>
        <v/>
      </c>
      <c r="AX463" s="44" t="str">
        <f>IF(AND(C463=Master!$H$4,B463="2012-2013",E463="",G463="NPN05"),H463,"")</f>
        <v/>
      </c>
      <c r="AY463" s="44" t="str">
        <f>IF(AND(C463=Master!$H$5,B463="2012-2013",E463&gt;1000,G463="NPN05"),H463,"")</f>
        <v/>
      </c>
      <c r="AZ463" s="44" t="str">
        <f>IF(AND(C463=Master!$H$5,B463="2012-2013",E463="",G463="NPN05"),H463,"")</f>
        <v/>
      </c>
      <c r="BA463" s="44" t="str">
        <f>IF(AND(C463=Master!$H$6,B463="2012-2013",E463&gt;1000,G463="NPN05"),H463,"")</f>
        <v/>
      </c>
      <c r="BB463" s="44" t="str">
        <f>IF(AND(C463=Master!$H$6,B463="2012-2013",E463="",G463="NPN05"),H463,"")</f>
        <v/>
      </c>
      <c r="BC463" s="44" t="str">
        <f>IF(AND(C463=Master!$H$7,B463="2012-2013",E463&gt;1000,G463="NPN05"),H463,"")</f>
        <v/>
      </c>
      <c r="BD463" s="44" t="str">
        <f>IF(AND(C463=Master!$H$7,B463="2012-2013",E463="",G463="NPN05"),H463,"")</f>
        <v/>
      </c>
      <c r="BE463" s="44" t="str">
        <f>IF(AND(C463=Master!$H$8,B463="2012-2013",E463&gt;1000,G463="NPN05"),H463,"")</f>
        <v/>
      </c>
      <c r="BF463" s="44" t="str">
        <f>IF(AND(C463=Master!$H$8,B463="2012-2013",E463="",G463="NPN05"),H463,"")</f>
        <v/>
      </c>
      <c r="BG463" s="44" t="str">
        <f>IF(AND(C463=Master!$H$9,B463="2012-2013",E463&gt;1000,G463="NPN05"),H463,"")</f>
        <v/>
      </c>
      <c r="BH463" s="44" t="str">
        <f>IF(AND(C463=Master!$H$9,B463="2012-2013",E463="",G463="NPN05"),H463,"")</f>
        <v/>
      </c>
    </row>
    <row r="464" spans="1:60" x14ac:dyDescent="0.25">
      <c r="A464" s="3">
        <v>462</v>
      </c>
      <c r="B464" s="12"/>
      <c r="C464" s="12"/>
      <c r="D464" s="31"/>
      <c r="E464" s="4"/>
      <c r="F464" s="13"/>
      <c r="G464" s="21"/>
      <c r="H464" s="35"/>
      <c r="I464" s="21"/>
      <c r="J464" s="25" t="str">
        <f>IF(NOT(I464=""),INDEX(Master!$B$1:$B$46,MATCH(I464,Master!$A$1:$A$46,0)),"")</f>
        <v/>
      </c>
      <c r="K464" s="18"/>
      <c r="L464" s="86"/>
      <c r="M464" s="13"/>
      <c r="N464" s="13"/>
      <c r="O464" s="18"/>
      <c r="P464" s="35"/>
      <c r="Q464" s="21"/>
      <c r="R464" s="21"/>
      <c r="S464" s="13"/>
      <c r="T464" s="12"/>
      <c r="U464" s="12"/>
      <c r="V464" s="12"/>
      <c r="W464" s="14"/>
      <c r="Y464" s="42" t="str">
        <f>IF(AND(C464=Master!$H$1,B464="2012-2013",E464&gt;1000,G464="PLN03"),H464,"")</f>
        <v/>
      </c>
      <c r="Z464" s="42" t="str">
        <f>IF(AND(C464=Master!$H$1,B464="2012-2013",E464="",G464="PLN03"),H464,"")</f>
        <v/>
      </c>
      <c r="AA464" s="42" t="str">
        <f>IF(AND(C464=Master!$H$2,B464="2012-2013",E464&gt;1000,G464="PLN03"),H464,"")</f>
        <v/>
      </c>
      <c r="AB464" s="42" t="str">
        <f>IF(AND(C464=Master!$H$2,B464="2012-2013",E464="",G464="PLN03"),H464,"")</f>
        <v/>
      </c>
      <c r="AC464" s="42" t="str">
        <f>IF(AND(C464=Master!$H$3,B464="2012-2013",E464&gt;1000,G464="PLN03"),H464,"")</f>
        <v/>
      </c>
      <c r="AD464" s="42" t="str">
        <f>IF(AND(C464=Master!$H$3,B464="2012-2013",E464="",G464="PLN03"),H464,"")</f>
        <v/>
      </c>
      <c r="AE464" s="42" t="str">
        <f>IF(AND(C464=Master!$H$4,B464="2012-2013",E464&gt;1000,G464="PLN03"),H464,"")</f>
        <v/>
      </c>
      <c r="AF464" s="42" t="str">
        <f>IF(AND(C464=Master!$H$4,B464="2012-2013",E464="",G464="PLN03"),H464,"")</f>
        <v/>
      </c>
      <c r="AG464" s="42" t="str">
        <f>IF(AND(C464=Master!$H$5,B464="2012-2013",E464&gt;1000,G464="PLN03"),H464,"")</f>
        <v/>
      </c>
      <c r="AH464" s="42" t="str">
        <f>IF(AND(C464=Master!$H$5,B464="2012-2013",E464="",G464="PLN03"),H464,"")</f>
        <v/>
      </c>
      <c r="AI464" s="42" t="str">
        <f>IF(AND(C464=Master!$H$6,B464="2012-2013",E464&gt;1000,G464="PLN03"),H464,"")</f>
        <v/>
      </c>
      <c r="AJ464" s="42" t="str">
        <f>IF(AND(C464=Master!$H$6,B464="2012-2013",E464="",G464="PLN03"),H464,"")</f>
        <v/>
      </c>
      <c r="AK464" s="42" t="str">
        <f>IF(AND(C464=Master!$H$7,B464="2012-2013",E464&gt;1000,G464="PLN03"),H464,"")</f>
        <v/>
      </c>
      <c r="AL464" s="42" t="str">
        <f>IF(AND(C464=Master!$H$7,B464="2012-2013",E464="",G464="PLN03"),H464,"")</f>
        <v/>
      </c>
      <c r="AM464" s="42" t="str">
        <f>IF(AND(C464=Master!$H$8,B464="2012-2013",E464&gt;1000,G464="PLN03"),H464,"")</f>
        <v/>
      </c>
      <c r="AN464" s="42" t="str">
        <f>IF(AND(C464=Master!$H$8,B464="2012-2013",E464="",G464="PLN03"),H464,"")</f>
        <v/>
      </c>
      <c r="AO464" s="42" t="str">
        <f>IF(AND(C464=Master!$H$9,B464="2012-2013",E464&gt;1000,G464="PLN03"),H464,"")</f>
        <v/>
      </c>
      <c r="AP464" s="42" t="str">
        <f>IF(AND(C464=Master!$H$9,B464="2012-2013",E464="",G464="PLN03"),H464,"")</f>
        <v/>
      </c>
      <c r="AQ464" s="44" t="str">
        <f>IF(AND(C464=Master!$H$1,B464="2012-2013",E464&gt;1000,G464="NPN05"),H464,"")</f>
        <v/>
      </c>
      <c r="AR464" s="44" t="str">
        <f>IF(AND(C464=Master!$H$1,B464="2012-2013",E464="",G464="NPN05"),H464,"")</f>
        <v/>
      </c>
      <c r="AS464" s="44" t="str">
        <f>IF(AND(C464=Master!$H$2,B464="2012-2013",E464&gt;1000,G464="NPN05"),H464,"")</f>
        <v/>
      </c>
      <c r="AT464" s="44" t="str">
        <f>IF(AND(C464=Master!$H$2,B464="2012-2013",E464="",G464="NPN05"),H464,"")</f>
        <v/>
      </c>
      <c r="AU464" s="44" t="str">
        <f>IF(AND(C464=Master!$H$3,B464="2012-2013",E464&gt;1000,G464="NPN05"),H464,"")</f>
        <v/>
      </c>
      <c r="AV464" s="44" t="str">
        <f>IF(AND(C464=Master!$H$3,B464="2012-2013",E464="",G464="NPN05"),H464,"")</f>
        <v/>
      </c>
      <c r="AW464" s="44" t="str">
        <f>IF(AND(C464=Master!$H$4,B464="2012-2013",E464&gt;1000,G464="NPN05"),H464,"")</f>
        <v/>
      </c>
      <c r="AX464" s="44" t="str">
        <f>IF(AND(C464=Master!$H$4,B464="2012-2013",E464="",G464="NPN05"),H464,"")</f>
        <v/>
      </c>
      <c r="AY464" s="44" t="str">
        <f>IF(AND(C464=Master!$H$5,B464="2012-2013",E464&gt;1000,G464="NPN05"),H464,"")</f>
        <v/>
      </c>
      <c r="AZ464" s="44" t="str">
        <f>IF(AND(C464=Master!$H$5,B464="2012-2013",E464="",G464="NPN05"),H464,"")</f>
        <v/>
      </c>
      <c r="BA464" s="44" t="str">
        <f>IF(AND(C464=Master!$H$6,B464="2012-2013",E464&gt;1000,G464="NPN05"),H464,"")</f>
        <v/>
      </c>
      <c r="BB464" s="44" t="str">
        <f>IF(AND(C464=Master!$H$6,B464="2012-2013",E464="",G464="NPN05"),H464,"")</f>
        <v/>
      </c>
      <c r="BC464" s="44" t="str">
        <f>IF(AND(C464=Master!$H$7,B464="2012-2013",E464&gt;1000,G464="NPN05"),H464,"")</f>
        <v/>
      </c>
      <c r="BD464" s="44" t="str">
        <f>IF(AND(C464=Master!$H$7,B464="2012-2013",E464="",G464="NPN05"),H464,"")</f>
        <v/>
      </c>
      <c r="BE464" s="44" t="str">
        <f>IF(AND(C464=Master!$H$8,B464="2012-2013",E464&gt;1000,G464="NPN05"),H464,"")</f>
        <v/>
      </c>
      <c r="BF464" s="44" t="str">
        <f>IF(AND(C464=Master!$H$8,B464="2012-2013",E464="",G464="NPN05"),H464,"")</f>
        <v/>
      </c>
      <c r="BG464" s="44" t="str">
        <f>IF(AND(C464=Master!$H$9,B464="2012-2013",E464&gt;1000,G464="NPN05"),H464,"")</f>
        <v/>
      </c>
      <c r="BH464" s="44" t="str">
        <f>IF(AND(C464=Master!$H$9,B464="2012-2013",E464="",G464="NPN05"),H464,"")</f>
        <v/>
      </c>
    </row>
    <row r="465" spans="1:60" x14ac:dyDescent="0.25">
      <c r="A465" s="3">
        <v>463</v>
      </c>
      <c r="B465" s="12"/>
      <c r="C465" s="12"/>
      <c r="D465" s="31"/>
      <c r="E465" s="4"/>
      <c r="F465" s="13"/>
      <c r="G465" s="21"/>
      <c r="H465" s="35"/>
      <c r="I465" s="21"/>
      <c r="J465" s="25" t="str">
        <f>IF(NOT(I465=""),INDEX(Master!$B$1:$B$46,MATCH(I465,Master!$A$1:$A$46,0)),"")</f>
        <v/>
      </c>
      <c r="K465" s="18"/>
      <c r="L465" s="86"/>
      <c r="M465" s="13"/>
      <c r="N465" s="13"/>
      <c r="O465" s="18"/>
      <c r="P465" s="35"/>
      <c r="Q465" s="21"/>
      <c r="R465" s="21"/>
      <c r="S465" s="13"/>
      <c r="T465" s="12"/>
      <c r="U465" s="12"/>
      <c r="V465" s="12"/>
      <c r="W465" s="14"/>
      <c r="Y465" s="42" t="str">
        <f>IF(AND(C465=Master!$H$1,B465="2012-2013",E465&gt;1000,G465="PLN03"),H465,"")</f>
        <v/>
      </c>
      <c r="Z465" s="42" t="str">
        <f>IF(AND(C465=Master!$H$1,B465="2012-2013",E465="",G465="PLN03"),H465,"")</f>
        <v/>
      </c>
      <c r="AA465" s="42" t="str">
        <f>IF(AND(C465=Master!$H$2,B465="2012-2013",E465&gt;1000,G465="PLN03"),H465,"")</f>
        <v/>
      </c>
      <c r="AB465" s="42" t="str">
        <f>IF(AND(C465=Master!$H$2,B465="2012-2013",E465="",G465="PLN03"),H465,"")</f>
        <v/>
      </c>
      <c r="AC465" s="42" t="str">
        <f>IF(AND(C465=Master!$H$3,B465="2012-2013",E465&gt;1000,G465="PLN03"),H465,"")</f>
        <v/>
      </c>
      <c r="AD465" s="42" t="str">
        <f>IF(AND(C465=Master!$H$3,B465="2012-2013",E465="",G465="PLN03"),H465,"")</f>
        <v/>
      </c>
      <c r="AE465" s="42" t="str">
        <f>IF(AND(C465=Master!$H$4,B465="2012-2013",E465&gt;1000,G465="PLN03"),H465,"")</f>
        <v/>
      </c>
      <c r="AF465" s="42" t="str">
        <f>IF(AND(C465=Master!$H$4,B465="2012-2013",E465="",G465="PLN03"),H465,"")</f>
        <v/>
      </c>
      <c r="AG465" s="42" t="str">
        <f>IF(AND(C465=Master!$H$5,B465="2012-2013",E465&gt;1000,G465="PLN03"),H465,"")</f>
        <v/>
      </c>
      <c r="AH465" s="42" t="str">
        <f>IF(AND(C465=Master!$H$5,B465="2012-2013",E465="",G465="PLN03"),H465,"")</f>
        <v/>
      </c>
      <c r="AI465" s="42" t="str">
        <f>IF(AND(C465=Master!$H$6,B465="2012-2013",E465&gt;1000,G465="PLN03"),H465,"")</f>
        <v/>
      </c>
      <c r="AJ465" s="42" t="str">
        <f>IF(AND(C465=Master!$H$6,B465="2012-2013",E465="",G465="PLN03"),H465,"")</f>
        <v/>
      </c>
      <c r="AK465" s="42" t="str">
        <f>IF(AND(C465=Master!$H$7,B465="2012-2013",E465&gt;1000,G465="PLN03"),H465,"")</f>
        <v/>
      </c>
      <c r="AL465" s="42" t="str">
        <f>IF(AND(C465=Master!$H$7,B465="2012-2013",E465="",G465="PLN03"),H465,"")</f>
        <v/>
      </c>
      <c r="AM465" s="42" t="str">
        <f>IF(AND(C465=Master!$H$8,B465="2012-2013",E465&gt;1000,G465="PLN03"),H465,"")</f>
        <v/>
      </c>
      <c r="AN465" s="42" t="str">
        <f>IF(AND(C465=Master!$H$8,B465="2012-2013",E465="",G465="PLN03"),H465,"")</f>
        <v/>
      </c>
      <c r="AO465" s="42" t="str">
        <f>IF(AND(C465=Master!$H$9,B465="2012-2013",E465&gt;1000,G465="PLN03"),H465,"")</f>
        <v/>
      </c>
      <c r="AP465" s="42" t="str">
        <f>IF(AND(C465=Master!$H$9,B465="2012-2013",E465="",G465="PLN03"),H465,"")</f>
        <v/>
      </c>
      <c r="AQ465" s="44" t="str">
        <f>IF(AND(C465=Master!$H$1,B465="2012-2013",E465&gt;1000,G465="NPN05"),H465,"")</f>
        <v/>
      </c>
      <c r="AR465" s="44" t="str">
        <f>IF(AND(C465=Master!$H$1,B465="2012-2013",E465="",G465="NPN05"),H465,"")</f>
        <v/>
      </c>
      <c r="AS465" s="44" t="str">
        <f>IF(AND(C465=Master!$H$2,B465="2012-2013",E465&gt;1000,G465="NPN05"),H465,"")</f>
        <v/>
      </c>
      <c r="AT465" s="44" t="str">
        <f>IF(AND(C465=Master!$H$2,B465="2012-2013",E465="",G465="NPN05"),H465,"")</f>
        <v/>
      </c>
      <c r="AU465" s="44" t="str">
        <f>IF(AND(C465=Master!$H$3,B465="2012-2013",E465&gt;1000,G465="NPN05"),H465,"")</f>
        <v/>
      </c>
      <c r="AV465" s="44" t="str">
        <f>IF(AND(C465=Master!$H$3,B465="2012-2013",E465="",G465="NPN05"),H465,"")</f>
        <v/>
      </c>
      <c r="AW465" s="44" t="str">
        <f>IF(AND(C465=Master!$H$4,B465="2012-2013",E465&gt;1000,G465="NPN05"),H465,"")</f>
        <v/>
      </c>
      <c r="AX465" s="44" t="str">
        <f>IF(AND(C465=Master!$H$4,B465="2012-2013",E465="",G465="NPN05"),H465,"")</f>
        <v/>
      </c>
      <c r="AY465" s="44" t="str">
        <f>IF(AND(C465=Master!$H$5,B465="2012-2013",E465&gt;1000,G465="NPN05"),H465,"")</f>
        <v/>
      </c>
      <c r="AZ465" s="44" t="str">
        <f>IF(AND(C465=Master!$H$5,B465="2012-2013",E465="",G465="NPN05"),H465,"")</f>
        <v/>
      </c>
      <c r="BA465" s="44" t="str">
        <f>IF(AND(C465=Master!$H$6,B465="2012-2013",E465&gt;1000,G465="NPN05"),H465,"")</f>
        <v/>
      </c>
      <c r="BB465" s="44" t="str">
        <f>IF(AND(C465=Master!$H$6,B465="2012-2013",E465="",G465="NPN05"),H465,"")</f>
        <v/>
      </c>
      <c r="BC465" s="44" t="str">
        <f>IF(AND(C465=Master!$H$7,B465="2012-2013",E465&gt;1000,G465="NPN05"),H465,"")</f>
        <v/>
      </c>
      <c r="BD465" s="44" t="str">
        <f>IF(AND(C465=Master!$H$7,B465="2012-2013",E465="",G465="NPN05"),H465,"")</f>
        <v/>
      </c>
      <c r="BE465" s="44" t="str">
        <f>IF(AND(C465=Master!$H$8,B465="2012-2013",E465&gt;1000,G465="NPN05"),H465,"")</f>
        <v/>
      </c>
      <c r="BF465" s="44" t="str">
        <f>IF(AND(C465=Master!$H$8,B465="2012-2013",E465="",G465="NPN05"),H465,"")</f>
        <v/>
      </c>
      <c r="BG465" s="44" t="str">
        <f>IF(AND(C465=Master!$H$9,B465="2012-2013",E465&gt;1000,G465="NPN05"),H465,"")</f>
        <v/>
      </c>
      <c r="BH465" s="44" t="str">
        <f>IF(AND(C465=Master!$H$9,B465="2012-2013",E465="",G465="NPN05"),H465,"")</f>
        <v/>
      </c>
    </row>
    <row r="466" spans="1:60" x14ac:dyDescent="0.25">
      <c r="A466" s="3">
        <v>464</v>
      </c>
      <c r="B466" s="12"/>
      <c r="C466" s="12"/>
      <c r="D466" s="31"/>
      <c r="E466" s="4"/>
      <c r="F466" s="13"/>
      <c r="G466" s="21"/>
      <c r="H466" s="35"/>
      <c r="I466" s="21"/>
      <c r="J466" s="25" t="str">
        <f>IF(NOT(I466=""),INDEX(Master!$B$1:$B$46,MATCH(I466,Master!$A$1:$A$46,0)),"")</f>
        <v/>
      </c>
      <c r="K466" s="18"/>
      <c r="L466" s="86"/>
      <c r="M466" s="13"/>
      <c r="N466" s="13"/>
      <c r="O466" s="18"/>
      <c r="P466" s="35"/>
      <c r="Q466" s="21"/>
      <c r="R466" s="21"/>
      <c r="S466" s="13"/>
      <c r="T466" s="12"/>
      <c r="U466" s="12"/>
      <c r="V466" s="12"/>
      <c r="W466" s="14"/>
      <c r="Y466" s="42" t="str">
        <f>IF(AND(C466=Master!$H$1,B466="2012-2013",E466&gt;1000,G466="PLN03"),H466,"")</f>
        <v/>
      </c>
      <c r="Z466" s="42" t="str">
        <f>IF(AND(C466=Master!$H$1,B466="2012-2013",E466="",G466="PLN03"),H466,"")</f>
        <v/>
      </c>
      <c r="AA466" s="42" t="str">
        <f>IF(AND(C466=Master!$H$2,B466="2012-2013",E466&gt;1000,G466="PLN03"),H466,"")</f>
        <v/>
      </c>
      <c r="AB466" s="42" t="str">
        <f>IF(AND(C466=Master!$H$2,B466="2012-2013",E466="",G466="PLN03"),H466,"")</f>
        <v/>
      </c>
      <c r="AC466" s="42" t="str">
        <f>IF(AND(C466=Master!$H$3,B466="2012-2013",E466&gt;1000,G466="PLN03"),H466,"")</f>
        <v/>
      </c>
      <c r="AD466" s="42" t="str">
        <f>IF(AND(C466=Master!$H$3,B466="2012-2013",E466="",G466="PLN03"),H466,"")</f>
        <v/>
      </c>
      <c r="AE466" s="42" t="str">
        <f>IF(AND(C466=Master!$H$4,B466="2012-2013",E466&gt;1000,G466="PLN03"),H466,"")</f>
        <v/>
      </c>
      <c r="AF466" s="42" t="str">
        <f>IF(AND(C466=Master!$H$4,B466="2012-2013",E466="",G466="PLN03"),H466,"")</f>
        <v/>
      </c>
      <c r="AG466" s="42" t="str">
        <f>IF(AND(C466=Master!$H$5,B466="2012-2013",E466&gt;1000,G466="PLN03"),H466,"")</f>
        <v/>
      </c>
      <c r="AH466" s="42" t="str">
        <f>IF(AND(C466=Master!$H$5,B466="2012-2013",E466="",G466="PLN03"),H466,"")</f>
        <v/>
      </c>
      <c r="AI466" s="42" t="str">
        <f>IF(AND(C466=Master!$H$6,B466="2012-2013",E466&gt;1000,G466="PLN03"),H466,"")</f>
        <v/>
      </c>
      <c r="AJ466" s="42" t="str">
        <f>IF(AND(C466=Master!$H$6,B466="2012-2013",E466="",G466="PLN03"),H466,"")</f>
        <v/>
      </c>
      <c r="AK466" s="42" t="str">
        <f>IF(AND(C466=Master!$H$7,B466="2012-2013",E466&gt;1000,G466="PLN03"),H466,"")</f>
        <v/>
      </c>
      <c r="AL466" s="42" t="str">
        <f>IF(AND(C466=Master!$H$7,B466="2012-2013",E466="",G466="PLN03"),H466,"")</f>
        <v/>
      </c>
      <c r="AM466" s="42" t="str">
        <f>IF(AND(C466=Master!$H$8,B466="2012-2013",E466&gt;1000,G466="PLN03"),H466,"")</f>
        <v/>
      </c>
      <c r="AN466" s="42" t="str">
        <f>IF(AND(C466=Master!$H$8,B466="2012-2013",E466="",G466="PLN03"),H466,"")</f>
        <v/>
      </c>
      <c r="AO466" s="42" t="str">
        <f>IF(AND(C466=Master!$H$9,B466="2012-2013",E466&gt;1000,G466="PLN03"),H466,"")</f>
        <v/>
      </c>
      <c r="AP466" s="42" t="str">
        <f>IF(AND(C466=Master!$H$9,B466="2012-2013",E466="",G466="PLN03"),H466,"")</f>
        <v/>
      </c>
      <c r="AQ466" s="44" t="str">
        <f>IF(AND(C466=Master!$H$1,B466="2012-2013",E466&gt;1000,G466="NPN05"),H466,"")</f>
        <v/>
      </c>
      <c r="AR466" s="44" t="str">
        <f>IF(AND(C466=Master!$H$1,B466="2012-2013",E466="",G466="NPN05"),H466,"")</f>
        <v/>
      </c>
      <c r="AS466" s="44" t="str">
        <f>IF(AND(C466=Master!$H$2,B466="2012-2013",E466&gt;1000,G466="NPN05"),H466,"")</f>
        <v/>
      </c>
      <c r="AT466" s="44" t="str">
        <f>IF(AND(C466=Master!$H$2,B466="2012-2013",E466="",G466="NPN05"),H466,"")</f>
        <v/>
      </c>
      <c r="AU466" s="44" t="str">
        <f>IF(AND(C466=Master!$H$3,B466="2012-2013",E466&gt;1000,G466="NPN05"),H466,"")</f>
        <v/>
      </c>
      <c r="AV466" s="44" t="str">
        <f>IF(AND(C466=Master!$H$3,B466="2012-2013",E466="",G466="NPN05"),H466,"")</f>
        <v/>
      </c>
      <c r="AW466" s="44" t="str">
        <f>IF(AND(C466=Master!$H$4,B466="2012-2013",E466&gt;1000,G466="NPN05"),H466,"")</f>
        <v/>
      </c>
      <c r="AX466" s="44" t="str">
        <f>IF(AND(C466=Master!$H$4,B466="2012-2013",E466="",G466="NPN05"),H466,"")</f>
        <v/>
      </c>
      <c r="AY466" s="44" t="str">
        <f>IF(AND(C466=Master!$H$5,B466="2012-2013",E466&gt;1000,G466="NPN05"),H466,"")</f>
        <v/>
      </c>
      <c r="AZ466" s="44" t="str">
        <f>IF(AND(C466=Master!$H$5,B466="2012-2013",E466="",G466="NPN05"),H466,"")</f>
        <v/>
      </c>
      <c r="BA466" s="44" t="str">
        <f>IF(AND(C466=Master!$H$6,B466="2012-2013",E466&gt;1000,G466="NPN05"),H466,"")</f>
        <v/>
      </c>
      <c r="BB466" s="44" t="str">
        <f>IF(AND(C466=Master!$H$6,B466="2012-2013",E466="",G466="NPN05"),H466,"")</f>
        <v/>
      </c>
      <c r="BC466" s="44" t="str">
        <f>IF(AND(C466=Master!$H$7,B466="2012-2013",E466&gt;1000,G466="NPN05"),H466,"")</f>
        <v/>
      </c>
      <c r="BD466" s="44" t="str">
        <f>IF(AND(C466=Master!$H$7,B466="2012-2013",E466="",G466="NPN05"),H466,"")</f>
        <v/>
      </c>
      <c r="BE466" s="44" t="str">
        <f>IF(AND(C466=Master!$H$8,B466="2012-2013",E466&gt;1000,G466="NPN05"),H466,"")</f>
        <v/>
      </c>
      <c r="BF466" s="44" t="str">
        <f>IF(AND(C466=Master!$H$8,B466="2012-2013",E466="",G466="NPN05"),H466,"")</f>
        <v/>
      </c>
      <c r="BG466" s="44" t="str">
        <f>IF(AND(C466=Master!$H$9,B466="2012-2013",E466&gt;1000,G466="NPN05"),H466,"")</f>
        <v/>
      </c>
      <c r="BH466" s="44" t="str">
        <f>IF(AND(C466=Master!$H$9,B466="2012-2013",E466="",G466="NPN05"),H466,"")</f>
        <v/>
      </c>
    </row>
    <row r="467" spans="1:60" x14ac:dyDescent="0.25">
      <c r="A467" s="3">
        <v>465</v>
      </c>
      <c r="B467" s="12"/>
      <c r="C467" s="12"/>
      <c r="D467" s="31"/>
      <c r="E467" s="4"/>
      <c r="F467" s="13"/>
      <c r="G467" s="21"/>
      <c r="H467" s="35"/>
      <c r="I467" s="21"/>
      <c r="J467" s="25" t="str">
        <f>IF(NOT(I467=""),INDEX(Master!$B$1:$B$46,MATCH(I467,Master!$A$1:$A$46,0)),"")</f>
        <v/>
      </c>
      <c r="K467" s="18"/>
      <c r="L467" s="86"/>
      <c r="M467" s="13"/>
      <c r="N467" s="13"/>
      <c r="O467" s="18"/>
      <c r="P467" s="35"/>
      <c r="Q467" s="21"/>
      <c r="R467" s="21"/>
      <c r="S467" s="13"/>
      <c r="T467" s="12"/>
      <c r="U467" s="12"/>
      <c r="V467" s="12"/>
      <c r="W467" s="14"/>
      <c r="Y467" s="42" t="str">
        <f>IF(AND(C467=Master!$H$1,B467="2012-2013",E467&gt;1000,G467="PLN03"),H467,"")</f>
        <v/>
      </c>
      <c r="Z467" s="42" t="str">
        <f>IF(AND(C467=Master!$H$1,B467="2012-2013",E467="",G467="PLN03"),H467,"")</f>
        <v/>
      </c>
      <c r="AA467" s="42" t="str">
        <f>IF(AND(C467=Master!$H$2,B467="2012-2013",E467&gt;1000,G467="PLN03"),H467,"")</f>
        <v/>
      </c>
      <c r="AB467" s="42" t="str">
        <f>IF(AND(C467=Master!$H$2,B467="2012-2013",E467="",G467="PLN03"),H467,"")</f>
        <v/>
      </c>
      <c r="AC467" s="42" t="str">
        <f>IF(AND(C467=Master!$H$3,B467="2012-2013",E467&gt;1000,G467="PLN03"),H467,"")</f>
        <v/>
      </c>
      <c r="AD467" s="42" t="str">
        <f>IF(AND(C467=Master!$H$3,B467="2012-2013",E467="",G467="PLN03"),H467,"")</f>
        <v/>
      </c>
      <c r="AE467" s="42" t="str">
        <f>IF(AND(C467=Master!$H$4,B467="2012-2013",E467&gt;1000,G467="PLN03"),H467,"")</f>
        <v/>
      </c>
      <c r="AF467" s="42" t="str">
        <f>IF(AND(C467=Master!$H$4,B467="2012-2013",E467="",G467="PLN03"),H467,"")</f>
        <v/>
      </c>
      <c r="AG467" s="42" t="str">
        <f>IF(AND(C467=Master!$H$5,B467="2012-2013",E467&gt;1000,G467="PLN03"),H467,"")</f>
        <v/>
      </c>
      <c r="AH467" s="42" t="str">
        <f>IF(AND(C467=Master!$H$5,B467="2012-2013",E467="",G467="PLN03"),H467,"")</f>
        <v/>
      </c>
      <c r="AI467" s="42" t="str">
        <f>IF(AND(C467=Master!$H$6,B467="2012-2013",E467&gt;1000,G467="PLN03"),H467,"")</f>
        <v/>
      </c>
      <c r="AJ467" s="42" t="str">
        <f>IF(AND(C467=Master!$H$6,B467="2012-2013",E467="",G467="PLN03"),H467,"")</f>
        <v/>
      </c>
      <c r="AK467" s="42" t="str">
        <f>IF(AND(C467=Master!$H$7,B467="2012-2013",E467&gt;1000,G467="PLN03"),H467,"")</f>
        <v/>
      </c>
      <c r="AL467" s="42" t="str">
        <f>IF(AND(C467=Master!$H$7,B467="2012-2013",E467="",G467="PLN03"),H467,"")</f>
        <v/>
      </c>
      <c r="AM467" s="42" t="str">
        <f>IF(AND(C467=Master!$H$8,B467="2012-2013",E467&gt;1000,G467="PLN03"),H467,"")</f>
        <v/>
      </c>
      <c r="AN467" s="42" t="str">
        <f>IF(AND(C467=Master!$H$8,B467="2012-2013",E467="",G467="PLN03"),H467,"")</f>
        <v/>
      </c>
      <c r="AO467" s="42" t="str">
        <f>IF(AND(C467=Master!$H$9,B467="2012-2013",E467&gt;1000,G467="PLN03"),H467,"")</f>
        <v/>
      </c>
      <c r="AP467" s="42" t="str">
        <f>IF(AND(C467=Master!$H$9,B467="2012-2013",E467="",G467="PLN03"),H467,"")</f>
        <v/>
      </c>
      <c r="AQ467" s="44" t="str">
        <f>IF(AND(C467=Master!$H$1,B467="2012-2013",E467&gt;1000,G467="NPN05"),H467,"")</f>
        <v/>
      </c>
      <c r="AR467" s="44" t="str">
        <f>IF(AND(C467=Master!$H$1,B467="2012-2013",E467="",G467="NPN05"),H467,"")</f>
        <v/>
      </c>
      <c r="AS467" s="44" t="str">
        <f>IF(AND(C467=Master!$H$2,B467="2012-2013",E467&gt;1000,G467="NPN05"),H467,"")</f>
        <v/>
      </c>
      <c r="AT467" s="44" t="str">
        <f>IF(AND(C467=Master!$H$2,B467="2012-2013",E467="",G467="NPN05"),H467,"")</f>
        <v/>
      </c>
      <c r="AU467" s="44" t="str">
        <f>IF(AND(C467=Master!$H$3,B467="2012-2013",E467&gt;1000,G467="NPN05"),H467,"")</f>
        <v/>
      </c>
      <c r="AV467" s="44" t="str">
        <f>IF(AND(C467=Master!$H$3,B467="2012-2013",E467="",G467="NPN05"),H467,"")</f>
        <v/>
      </c>
      <c r="AW467" s="44" t="str">
        <f>IF(AND(C467=Master!$H$4,B467="2012-2013",E467&gt;1000,G467="NPN05"),H467,"")</f>
        <v/>
      </c>
      <c r="AX467" s="44" t="str">
        <f>IF(AND(C467=Master!$H$4,B467="2012-2013",E467="",G467="NPN05"),H467,"")</f>
        <v/>
      </c>
      <c r="AY467" s="44" t="str">
        <f>IF(AND(C467=Master!$H$5,B467="2012-2013",E467&gt;1000,G467="NPN05"),H467,"")</f>
        <v/>
      </c>
      <c r="AZ467" s="44" t="str">
        <f>IF(AND(C467=Master!$H$5,B467="2012-2013",E467="",G467="NPN05"),H467,"")</f>
        <v/>
      </c>
      <c r="BA467" s="44" t="str">
        <f>IF(AND(C467=Master!$H$6,B467="2012-2013",E467&gt;1000,G467="NPN05"),H467,"")</f>
        <v/>
      </c>
      <c r="BB467" s="44" t="str">
        <f>IF(AND(C467=Master!$H$6,B467="2012-2013",E467="",G467="NPN05"),H467,"")</f>
        <v/>
      </c>
      <c r="BC467" s="44" t="str">
        <f>IF(AND(C467=Master!$H$7,B467="2012-2013",E467&gt;1000,G467="NPN05"),H467,"")</f>
        <v/>
      </c>
      <c r="BD467" s="44" t="str">
        <f>IF(AND(C467=Master!$H$7,B467="2012-2013",E467="",G467="NPN05"),H467,"")</f>
        <v/>
      </c>
      <c r="BE467" s="44" t="str">
        <f>IF(AND(C467=Master!$H$8,B467="2012-2013",E467&gt;1000,G467="NPN05"),H467,"")</f>
        <v/>
      </c>
      <c r="BF467" s="44" t="str">
        <f>IF(AND(C467=Master!$H$8,B467="2012-2013",E467="",G467="NPN05"),H467,"")</f>
        <v/>
      </c>
      <c r="BG467" s="44" t="str">
        <f>IF(AND(C467=Master!$H$9,B467="2012-2013",E467&gt;1000,G467="NPN05"),H467,"")</f>
        <v/>
      </c>
      <c r="BH467" s="44" t="str">
        <f>IF(AND(C467=Master!$H$9,B467="2012-2013",E467="",G467="NPN05"),H467,"")</f>
        <v/>
      </c>
    </row>
    <row r="468" spans="1:60" x14ac:dyDescent="0.25">
      <c r="A468" s="3">
        <v>466</v>
      </c>
      <c r="B468" s="12"/>
      <c r="C468" s="12"/>
      <c r="D468" s="31"/>
      <c r="E468" s="4"/>
      <c r="F468" s="13"/>
      <c r="G468" s="21"/>
      <c r="H468" s="35"/>
      <c r="I468" s="21"/>
      <c r="J468" s="25" t="str">
        <f>IF(NOT(I468=""),INDEX(Master!$B$1:$B$46,MATCH(I468,Master!$A$1:$A$46,0)),"")</f>
        <v/>
      </c>
      <c r="K468" s="18"/>
      <c r="L468" s="86"/>
      <c r="M468" s="13"/>
      <c r="N468" s="13"/>
      <c r="O468" s="18"/>
      <c r="P468" s="35"/>
      <c r="Q468" s="21"/>
      <c r="R468" s="21"/>
      <c r="S468" s="13"/>
      <c r="T468" s="12"/>
      <c r="U468" s="12"/>
      <c r="V468" s="12"/>
      <c r="W468" s="14"/>
      <c r="Y468" s="42" t="str">
        <f>IF(AND(C468=Master!$H$1,B468="2012-2013",E468&gt;1000,G468="PLN03"),H468,"")</f>
        <v/>
      </c>
      <c r="Z468" s="42" t="str">
        <f>IF(AND(C468=Master!$H$1,B468="2012-2013",E468="",G468="PLN03"),H468,"")</f>
        <v/>
      </c>
      <c r="AA468" s="42" t="str">
        <f>IF(AND(C468=Master!$H$2,B468="2012-2013",E468&gt;1000,G468="PLN03"),H468,"")</f>
        <v/>
      </c>
      <c r="AB468" s="42" t="str">
        <f>IF(AND(C468=Master!$H$2,B468="2012-2013",E468="",G468="PLN03"),H468,"")</f>
        <v/>
      </c>
      <c r="AC468" s="42" t="str">
        <f>IF(AND(C468=Master!$H$3,B468="2012-2013",E468&gt;1000,G468="PLN03"),H468,"")</f>
        <v/>
      </c>
      <c r="AD468" s="42" t="str">
        <f>IF(AND(C468=Master!$H$3,B468="2012-2013",E468="",G468="PLN03"),H468,"")</f>
        <v/>
      </c>
      <c r="AE468" s="42" t="str">
        <f>IF(AND(C468=Master!$H$4,B468="2012-2013",E468&gt;1000,G468="PLN03"),H468,"")</f>
        <v/>
      </c>
      <c r="AF468" s="42" t="str">
        <f>IF(AND(C468=Master!$H$4,B468="2012-2013",E468="",G468="PLN03"),H468,"")</f>
        <v/>
      </c>
      <c r="AG468" s="42" t="str">
        <f>IF(AND(C468=Master!$H$5,B468="2012-2013",E468&gt;1000,G468="PLN03"),H468,"")</f>
        <v/>
      </c>
      <c r="AH468" s="42" t="str">
        <f>IF(AND(C468=Master!$H$5,B468="2012-2013",E468="",G468="PLN03"),H468,"")</f>
        <v/>
      </c>
      <c r="AI468" s="42" t="str">
        <f>IF(AND(C468=Master!$H$6,B468="2012-2013",E468&gt;1000,G468="PLN03"),H468,"")</f>
        <v/>
      </c>
      <c r="AJ468" s="42" t="str">
        <f>IF(AND(C468=Master!$H$6,B468="2012-2013",E468="",G468="PLN03"),H468,"")</f>
        <v/>
      </c>
      <c r="AK468" s="42" t="str">
        <f>IF(AND(C468=Master!$H$7,B468="2012-2013",E468&gt;1000,G468="PLN03"),H468,"")</f>
        <v/>
      </c>
      <c r="AL468" s="42" t="str">
        <f>IF(AND(C468=Master!$H$7,B468="2012-2013",E468="",G468="PLN03"),H468,"")</f>
        <v/>
      </c>
      <c r="AM468" s="42" t="str">
        <f>IF(AND(C468=Master!$H$8,B468="2012-2013",E468&gt;1000,G468="PLN03"),H468,"")</f>
        <v/>
      </c>
      <c r="AN468" s="42" t="str">
        <f>IF(AND(C468=Master!$H$8,B468="2012-2013",E468="",G468="PLN03"),H468,"")</f>
        <v/>
      </c>
      <c r="AO468" s="42" t="str">
        <f>IF(AND(C468=Master!$H$9,B468="2012-2013",E468&gt;1000,G468="PLN03"),H468,"")</f>
        <v/>
      </c>
      <c r="AP468" s="42" t="str">
        <f>IF(AND(C468=Master!$H$9,B468="2012-2013",E468="",G468="PLN03"),H468,"")</f>
        <v/>
      </c>
      <c r="AQ468" s="44" t="str">
        <f>IF(AND(C468=Master!$H$1,B468="2012-2013",E468&gt;1000,G468="NPN05"),H468,"")</f>
        <v/>
      </c>
      <c r="AR468" s="44" t="str">
        <f>IF(AND(C468=Master!$H$1,B468="2012-2013",E468="",G468="NPN05"),H468,"")</f>
        <v/>
      </c>
      <c r="AS468" s="44" t="str">
        <f>IF(AND(C468=Master!$H$2,B468="2012-2013",E468&gt;1000,G468="NPN05"),H468,"")</f>
        <v/>
      </c>
      <c r="AT468" s="44" t="str">
        <f>IF(AND(C468=Master!$H$2,B468="2012-2013",E468="",G468="NPN05"),H468,"")</f>
        <v/>
      </c>
      <c r="AU468" s="44" t="str">
        <f>IF(AND(C468=Master!$H$3,B468="2012-2013",E468&gt;1000,G468="NPN05"),H468,"")</f>
        <v/>
      </c>
      <c r="AV468" s="44" t="str">
        <f>IF(AND(C468=Master!$H$3,B468="2012-2013",E468="",G468="NPN05"),H468,"")</f>
        <v/>
      </c>
      <c r="AW468" s="44" t="str">
        <f>IF(AND(C468=Master!$H$4,B468="2012-2013",E468&gt;1000,G468="NPN05"),H468,"")</f>
        <v/>
      </c>
      <c r="AX468" s="44" t="str">
        <f>IF(AND(C468=Master!$H$4,B468="2012-2013",E468="",G468="NPN05"),H468,"")</f>
        <v/>
      </c>
      <c r="AY468" s="44" t="str">
        <f>IF(AND(C468=Master!$H$5,B468="2012-2013",E468&gt;1000,G468="NPN05"),H468,"")</f>
        <v/>
      </c>
      <c r="AZ468" s="44" t="str">
        <f>IF(AND(C468=Master!$H$5,B468="2012-2013",E468="",G468="NPN05"),H468,"")</f>
        <v/>
      </c>
      <c r="BA468" s="44" t="str">
        <f>IF(AND(C468=Master!$H$6,B468="2012-2013",E468&gt;1000,G468="NPN05"),H468,"")</f>
        <v/>
      </c>
      <c r="BB468" s="44" t="str">
        <f>IF(AND(C468=Master!$H$6,B468="2012-2013",E468="",G468="NPN05"),H468,"")</f>
        <v/>
      </c>
      <c r="BC468" s="44" t="str">
        <f>IF(AND(C468=Master!$H$7,B468="2012-2013",E468&gt;1000,G468="NPN05"),H468,"")</f>
        <v/>
      </c>
      <c r="BD468" s="44" t="str">
        <f>IF(AND(C468=Master!$H$7,B468="2012-2013",E468="",G468="NPN05"),H468,"")</f>
        <v/>
      </c>
      <c r="BE468" s="44" t="str">
        <f>IF(AND(C468=Master!$H$8,B468="2012-2013",E468&gt;1000,G468="NPN05"),H468,"")</f>
        <v/>
      </c>
      <c r="BF468" s="44" t="str">
        <f>IF(AND(C468=Master!$H$8,B468="2012-2013",E468="",G468="NPN05"),H468,"")</f>
        <v/>
      </c>
      <c r="BG468" s="44" t="str">
        <f>IF(AND(C468=Master!$H$9,B468="2012-2013",E468&gt;1000,G468="NPN05"),H468,"")</f>
        <v/>
      </c>
      <c r="BH468" s="44" t="str">
        <f>IF(AND(C468=Master!$H$9,B468="2012-2013",E468="",G468="NPN05"),H468,"")</f>
        <v/>
      </c>
    </row>
    <row r="469" spans="1:60" x14ac:dyDescent="0.25">
      <c r="A469" s="3">
        <v>467</v>
      </c>
      <c r="B469" s="12"/>
      <c r="C469" s="12"/>
      <c r="D469" s="31"/>
      <c r="E469" s="4"/>
      <c r="F469" s="13"/>
      <c r="G469" s="21"/>
      <c r="H469" s="35"/>
      <c r="I469" s="21"/>
      <c r="J469" s="25" t="str">
        <f>IF(NOT(I469=""),INDEX(Master!$B$1:$B$46,MATCH(I469,Master!$A$1:$A$46,0)),"")</f>
        <v/>
      </c>
      <c r="K469" s="18"/>
      <c r="L469" s="86"/>
      <c r="M469" s="13"/>
      <c r="N469" s="13"/>
      <c r="O469" s="18"/>
      <c r="P469" s="35"/>
      <c r="Q469" s="21"/>
      <c r="R469" s="21"/>
      <c r="S469" s="13"/>
      <c r="T469" s="12"/>
      <c r="U469" s="12"/>
      <c r="V469" s="12"/>
      <c r="W469" s="14"/>
      <c r="Y469" s="42" t="str">
        <f>IF(AND(C469=Master!$H$1,B469="2012-2013",E469&gt;1000,G469="PLN03"),H469,"")</f>
        <v/>
      </c>
      <c r="Z469" s="42" t="str">
        <f>IF(AND(C469=Master!$H$1,B469="2012-2013",E469="",G469="PLN03"),H469,"")</f>
        <v/>
      </c>
      <c r="AA469" s="42" t="str">
        <f>IF(AND(C469=Master!$H$2,B469="2012-2013",E469&gt;1000,G469="PLN03"),H469,"")</f>
        <v/>
      </c>
      <c r="AB469" s="42" t="str">
        <f>IF(AND(C469=Master!$H$2,B469="2012-2013",E469="",G469="PLN03"),H469,"")</f>
        <v/>
      </c>
      <c r="AC469" s="42" t="str">
        <f>IF(AND(C469=Master!$H$3,B469="2012-2013",E469&gt;1000,G469="PLN03"),H469,"")</f>
        <v/>
      </c>
      <c r="AD469" s="42" t="str">
        <f>IF(AND(C469=Master!$H$3,B469="2012-2013",E469="",G469="PLN03"),H469,"")</f>
        <v/>
      </c>
      <c r="AE469" s="42" t="str">
        <f>IF(AND(C469=Master!$H$4,B469="2012-2013",E469&gt;1000,G469="PLN03"),H469,"")</f>
        <v/>
      </c>
      <c r="AF469" s="42" t="str">
        <f>IF(AND(C469=Master!$H$4,B469="2012-2013",E469="",G469="PLN03"),H469,"")</f>
        <v/>
      </c>
      <c r="AG469" s="42" t="str">
        <f>IF(AND(C469=Master!$H$5,B469="2012-2013",E469&gt;1000,G469="PLN03"),H469,"")</f>
        <v/>
      </c>
      <c r="AH469" s="42" t="str">
        <f>IF(AND(C469=Master!$H$5,B469="2012-2013",E469="",G469="PLN03"),H469,"")</f>
        <v/>
      </c>
      <c r="AI469" s="42" t="str">
        <f>IF(AND(C469=Master!$H$6,B469="2012-2013",E469&gt;1000,G469="PLN03"),H469,"")</f>
        <v/>
      </c>
      <c r="AJ469" s="42" t="str">
        <f>IF(AND(C469=Master!$H$6,B469="2012-2013",E469="",G469="PLN03"),H469,"")</f>
        <v/>
      </c>
      <c r="AK469" s="42" t="str">
        <f>IF(AND(C469=Master!$H$7,B469="2012-2013",E469&gt;1000,G469="PLN03"),H469,"")</f>
        <v/>
      </c>
      <c r="AL469" s="42" t="str">
        <f>IF(AND(C469=Master!$H$7,B469="2012-2013",E469="",G469="PLN03"),H469,"")</f>
        <v/>
      </c>
      <c r="AM469" s="42" t="str">
        <f>IF(AND(C469=Master!$H$8,B469="2012-2013",E469&gt;1000,G469="PLN03"),H469,"")</f>
        <v/>
      </c>
      <c r="AN469" s="42" t="str">
        <f>IF(AND(C469=Master!$H$8,B469="2012-2013",E469="",G469="PLN03"),H469,"")</f>
        <v/>
      </c>
      <c r="AO469" s="42" t="str">
        <f>IF(AND(C469=Master!$H$9,B469="2012-2013",E469&gt;1000,G469="PLN03"),H469,"")</f>
        <v/>
      </c>
      <c r="AP469" s="42" t="str">
        <f>IF(AND(C469=Master!$H$9,B469="2012-2013",E469="",G469="PLN03"),H469,"")</f>
        <v/>
      </c>
      <c r="AQ469" s="44" t="str">
        <f>IF(AND(C469=Master!$H$1,B469="2012-2013",E469&gt;1000,G469="NPN05"),H469,"")</f>
        <v/>
      </c>
      <c r="AR469" s="44" t="str">
        <f>IF(AND(C469=Master!$H$1,B469="2012-2013",E469="",G469="NPN05"),H469,"")</f>
        <v/>
      </c>
      <c r="AS469" s="44" t="str">
        <f>IF(AND(C469=Master!$H$2,B469="2012-2013",E469&gt;1000,G469="NPN05"),H469,"")</f>
        <v/>
      </c>
      <c r="AT469" s="44" t="str">
        <f>IF(AND(C469=Master!$H$2,B469="2012-2013",E469="",G469="NPN05"),H469,"")</f>
        <v/>
      </c>
      <c r="AU469" s="44" t="str">
        <f>IF(AND(C469=Master!$H$3,B469="2012-2013",E469&gt;1000,G469="NPN05"),H469,"")</f>
        <v/>
      </c>
      <c r="AV469" s="44" t="str">
        <f>IF(AND(C469=Master!$H$3,B469="2012-2013",E469="",G469="NPN05"),H469,"")</f>
        <v/>
      </c>
      <c r="AW469" s="44" t="str">
        <f>IF(AND(C469=Master!$H$4,B469="2012-2013",E469&gt;1000,G469="NPN05"),H469,"")</f>
        <v/>
      </c>
      <c r="AX469" s="44" t="str">
        <f>IF(AND(C469=Master!$H$4,B469="2012-2013",E469="",G469="NPN05"),H469,"")</f>
        <v/>
      </c>
      <c r="AY469" s="44" t="str">
        <f>IF(AND(C469=Master!$H$5,B469="2012-2013",E469&gt;1000,G469="NPN05"),H469,"")</f>
        <v/>
      </c>
      <c r="AZ469" s="44" t="str">
        <f>IF(AND(C469=Master!$H$5,B469="2012-2013",E469="",G469="NPN05"),H469,"")</f>
        <v/>
      </c>
      <c r="BA469" s="44" t="str">
        <f>IF(AND(C469=Master!$H$6,B469="2012-2013",E469&gt;1000,G469="NPN05"),H469,"")</f>
        <v/>
      </c>
      <c r="BB469" s="44" t="str">
        <f>IF(AND(C469=Master!$H$6,B469="2012-2013",E469="",G469="NPN05"),H469,"")</f>
        <v/>
      </c>
      <c r="BC469" s="44" t="str">
        <f>IF(AND(C469=Master!$H$7,B469="2012-2013",E469&gt;1000,G469="NPN05"),H469,"")</f>
        <v/>
      </c>
      <c r="BD469" s="44" t="str">
        <f>IF(AND(C469=Master!$H$7,B469="2012-2013",E469="",G469="NPN05"),H469,"")</f>
        <v/>
      </c>
      <c r="BE469" s="44" t="str">
        <f>IF(AND(C469=Master!$H$8,B469="2012-2013",E469&gt;1000,G469="NPN05"),H469,"")</f>
        <v/>
      </c>
      <c r="BF469" s="44" t="str">
        <f>IF(AND(C469=Master!$H$8,B469="2012-2013",E469="",G469="NPN05"),H469,"")</f>
        <v/>
      </c>
      <c r="BG469" s="44" t="str">
        <f>IF(AND(C469=Master!$H$9,B469="2012-2013",E469&gt;1000,G469="NPN05"),H469,"")</f>
        <v/>
      </c>
      <c r="BH469" s="44" t="str">
        <f>IF(AND(C469=Master!$H$9,B469="2012-2013",E469="",G469="NPN05"),H469,"")</f>
        <v/>
      </c>
    </row>
    <row r="470" spans="1:60" x14ac:dyDescent="0.25">
      <c r="A470" s="3">
        <v>468</v>
      </c>
      <c r="B470" s="12"/>
      <c r="C470" s="12"/>
      <c r="D470" s="31"/>
      <c r="E470" s="4"/>
      <c r="F470" s="13"/>
      <c r="G470" s="21"/>
      <c r="H470" s="35"/>
      <c r="I470" s="21"/>
      <c r="J470" s="25" t="str">
        <f>IF(NOT(I470=""),INDEX(Master!$B$1:$B$46,MATCH(I470,Master!$A$1:$A$46,0)),"")</f>
        <v/>
      </c>
      <c r="K470" s="18"/>
      <c r="L470" s="86"/>
      <c r="M470" s="13"/>
      <c r="N470" s="13"/>
      <c r="O470" s="18"/>
      <c r="P470" s="35"/>
      <c r="Q470" s="21"/>
      <c r="R470" s="21"/>
      <c r="S470" s="13"/>
      <c r="T470" s="12"/>
      <c r="U470" s="12"/>
      <c r="V470" s="12"/>
      <c r="W470" s="14"/>
      <c r="Y470" s="42" t="str">
        <f>IF(AND(C470=Master!$H$1,B470="2012-2013",E470&gt;1000,G470="PLN03"),H470,"")</f>
        <v/>
      </c>
      <c r="Z470" s="42" t="str">
        <f>IF(AND(C470=Master!$H$1,B470="2012-2013",E470="",G470="PLN03"),H470,"")</f>
        <v/>
      </c>
      <c r="AA470" s="42" t="str">
        <f>IF(AND(C470=Master!$H$2,B470="2012-2013",E470&gt;1000,G470="PLN03"),H470,"")</f>
        <v/>
      </c>
      <c r="AB470" s="42" t="str">
        <f>IF(AND(C470=Master!$H$2,B470="2012-2013",E470="",G470="PLN03"),H470,"")</f>
        <v/>
      </c>
      <c r="AC470" s="42" t="str">
        <f>IF(AND(C470=Master!$H$3,B470="2012-2013",E470&gt;1000,G470="PLN03"),H470,"")</f>
        <v/>
      </c>
      <c r="AD470" s="42" t="str">
        <f>IF(AND(C470=Master!$H$3,B470="2012-2013",E470="",G470="PLN03"),H470,"")</f>
        <v/>
      </c>
      <c r="AE470" s="42" t="str">
        <f>IF(AND(C470=Master!$H$4,B470="2012-2013",E470&gt;1000,G470="PLN03"),H470,"")</f>
        <v/>
      </c>
      <c r="AF470" s="42" t="str">
        <f>IF(AND(C470=Master!$H$4,B470="2012-2013",E470="",G470="PLN03"),H470,"")</f>
        <v/>
      </c>
      <c r="AG470" s="42" t="str">
        <f>IF(AND(C470=Master!$H$5,B470="2012-2013",E470&gt;1000,G470="PLN03"),H470,"")</f>
        <v/>
      </c>
      <c r="AH470" s="42" t="str">
        <f>IF(AND(C470=Master!$H$5,B470="2012-2013",E470="",G470="PLN03"),H470,"")</f>
        <v/>
      </c>
      <c r="AI470" s="42" t="str">
        <f>IF(AND(C470=Master!$H$6,B470="2012-2013",E470&gt;1000,G470="PLN03"),H470,"")</f>
        <v/>
      </c>
      <c r="AJ470" s="42" t="str">
        <f>IF(AND(C470=Master!$H$6,B470="2012-2013",E470="",G470="PLN03"),H470,"")</f>
        <v/>
      </c>
      <c r="AK470" s="42" t="str">
        <f>IF(AND(C470=Master!$H$7,B470="2012-2013",E470&gt;1000,G470="PLN03"),H470,"")</f>
        <v/>
      </c>
      <c r="AL470" s="42" t="str">
        <f>IF(AND(C470=Master!$H$7,B470="2012-2013",E470="",G470="PLN03"),H470,"")</f>
        <v/>
      </c>
      <c r="AM470" s="42" t="str">
        <f>IF(AND(C470=Master!$H$8,B470="2012-2013",E470&gt;1000,G470="PLN03"),H470,"")</f>
        <v/>
      </c>
      <c r="AN470" s="42" t="str">
        <f>IF(AND(C470=Master!$H$8,B470="2012-2013",E470="",G470="PLN03"),H470,"")</f>
        <v/>
      </c>
      <c r="AO470" s="42" t="str">
        <f>IF(AND(C470=Master!$H$9,B470="2012-2013",E470&gt;1000,G470="PLN03"),H470,"")</f>
        <v/>
      </c>
      <c r="AP470" s="42" t="str">
        <f>IF(AND(C470=Master!$H$9,B470="2012-2013",E470="",G470="PLN03"),H470,"")</f>
        <v/>
      </c>
      <c r="AQ470" s="44" t="str">
        <f>IF(AND(C470=Master!$H$1,B470="2012-2013",E470&gt;1000,G470="NPN05"),H470,"")</f>
        <v/>
      </c>
      <c r="AR470" s="44" t="str">
        <f>IF(AND(C470=Master!$H$1,B470="2012-2013",E470="",G470="NPN05"),H470,"")</f>
        <v/>
      </c>
      <c r="AS470" s="44" t="str">
        <f>IF(AND(C470=Master!$H$2,B470="2012-2013",E470&gt;1000,G470="NPN05"),H470,"")</f>
        <v/>
      </c>
      <c r="AT470" s="44" t="str">
        <f>IF(AND(C470=Master!$H$2,B470="2012-2013",E470="",G470="NPN05"),H470,"")</f>
        <v/>
      </c>
      <c r="AU470" s="44" t="str">
        <f>IF(AND(C470=Master!$H$3,B470="2012-2013",E470&gt;1000,G470="NPN05"),H470,"")</f>
        <v/>
      </c>
      <c r="AV470" s="44" t="str">
        <f>IF(AND(C470=Master!$H$3,B470="2012-2013",E470="",G470="NPN05"),H470,"")</f>
        <v/>
      </c>
      <c r="AW470" s="44" t="str">
        <f>IF(AND(C470=Master!$H$4,B470="2012-2013",E470&gt;1000,G470="NPN05"),H470,"")</f>
        <v/>
      </c>
      <c r="AX470" s="44" t="str">
        <f>IF(AND(C470=Master!$H$4,B470="2012-2013",E470="",G470="NPN05"),H470,"")</f>
        <v/>
      </c>
      <c r="AY470" s="44" t="str">
        <f>IF(AND(C470=Master!$H$5,B470="2012-2013",E470&gt;1000,G470="NPN05"),H470,"")</f>
        <v/>
      </c>
      <c r="AZ470" s="44" t="str">
        <f>IF(AND(C470=Master!$H$5,B470="2012-2013",E470="",G470="NPN05"),H470,"")</f>
        <v/>
      </c>
      <c r="BA470" s="44" t="str">
        <f>IF(AND(C470=Master!$H$6,B470="2012-2013",E470&gt;1000,G470="NPN05"),H470,"")</f>
        <v/>
      </c>
      <c r="BB470" s="44" t="str">
        <f>IF(AND(C470=Master!$H$6,B470="2012-2013",E470="",G470="NPN05"),H470,"")</f>
        <v/>
      </c>
      <c r="BC470" s="44" t="str">
        <f>IF(AND(C470=Master!$H$7,B470="2012-2013",E470&gt;1000,G470="NPN05"),H470,"")</f>
        <v/>
      </c>
      <c r="BD470" s="44" t="str">
        <f>IF(AND(C470=Master!$H$7,B470="2012-2013",E470="",G470="NPN05"),H470,"")</f>
        <v/>
      </c>
      <c r="BE470" s="44" t="str">
        <f>IF(AND(C470=Master!$H$8,B470="2012-2013",E470&gt;1000,G470="NPN05"),H470,"")</f>
        <v/>
      </c>
      <c r="BF470" s="44" t="str">
        <f>IF(AND(C470=Master!$H$8,B470="2012-2013",E470="",G470="NPN05"),H470,"")</f>
        <v/>
      </c>
      <c r="BG470" s="44" t="str">
        <f>IF(AND(C470=Master!$H$9,B470="2012-2013",E470&gt;1000,G470="NPN05"),H470,"")</f>
        <v/>
      </c>
      <c r="BH470" s="44" t="str">
        <f>IF(AND(C470=Master!$H$9,B470="2012-2013",E470="",G470="NPN05"),H470,"")</f>
        <v/>
      </c>
    </row>
    <row r="471" spans="1:60" x14ac:dyDescent="0.25">
      <c r="A471" s="3">
        <v>469</v>
      </c>
      <c r="B471" s="12"/>
      <c r="C471" s="12"/>
      <c r="D471" s="31"/>
      <c r="E471" s="4"/>
      <c r="F471" s="13"/>
      <c r="G471" s="21"/>
      <c r="H471" s="35"/>
      <c r="I471" s="21"/>
      <c r="J471" s="25" t="str">
        <f>IF(NOT(I471=""),INDEX(Master!$B$1:$B$46,MATCH(I471,Master!$A$1:$A$46,0)),"")</f>
        <v/>
      </c>
      <c r="K471" s="18"/>
      <c r="L471" s="86"/>
      <c r="M471" s="13"/>
      <c r="N471" s="13"/>
      <c r="O471" s="18"/>
      <c r="P471" s="35"/>
      <c r="Q471" s="21"/>
      <c r="R471" s="21"/>
      <c r="S471" s="13"/>
      <c r="T471" s="12"/>
      <c r="U471" s="12"/>
      <c r="V471" s="12"/>
      <c r="W471" s="14"/>
      <c r="Y471" s="42" t="str">
        <f>IF(AND(C471=Master!$H$1,B471="2012-2013",E471&gt;1000,G471="PLN03"),H471,"")</f>
        <v/>
      </c>
      <c r="Z471" s="42" t="str">
        <f>IF(AND(C471=Master!$H$1,B471="2012-2013",E471="",G471="PLN03"),H471,"")</f>
        <v/>
      </c>
      <c r="AA471" s="42" t="str">
        <f>IF(AND(C471=Master!$H$2,B471="2012-2013",E471&gt;1000,G471="PLN03"),H471,"")</f>
        <v/>
      </c>
      <c r="AB471" s="42" t="str">
        <f>IF(AND(C471=Master!$H$2,B471="2012-2013",E471="",G471="PLN03"),H471,"")</f>
        <v/>
      </c>
      <c r="AC471" s="42" t="str">
        <f>IF(AND(C471=Master!$H$3,B471="2012-2013",E471&gt;1000,G471="PLN03"),H471,"")</f>
        <v/>
      </c>
      <c r="AD471" s="42" t="str">
        <f>IF(AND(C471=Master!$H$3,B471="2012-2013",E471="",G471="PLN03"),H471,"")</f>
        <v/>
      </c>
      <c r="AE471" s="42" t="str">
        <f>IF(AND(C471=Master!$H$4,B471="2012-2013",E471&gt;1000,G471="PLN03"),H471,"")</f>
        <v/>
      </c>
      <c r="AF471" s="42" t="str">
        <f>IF(AND(C471=Master!$H$4,B471="2012-2013",E471="",G471="PLN03"),H471,"")</f>
        <v/>
      </c>
      <c r="AG471" s="42" t="str">
        <f>IF(AND(C471=Master!$H$5,B471="2012-2013",E471&gt;1000,G471="PLN03"),H471,"")</f>
        <v/>
      </c>
      <c r="AH471" s="42" t="str">
        <f>IF(AND(C471=Master!$H$5,B471="2012-2013",E471="",G471="PLN03"),H471,"")</f>
        <v/>
      </c>
      <c r="AI471" s="42" t="str">
        <f>IF(AND(C471=Master!$H$6,B471="2012-2013",E471&gt;1000,G471="PLN03"),H471,"")</f>
        <v/>
      </c>
      <c r="AJ471" s="42" t="str">
        <f>IF(AND(C471=Master!$H$6,B471="2012-2013",E471="",G471="PLN03"),H471,"")</f>
        <v/>
      </c>
      <c r="AK471" s="42" t="str">
        <f>IF(AND(C471=Master!$H$7,B471="2012-2013",E471&gt;1000,G471="PLN03"),H471,"")</f>
        <v/>
      </c>
      <c r="AL471" s="42" t="str">
        <f>IF(AND(C471=Master!$H$7,B471="2012-2013",E471="",G471="PLN03"),H471,"")</f>
        <v/>
      </c>
      <c r="AM471" s="42" t="str">
        <f>IF(AND(C471=Master!$H$8,B471="2012-2013",E471&gt;1000,G471="PLN03"),H471,"")</f>
        <v/>
      </c>
      <c r="AN471" s="42" t="str">
        <f>IF(AND(C471=Master!$H$8,B471="2012-2013",E471="",G471="PLN03"),H471,"")</f>
        <v/>
      </c>
      <c r="AO471" s="42" t="str">
        <f>IF(AND(C471=Master!$H$9,B471="2012-2013",E471&gt;1000,G471="PLN03"),H471,"")</f>
        <v/>
      </c>
      <c r="AP471" s="42" t="str">
        <f>IF(AND(C471=Master!$H$9,B471="2012-2013",E471="",G471="PLN03"),H471,"")</f>
        <v/>
      </c>
      <c r="AQ471" s="44" t="str">
        <f>IF(AND(C471=Master!$H$1,B471="2012-2013",E471&gt;1000,G471="NPN05"),H471,"")</f>
        <v/>
      </c>
      <c r="AR471" s="44" t="str">
        <f>IF(AND(C471=Master!$H$1,B471="2012-2013",E471="",G471="NPN05"),H471,"")</f>
        <v/>
      </c>
      <c r="AS471" s="44" t="str">
        <f>IF(AND(C471=Master!$H$2,B471="2012-2013",E471&gt;1000,G471="NPN05"),H471,"")</f>
        <v/>
      </c>
      <c r="AT471" s="44" t="str">
        <f>IF(AND(C471=Master!$H$2,B471="2012-2013",E471="",G471="NPN05"),H471,"")</f>
        <v/>
      </c>
      <c r="AU471" s="44" t="str">
        <f>IF(AND(C471=Master!$H$3,B471="2012-2013",E471&gt;1000,G471="NPN05"),H471,"")</f>
        <v/>
      </c>
      <c r="AV471" s="44" t="str">
        <f>IF(AND(C471=Master!$H$3,B471="2012-2013",E471="",G471="NPN05"),H471,"")</f>
        <v/>
      </c>
      <c r="AW471" s="44" t="str">
        <f>IF(AND(C471=Master!$H$4,B471="2012-2013",E471&gt;1000,G471="NPN05"),H471,"")</f>
        <v/>
      </c>
      <c r="AX471" s="44" t="str">
        <f>IF(AND(C471=Master!$H$4,B471="2012-2013",E471="",G471="NPN05"),H471,"")</f>
        <v/>
      </c>
      <c r="AY471" s="44" t="str">
        <f>IF(AND(C471=Master!$H$5,B471="2012-2013",E471&gt;1000,G471="NPN05"),H471,"")</f>
        <v/>
      </c>
      <c r="AZ471" s="44" t="str">
        <f>IF(AND(C471=Master!$H$5,B471="2012-2013",E471="",G471="NPN05"),H471,"")</f>
        <v/>
      </c>
      <c r="BA471" s="44" t="str">
        <f>IF(AND(C471=Master!$H$6,B471="2012-2013",E471&gt;1000,G471="NPN05"),H471,"")</f>
        <v/>
      </c>
      <c r="BB471" s="44" t="str">
        <f>IF(AND(C471=Master!$H$6,B471="2012-2013",E471="",G471="NPN05"),H471,"")</f>
        <v/>
      </c>
      <c r="BC471" s="44" t="str">
        <f>IF(AND(C471=Master!$H$7,B471="2012-2013",E471&gt;1000,G471="NPN05"),H471,"")</f>
        <v/>
      </c>
      <c r="BD471" s="44" t="str">
        <f>IF(AND(C471=Master!$H$7,B471="2012-2013",E471="",G471="NPN05"),H471,"")</f>
        <v/>
      </c>
      <c r="BE471" s="44" t="str">
        <f>IF(AND(C471=Master!$H$8,B471="2012-2013",E471&gt;1000,G471="NPN05"),H471,"")</f>
        <v/>
      </c>
      <c r="BF471" s="44" t="str">
        <f>IF(AND(C471=Master!$H$8,B471="2012-2013",E471="",G471="NPN05"),H471,"")</f>
        <v/>
      </c>
      <c r="BG471" s="44" t="str">
        <f>IF(AND(C471=Master!$H$9,B471="2012-2013",E471&gt;1000,G471="NPN05"),H471,"")</f>
        <v/>
      </c>
      <c r="BH471" s="44" t="str">
        <f>IF(AND(C471=Master!$H$9,B471="2012-2013",E471="",G471="NPN05"),H471,"")</f>
        <v/>
      </c>
    </row>
    <row r="472" spans="1:60" x14ac:dyDescent="0.25">
      <c r="A472" s="5">
        <v>470</v>
      </c>
      <c r="B472" s="12"/>
      <c r="C472" s="12"/>
      <c r="D472" s="31"/>
      <c r="E472" s="4"/>
      <c r="F472" s="13"/>
      <c r="G472" s="21"/>
      <c r="H472" s="35"/>
      <c r="I472" s="21"/>
      <c r="J472" s="25" t="str">
        <f>IF(NOT(I472=""),INDEX(Master!$B$1:$B$46,MATCH(I472,Master!$A$1:$A$46,0)),"")</f>
        <v/>
      </c>
      <c r="K472" s="18"/>
      <c r="L472" s="86"/>
      <c r="M472" s="13"/>
      <c r="N472" s="13"/>
      <c r="O472" s="18"/>
      <c r="P472" s="35"/>
      <c r="Q472" s="21"/>
      <c r="R472" s="21"/>
      <c r="S472" s="13"/>
      <c r="T472" s="12"/>
      <c r="U472" s="12"/>
      <c r="V472" s="12"/>
      <c r="W472" s="14"/>
      <c r="Y472" s="42" t="str">
        <f>IF(AND(C472=Master!$H$1,B472="2012-2013",E472&gt;1000,G472="PLN03"),H472,"")</f>
        <v/>
      </c>
      <c r="Z472" s="42" t="str">
        <f>IF(AND(C472=Master!$H$1,B472="2012-2013",E472="",G472="PLN03"),H472,"")</f>
        <v/>
      </c>
      <c r="AA472" s="42" t="str">
        <f>IF(AND(C472=Master!$H$2,B472="2012-2013",E472&gt;1000,G472="PLN03"),H472,"")</f>
        <v/>
      </c>
      <c r="AB472" s="42" t="str">
        <f>IF(AND(C472=Master!$H$2,B472="2012-2013",E472="",G472="PLN03"),H472,"")</f>
        <v/>
      </c>
      <c r="AC472" s="42" t="str">
        <f>IF(AND(C472=Master!$H$3,B472="2012-2013",E472&gt;1000,G472="PLN03"),H472,"")</f>
        <v/>
      </c>
      <c r="AD472" s="42" t="str">
        <f>IF(AND(C472=Master!$H$3,B472="2012-2013",E472="",G472="PLN03"),H472,"")</f>
        <v/>
      </c>
      <c r="AE472" s="42" t="str">
        <f>IF(AND(C472=Master!$H$4,B472="2012-2013",E472&gt;1000,G472="PLN03"),H472,"")</f>
        <v/>
      </c>
      <c r="AF472" s="42" t="str">
        <f>IF(AND(C472=Master!$H$4,B472="2012-2013",E472="",G472="PLN03"),H472,"")</f>
        <v/>
      </c>
      <c r="AG472" s="42" t="str">
        <f>IF(AND(C472=Master!$H$5,B472="2012-2013",E472&gt;1000,G472="PLN03"),H472,"")</f>
        <v/>
      </c>
      <c r="AH472" s="42" t="str">
        <f>IF(AND(C472=Master!$H$5,B472="2012-2013",E472="",G472="PLN03"),H472,"")</f>
        <v/>
      </c>
      <c r="AI472" s="42" t="str">
        <f>IF(AND(C472=Master!$H$6,B472="2012-2013",E472&gt;1000,G472="PLN03"),H472,"")</f>
        <v/>
      </c>
      <c r="AJ472" s="42" t="str">
        <f>IF(AND(C472=Master!$H$6,B472="2012-2013",E472="",G472="PLN03"),H472,"")</f>
        <v/>
      </c>
      <c r="AK472" s="42" t="str">
        <f>IF(AND(C472=Master!$H$7,B472="2012-2013",E472&gt;1000,G472="PLN03"),H472,"")</f>
        <v/>
      </c>
      <c r="AL472" s="42" t="str">
        <f>IF(AND(C472=Master!$H$7,B472="2012-2013",E472="",G472="PLN03"),H472,"")</f>
        <v/>
      </c>
      <c r="AM472" s="42" t="str">
        <f>IF(AND(C472=Master!$H$8,B472="2012-2013",E472&gt;1000,G472="PLN03"),H472,"")</f>
        <v/>
      </c>
      <c r="AN472" s="42" t="str">
        <f>IF(AND(C472=Master!$H$8,B472="2012-2013",E472="",G472="PLN03"),H472,"")</f>
        <v/>
      </c>
      <c r="AO472" s="42" t="str">
        <f>IF(AND(C472=Master!$H$9,B472="2012-2013",E472&gt;1000,G472="PLN03"),H472,"")</f>
        <v/>
      </c>
      <c r="AP472" s="42" t="str">
        <f>IF(AND(C472=Master!$H$9,B472="2012-2013",E472="",G472="PLN03"),H472,"")</f>
        <v/>
      </c>
      <c r="AQ472" s="44" t="str">
        <f>IF(AND(C472=Master!$H$1,B472="2012-2013",E472&gt;1000,G472="NPN05"),H472,"")</f>
        <v/>
      </c>
      <c r="AR472" s="44" t="str">
        <f>IF(AND(C472=Master!$H$1,B472="2012-2013",E472="",G472="NPN05"),H472,"")</f>
        <v/>
      </c>
      <c r="AS472" s="44" t="str">
        <f>IF(AND(C472=Master!$H$2,B472="2012-2013",E472&gt;1000,G472="NPN05"),H472,"")</f>
        <v/>
      </c>
      <c r="AT472" s="44" t="str">
        <f>IF(AND(C472=Master!$H$2,B472="2012-2013",E472="",G472="NPN05"),H472,"")</f>
        <v/>
      </c>
      <c r="AU472" s="44" t="str">
        <f>IF(AND(C472=Master!$H$3,B472="2012-2013",E472&gt;1000,G472="NPN05"),H472,"")</f>
        <v/>
      </c>
      <c r="AV472" s="44" t="str">
        <f>IF(AND(C472=Master!$H$3,B472="2012-2013",E472="",G472="NPN05"),H472,"")</f>
        <v/>
      </c>
      <c r="AW472" s="44" t="str">
        <f>IF(AND(C472=Master!$H$4,B472="2012-2013",E472&gt;1000,G472="NPN05"),H472,"")</f>
        <v/>
      </c>
      <c r="AX472" s="44" t="str">
        <f>IF(AND(C472=Master!$H$4,B472="2012-2013",E472="",G472="NPN05"),H472,"")</f>
        <v/>
      </c>
      <c r="AY472" s="44" t="str">
        <f>IF(AND(C472=Master!$H$5,B472="2012-2013",E472&gt;1000,G472="NPN05"),H472,"")</f>
        <v/>
      </c>
      <c r="AZ472" s="44" t="str">
        <f>IF(AND(C472=Master!$H$5,B472="2012-2013",E472="",G472="NPN05"),H472,"")</f>
        <v/>
      </c>
      <c r="BA472" s="44" t="str">
        <f>IF(AND(C472=Master!$H$6,B472="2012-2013",E472&gt;1000,G472="NPN05"),H472,"")</f>
        <v/>
      </c>
      <c r="BB472" s="44" t="str">
        <f>IF(AND(C472=Master!$H$6,B472="2012-2013",E472="",G472="NPN05"),H472,"")</f>
        <v/>
      </c>
      <c r="BC472" s="44" t="str">
        <f>IF(AND(C472=Master!$H$7,B472="2012-2013",E472&gt;1000,G472="NPN05"),H472,"")</f>
        <v/>
      </c>
      <c r="BD472" s="44" t="str">
        <f>IF(AND(C472=Master!$H$7,B472="2012-2013",E472="",G472="NPN05"),H472,"")</f>
        <v/>
      </c>
      <c r="BE472" s="44" t="str">
        <f>IF(AND(C472=Master!$H$8,B472="2012-2013",E472&gt;1000,G472="NPN05"),H472,"")</f>
        <v/>
      </c>
      <c r="BF472" s="44" t="str">
        <f>IF(AND(C472=Master!$H$8,B472="2012-2013",E472="",G472="NPN05"),H472,"")</f>
        <v/>
      </c>
      <c r="BG472" s="44" t="str">
        <f>IF(AND(C472=Master!$H$9,B472="2012-2013",E472&gt;1000,G472="NPN05"),H472,"")</f>
        <v/>
      </c>
      <c r="BH472" s="44" t="str">
        <f>IF(AND(C472=Master!$H$9,B472="2012-2013",E472="",G472="NPN05"),H472,"")</f>
        <v/>
      </c>
    </row>
    <row r="473" spans="1:60" x14ac:dyDescent="0.25">
      <c r="A473" s="3">
        <v>471</v>
      </c>
      <c r="B473" s="12"/>
      <c r="C473" s="12"/>
      <c r="D473" s="31"/>
      <c r="E473" s="4"/>
      <c r="F473" s="13"/>
      <c r="G473" s="21"/>
      <c r="H473" s="35"/>
      <c r="I473" s="21"/>
      <c r="J473" s="25" t="str">
        <f>IF(NOT(I473=""),INDEX(Master!$B$1:$B$46,MATCH(I473,Master!$A$1:$A$46,0)),"")</f>
        <v/>
      </c>
      <c r="K473" s="18"/>
      <c r="L473" s="86"/>
      <c r="M473" s="13"/>
      <c r="N473" s="13"/>
      <c r="O473" s="18"/>
      <c r="P473" s="35"/>
      <c r="Q473" s="21"/>
      <c r="R473" s="21"/>
      <c r="S473" s="13"/>
      <c r="T473" s="12"/>
      <c r="U473" s="12"/>
      <c r="V473" s="12"/>
      <c r="W473" s="14"/>
      <c r="Y473" s="42" t="str">
        <f>IF(AND(C473=Master!$H$1,B473="2012-2013",E473&gt;1000,G473="PLN03"),H473,"")</f>
        <v/>
      </c>
      <c r="Z473" s="42" t="str">
        <f>IF(AND(C473=Master!$H$1,B473="2012-2013",E473="",G473="PLN03"),H473,"")</f>
        <v/>
      </c>
      <c r="AA473" s="42" t="str">
        <f>IF(AND(C473=Master!$H$2,B473="2012-2013",E473&gt;1000,G473="PLN03"),H473,"")</f>
        <v/>
      </c>
      <c r="AB473" s="42" t="str">
        <f>IF(AND(C473=Master!$H$2,B473="2012-2013",E473="",G473="PLN03"),H473,"")</f>
        <v/>
      </c>
      <c r="AC473" s="42" t="str">
        <f>IF(AND(C473=Master!$H$3,B473="2012-2013",E473&gt;1000,G473="PLN03"),H473,"")</f>
        <v/>
      </c>
      <c r="AD473" s="42" t="str">
        <f>IF(AND(C473=Master!$H$3,B473="2012-2013",E473="",G473="PLN03"),H473,"")</f>
        <v/>
      </c>
      <c r="AE473" s="42" t="str">
        <f>IF(AND(C473=Master!$H$4,B473="2012-2013",E473&gt;1000,G473="PLN03"),H473,"")</f>
        <v/>
      </c>
      <c r="AF473" s="42" t="str">
        <f>IF(AND(C473=Master!$H$4,B473="2012-2013",E473="",G473="PLN03"),H473,"")</f>
        <v/>
      </c>
      <c r="AG473" s="42" t="str">
        <f>IF(AND(C473=Master!$H$5,B473="2012-2013",E473&gt;1000,G473="PLN03"),H473,"")</f>
        <v/>
      </c>
      <c r="AH473" s="42" t="str">
        <f>IF(AND(C473=Master!$H$5,B473="2012-2013",E473="",G473="PLN03"),H473,"")</f>
        <v/>
      </c>
      <c r="AI473" s="42" t="str">
        <f>IF(AND(C473=Master!$H$6,B473="2012-2013",E473&gt;1000,G473="PLN03"),H473,"")</f>
        <v/>
      </c>
      <c r="AJ473" s="42" t="str">
        <f>IF(AND(C473=Master!$H$6,B473="2012-2013",E473="",G473="PLN03"),H473,"")</f>
        <v/>
      </c>
      <c r="AK473" s="42" t="str">
        <f>IF(AND(C473=Master!$H$7,B473="2012-2013",E473&gt;1000,G473="PLN03"),H473,"")</f>
        <v/>
      </c>
      <c r="AL473" s="42" t="str">
        <f>IF(AND(C473=Master!$H$7,B473="2012-2013",E473="",G473="PLN03"),H473,"")</f>
        <v/>
      </c>
      <c r="AM473" s="42" t="str">
        <f>IF(AND(C473=Master!$H$8,B473="2012-2013",E473&gt;1000,G473="PLN03"),H473,"")</f>
        <v/>
      </c>
      <c r="AN473" s="42" t="str">
        <f>IF(AND(C473=Master!$H$8,B473="2012-2013",E473="",G473="PLN03"),H473,"")</f>
        <v/>
      </c>
      <c r="AO473" s="42" t="str">
        <f>IF(AND(C473=Master!$H$9,B473="2012-2013",E473&gt;1000,G473="PLN03"),H473,"")</f>
        <v/>
      </c>
      <c r="AP473" s="42" t="str">
        <f>IF(AND(C473=Master!$H$9,B473="2012-2013",E473="",G473="PLN03"),H473,"")</f>
        <v/>
      </c>
      <c r="AQ473" s="44" t="str">
        <f>IF(AND(C473=Master!$H$1,B473="2012-2013",E473&gt;1000,G473="NPN05"),H473,"")</f>
        <v/>
      </c>
      <c r="AR473" s="44" t="str">
        <f>IF(AND(C473=Master!$H$1,B473="2012-2013",E473="",G473="NPN05"),H473,"")</f>
        <v/>
      </c>
      <c r="AS473" s="44" t="str">
        <f>IF(AND(C473=Master!$H$2,B473="2012-2013",E473&gt;1000,G473="NPN05"),H473,"")</f>
        <v/>
      </c>
      <c r="AT473" s="44" t="str">
        <f>IF(AND(C473=Master!$H$2,B473="2012-2013",E473="",G473="NPN05"),H473,"")</f>
        <v/>
      </c>
      <c r="AU473" s="44" t="str">
        <f>IF(AND(C473=Master!$H$3,B473="2012-2013",E473&gt;1000,G473="NPN05"),H473,"")</f>
        <v/>
      </c>
      <c r="AV473" s="44" t="str">
        <f>IF(AND(C473=Master!$H$3,B473="2012-2013",E473="",G473="NPN05"),H473,"")</f>
        <v/>
      </c>
      <c r="AW473" s="44" t="str">
        <f>IF(AND(C473=Master!$H$4,B473="2012-2013",E473&gt;1000,G473="NPN05"),H473,"")</f>
        <v/>
      </c>
      <c r="AX473" s="44" t="str">
        <f>IF(AND(C473=Master!$H$4,B473="2012-2013",E473="",G473="NPN05"),H473,"")</f>
        <v/>
      </c>
      <c r="AY473" s="44" t="str">
        <f>IF(AND(C473=Master!$H$5,B473="2012-2013",E473&gt;1000,G473="NPN05"),H473,"")</f>
        <v/>
      </c>
      <c r="AZ473" s="44" t="str">
        <f>IF(AND(C473=Master!$H$5,B473="2012-2013",E473="",G473="NPN05"),H473,"")</f>
        <v/>
      </c>
      <c r="BA473" s="44" t="str">
        <f>IF(AND(C473=Master!$H$6,B473="2012-2013",E473&gt;1000,G473="NPN05"),H473,"")</f>
        <v/>
      </c>
      <c r="BB473" s="44" t="str">
        <f>IF(AND(C473=Master!$H$6,B473="2012-2013",E473="",G473="NPN05"),H473,"")</f>
        <v/>
      </c>
      <c r="BC473" s="44" t="str">
        <f>IF(AND(C473=Master!$H$7,B473="2012-2013",E473&gt;1000,G473="NPN05"),H473,"")</f>
        <v/>
      </c>
      <c r="BD473" s="44" t="str">
        <f>IF(AND(C473=Master!$H$7,B473="2012-2013",E473="",G473="NPN05"),H473,"")</f>
        <v/>
      </c>
      <c r="BE473" s="44" t="str">
        <f>IF(AND(C473=Master!$H$8,B473="2012-2013",E473&gt;1000,G473="NPN05"),H473,"")</f>
        <v/>
      </c>
      <c r="BF473" s="44" t="str">
        <f>IF(AND(C473=Master!$H$8,B473="2012-2013",E473="",G473="NPN05"),H473,"")</f>
        <v/>
      </c>
      <c r="BG473" s="44" t="str">
        <f>IF(AND(C473=Master!$H$9,B473="2012-2013",E473&gt;1000,G473="NPN05"),H473,"")</f>
        <v/>
      </c>
      <c r="BH473" s="44" t="str">
        <f>IF(AND(C473=Master!$H$9,B473="2012-2013",E473="",G473="NPN05"),H473,"")</f>
        <v/>
      </c>
    </row>
    <row r="474" spans="1:60" x14ac:dyDescent="0.25">
      <c r="A474" s="3">
        <v>472</v>
      </c>
      <c r="B474" s="12"/>
      <c r="C474" s="12"/>
      <c r="D474" s="31"/>
      <c r="E474" s="4"/>
      <c r="F474" s="13"/>
      <c r="G474" s="21"/>
      <c r="H474" s="35"/>
      <c r="I474" s="21"/>
      <c r="J474" s="25" t="str">
        <f>IF(NOT(I474=""),INDEX(Master!$B$1:$B$46,MATCH(I474,Master!$A$1:$A$46,0)),"")</f>
        <v/>
      </c>
      <c r="K474" s="18"/>
      <c r="L474" s="86"/>
      <c r="M474" s="13"/>
      <c r="N474" s="13"/>
      <c r="O474" s="18"/>
      <c r="P474" s="35"/>
      <c r="Q474" s="21"/>
      <c r="R474" s="21"/>
      <c r="S474" s="13"/>
      <c r="T474" s="12"/>
      <c r="U474" s="12"/>
      <c r="V474" s="12"/>
      <c r="W474" s="14"/>
      <c r="Y474" s="42" t="str">
        <f>IF(AND(C474=Master!$H$1,B474="2012-2013",E474&gt;1000,G474="PLN03"),H474,"")</f>
        <v/>
      </c>
      <c r="Z474" s="42" t="str">
        <f>IF(AND(C474=Master!$H$1,B474="2012-2013",E474="",G474="PLN03"),H474,"")</f>
        <v/>
      </c>
      <c r="AA474" s="42" t="str">
        <f>IF(AND(C474=Master!$H$2,B474="2012-2013",E474&gt;1000,G474="PLN03"),H474,"")</f>
        <v/>
      </c>
      <c r="AB474" s="42" t="str">
        <f>IF(AND(C474=Master!$H$2,B474="2012-2013",E474="",G474="PLN03"),H474,"")</f>
        <v/>
      </c>
      <c r="AC474" s="42" t="str">
        <f>IF(AND(C474=Master!$H$3,B474="2012-2013",E474&gt;1000,G474="PLN03"),H474,"")</f>
        <v/>
      </c>
      <c r="AD474" s="42" t="str">
        <f>IF(AND(C474=Master!$H$3,B474="2012-2013",E474="",G474="PLN03"),H474,"")</f>
        <v/>
      </c>
      <c r="AE474" s="42" t="str">
        <f>IF(AND(C474=Master!$H$4,B474="2012-2013",E474&gt;1000,G474="PLN03"),H474,"")</f>
        <v/>
      </c>
      <c r="AF474" s="42" t="str">
        <f>IF(AND(C474=Master!$H$4,B474="2012-2013",E474="",G474="PLN03"),H474,"")</f>
        <v/>
      </c>
      <c r="AG474" s="42" t="str">
        <f>IF(AND(C474=Master!$H$5,B474="2012-2013",E474&gt;1000,G474="PLN03"),H474,"")</f>
        <v/>
      </c>
      <c r="AH474" s="42" t="str">
        <f>IF(AND(C474=Master!$H$5,B474="2012-2013",E474="",G474="PLN03"),H474,"")</f>
        <v/>
      </c>
      <c r="AI474" s="42" t="str">
        <f>IF(AND(C474=Master!$H$6,B474="2012-2013",E474&gt;1000,G474="PLN03"),H474,"")</f>
        <v/>
      </c>
      <c r="AJ474" s="42" t="str">
        <f>IF(AND(C474=Master!$H$6,B474="2012-2013",E474="",G474="PLN03"),H474,"")</f>
        <v/>
      </c>
      <c r="AK474" s="42" t="str">
        <f>IF(AND(C474=Master!$H$7,B474="2012-2013",E474&gt;1000,G474="PLN03"),H474,"")</f>
        <v/>
      </c>
      <c r="AL474" s="42" t="str">
        <f>IF(AND(C474=Master!$H$7,B474="2012-2013",E474="",G474="PLN03"),H474,"")</f>
        <v/>
      </c>
      <c r="AM474" s="42" t="str">
        <f>IF(AND(C474=Master!$H$8,B474="2012-2013",E474&gt;1000,G474="PLN03"),H474,"")</f>
        <v/>
      </c>
      <c r="AN474" s="42" t="str">
        <f>IF(AND(C474=Master!$H$8,B474="2012-2013",E474="",G474="PLN03"),H474,"")</f>
        <v/>
      </c>
      <c r="AO474" s="42" t="str">
        <f>IF(AND(C474=Master!$H$9,B474="2012-2013",E474&gt;1000,G474="PLN03"),H474,"")</f>
        <v/>
      </c>
      <c r="AP474" s="42" t="str">
        <f>IF(AND(C474=Master!$H$9,B474="2012-2013",E474="",G474="PLN03"),H474,"")</f>
        <v/>
      </c>
      <c r="AQ474" s="44" t="str">
        <f>IF(AND(C474=Master!$H$1,B474="2012-2013",E474&gt;1000,G474="NPN05"),H474,"")</f>
        <v/>
      </c>
      <c r="AR474" s="44" t="str">
        <f>IF(AND(C474=Master!$H$1,B474="2012-2013",E474="",G474="NPN05"),H474,"")</f>
        <v/>
      </c>
      <c r="AS474" s="44" t="str">
        <f>IF(AND(C474=Master!$H$2,B474="2012-2013",E474&gt;1000,G474="NPN05"),H474,"")</f>
        <v/>
      </c>
      <c r="AT474" s="44" t="str">
        <f>IF(AND(C474=Master!$H$2,B474="2012-2013",E474="",G474="NPN05"),H474,"")</f>
        <v/>
      </c>
      <c r="AU474" s="44" t="str">
        <f>IF(AND(C474=Master!$H$3,B474="2012-2013",E474&gt;1000,G474="NPN05"),H474,"")</f>
        <v/>
      </c>
      <c r="AV474" s="44" t="str">
        <f>IF(AND(C474=Master!$H$3,B474="2012-2013",E474="",G474="NPN05"),H474,"")</f>
        <v/>
      </c>
      <c r="AW474" s="44" t="str">
        <f>IF(AND(C474=Master!$H$4,B474="2012-2013",E474&gt;1000,G474="NPN05"),H474,"")</f>
        <v/>
      </c>
      <c r="AX474" s="44" t="str">
        <f>IF(AND(C474=Master!$H$4,B474="2012-2013",E474="",G474="NPN05"),H474,"")</f>
        <v/>
      </c>
      <c r="AY474" s="44" t="str">
        <f>IF(AND(C474=Master!$H$5,B474="2012-2013",E474&gt;1000,G474="NPN05"),H474,"")</f>
        <v/>
      </c>
      <c r="AZ474" s="44" t="str">
        <f>IF(AND(C474=Master!$H$5,B474="2012-2013",E474="",G474="NPN05"),H474,"")</f>
        <v/>
      </c>
      <c r="BA474" s="44" t="str">
        <f>IF(AND(C474=Master!$H$6,B474="2012-2013",E474&gt;1000,G474="NPN05"),H474,"")</f>
        <v/>
      </c>
      <c r="BB474" s="44" t="str">
        <f>IF(AND(C474=Master!$H$6,B474="2012-2013",E474="",G474="NPN05"),H474,"")</f>
        <v/>
      </c>
      <c r="BC474" s="44" t="str">
        <f>IF(AND(C474=Master!$H$7,B474="2012-2013",E474&gt;1000,G474="NPN05"),H474,"")</f>
        <v/>
      </c>
      <c r="BD474" s="44" t="str">
        <f>IF(AND(C474=Master!$H$7,B474="2012-2013",E474="",G474="NPN05"),H474,"")</f>
        <v/>
      </c>
      <c r="BE474" s="44" t="str">
        <f>IF(AND(C474=Master!$H$8,B474="2012-2013",E474&gt;1000,G474="NPN05"),H474,"")</f>
        <v/>
      </c>
      <c r="BF474" s="44" t="str">
        <f>IF(AND(C474=Master!$H$8,B474="2012-2013",E474="",G474="NPN05"),H474,"")</f>
        <v/>
      </c>
      <c r="BG474" s="44" t="str">
        <f>IF(AND(C474=Master!$H$9,B474="2012-2013",E474&gt;1000,G474="NPN05"),H474,"")</f>
        <v/>
      </c>
      <c r="BH474" s="44" t="str">
        <f>IF(AND(C474=Master!$H$9,B474="2012-2013",E474="",G474="NPN05"),H474,"")</f>
        <v/>
      </c>
    </row>
    <row r="475" spans="1:60" x14ac:dyDescent="0.25">
      <c r="A475" s="3">
        <v>473</v>
      </c>
      <c r="B475" s="12"/>
      <c r="C475" s="12"/>
      <c r="D475" s="31"/>
      <c r="E475" s="4"/>
      <c r="F475" s="13"/>
      <c r="G475" s="21"/>
      <c r="H475" s="35"/>
      <c r="I475" s="21"/>
      <c r="J475" s="25" t="str">
        <f>IF(NOT(I475=""),INDEX(Master!$B$1:$B$46,MATCH(I475,Master!$A$1:$A$46,0)),"")</f>
        <v/>
      </c>
      <c r="K475" s="18"/>
      <c r="L475" s="86"/>
      <c r="M475" s="13"/>
      <c r="N475" s="13"/>
      <c r="O475" s="18"/>
      <c r="P475" s="35"/>
      <c r="Q475" s="21"/>
      <c r="R475" s="21"/>
      <c r="S475" s="13"/>
      <c r="T475" s="12"/>
      <c r="U475" s="12"/>
      <c r="V475" s="12"/>
      <c r="W475" s="14"/>
      <c r="Y475" s="42" t="str">
        <f>IF(AND(C475=Master!$H$1,B475="2012-2013",E475&gt;1000,G475="PLN03"),H475,"")</f>
        <v/>
      </c>
      <c r="Z475" s="42" t="str">
        <f>IF(AND(C475=Master!$H$1,B475="2012-2013",E475="",G475="PLN03"),H475,"")</f>
        <v/>
      </c>
      <c r="AA475" s="42" t="str">
        <f>IF(AND(C475=Master!$H$2,B475="2012-2013",E475&gt;1000,G475="PLN03"),H475,"")</f>
        <v/>
      </c>
      <c r="AB475" s="42" t="str">
        <f>IF(AND(C475=Master!$H$2,B475="2012-2013",E475="",G475="PLN03"),H475,"")</f>
        <v/>
      </c>
      <c r="AC475" s="42" t="str">
        <f>IF(AND(C475=Master!$H$3,B475="2012-2013",E475&gt;1000,G475="PLN03"),H475,"")</f>
        <v/>
      </c>
      <c r="AD475" s="42" t="str">
        <f>IF(AND(C475=Master!$H$3,B475="2012-2013",E475="",G475="PLN03"),H475,"")</f>
        <v/>
      </c>
      <c r="AE475" s="42" t="str">
        <f>IF(AND(C475=Master!$H$4,B475="2012-2013",E475&gt;1000,G475="PLN03"),H475,"")</f>
        <v/>
      </c>
      <c r="AF475" s="42" t="str">
        <f>IF(AND(C475=Master!$H$4,B475="2012-2013",E475="",G475="PLN03"),H475,"")</f>
        <v/>
      </c>
      <c r="AG475" s="42" t="str">
        <f>IF(AND(C475=Master!$H$5,B475="2012-2013",E475&gt;1000,G475="PLN03"),H475,"")</f>
        <v/>
      </c>
      <c r="AH475" s="42" t="str">
        <f>IF(AND(C475=Master!$H$5,B475="2012-2013",E475="",G475="PLN03"),H475,"")</f>
        <v/>
      </c>
      <c r="AI475" s="42" t="str">
        <f>IF(AND(C475=Master!$H$6,B475="2012-2013",E475&gt;1000,G475="PLN03"),H475,"")</f>
        <v/>
      </c>
      <c r="AJ475" s="42" t="str">
        <f>IF(AND(C475=Master!$H$6,B475="2012-2013",E475="",G475="PLN03"),H475,"")</f>
        <v/>
      </c>
      <c r="AK475" s="42" t="str">
        <f>IF(AND(C475=Master!$H$7,B475="2012-2013",E475&gt;1000,G475="PLN03"),H475,"")</f>
        <v/>
      </c>
      <c r="AL475" s="42" t="str">
        <f>IF(AND(C475=Master!$H$7,B475="2012-2013",E475="",G475="PLN03"),H475,"")</f>
        <v/>
      </c>
      <c r="AM475" s="42" t="str">
        <f>IF(AND(C475=Master!$H$8,B475="2012-2013",E475&gt;1000,G475="PLN03"),H475,"")</f>
        <v/>
      </c>
      <c r="AN475" s="42" t="str">
        <f>IF(AND(C475=Master!$H$8,B475="2012-2013",E475="",G475="PLN03"),H475,"")</f>
        <v/>
      </c>
      <c r="AO475" s="42" t="str">
        <f>IF(AND(C475=Master!$H$9,B475="2012-2013",E475&gt;1000,G475="PLN03"),H475,"")</f>
        <v/>
      </c>
      <c r="AP475" s="42" t="str">
        <f>IF(AND(C475=Master!$H$9,B475="2012-2013",E475="",G475="PLN03"),H475,"")</f>
        <v/>
      </c>
      <c r="AQ475" s="44" t="str">
        <f>IF(AND(C475=Master!$H$1,B475="2012-2013",E475&gt;1000,G475="NPN05"),H475,"")</f>
        <v/>
      </c>
      <c r="AR475" s="44" t="str">
        <f>IF(AND(C475=Master!$H$1,B475="2012-2013",E475="",G475="NPN05"),H475,"")</f>
        <v/>
      </c>
      <c r="AS475" s="44" t="str">
        <f>IF(AND(C475=Master!$H$2,B475="2012-2013",E475&gt;1000,G475="NPN05"),H475,"")</f>
        <v/>
      </c>
      <c r="AT475" s="44" t="str">
        <f>IF(AND(C475=Master!$H$2,B475="2012-2013",E475="",G475="NPN05"),H475,"")</f>
        <v/>
      </c>
      <c r="AU475" s="44" t="str">
        <f>IF(AND(C475=Master!$H$3,B475="2012-2013",E475&gt;1000,G475="NPN05"),H475,"")</f>
        <v/>
      </c>
      <c r="AV475" s="44" t="str">
        <f>IF(AND(C475=Master!$H$3,B475="2012-2013",E475="",G475="NPN05"),H475,"")</f>
        <v/>
      </c>
      <c r="AW475" s="44" t="str">
        <f>IF(AND(C475=Master!$H$4,B475="2012-2013",E475&gt;1000,G475="NPN05"),H475,"")</f>
        <v/>
      </c>
      <c r="AX475" s="44" t="str">
        <f>IF(AND(C475=Master!$H$4,B475="2012-2013",E475="",G475="NPN05"),H475,"")</f>
        <v/>
      </c>
      <c r="AY475" s="44" t="str">
        <f>IF(AND(C475=Master!$H$5,B475="2012-2013",E475&gt;1000,G475="NPN05"),H475,"")</f>
        <v/>
      </c>
      <c r="AZ475" s="44" t="str">
        <f>IF(AND(C475=Master!$H$5,B475="2012-2013",E475="",G475="NPN05"),H475,"")</f>
        <v/>
      </c>
      <c r="BA475" s="44" t="str">
        <f>IF(AND(C475=Master!$H$6,B475="2012-2013",E475&gt;1000,G475="NPN05"),H475,"")</f>
        <v/>
      </c>
      <c r="BB475" s="44" t="str">
        <f>IF(AND(C475=Master!$H$6,B475="2012-2013",E475="",G475="NPN05"),H475,"")</f>
        <v/>
      </c>
      <c r="BC475" s="44" t="str">
        <f>IF(AND(C475=Master!$H$7,B475="2012-2013",E475&gt;1000,G475="NPN05"),H475,"")</f>
        <v/>
      </c>
      <c r="BD475" s="44" t="str">
        <f>IF(AND(C475=Master!$H$7,B475="2012-2013",E475="",G475="NPN05"),H475,"")</f>
        <v/>
      </c>
      <c r="BE475" s="44" t="str">
        <f>IF(AND(C475=Master!$H$8,B475="2012-2013",E475&gt;1000,G475="NPN05"),H475,"")</f>
        <v/>
      </c>
      <c r="BF475" s="44" t="str">
        <f>IF(AND(C475=Master!$H$8,B475="2012-2013",E475="",G475="NPN05"),H475,"")</f>
        <v/>
      </c>
      <c r="BG475" s="44" t="str">
        <f>IF(AND(C475=Master!$H$9,B475="2012-2013",E475&gt;1000,G475="NPN05"),H475,"")</f>
        <v/>
      </c>
      <c r="BH475" s="44" t="str">
        <f>IF(AND(C475=Master!$H$9,B475="2012-2013",E475="",G475="NPN05"),H475,"")</f>
        <v/>
      </c>
    </row>
    <row r="476" spans="1:60" x14ac:dyDescent="0.25">
      <c r="A476" s="3">
        <v>474</v>
      </c>
      <c r="B476" s="12"/>
      <c r="C476" s="12"/>
      <c r="D476" s="31"/>
      <c r="E476" s="4"/>
      <c r="F476" s="13"/>
      <c r="G476" s="21"/>
      <c r="H476" s="35"/>
      <c r="I476" s="21"/>
      <c r="J476" s="25" t="str">
        <f>IF(NOT(I476=""),INDEX(Master!$B$1:$B$46,MATCH(I476,Master!$A$1:$A$46,0)),"")</f>
        <v/>
      </c>
      <c r="K476" s="18"/>
      <c r="L476" s="86"/>
      <c r="M476" s="13"/>
      <c r="N476" s="13"/>
      <c r="O476" s="18"/>
      <c r="P476" s="35"/>
      <c r="Q476" s="21"/>
      <c r="R476" s="21"/>
      <c r="S476" s="13"/>
      <c r="T476" s="12"/>
      <c r="U476" s="12"/>
      <c r="V476" s="12"/>
      <c r="W476" s="14"/>
      <c r="Y476" s="42" t="str">
        <f>IF(AND(C476=Master!$H$1,B476="2012-2013",E476&gt;1000,G476="PLN03"),H476,"")</f>
        <v/>
      </c>
      <c r="Z476" s="42" t="str">
        <f>IF(AND(C476=Master!$H$1,B476="2012-2013",E476="",G476="PLN03"),H476,"")</f>
        <v/>
      </c>
      <c r="AA476" s="42" t="str">
        <f>IF(AND(C476=Master!$H$2,B476="2012-2013",E476&gt;1000,G476="PLN03"),H476,"")</f>
        <v/>
      </c>
      <c r="AB476" s="42" t="str">
        <f>IF(AND(C476=Master!$H$2,B476="2012-2013",E476="",G476="PLN03"),H476,"")</f>
        <v/>
      </c>
      <c r="AC476" s="42" t="str">
        <f>IF(AND(C476=Master!$H$3,B476="2012-2013",E476&gt;1000,G476="PLN03"),H476,"")</f>
        <v/>
      </c>
      <c r="AD476" s="42" t="str">
        <f>IF(AND(C476=Master!$H$3,B476="2012-2013",E476="",G476="PLN03"),H476,"")</f>
        <v/>
      </c>
      <c r="AE476" s="42" t="str">
        <f>IF(AND(C476=Master!$H$4,B476="2012-2013",E476&gt;1000,G476="PLN03"),H476,"")</f>
        <v/>
      </c>
      <c r="AF476" s="42" t="str">
        <f>IF(AND(C476=Master!$H$4,B476="2012-2013",E476="",G476="PLN03"),H476,"")</f>
        <v/>
      </c>
      <c r="AG476" s="42" t="str">
        <f>IF(AND(C476=Master!$H$5,B476="2012-2013",E476&gt;1000,G476="PLN03"),H476,"")</f>
        <v/>
      </c>
      <c r="AH476" s="42" t="str">
        <f>IF(AND(C476=Master!$H$5,B476="2012-2013",E476="",G476="PLN03"),H476,"")</f>
        <v/>
      </c>
      <c r="AI476" s="42" t="str">
        <f>IF(AND(C476=Master!$H$6,B476="2012-2013",E476&gt;1000,G476="PLN03"),H476,"")</f>
        <v/>
      </c>
      <c r="AJ476" s="42" t="str">
        <f>IF(AND(C476=Master!$H$6,B476="2012-2013",E476="",G476="PLN03"),H476,"")</f>
        <v/>
      </c>
      <c r="AK476" s="42" t="str">
        <f>IF(AND(C476=Master!$H$7,B476="2012-2013",E476&gt;1000,G476="PLN03"),H476,"")</f>
        <v/>
      </c>
      <c r="AL476" s="42" t="str">
        <f>IF(AND(C476=Master!$H$7,B476="2012-2013",E476="",G476="PLN03"),H476,"")</f>
        <v/>
      </c>
      <c r="AM476" s="42" t="str">
        <f>IF(AND(C476=Master!$H$8,B476="2012-2013",E476&gt;1000,G476="PLN03"),H476,"")</f>
        <v/>
      </c>
      <c r="AN476" s="42" t="str">
        <f>IF(AND(C476=Master!$H$8,B476="2012-2013",E476="",G476="PLN03"),H476,"")</f>
        <v/>
      </c>
      <c r="AO476" s="42" t="str">
        <f>IF(AND(C476=Master!$H$9,B476="2012-2013",E476&gt;1000,G476="PLN03"),H476,"")</f>
        <v/>
      </c>
      <c r="AP476" s="42" t="str">
        <f>IF(AND(C476=Master!$H$9,B476="2012-2013",E476="",G476="PLN03"),H476,"")</f>
        <v/>
      </c>
      <c r="AQ476" s="44" t="str">
        <f>IF(AND(C476=Master!$H$1,B476="2012-2013",E476&gt;1000,G476="NPN05"),H476,"")</f>
        <v/>
      </c>
      <c r="AR476" s="44" t="str">
        <f>IF(AND(C476=Master!$H$1,B476="2012-2013",E476="",G476="NPN05"),H476,"")</f>
        <v/>
      </c>
      <c r="AS476" s="44" t="str">
        <f>IF(AND(C476=Master!$H$2,B476="2012-2013",E476&gt;1000,G476="NPN05"),H476,"")</f>
        <v/>
      </c>
      <c r="AT476" s="44" t="str">
        <f>IF(AND(C476=Master!$H$2,B476="2012-2013",E476="",G476="NPN05"),H476,"")</f>
        <v/>
      </c>
      <c r="AU476" s="44" t="str">
        <f>IF(AND(C476=Master!$H$3,B476="2012-2013",E476&gt;1000,G476="NPN05"),H476,"")</f>
        <v/>
      </c>
      <c r="AV476" s="44" t="str">
        <f>IF(AND(C476=Master!$H$3,B476="2012-2013",E476="",G476="NPN05"),H476,"")</f>
        <v/>
      </c>
      <c r="AW476" s="44" t="str">
        <f>IF(AND(C476=Master!$H$4,B476="2012-2013",E476&gt;1000,G476="NPN05"),H476,"")</f>
        <v/>
      </c>
      <c r="AX476" s="44" t="str">
        <f>IF(AND(C476=Master!$H$4,B476="2012-2013",E476="",G476="NPN05"),H476,"")</f>
        <v/>
      </c>
      <c r="AY476" s="44" t="str">
        <f>IF(AND(C476=Master!$H$5,B476="2012-2013",E476&gt;1000,G476="NPN05"),H476,"")</f>
        <v/>
      </c>
      <c r="AZ476" s="44" t="str">
        <f>IF(AND(C476=Master!$H$5,B476="2012-2013",E476="",G476="NPN05"),H476,"")</f>
        <v/>
      </c>
      <c r="BA476" s="44" t="str">
        <f>IF(AND(C476=Master!$H$6,B476="2012-2013",E476&gt;1000,G476="NPN05"),H476,"")</f>
        <v/>
      </c>
      <c r="BB476" s="44" t="str">
        <f>IF(AND(C476=Master!$H$6,B476="2012-2013",E476="",G476="NPN05"),H476,"")</f>
        <v/>
      </c>
      <c r="BC476" s="44" t="str">
        <f>IF(AND(C476=Master!$H$7,B476="2012-2013",E476&gt;1000,G476="NPN05"),H476,"")</f>
        <v/>
      </c>
      <c r="BD476" s="44" t="str">
        <f>IF(AND(C476=Master!$H$7,B476="2012-2013",E476="",G476="NPN05"),H476,"")</f>
        <v/>
      </c>
      <c r="BE476" s="44" t="str">
        <f>IF(AND(C476=Master!$H$8,B476="2012-2013",E476&gt;1000,G476="NPN05"),H476,"")</f>
        <v/>
      </c>
      <c r="BF476" s="44" t="str">
        <f>IF(AND(C476=Master!$H$8,B476="2012-2013",E476="",G476="NPN05"),H476,"")</f>
        <v/>
      </c>
      <c r="BG476" s="44" t="str">
        <f>IF(AND(C476=Master!$H$9,B476="2012-2013",E476&gt;1000,G476="NPN05"),H476,"")</f>
        <v/>
      </c>
      <c r="BH476" s="44" t="str">
        <f>IF(AND(C476=Master!$H$9,B476="2012-2013",E476="",G476="NPN05"),H476,"")</f>
        <v/>
      </c>
    </row>
    <row r="477" spans="1:60" x14ac:dyDescent="0.25">
      <c r="A477" s="3">
        <v>475</v>
      </c>
      <c r="B477" s="12"/>
      <c r="C477" s="12"/>
      <c r="D477" s="31"/>
      <c r="E477" s="4"/>
      <c r="F477" s="13"/>
      <c r="G477" s="21"/>
      <c r="H477" s="35"/>
      <c r="I477" s="21"/>
      <c r="J477" s="25" t="str">
        <f>IF(NOT(I477=""),INDEX(Master!$B$1:$B$46,MATCH(I477,Master!$A$1:$A$46,0)),"")</f>
        <v/>
      </c>
      <c r="K477" s="18"/>
      <c r="L477" s="86"/>
      <c r="M477" s="13"/>
      <c r="N477" s="13"/>
      <c r="O477" s="18"/>
      <c r="P477" s="35"/>
      <c r="Q477" s="21"/>
      <c r="R477" s="21"/>
      <c r="S477" s="13"/>
      <c r="T477" s="12"/>
      <c r="U477" s="12"/>
      <c r="V477" s="12"/>
      <c r="W477" s="14"/>
      <c r="Y477" s="42" t="str">
        <f>IF(AND(C477=Master!$H$1,B477="2012-2013",E477&gt;1000,G477="PLN03"),H477,"")</f>
        <v/>
      </c>
      <c r="Z477" s="42" t="str">
        <f>IF(AND(C477=Master!$H$1,B477="2012-2013",E477="",G477="PLN03"),H477,"")</f>
        <v/>
      </c>
      <c r="AA477" s="42" t="str">
        <f>IF(AND(C477=Master!$H$2,B477="2012-2013",E477&gt;1000,G477="PLN03"),H477,"")</f>
        <v/>
      </c>
      <c r="AB477" s="42" t="str">
        <f>IF(AND(C477=Master!$H$2,B477="2012-2013",E477="",G477="PLN03"),H477,"")</f>
        <v/>
      </c>
      <c r="AC477" s="42" t="str">
        <f>IF(AND(C477=Master!$H$3,B477="2012-2013",E477&gt;1000,G477="PLN03"),H477,"")</f>
        <v/>
      </c>
      <c r="AD477" s="42" t="str">
        <f>IF(AND(C477=Master!$H$3,B477="2012-2013",E477="",G477="PLN03"),H477,"")</f>
        <v/>
      </c>
      <c r="AE477" s="42" t="str">
        <f>IF(AND(C477=Master!$H$4,B477="2012-2013",E477&gt;1000,G477="PLN03"),H477,"")</f>
        <v/>
      </c>
      <c r="AF477" s="42" t="str">
        <f>IF(AND(C477=Master!$H$4,B477="2012-2013",E477="",G477="PLN03"),H477,"")</f>
        <v/>
      </c>
      <c r="AG477" s="42" t="str">
        <f>IF(AND(C477=Master!$H$5,B477="2012-2013",E477&gt;1000,G477="PLN03"),H477,"")</f>
        <v/>
      </c>
      <c r="AH477" s="42" t="str">
        <f>IF(AND(C477=Master!$H$5,B477="2012-2013",E477="",G477="PLN03"),H477,"")</f>
        <v/>
      </c>
      <c r="AI477" s="42" t="str">
        <f>IF(AND(C477=Master!$H$6,B477="2012-2013",E477&gt;1000,G477="PLN03"),H477,"")</f>
        <v/>
      </c>
      <c r="AJ477" s="42" t="str">
        <f>IF(AND(C477=Master!$H$6,B477="2012-2013",E477="",G477="PLN03"),H477,"")</f>
        <v/>
      </c>
      <c r="AK477" s="42" t="str">
        <f>IF(AND(C477=Master!$H$7,B477="2012-2013",E477&gt;1000,G477="PLN03"),H477,"")</f>
        <v/>
      </c>
      <c r="AL477" s="42" t="str">
        <f>IF(AND(C477=Master!$H$7,B477="2012-2013",E477="",G477="PLN03"),H477,"")</f>
        <v/>
      </c>
      <c r="AM477" s="42" t="str">
        <f>IF(AND(C477=Master!$H$8,B477="2012-2013",E477&gt;1000,G477="PLN03"),H477,"")</f>
        <v/>
      </c>
      <c r="AN477" s="42" t="str">
        <f>IF(AND(C477=Master!$H$8,B477="2012-2013",E477="",G477="PLN03"),H477,"")</f>
        <v/>
      </c>
      <c r="AO477" s="42" t="str">
        <f>IF(AND(C477=Master!$H$9,B477="2012-2013",E477&gt;1000,G477="PLN03"),H477,"")</f>
        <v/>
      </c>
      <c r="AP477" s="42" t="str">
        <f>IF(AND(C477=Master!$H$9,B477="2012-2013",E477="",G477="PLN03"),H477,"")</f>
        <v/>
      </c>
      <c r="AQ477" s="44" t="str">
        <f>IF(AND(C477=Master!$H$1,B477="2012-2013",E477&gt;1000,G477="NPN05"),H477,"")</f>
        <v/>
      </c>
      <c r="AR477" s="44" t="str">
        <f>IF(AND(C477=Master!$H$1,B477="2012-2013",E477="",G477="NPN05"),H477,"")</f>
        <v/>
      </c>
      <c r="AS477" s="44" t="str">
        <f>IF(AND(C477=Master!$H$2,B477="2012-2013",E477&gt;1000,G477="NPN05"),H477,"")</f>
        <v/>
      </c>
      <c r="AT477" s="44" t="str">
        <f>IF(AND(C477=Master!$H$2,B477="2012-2013",E477="",G477="NPN05"),H477,"")</f>
        <v/>
      </c>
      <c r="AU477" s="44" t="str">
        <f>IF(AND(C477=Master!$H$3,B477="2012-2013",E477&gt;1000,G477="NPN05"),H477,"")</f>
        <v/>
      </c>
      <c r="AV477" s="44" t="str">
        <f>IF(AND(C477=Master!$H$3,B477="2012-2013",E477="",G477="NPN05"),H477,"")</f>
        <v/>
      </c>
      <c r="AW477" s="44" t="str">
        <f>IF(AND(C477=Master!$H$4,B477="2012-2013",E477&gt;1000,G477="NPN05"),H477,"")</f>
        <v/>
      </c>
      <c r="AX477" s="44" t="str">
        <f>IF(AND(C477=Master!$H$4,B477="2012-2013",E477="",G477="NPN05"),H477,"")</f>
        <v/>
      </c>
      <c r="AY477" s="44" t="str">
        <f>IF(AND(C477=Master!$H$5,B477="2012-2013",E477&gt;1000,G477="NPN05"),H477,"")</f>
        <v/>
      </c>
      <c r="AZ477" s="44" t="str">
        <f>IF(AND(C477=Master!$H$5,B477="2012-2013",E477="",G477="NPN05"),H477,"")</f>
        <v/>
      </c>
      <c r="BA477" s="44" t="str">
        <f>IF(AND(C477=Master!$H$6,B477="2012-2013",E477&gt;1000,G477="NPN05"),H477,"")</f>
        <v/>
      </c>
      <c r="BB477" s="44" t="str">
        <f>IF(AND(C477=Master!$H$6,B477="2012-2013",E477="",G477="NPN05"),H477,"")</f>
        <v/>
      </c>
      <c r="BC477" s="44" t="str">
        <f>IF(AND(C477=Master!$H$7,B477="2012-2013",E477&gt;1000,G477="NPN05"),H477,"")</f>
        <v/>
      </c>
      <c r="BD477" s="44" t="str">
        <f>IF(AND(C477=Master!$H$7,B477="2012-2013",E477="",G477="NPN05"),H477,"")</f>
        <v/>
      </c>
      <c r="BE477" s="44" t="str">
        <f>IF(AND(C477=Master!$H$8,B477="2012-2013",E477&gt;1000,G477="NPN05"),H477,"")</f>
        <v/>
      </c>
      <c r="BF477" s="44" t="str">
        <f>IF(AND(C477=Master!$H$8,B477="2012-2013",E477="",G477="NPN05"),H477,"")</f>
        <v/>
      </c>
      <c r="BG477" s="44" t="str">
        <f>IF(AND(C477=Master!$H$9,B477="2012-2013",E477&gt;1000,G477="NPN05"),H477,"")</f>
        <v/>
      </c>
      <c r="BH477" s="44" t="str">
        <f>IF(AND(C477=Master!$H$9,B477="2012-2013",E477="",G477="NPN05"),H477,"")</f>
        <v/>
      </c>
    </row>
    <row r="478" spans="1:60" x14ac:dyDescent="0.25">
      <c r="A478" s="3">
        <v>476</v>
      </c>
      <c r="B478" s="12"/>
      <c r="C478" s="12"/>
      <c r="D478" s="31"/>
      <c r="E478" s="4"/>
      <c r="F478" s="13"/>
      <c r="G478" s="21"/>
      <c r="H478" s="35"/>
      <c r="I478" s="21"/>
      <c r="J478" s="25" t="str">
        <f>IF(NOT(I478=""),INDEX(Master!$B$1:$B$46,MATCH(I478,Master!$A$1:$A$46,0)),"")</f>
        <v/>
      </c>
      <c r="K478" s="18"/>
      <c r="L478" s="86"/>
      <c r="M478" s="13"/>
      <c r="N478" s="13"/>
      <c r="O478" s="18"/>
      <c r="P478" s="35"/>
      <c r="Q478" s="21"/>
      <c r="R478" s="21"/>
      <c r="S478" s="13"/>
      <c r="T478" s="12"/>
      <c r="U478" s="12"/>
      <c r="V478" s="12"/>
      <c r="W478" s="14"/>
      <c r="Y478" s="42" t="str">
        <f>IF(AND(C478=Master!$H$1,B478="2012-2013",E478&gt;1000,G478="PLN03"),H478,"")</f>
        <v/>
      </c>
      <c r="Z478" s="42" t="str">
        <f>IF(AND(C478=Master!$H$1,B478="2012-2013",E478="",G478="PLN03"),H478,"")</f>
        <v/>
      </c>
      <c r="AA478" s="42" t="str">
        <f>IF(AND(C478=Master!$H$2,B478="2012-2013",E478&gt;1000,G478="PLN03"),H478,"")</f>
        <v/>
      </c>
      <c r="AB478" s="42" t="str">
        <f>IF(AND(C478=Master!$H$2,B478="2012-2013",E478="",G478="PLN03"),H478,"")</f>
        <v/>
      </c>
      <c r="AC478" s="42" t="str">
        <f>IF(AND(C478=Master!$H$3,B478="2012-2013",E478&gt;1000,G478="PLN03"),H478,"")</f>
        <v/>
      </c>
      <c r="AD478" s="42" t="str">
        <f>IF(AND(C478=Master!$H$3,B478="2012-2013",E478="",G478="PLN03"),H478,"")</f>
        <v/>
      </c>
      <c r="AE478" s="42" t="str">
        <f>IF(AND(C478=Master!$H$4,B478="2012-2013",E478&gt;1000,G478="PLN03"),H478,"")</f>
        <v/>
      </c>
      <c r="AF478" s="42" t="str">
        <f>IF(AND(C478=Master!$H$4,B478="2012-2013",E478="",G478="PLN03"),H478,"")</f>
        <v/>
      </c>
      <c r="AG478" s="42" t="str">
        <f>IF(AND(C478=Master!$H$5,B478="2012-2013",E478&gt;1000,G478="PLN03"),H478,"")</f>
        <v/>
      </c>
      <c r="AH478" s="42" t="str">
        <f>IF(AND(C478=Master!$H$5,B478="2012-2013",E478="",G478="PLN03"),H478,"")</f>
        <v/>
      </c>
      <c r="AI478" s="42" t="str">
        <f>IF(AND(C478=Master!$H$6,B478="2012-2013",E478&gt;1000,G478="PLN03"),H478,"")</f>
        <v/>
      </c>
      <c r="AJ478" s="42" t="str">
        <f>IF(AND(C478=Master!$H$6,B478="2012-2013",E478="",G478="PLN03"),H478,"")</f>
        <v/>
      </c>
      <c r="AK478" s="42" t="str">
        <f>IF(AND(C478=Master!$H$7,B478="2012-2013",E478&gt;1000,G478="PLN03"),H478,"")</f>
        <v/>
      </c>
      <c r="AL478" s="42" t="str">
        <f>IF(AND(C478=Master!$H$7,B478="2012-2013",E478="",G478="PLN03"),H478,"")</f>
        <v/>
      </c>
      <c r="AM478" s="42" t="str">
        <f>IF(AND(C478=Master!$H$8,B478="2012-2013",E478&gt;1000,G478="PLN03"),H478,"")</f>
        <v/>
      </c>
      <c r="AN478" s="42" t="str">
        <f>IF(AND(C478=Master!$H$8,B478="2012-2013",E478="",G478="PLN03"),H478,"")</f>
        <v/>
      </c>
      <c r="AO478" s="42" t="str">
        <f>IF(AND(C478=Master!$H$9,B478="2012-2013",E478&gt;1000,G478="PLN03"),H478,"")</f>
        <v/>
      </c>
      <c r="AP478" s="42" t="str">
        <f>IF(AND(C478=Master!$H$9,B478="2012-2013",E478="",G478="PLN03"),H478,"")</f>
        <v/>
      </c>
      <c r="AQ478" s="44" t="str">
        <f>IF(AND(C478=Master!$H$1,B478="2012-2013",E478&gt;1000,G478="NPN05"),H478,"")</f>
        <v/>
      </c>
      <c r="AR478" s="44" t="str">
        <f>IF(AND(C478=Master!$H$1,B478="2012-2013",E478="",G478="NPN05"),H478,"")</f>
        <v/>
      </c>
      <c r="AS478" s="44" t="str">
        <f>IF(AND(C478=Master!$H$2,B478="2012-2013",E478&gt;1000,G478="NPN05"),H478,"")</f>
        <v/>
      </c>
      <c r="AT478" s="44" t="str">
        <f>IF(AND(C478=Master!$H$2,B478="2012-2013",E478="",G478="NPN05"),H478,"")</f>
        <v/>
      </c>
      <c r="AU478" s="44" t="str">
        <f>IF(AND(C478=Master!$H$3,B478="2012-2013",E478&gt;1000,G478="NPN05"),H478,"")</f>
        <v/>
      </c>
      <c r="AV478" s="44" t="str">
        <f>IF(AND(C478=Master!$H$3,B478="2012-2013",E478="",G478="NPN05"),H478,"")</f>
        <v/>
      </c>
      <c r="AW478" s="44" t="str">
        <f>IF(AND(C478=Master!$H$4,B478="2012-2013",E478&gt;1000,G478="NPN05"),H478,"")</f>
        <v/>
      </c>
      <c r="AX478" s="44" t="str">
        <f>IF(AND(C478=Master!$H$4,B478="2012-2013",E478="",G478="NPN05"),H478,"")</f>
        <v/>
      </c>
      <c r="AY478" s="44" t="str">
        <f>IF(AND(C478=Master!$H$5,B478="2012-2013",E478&gt;1000,G478="NPN05"),H478,"")</f>
        <v/>
      </c>
      <c r="AZ478" s="44" t="str">
        <f>IF(AND(C478=Master!$H$5,B478="2012-2013",E478="",G478="NPN05"),H478,"")</f>
        <v/>
      </c>
      <c r="BA478" s="44" t="str">
        <f>IF(AND(C478=Master!$H$6,B478="2012-2013",E478&gt;1000,G478="NPN05"),H478,"")</f>
        <v/>
      </c>
      <c r="BB478" s="44" t="str">
        <f>IF(AND(C478=Master!$H$6,B478="2012-2013",E478="",G478="NPN05"),H478,"")</f>
        <v/>
      </c>
      <c r="BC478" s="44" t="str">
        <f>IF(AND(C478=Master!$H$7,B478="2012-2013",E478&gt;1000,G478="NPN05"),H478,"")</f>
        <v/>
      </c>
      <c r="BD478" s="44" t="str">
        <f>IF(AND(C478=Master!$H$7,B478="2012-2013",E478="",G478="NPN05"),H478,"")</f>
        <v/>
      </c>
      <c r="BE478" s="44" t="str">
        <f>IF(AND(C478=Master!$H$8,B478="2012-2013",E478&gt;1000,G478="NPN05"),H478,"")</f>
        <v/>
      </c>
      <c r="BF478" s="44" t="str">
        <f>IF(AND(C478=Master!$H$8,B478="2012-2013",E478="",G478="NPN05"),H478,"")</f>
        <v/>
      </c>
      <c r="BG478" s="44" t="str">
        <f>IF(AND(C478=Master!$H$9,B478="2012-2013",E478&gt;1000,G478="NPN05"),H478,"")</f>
        <v/>
      </c>
      <c r="BH478" s="44" t="str">
        <f>IF(AND(C478=Master!$H$9,B478="2012-2013",E478="",G478="NPN05"),H478,"")</f>
        <v/>
      </c>
    </row>
    <row r="479" spans="1:60" x14ac:dyDescent="0.25">
      <c r="A479" s="3">
        <v>477</v>
      </c>
      <c r="B479" s="12"/>
      <c r="C479" s="12"/>
      <c r="D479" s="31"/>
      <c r="E479" s="4"/>
      <c r="F479" s="13"/>
      <c r="G479" s="21"/>
      <c r="H479" s="35"/>
      <c r="I479" s="21"/>
      <c r="J479" s="25" t="str">
        <f>IF(NOT(I479=""),INDEX(Master!$B$1:$B$46,MATCH(I479,Master!$A$1:$A$46,0)),"")</f>
        <v/>
      </c>
      <c r="K479" s="18"/>
      <c r="L479" s="86"/>
      <c r="M479" s="13"/>
      <c r="N479" s="13"/>
      <c r="O479" s="18"/>
      <c r="P479" s="35"/>
      <c r="Q479" s="21"/>
      <c r="R479" s="21"/>
      <c r="S479" s="13"/>
      <c r="T479" s="12"/>
      <c r="U479" s="12"/>
      <c r="V479" s="12"/>
      <c r="W479" s="14"/>
      <c r="Y479" s="42" t="str">
        <f>IF(AND(C479=Master!$H$1,B479="2012-2013",E479&gt;1000,G479="PLN03"),H479,"")</f>
        <v/>
      </c>
      <c r="Z479" s="42" t="str">
        <f>IF(AND(C479=Master!$H$1,B479="2012-2013",E479="",G479="PLN03"),H479,"")</f>
        <v/>
      </c>
      <c r="AA479" s="42" t="str">
        <f>IF(AND(C479=Master!$H$2,B479="2012-2013",E479&gt;1000,G479="PLN03"),H479,"")</f>
        <v/>
      </c>
      <c r="AB479" s="42" t="str">
        <f>IF(AND(C479=Master!$H$2,B479="2012-2013",E479="",G479="PLN03"),H479,"")</f>
        <v/>
      </c>
      <c r="AC479" s="42" t="str">
        <f>IF(AND(C479=Master!$H$3,B479="2012-2013",E479&gt;1000,G479="PLN03"),H479,"")</f>
        <v/>
      </c>
      <c r="AD479" s="42" t="str">
        <f>IF(AND(C479=Master!$H$3,B479="2012-2013",E479="",G479="PLN03"),H479,"")</f>
        <v/>
      </c>
      <c r="AE479" s="42" t="str">
        <f>IF(AND(C479=Master!$H$4,B479="2012-2013",E479&gt;1000,G479="PLN03"),H479,"")</f>
        <v/>
      </c>
      <c r="AF479" s="42" t="str">
        <f>IF(AND(C479=Master!$H$4,B479="2012-2013",E479="",G479="PLN03"),H479,"")</f>
        <v/>
      </c>
      <c r="AG479" s="42" t="str">
        <f>IF(AND(C479=Master!$H$5,B479="2012-2013",E479&gt;1000,G479="PLN03"),H479,"")</f>
        <v/>
      </c>
      <c r="AH479" s="42" t="str">
        <f>IF(AND(C479=Master!$H$5,B479="2012-2013",E479="",G479="PLN03"),H479,"")</f>
        <v/>
      </c>
      <c r="AI479" s="42" t="str">
        <f>IF(AND(C479=Master!$H$6,B479="2012-2013",E479&gt;1000,G479="PLN03"),H479,"")</f>
        <v/>
      </c>
      <c r="AJ479" s="42" t="str">
        <f>IF(AND(C479=Master!$H$6,B479="2012-2013",E479="",G479="PLN03"),H479,"")</f>
        <v/>
      </c>
      <c r="AK479" s="42" t="str">
        <f>IF(AND(C479=Master!$H$7,B479="2012-2013",E479&gt;1000,G479="PLN03"),H479,"")</f>
        <v/>
      </c>
      <c r="AL479" s="42" t="str">
        <f>IF(AND(C479=Master!$H$7,B479="2012-2013",E479="",G479="PLN03"),H479,"")</f>
        <v/>
      </c>
      <c r="AM479" s="42" t="str">
        <f>IF(AND(C479=Master!$H$8,B479="2012-2013",E479&gt;1000,G479="PLN03"),H479,"")</f>
        <v/>
      </c>
      <c r="AN479" s="42" t="str">
        <f>IF(AND(C479=Master!$H$8,B479="2012-2013",E479="",G479="PLN03"),H479,"")</f>
        <v/>
      </c>
      <c r="AO479" s="42" t="str">
        <f>IF(AND(C479=Master!$H$9,B479="2012-2013",E479&gt;1000,G479="PLN03"),H479,"")</f>
        <v/>
      </c>
      <c r="AP479" s="42" t="str">
        <f>IF(AND(C479=Master!$H$9,B479="2012-2013",E479="",G479="PLN03"),H479,"")</f>
        <v/>
      </c>
      <c r="AQ479" s="44" t="str">
        <f>IF(AND(C479=Master!$H$1,B479="2012-2013",E479&gt;1000,G479="NPN05"),H479,"")</f>
        <v/>
      </c>
      <c r="AR479" s="44" t="str">
        <f>IF(AND(C479=Master!$H$1,B479="2012-2013",E479="",G479="NPN05"),H479,"")</f>
        <v/>
      </c>
      <c r="AS479" s="44" t="str">
        <f>IF(AND(C479=Master!$H$2,B479="2012-2013",E479&gt;1000,G479="NPN05"),H479,"")</f>
        <v/>
      </c>
      <c r="AT479" s="44" t="str">
        <f>IF(AND(C479=Master!$H$2,B479="2012-2013",E479="",G479="NPN05"),H479,"")</f>
        <v/>
      </c>
      <c r="AU479" s="44" t="str">
        <f>IF(AND(C479=Master!$H$3,B479="2012-2013",E479&gt;1000,G479="NPN05"),H479,"")</f>
        <v/>
      </c>
      <c r="AV479" s="44" t="str">
        <f>IF(AND(C479=Master!$H$3,B479="2012-2013",E479="",G479="NPN05"),H479,"")</f>
        <v/>
      </c>
      <c r="AW479" s="44" t="str">
        <f>IF(AND(C479=Master!$H$4,B479="2012-2013",E479&gt;1000,G479="NPN05"),H479,"")</f>
        <v/>
      </c>
      <c r="AX479" s="44" t="str">
        <f>IF(AND(C479=Master!$H$4,B479="2012-2013",E479="",G479="NPN05"),H479,"")</f>
        <v/>
      </c>
      <c r="AY479" s="44" t="str">
        <f>IF(AND(C479=Master!$H$5,B479="2012-2013",E479&gt;1000,G479="NPN05"),H479,"")</f>
        <v/>
      </c>
      <c r="AZ479" s="44" t="str">
        <f>IF(AND(C479=Master!$H$5,B479="2012-2013",E479="",G479="NPN05"),H479,"")</f>
        <v/>
      </c>
      <c r="BA479" s="44" t="str">
        <f>IF(AND(C479=Master!$H$6,B479="2012-2013",E479&gt;1000,G479="NPN05"),H479,"")</f>
        <v/>
      </c>
      <c r="BB479" s="44" t="str">
        <f>IF(AND(C479=Master!$H$6,B479="2012-2013",E479="",G479="NPN05"),H479,"")</f>
        <v/>
      </c>
      <c r="BC479" s="44" t="str">
        <f>IF(AND(C479=Master!$H$7,B479="2012-2013",E479&gt;1000,G479="NPN05"),H479,"")</f>
        <v/>
      </c>
      <c r="BD479" s="44" t="str">
        <f>IF(AND(C479=Master!$H$7,B479="2012-2013",E479="",G479="NPN05"),H479,"")</f>
        <v/>
      </c>
      <c r="BE479" s="44" t="str">
        <f>IF(AND(C479=Master!$H$8,B479="2012-2013",E479&gt;1000,G479="NPN05"),H479,"")</f>
        <v/>
      </c>
      <c r="BF479" s="44" t="str">
        <f>IF(AND(C479=Master!$H$8,B479="2012-2013",E479="",G479="NPN05"),H479,"")</f>
        <v/>
      </c>
      <c r="BG479" s="44" t="str">
        <f>IF(AND(C479=Master!$H$9,B479="2012-2013",E479&gt;1000,G479="NPN05"),H479,"")</f>
        <v/>
      </c>
      <c r="BH479" s="44" t="str">
        <f>IF(AND(C479=Master!$H$9,B479="2012-2013",E479="",G479="NPN05"),H479,"")</f>
        <v/>
      </c>
    </row>
    <row r="480" spans="1:60" x14ac:dyDescent="0.25">
      <c r="A480" s="3">
        <v>478</v>
      </c>
      <c r="B480" s="12"/>
      <c r="C480" s="12"/>
      <c r="D480" s="31"/>
      <c r="E480" s="4"/>
      <c r="F480" s="13"/>
      <c r="G480" s="21"/>
      <c r="H480" s="35"/>
      <c r="I480" s="21"/>
      <c r="J480" s="25" t="str">
        <f>IF(NOT(I480=""),INDEX(Master!$B$1:$B$46,MATCH(I480,Master!$A$1:$A$46,0)),"")</f>
        <v/>
      </c>
      <c r="K480" s="18"/>
      <c r="L480" s="86"/>
      <c r="M480" s="13"/>
      <c r="N480" s="13"/>
      <c r="O480" s="18"/>
      <c r="P480" s="35"/>
      <c r="Q480" s="21"/>
      <c r="R480" s="21"/>
      <c r="S480" s="13"/>
      <c r="T480" s="12"/>
      <c r="U480" s="12"/>
      <c r="V480" s="12"/>
      <c r="W480" s="14"/>
      <c r="Y480" s="42" t="str">
        <f>IF(AND(C480=Master!$H$1,B480="2012-2013",E480&gt;1000,G480="PLN03"),H480,"")</f>
        <v/>
      </c>
      <c r="Z480" s="42" t="str">
        <f>IF(AND(C480=Master!$H$1,B480="2012-2013",E480="",G480="PLN03"),H480,"")</f>
        <v/>
      </c>
      <c r="AA480" s="42" t="str">
        <f>IF(AND(C480=Master!$H$2,B480="2012-2013",E480&gt;1000,G480="PLN03"),H480,"")</f>
        <v/>
      </c>
      <c r="AB480" s="42" t="str">
        <f>IF(AND(C480=Master!$H$2,B480="2012-2013",E480="",G480="PLN03"),H480,"")</f>
        <v/>
      </c>
      <c r="AC480" s="42" t="str">
        <f>IF(AND(C480=Master!$H$3,B480="2012-2013",E480&gt;1000,G480="PLN03"),H480,"")</f>
        <v/>
      </c>
      <c r="AD480" s="42" t="str">
        <f>IF(AND(C480=Master!$H$3,B480="2012-2013",E480="",G480="PLN03"),H480,"")</f>
        <v/>
      </c>
      <c r="AE480" s="42" t="str">
        <f>IF(AND(C480=Master!$H$4,B480="2012-2013",E480&gt;1000,G480="PLN03"),H480,"")</f>
        <v/>
      </c>
      <c r="AF480" s="42" t="str">
        <f>IF(AND(C480=Master!$H$4,B480="2012-2013",E480="",G480="PLN03"),H480,"")</f>
        <v/>
      </c>
      <c r="AG480" s="42" t="str">
        <f>IF(AND(C480=Master!$H$5,B480="2012-2013",E480&gt;1000,G480="PLN03"),H480,"")</f>
        <v/>
      </c>
      <c r="AH480" s="42" t="str">
        <f>IF(AND(C480=Master!$H$5,B480="2012-2013",E480="",G480="PLN03"),H480,"")</f>
        <v/>
      </c>
      <c r="AI480" s="42" t="str">
        <f>IF(AND(C480=Master!$H$6,B480="2012-2013",E480&gt;1000,G480="PLN03"),H480,"")</f>
        <v/>
      </c>
      <c r="AJ480" s="42" t="str">
        <f>IF(AND(C480=Master!$H$6,B480="2012-2013",E480="",G480="PLN03"),H480,"")</f>
        <v/>
      </c>
      <c r="AK480" s="42" t="str">
        <f>IF(AND(C480=Master!$H$7,B480="2012-2013",E480&gt;1000,G480="PLN03"),H480,"")</f>
        <v/>
      </c>
      <c r="AL480" s="42" t="str">
        <f>IF(AND(C480=Master!$H$7,B480="2012-2013",E480="",G480="PLN03"),H480,"")</f>
        <v/>
      </c>
      <c r="AM480" s="42" t="str">
        <f>IF(AND(C480=Master!$H$8,B480="2012-2013",E480&gt;1000,G480="PLN03"),H480,"")</f>
        <v/>
      </c>
      <c r="AN480" s="42" t="str">
        <f>IF(AND(C480=Master!$H$8,B480="2012-2013",E480="",G480="PLN03"),H480,"")</f>
        <v/>
      </c>
      <c r="AO480" s="42" t="str">
        <f>IF(AND(C480=Master!$H$9,B480="2012-2013",E480&gt;1000,G480="PLN03"),H480,"")</f>
        <v/>
      </c>
      <c r="AP480" s="42" t="str">
        <f>IF(AND(C480=Master!$H$9,B480="2012-2013",E480="",G480="PLN03"),H480,"")</f>
        <v/>
      </c>
      <c r="AQ480" s="44" t="str">
        <f>IF(AND(C480=Master!$H$1,B480="2012-2013",E480&gt;1000,G480="NPN05"),H480,"")</f>
        <v/>
      </c>
      <c r="AR480" s="44" t="str">
        <f>IF(AND(C480=Master!$H$1,B480="2012-2013",E480="",G480="NPN05"),H480,"")</f>
        <v/>
      </c>
      <c r="AS480" s="44" t="str">
        <f>IF(AND(C480=Master!$H$2,B480="2012-2013",E480&gt;1000,G480="NPN05"),H480,"")</f>
        <v/>
      </c>
      <c r="AT480" s="44" t="str">
        <f>IF(AND(C480=Master!$H$2,B480="2012-2013",E480="",G480="NPN05"),H480,"")</f>
        <v/>
      </c>
      <c r="AU480" s="44" t="str">
        <f>IF(AND(C480=Master!$H$3,B480="2012-2013",E480&gt;1000,G480="NPN05"),H480,"")</f>
        <v/>
      </c>
      <c r="AV480" s="44" t="str">
        <f>IF(AND(C480=Master!$H$3,B480="2012-2013",E480="",G480="NPN05"),H480,"")</f>
        <v/>
      </c>
      <c r="AW480" s="44" t="str">
        <f>IF(AND(C480=Master!$H$4,B480="2012-2013",E480&gt;1000,G480="NPN05"),H480,"")</f>
        <v/>
      </c>
      <c r="AX480" s="44" t="str">
        <f>IF(AND(C480=Master!$H$4,B480="2012-2013",E480="",G480="NPN05"),H480,"")</f>
        <v/>
      </c>
      <c r="AY480" s="44" t="str">
        <f>IF(AND(C480=Master!$H$5,B480="2012-2013",E480&gt;1000,G480="NPN05"),H480,"")</f>
        <v/>
      </c>
      <c r="AZ480" s="44" t="str">
        <f>IF(AND(C480=Master!$H$5,B480="2012-2013",E480="",G480="NPN05"),H480,"")</f>
        <v/>
      </c>
      <c r="BA480" s="44" t="str">
        <f>IF(AND(C480=Master!$H$6,B480="2012-2013",E480&gt;1000,G480="NPN05"),H480,"")</f>
        <v/>
      </c>
      <c r="BB480" s="44" t="str">
        <f>IF(AND(C480=Master!$H$6,B480="2012-2013",E480="",G480="NPN05"),H480,"")</f>
        <v/>
      </c>
      <c r="BC480" s="44" t="str">
        <f>IF(AND(C480=Master!$H$7,B480="2012-2013",E480&gt;1000,G480="NPN05"),H480,"")</f>
        <v/>
      </c>
      <c r="BD480" s="44" t="str">
        <f>IF(AND(C480=Master!$H$7,B480="2012-2013",E480="",G480="NPN05"),H480,"")</f>
        <v/>
      </c>
      <c r="BE480" s="44" t="str">
        <f>IF(AND(C480=Master!$H$8,B480="2012-2013",E480&gt;1000,G480="NPN05"),H480,"")</f>
        <v/>
      </c>
      <c r="BF480" s="44" t="str">
        <f>IF(AND(C480=Master!$H$8,B480="2012-2013",E480="",G480="NPN05"),H480,"")</f>
        <v/>
      </c>
      <c r="BG480" s="44" t="str">
        <f>IF(AND(C480=Master!$H$9,B480="2012-2013",E480&gt;1000,G480="NPN05"),H480,"")</f>
        <v/>
      </c>
      <c r="BH480" s="44" t="str">
        <f>IF(AND(C480=Master!$H$9,B480="2012-2013",E480="",G480="NPN05"),H480,"")</f>
        <v/>
      </c>
    </row>
    <row r="481" spans="1:60" x14ac:dyDescent="0.25">
      <c r="A481" s="5">
        <v>479</v>
      </c>
      <c r="B481" s="12"/>
      <c r="C481" s="12"/>
      <c r="D481" s="31"/>
      <c r="E481" s="4"/>
      <c r="F481" s="13"/>
      <c r="G481" s="21"/>
      <c r="H481" s="35"/>
      <c r="I481" s="21"/>
      <c r="J481" s="25" t="str">
        <f>IF(NOT(I481=""),INDEX(Master!$B$1:$B$46,MATCH(I481,Master!$A$1:$A$46,0)),"")</f>
        <v/>
      </c>
      <c r="K481" s="18"/>
      <c r="L481" s="86"/>
      <c r="M481" s="13"/>
      <c r="N481" s="13"/>
      <c r="O481" s="18"/>
      <c r="P481" s="35"/>
      <c r="Q481" s="21"/>
      <c r="R481" s="21"/>
      <c r="S481" s="13"/>
      <c r="T481" s="12"/>
      <c r="U481" s="12"/>
      <c r="V481" s="12"/>
      <c r="W481" s="14"/>
      <c r="Y481" s="42" t="str">
        <f>IF(AND(C481=Master!$H$1,B481="2012-2013",E481&gt;1000,G481="PLN03"),H481,"")</f>
        <v/>
      </c>
      <c r="Z481" s="42" t="str">
        <f>IF(AND(C481=Master!$H$1,B481="2012-2013",E481="",G481="PLN03"),H481,"")</f>
        <v/>
      </c>
      <c r="AA481" s="42" t="str">
        <f>IF(AND(C481=Master!$H$2,B481="2012-2013",E481&gt;1000,G481="PLN03"),H481,"")</f>
        <v/>
      </c>
      <c r="AB481" s="42" t="str">
        <f>IF(AND(C481=Master!$H$2,B481="2012-2013",E481="",G481="PLN03"),H481,"")</f>
        <v/>
      </c>
      <c r="AC481" s="42" t="str">
        <f>IF(AND(C481=Master!$H$3,B481="2012-2013",E481&gt;1000,G481="PLN03"),H481,"")</f>
        <v/>
      </c>
      <c r="AD481" s="42" t="str">
        <f>IF(AND(C481=Master!$H$3,B481="2012-2013",E481="",G481="PLN03"),H481,"")</f>
        <v/>
      </c>
      <c r="AE481" s="42" t="str">
        <f>IF(AND(C481=Master!$H$4,B481="2012-2013",E481&gt;1000,G481="PLN03"),H481,"")</f>
        <v/>
      </c>
      <c r="AF481" s="42" t="str">
        <f>IF(AND(C481=Master!$H$4,B481="2012-2013",E481="",G481="PLN03"),H481,"")</f>
        <v/>
      </c>
      <c r="AG481" s="42" t="str">
        <f>IF(AND(C481=Master!$H$5,B481="2012-2013",E481&gt;1000,G481="PLN03"),H481,"")</f>
        <v/>
      </c>
      <c r="AH481" s="42" t="str">
        <f>IF(AND(C481=Master!$H$5,B481="2012-2013",E481="",G481="PLN03"),H481,"")</f>
        <v/>
      </c>
      <c r="AI481" s="42" t="str">
        <f>IF(AND(C481=Master!$H$6,B481="2012-2013",E481&gt;1000,G481="PLN03"),H481,"")</f>
        <v/>
      </c>
      <c r="AJ481" s="42" t="str">
        <f>IF(AND(C481=Master!$H$6,B481="2012-2013",E481="",G481="PLN03"),H481,"")</f>
        <v/>
      </c>
      <c r="AK481" s="42" t="str">
        <f>IF(AND(C481=Master!$H$7,B481="2012-2013",E481&gt;1000,G481="PLN03"),H481,"")</f>
        <v/>
      </c>
      <c r="AL481" s="42" t="str">
        <f>IF(AND(C481=Master!$H$7,B481="2012-2013",E481="",G481="PLN03"),H481,"")</f>
        <v/>
      </c>
      <c r="AM481" s="42" t="str">
        <f>IF(AND(C481=Master!$H$8,B481="2012-2013",E481&gt;1000,G481="PLN03"),H481,"")</f>
        <v/>
      </c>
      <c r="AN481" s="42" t="str">
        <f>IF(AND(C481=Master!$H$8,B481="2012-2013",E481="",G481="PLN03"),H481,"")</f>
        <v/>
      </c>
      <c r="AO481" s="42" t="str">
        <f>IF(AND(C481=Master!$H$9,B481="2012-2013",E481&gt;1000,G481="PLN03"),H481,"")</f>
        <v/>
      </c>
      <c r="AP481" s="42" t="str">
        <f>IF(AND(C481=Master!$H$9,B481="2012-2013",E481="",G481="PLN03"),H481,"")</f>
        <v/>
      </c>
      <c r="AQ481" s="44" t="str">
        <f>IF(AND(C481=Master!$H$1,B481="2012-2013",E481&gt;1000,G481="NPN05"),H481,"")</f>
        <v/>
      </c>
      <c r="AR481" s="44" t="str">
        <f>IF(AND(C481=Master!$H$1,B481="2012-2013",E481="",G481="NPN05"),H481,"")</f>
        <v/>
      </c>
      <c r="AS481" s="44" t="str">
        <f>IF(AND(C481=Master!$H$2,B481="2012-2013",E481&gt;1000,G481="NPN05"),H481,"")</f>
        <v/>
      </c>
      <c r="AT481" s="44" t="str">
        <f>IF(AND(C481=Master!$H$2,B481="2012-2013",E481="",G481="NPN05"),H481,"")</f>
        <v/>
      </c>
      <c r="AU481" s="44" t="str">
        <f>IF(AND(C481=Master!$H$3,B481="2012-2013",E481&gt;1000,G481="NPN05"),H481,"")</f>
        <v/>
      </c>
      <c r="AV481" s="44" t="str">
        <f>IF(AND(C481=Master!$H$3,B481="2012-2013",E481="",G481="NPN05"),H481,"")</f>
        <v/>
      </c>
      <c r="AW481" s="44" t="str">
        <f>IF(AND(C481=Master!$H$4,B481="2012-2013",E481&gt;1000,G481="NPN05"),H481,"")</f>
        <v/>
      </c>
      <c r="AX481" s="44" t="str">
        <f>IF(AND(C481=Master!$H$4,B481="2012-2013",E481="",G481="NPN05"),H481,"")</f>
        <v/>
      </c>
      <c r="AY481" s="44" t="str">
        <f>IF(AND(C481=Master!$H$5,B481="2012-2013",E481&gt;1000,G481="NPN05"),H481,"")</f>
        <v/>
      </c>
      <c r="AZ481" s="44" t="str">
        <f>IF(AND(C481=Master!$H$5,B481="2012-2013",E481="",G481="NPN05"),H481,"")</f>
        <v/>
      </c>
      <c r="BA481" s="44" t="str">
        <f>IF(AND(C481=Master!$H$6,B481="2012-2013",E481&gt;1000,G481="NPN05"),H481,"")</f>
        <v/>
      </c>
      <c r="BB481" s="44" t="str">
        <f>IF(AND(C481=Master!$H$6,B481="2012-2013",E481="",G481="NPN05"),H481,"")</f>
        <v/>
      </c>
      <c r="BC481" s="44" t="str">
        <f>IF(AND(C481=Master!$H$7,B481="2012-2013",E481&gt;1000,G481="NPN05"),H481,"")</f>
        <v/>
      </c>
      <c r="BD481" s="44" t="str">
        <f>IF(AND(C481=Master!$H$7,B481="2012-2013",E481="",G481="NPN05"),H481,"")</f>
        <v/>
      </c>
      <c r="BE481" s="44" t="str">
        <f>IF(AND(C481=Master!$H$8,B481="2012-2013",E481&gt;1000,G481="NPN05"),H481,"")</f>
        <v/>
      </c>
      <c r="BF481" s="44" t="str">
        <f>IF(AND(C481=Master!$H$8,B481="2012-2013",E481="",G481="NPN05"),H481,"")</f>
        <v/>
      </c>
      <c r="BG481" s="44" t="str">
        <f>IF(AND(C481=Master!$H$9,B481="2012-2013",E481&gt;1000,G481="NPN05"),H481,"")</f>
        <v/>
      </c>
      <c r="BH481" s="44" t="str">
        <f>IF(AND(C481=Master!$H$9,B481="2012-2013",E481="",G481="NPN05"),H481,"")</f>
        <v/>
      </c>
    </row>
    <row r="482" spans="1:60" x14ac:dyDescent="0.25">
      <c r="A482" s="3">
        <v>480</v>
      </c>
      <c r="B482" s="12"/>
      <c r="C482" s="12"/>
      <c r="D482" s="31"/>
      <c r="E482" s="4"/>
      <c r="F482" s="13"/>
      <c r="G482" s="21"/>
      <c r="H482" s="35"/>
      <c r="I482" s="21"/>
      <c r="J482" s="25" t="str">
        <f>IF(NOT(I482=""),INDEX(Master!$B$1:$B$46,MATCH(I482,Master!$A$1:$A$46,0)),"")</f>
        <v/>
      </c>
      <c r="K482" s="18"/>
      <c r="L482" s="86"/>
      <c r="M482" s="13"/>
      <c r="N482" s="13"/>
      <c r="O482" s="18"/>
      <c r="P482" s="35"/>
      <c r="Q482" s="21"/>
      <c r="R482" s="21"/>
      <c r="S482" s="13"/>
      <c r="T482" s="12"/>
      <c r="U482" s="12"/>
      <c r="V482" s="12"/>
      <c r="W482" s="14"/>
      <c r="Y482" s="42" t="str">
        <f>IF(AND(C482=Master!$H$1,B482="2012-2013",E482&gt;1000,G482="PLN03"),H482,"")</f>
        <v/>
      </c>
      <c r="Z482" s="42" t="str">
        <f>IF(AND(C482=Master!$H$1,B482="2012-2013",E482="",G482="PLN03"),H482,"")</f>
        <v/>
      </c>
      <c r="AA482" s="42" t="str">
        <f>IF(AND(C482=Master!$H$2,B482="2012-2013",E482&gt;1000,G482="PLN03"),H482,"")</f>
        <v/>
      </c>
      <c r="AB482" s="42" t="str">
        <f>IF(AND(C482=Master!$H$2,B482="2012-2013",E482="",G482="PLN03"),H482,"")</f>
        <v/>
      </c>
      <c r="AC482" s="42" t="str">
        <f>IF(AND(C482=Master!$H$3,B482="2012-2013",E482&gt;1000,G482="PLN03"),H482,"")</f>
        <v/>
      </c>
      <c r="AD482" s="42" t="str">
        <f>IF(AND(C482=Master!$H$3,B482="2012-2013",E482="",G482="PLN03"),H482,"")</f>
        <v/>
      </c>
      <c r="AE482" s="42" t="str">
        <f>IF(AND(C482=Master!$H$4,B482="2012-2013",E482&gt;1000,G482="PLN03"),H482,"")</f>
        <v/>
      </c>
      <c r="AF482" s="42" t="str">
        <f>IF(AND(C482=Master!$H$4,B482="2012-2013",E482="",G482="PLN03"),H482,"")</f>
        <v/>
      </c>
      <c r="AG482" s="42" t="str">
        <f>IF(AND(C482=Master!$H$5,B482="2012-2013",E482&gt;1000,G482="PLN03"),H482,"")</f>
        <v/>
      </c>
      <c r="AH482" s="42" t="str">
        <f>IF(AND(C482=Master!$H$5,B482="2012-2013",E482="",G482="PLN03"),H482,"")</f>
        <v/>
      </c>
      <c r="AI482" s="42" t="str">
        <f>IF(AND(C482=Master!$H$6,B482="2012-2013",E482&gt;1000,G482="PLN03"),H482,"")</f>
        <v/>
      </c>
      <c r="AJ482" s="42" t="str">
        <f>IF(AND(C482=Master!$H$6,B482="2012-2013",E482="",G482="PLN03"),H482,"")</f>
        <v/>
      </c>
      <c r="AK482" s="42" t="str">
        <f>IF(AND(C482=Master!$H$7,B482="2012-2013",E482&gt;1000,G482="PLN03"),H482,"")</f>
        <v/>
      </c>
      <c r="AL482" s="42" t="str">
        <f>IF(AND(C482=Master!$H$7,B482="2012-2013",E482="",G482="PLN03"),H482,"")</f>
        <v/>
      </c>
      <c r="AM482" s="42" t="str">
        <f>IF(AND(C482=Master!$H$8,B482="2012-2013",E482&gt;1000,G482="PLN03"),H482,"")</f>
        <v/>
      </c>
      <c r="AN482" s="42" t="str">
        <f>IF(AND(C482=Master!$H$8,B482="2012-2013",E482="",G482="PLN03"),H482,"")</f>
        <v/>
      </c>
      <c r="AO482" s="42" t="str">
        <f>IF(AND(C482=Master!$H$9,B482="2012-2013",E482&gt;1000,G482="PLN03"),H482,"")</f>
        <v/>
      </c>
      <c r="AP482" s="42" t="str">
        <f>IF(AND(C482=Master!$H$9,B482="2012-2013",E482="",G482="PLN03"),H482,"")</f>
        <v/>
      </c>
      <c r="AQ482" s="44" t="str">
        <f>IF(AND(C482=Master!$H$1,B482="2012-2013",E482&gt;1000,G482="NPN05"),H482,"")</f>
        <v/>
      </c>
      <c r="AR482" s="44" t="str">
        <f>IF(AND(C482=Master!$H$1,B482="2012-2013",E482="",G482="NPN05"),H482,"")</f>
        <v/>
      </c>
      <c r="AS482" s="44" t="str">
        <f>IF(AND(C482=Master!$H$2,B482="2012-2013",E482&gt;1000,G482="NPN05"),H482,"")</f>
        <v/>
      </c>
      <c r="AT482" s="44" t="str">
        <f>IF(AND(C482=Master!$H$2,B482="2012-2013",E482="",G482="NPN05"),H482,"")</f>
        <v/>
      </c>
      <c r="AU482" s="44" t="str">
        <f>IF(AND(C482=Master!$H$3,B482="2012-2013",E482&gt;1000,G482="NPN05"),H482,"")</f>
        <v/>
      </c>
      <c r="AV482" s="44" t="str">
        <f>IF(AND(C482=Master!$H$3,B482="2012-2013",E482="",G482="NPN05"),H482,"")</f>
        <v/>
      </c>
      <c r="AW482" s="44" t="str">
        <f>IF(AND(C482=Master!$H$4,B482="2012-2013",E482&gt;1000,G482="NPN05"),H482,"")</f>
        <v/>
      </c>
      <c r="AX482" s="44" t="str">
        <f>IF(AND(C482=Master!$H$4,B482="2012-2013",E482="",G482="NPN05"),H482,"")</f>
        <v/>
      </c>
      <c r="AY482" s="44" t="str">
        <f>IF(AND(C482=Master!$H$5,B482="2012-2013",E482&gt;1000,G482="NPN05"),H482,"")</f>
        <v/>
      </c>
      <c r="AZ482" s="44" t="str">
        <f>IF(AND(C482=Master!$H$5,B482="2012-2013",E482="",G482="NPN05"),H482,"")</f>
        <v/>
      </c>
      <c r="BA482" s="44" t="str">
        <f>IF(AND(C482=Master!$H$6,B482="2012-2013",E482&gt;1000,G482="NPN05"),H482,"")</f>
        <v/>
      </c>
      <c r="BB482" s="44" t="str">
        <f>IF(AND(C482=Master!$H$6,B482="2012-2013",E482="",G482="NPN05"),H482,"")</f>
        <v/>
      </c>
      <c r="BC482" s="44" t="str">
        <f>IF(AND(C482=Master!$H$7,B482="2012-2013",E482&gt;1000,G482="NPN05"),H482,"")</f>
        <v/>
      </c>
      <c r="BD482" s="44" t="str">
        <f>IF(AND(C482=Master!$H$7,B482="2012-2013",E482="",G482="NPN05"),H482,"")</f>
        <v/>
      </c>
      <c r="BE482" s="44" t="str">
        <f>IF(AND(C482=Master!$H$8,B482="2012-2013",E482&gt;1000,G482="NPN05"),H482,"")</f>
        <v/>
      </c>
      <c r="BF482" s="44" t="str">
        <f>IF(AND(C482=Master!$H$8,B482="2012-2013",E482="",G482="NPN05"),H482,"")</f>
        <v/>
      </c>
      <c r="BG482" s="44" t="str">
        <f>IF(AND(C482=Master!$H$9,B482="2012-2013",E482&gt;1000,G482="NPN05"),H482,"")</f>
        <v/>
      </c>
      <c r="BH482" s="44" t="str">
        <f>IF(AND(C482=Master!$H$9,B482="2012-2013",E482="",G482="NPN05"),H482,"")</f>
        <v/>
      </c>
    </row>
    <row r="483" spans="1:60" x14ac:dyDescent="0.25">
      <c r="A483" s="3">
        <v>481</v>
      </c>
      <c r="B483" s="12"/>
      <c r="C483" s="12"/>
      <c r="D483" s="31"/>
      <c r="E483" s="4"/>
      <c r="F483" s="13"/>
      <c r="G483" s="21"/>
      <c r="H483" s="35"/>
      <c r="I483" s="21"/>
      <c r="J483" s="25" t="str">
        <f>IF(NOT(I483=""),INDEX(Master!$B$1:$B$46,MATCH(I483,Master!$A$1:$A$46,0)),"")</f>
        <v/>
      </c>
      <c r="K483" s="18"/>
      <c r="L483" s="86"/>
      <c r="M483" s="13"/>
      <c r="N483" s="13"/>
      <c r="O483" s="18"/>
      <c r="P483" s="35"/>
      <c r="Q483" s="21"/>
      <c r="R483" s="21"/>
      <c r="S483" s="13"/>
      <c r="T483" s="12"/>
      <c r="U483" s="12"/>
      <c r="V483" s="12"/>
      <c r="W483" s="14"/>
      <c r="Y483" s="42" t="str">
        <f>IF(AND(C483=Master!$H$1,B483="2012-2013",E483&gt;1000,G483="PLN03"),H483,"")</f>
        <v/>
      </c>
      <c r="Z483" s="42" t="str">
        <f>IF(AND(C483=Master!$H$1,B483="2012-2013",E483="",G483="PLN03"),H483,"")</f>
        <v/>
      </c>
      <c r="AA483" s="42" t="str">
        <f>IF(AND(C483=Master!$H$2,B483="2012-2013",E483&gt;1000,G483="PLN03"),H483,"")</f>
        <v/>
      </c>
      <c r="AB483" s="42" t="str">
        <f>IF(AND(C483=Master!$H$2,B483="2012-2013",E483="",G483="PLN03"),H483,"")</f>
        <v/>
      </c>
      <c r="AC483" s="42" t="str">
        <f>IF(AND(C483=Master!$H$3,B483="2012-2013",E483&gt;1000,G483="PLN03"),H483,"")</f>
        <v/>
      </c>
      <c r="AD483" s="42" t="str">
        <f>IF(AND(C483=Master!$H$3,B483="2012-2013",E483="",G483="PLN03"),H483,"")</f>
        <v/>
      </c>
      <c r="AE483" s="42" t="str">
        <f>IF(AND(C483=Master!$H$4,B483="2012-2013",E483&gt;1000,G483="PLN03"),H483,"")</f>
        <v/>
      </c>
      <c r="AF483" s="42" t="str">
        <f>IF(AND(C483=Master!$H$4,B483="2012-2013",E483="",G483="PLN03"),H483,"")</f>
        <v/>
      </c>
      <c r="AG483" s="42" t="str">
        <f>IF(AND(C483=Master!$H$5,B483="2012-2013",E483&gt;1000,G483="PLN03"),H483,"")</f>
        <v/>
      </c>
      <c r="AH483" s="42" t="str">
        <f>IF(AND(C483=Master!$H$5,B483="2012-2013",E483="",G483="PLN03"),H483,"")</f>
        <v/>
      </c>
      <c r="AI483" s="42" t="str">
        <f>IF(AND(C483=Master!$H$6,B483="2012-2013",E483&gt;1000,G483="PLN03"),H483,"")</f>
        <v/>
      </c>
      <c r="AJ483" s="42" t="str">
        <f>IF(AND(C483=Master!$H$6,B483="2012-2013",E483="",G483="PLN03"),H483,"")</f>
        <v/>
      </c>
      <c r="AK483" s="42" t="str">
        <f>IF(AND(C483=Master!$H$7,B483="2012-2013",E483&gt;1000,G483="PLN03"),H483,"")</f>
        <v/>
      </c>
      <c r="AL483" s="42" t="str">
        <f>IF(AND(C483=Master!$H$7,B483="2012-2013",E483="",G483="PLN03"),H483,"")</f>
        <v/>
      </c>
      <c r="AM483" s="42" t="str">
        <f>IF(AND(C483=Master!$H$8,B483="2012-2013",E483&gt;1000,G483="PLN03"),H483,"")</f>
        <v/>
      </c>
      <c r="AN483" s="42" t="str">
        <f>IF(AND(C483=Master!$H$8,B483="2012-2013",E483="",G483="PLN03"),H483,"")</f>
        <v/>
      </c>
      <c r="AO483" s="42" t="str">
        <f>IF(AND(C483=Master!$H$9,B483="2012-2013",E483&gt;1000,G483="PLN03"),H483,"")</f>
        <v/>
      </c>
      <c r="AP483" s="42" t="str">
        <f>IF(AND(C483=Master!$H$9,B483="2012-2013",E483="",G483="PLN03"),H483,"")</f>
        <v/>
      </c>
      <c r="AQ483" s="44" t="str">
        <f>IF(AND(C483=Master!$H$1,B483="2012-2013",E483&gt;1000,G483="NPN05"),H483,"")</f>
        <v/>
      </c>
      <c r="AR483" s="44" t="str">
        <f>IF(AND(C483=Master!$H$1,B483="2012-2013",E483="",G483="NPN05"),H483,"")</f>
        <v/>
      </c>
      <c r="AS483" s="44" t="str">
        <f>IF(AND(C483=Master!$H$2,B483="2012-2013",E483&gt;1000,G483="NPN05"),H483,"")</f>
        <v/>
      </c>
      <c r="AT483" s="44" t="str">
        <f>IF(AND(C483=Master!$H$2,B483="2012-2013",E483="",G483="NPN05"),H483,"")</f>
        <v/>
      </c>
      <c r="AU483" s="44" t="str">
        <f>IF(AND(C483=Master!$H$3,B483="2012-2013",E483&gt;1000,G483="NPN05"),H483,"")</f>
        <v/>
      </c>
      <c r="AV483" s="44" t="str">
        <f>IF(AND(C483=Master!$H$3,B483="2012-2013",E483="",G483="NPN05"),H483,"")</f>
        <v/>
      </c>
      <c r="AW483" s="44" t="str">
        <f>IF(AND(C483=Master!$H$4,B483="2012-2013",E483&gt;1000,G483="NPN05"),H483,"")</f>
        <v/>
      </c>
      <c r="AX483" s="44" t="str">
        <f>IF(AND(C483=Master!$H$4,B483="2012-2013",E483="",G483="NPN05"),H483,"")</f>
        <v/>
      </c>
      <c r="AY483" s="44" t="str">
        <f>IF(AND(C483=Master!$H$5,B483="2012-2013",E483&gt;1000,G483="NPN05"),H483,"")</f>
        <v/>
      </c>
      <c r="AZ483" s="44" t="str">
        <f>IF(AND(C483=Master!$H$5,B483="2012-2013",E483="",G483="NPN05"),H483,"")</f>
        <v/>
      </c>
      <c r="BA483" s="44" t="str">
        <f>IF(AND(C483=Master!$H$6,B483="2012-2013",E483&gt;1000,G483="NPN05"),H483,"")</f>
        <v/>
      </c>
      <c r="BB483" s="44" t="str">
        <f>IF(AND(C483=Master!$H$6,B483="2012-2013",E483="",G483="NPN05"),H483,"")</f>
        <v/>
      </c>
      <c r="BC483" s="44" t="str">
        <f>IF(AND(C483=Master!$H$7,B483="2012-2013",E483&gt;1000,G483="NPN05"),H483,"")</f>
        <v/>
      </c>
      <c r="BD483" s="44" t="str">
        <f>IF(AND(C483=Master!$H$7,B483="2012-2013",E483="",G483="NPN05"),H483,"")</f>
        <v/>
      </c>
      <c r="BE483" s="44" t="str">
        <f>IF(AND(C483=Master!$H$8,B483="2012-2013",E483&gt;1000,G483="NPN05"),H483,"")</f>
        <v/>
      </c>
      <c r="BF483" s="44" t="str">
        <f>IF(AND(C483=Master!$H$8,B483="2012-2013",E483="",G483="NPN05"),H483,"")</f>
        <v/>
      </c>
      <c r="BG483" s="44" t="str">
        <f>IF(AND(C483=Master!$H$9,B483="2012-2013",E483&gt;1000,G483="NPN05"),H483,"")</f>
        <v/>
      </c>
      <c r="BH483" s="44" t="str">
        <f>IF(AND(C483=Master!$H$9,B483="2012-2013",E483="",G483="NPN05"),H483,"")</f>
        <v/>
      </c>
    </row>
    <row r="484" spans="1:60" x14ac:dyDescent="0.25">
      <c r="A484" s="3">
        <v>482</v>
      </c>
      <c r="B484" s="12"/>
      <c r="C484" s="12"/>
      <c r="D484" s="31"/>
      <c r="E484" s="4"/>
      <c r="F484" s="13"/>
      <c r="G484" s="21"/>
      <c r="H484" s="35"/>
      <c r="I484" s="21"/>
      <c r="J484" s="25" t="str">
        <f>IF(NOT(I484=""),INDEX(Master!$B$1:$B$46,MATCH(I484,Master!$A$1:$A$46,0)),"")</f>
        <v/>
      </c>
      <c r="K484" s="18"/>
      <c r="L484" s="86"/>
      <c r="M484" s="13"/>
      <c r="N484" s="13"/>
      <c r="O484" s="18"/>
      <c r="P484" s="35"/>
      <c r="Q484" s="21"/>
      <c r="R484" s="21"/>
      <c r="S484" s="13"/>
      <c r="T484" s="12"/>
      <c r="U484" s="12"/>
      <c r="V484" s="12"/>
      <c r="W484" s="14"/>
      <c r="Y484" s="42" t="str">
        <f>IF(AND(C484=Master!$H$1,B484="2012-2013",E484&gt;1000,G484="PLN03"),H484,"")</f>
        <v/>
      </c>
      <c r="Z484" s="42" t="str">
        <f>IF(AND(C484=Master!$H$1,B484="2012-2013",E484="",G484="PLN03"),H484,"")</f>
        <v/>
      </c>
      <c r="AA484" s="42" t="str">
        <f>IF(AND(C484=Master!$H$2,B484="2012-2013",E484&gt;1000,G484="PLN03"),H484,"")</f>
        <v/>
      </c>
      <c r="AB484" s="42" t="str">
        <f>IF(AND(C484=Master!$H$2,B484="2012-2013",E484="",G484="PLN03"),H484,"")</f>
        <v/>
      </c>
      <c r="AC484" s="42" t="str">
        <f>IF(AND(C484=Master!$H$3,B484="2012-2013",E484&gt;1000,G484="PLN03"),H484,"")</f>
        <v/>
      </c>
      <c r="AD484" s="42" t="str">
        <f>IF(AND(C484=Master!$H$3,B484="2012-2013",E484="",G484="PLN03"),H484,"")</f>
        <v/>
      </c>
      <c r="AE484" s="42" t="str">
        <f>IF(AND(C484=Master!$H$4,B484="2012-2013",E484&gt;1000,G484="PLN03"),H484,"")</f>
        <v/>
      </c>
      <c r="AF484" s="42" t="str">
        <f>IF(AND(C484=Master!$H$4,B484="2012-2013",E484="",G484="PLN03"),H484,"")</f>
        <v/>
      </c>
      <c r="AG484" s="42" t="str">
        <f>IF(AND(C484=Master!$H$5,B484="2012-2013",E484&gt;1000,G484="PLN03"),H484,"")</f>
        <v/>
      </c>
      <c r="AH484" s="42" t="str">
        <f>IF(AND(C484=Master!$H$5,B484="2012-2013",E484="",G484="PLN03"),H484,"")</f>
        <v/>
      </c>
      <c r="AI484" s="42" t="str">
        <f>IF(AND(C484=Master!$H$6,B484="2012-2013",E484&gt;1000,G484="PLN03"),H484,"")</f>
        <v/>
      </c>
      <c r="AJ484" s="42" t="str">
        <f>IF(AND(C484=Master!$H$6,B484="2012-2013",E484="",G484="PLN03"),H484,"")</f>
        <v/>
      </c>
      <c r="AK484" s="42" t="str">
        <f>IF(AND(C484=Master!$H$7,B484="2012-2013",E484&gt;1000,G484="PLN03"),H484,"")</f>
        <v/>
      </c>
      <c r="AL484" s="42" t="str">
        <f>IF(AND(C484=Master!$H$7,B484="2012-2013",E484="",G484="PLN03"),H484,"")</f>
        <v/>
      </c>
      <c r="AM484" s="42" t="str">
        <f>IF(AND(C484=Master!$H$8,B484="2012-2013",E484&gt;1000,G484="PLN03"),H484,"")</f>
        <v/>
      </c>
      <c r="AN484" s="42" t="str">
        <f>IF(AND(C484=Master!$H$8,B484="2012-2013",E484="",G484="PLN03"),H484,"")</f>
        <v/>
      </c>
      <c r="AO484" s="42" t="str">
        <f>IF(AND(C484=Master!$H$9,B484="2012-2013",E484&gt;1000,G484="PLN03"),H484,"")</f>
        <v/>
      </c>
      <c r="AP484" s="42" t="str">
        <f>IF(AND(C484=Master!$H$9,B484="2012-2013",E484="",G484="PLN03"),H484,"")</f>
        <v/>
      </c>
      <c r="AQ484" s="44" t="str">
        <f>IF(AND(C484=Master!$H$1,B484="2012-2013",E484&gt;1000,G484="NPN05"),H484,"")</f>
        <v/>
      </c>
      <c r="AR484" s="44" t="str">
        <f>IF(AND(C484=Master!$H$1,B484="2012-2013",E484="",G484="NPN05"),H484,"")</f>
        <v/>
      </c>
      <c r="AS484" s="44" t="str">
        <f>IF(AND(C484=Master!$H$2,B484="2012-2013",E484&gt;1000,G484="NPN05"),H484,"")</f>
        <v/>
      </c>
      <c r="AT484" s="44" t="str">
        <f>IF(AND(C484=Master!$H$2,B484="2012-2013",E484="",G484="NPN05"),H484,"")</f>
        <v/>
      </c>
      <c r="AU484" s="44" t="str">
        <f>IF(AND(C484=Master!$H$3,B484="2012-2013",E484&gt;1000,G484="NPN05"),H484,"")</f>
        <v/>
      </c>
      <c r="AV484" s="44" t="str">
        <f>IF(AND(C484=Master!$H$3,B484="2012-2013",E484="",G484="NPN05"),H484,"")</f>
        <v/>
      </c>
      <c r="AW484" s="44" t="str">
        <f>IF(AND(C484=Master!$H$4,B484="2012-2013",E484&gt;1000,G484="NPN05"),H484,"")</f>
        <v/>
      </c>
      <c r="AX484" s="44" t="str">
        <f>IF(AND(C484=Master!$H$4,B484="2012-2013",E484="",G484="NPN05"),H484,"")</f>
        <v/>
      </c>
      <c r="AY484" s="44" t="str">
        <f>IF(AND(C484=Master!$H$5,B484="2012-2013",E484&gt;1000,G484="NPN05"),H484,"")</f>
        <v/>
      </c>
      <c r="AZ484" s="44" t="str">
        <f>IF(AND(C484=Master!$H$5,B484="2012-2013",E484="",G484="NPN05"),H484,"")</f>
        <v/>
      </c>
      <c r="BA484" s="44" t="str">
        <f>IF(AND(C484=Master!$H$6,B484="2012-2013",E484&gt;1000,G484="NPN05"),H484,"")</f>
        <v/>
      </c>
      <c r="BB484" s="44" t="str">
        <f>IF(AND(C484=Master!$H$6,B484="2012-2013",E484="",G484="NPN05"),H484,"")</f>
        <v/>
      </c>
      <c r="BC484" s="44" t="str">
        <f>IF(AND(C484=Master!$H$7,B484="2012-2013",E484&gt;1000,G484="NPN05"),H484,"")</f>
        <v/>
      </c>
      <c r="BD484" s="44" t="str">
        <f>IF(AND(C484=Master!$H$7,B484="2012-2013",E484="",G484="NPN05"),H484,"")</f>
        <v/>
      </c>
      <c r="BE484" s="44" t="str">
        <f>IF(AND(C484=Master!$H$8,B484="2012-2013",E484&gt;1000,G484="NPN05"),H484,"")</f>
        <v/>
      </c>
      <c r="BF484" s="44" t="str">
        <f>IF(AND(C484=Master!$H$8,B484="2012-2013",E484="",G484="NPN05"),H484,"")</f>
        <v/>
      </c>
      <c r="BG484" s="44" t="str">
        <f>IF(AND(C484=Master!$H$9,B484="2012-2013",E484&gt;1000,G484="NPN05"),H484,"")</f>
        <v/>
      </c>
      <c r="BH484" s="44" t="str">
        <f>IF(AND(C484=Master!$H$9,B484="2012-2013",E484="",G484="NPN05"),H484,"")</f>
        <v/>
      </c>
    </row>
    <row r="485" spans="1:60" x14ac:dyDescent="0.25">
      <c r="A485" s="3">
        <v>483</v>
      </c>
      <c r="B485" s="12"/>
      <c r="C485" s="12"/>
      <c r="D485" s="31"/>
      <c r="E485" s="4"/>
      <c r="F485" s="13"/>
      <c r="G485" s="21"/>
      <c r="H485" s="35"/>
      <c r="I485" s="21"/>
      <c r="J485" s="25" t="str">
        <f>IF(NOT(I485=""),INDEX(Master!$B$1:$B$46,MATCH(I485,Master!$A$1:$A$46,0)),"")</f>
        <v/>
      </c>
      <c r="K485" s="18"/>
      <c r="L485" s="86"/>
      <c r="M485" s="13"/>
      <c r="N485" s="13"/>
      <c r="O485" s="18"/>
      <c r="P485" s="35"/>
      <c r="Q485" s="21"/>
      <c r="R485" s="21"/>
      <c r="S485" s="13"/>
      <c r="T485" s="12"/>
      <c r="U485" s="12"/>
      <c r="V485" s="12"/>
      <c r="W485" s="14"/>
      <c r="Y485" s="42" t="str">
        <f>IF(AND(C485=Master!$H$1,B485="2012-2013",E485&gt;1000,G485="PLN03"),H485,"")</f>
        <v/>
      </c>
      <c r="Z485" s="42" t="str">
        <f>IF(AND(C485=Master!$H$1,B485="2012-2013",E485="",G485="PLN03"),H485,"")</f>
        <v/>
      </c>
      <c r="AA485" s="42" t="str">
        <f>IF(AND(C485=Master!$H$2,B485="2012-2013",E485&gt;1000,G485="PLN03"),H485,"")</f>
        <v/>
      </c>
      <c r="AB485" s="42" t="str">
        <f>IF(AND(C485=Master!$H$2,B485="2012-2013",E485="",G485="PLN03"),H485,"")</f>
        <v/>
      </c>
      <c r="AC485" s="42" t="str">
        <f>IF(AND(C485=Master!$H$3,B485="2012-2013",E485&gt;1000,G485="PLN03"),H485,"")</f>
        <v/>
      </c>
      <c r="AD485" s="42" t="str">
        <f>IF(AND(C485=Master!$H$3,B485="2012-2013",E485="",G485="PLN03"),H485,"")</f>
        <v/>
      </c>
      <c r="AE485" s="42" t="str">
        <f>IF(AND(C485=Master!$H$4,B485="2012-2013",E485&gt;1000,G485="PLN03"),H485,"")</f>
        <v/>
      </c>
      <c r="AF485" s="42" t="str">
        <f>IF(AND(C485=Master!$H$4,B485="2012-2013",E485="",G485="PLN03"),H485,"")</f>
        <v/>
      </c>
      <c r="AG485" s="42" t="str">
        <f>IF(AND(C485=Master!$H$5,B485="2012-2013",E485&gt;1000,G485="PLN03"),H485,"")</f>
        <v/>
      </c>
      <c r="AH485" s="42" t="str">
        <f>IF(AND(C485=Master!$H$5,B485="2012-2013",E485="",G485="PLN03"),H485,"")</f>
        <v/>
      </c>
      <c r="AI485" s="42" t="str">
        <f>IF(AND(C485=Master!$H$6,B485="2012-2013",E485&gt;1000,G485="PLN03"),H485,"")</f>
        <v/>
      </c>
      <c r="AJ485" s="42" t="str">
        <f>IF(AND(C485=Master!$H$6,B485="2012-2013",E485="",G485="PLN03"),H485,"")</f>
        <v/>
      </c>
      <c r="AK485" s="42" t="str">
        <f>IF(AND(C485=Master!$H$7,B485="2012-2013",E485&gt;1000,G485="PLN03"),H485,"")</f>
        <v/>
      </c>
      <c r="AL485" s="42" t="str">
        <f>IF(AND(C485=Master!$H$7,B485="2012-2013",E485="",G485="PLN03"),H485,"")</f>
        <v/>
      </c>
      <c r="AM485" s="42" t="str">
        <f>IF(AND(C485=Master!$H$8,B485="2012-2013",E485&gt;1000,G485="PLN03"),H485,"")</f>
        <v/>
      </c>
      <c r="AN485" s="42" t="str">
        <f>IF(AND(C485=Master!$H$8,B485="2012-2013",E485="",G485="PLN03"),H485,"")</f>
        <v/>
      </c>
      <c r="AO485" s="42" t="str">
        <f>IF(AND(C485=Master!$H$9,B485="2012-2013",E485&gt;1000,G485="PLN03"),H485,"")</f>
        <v/>
      </c>
      <c r="AP485" s="42" t="str">
        <f>IF(AND(C485=Master!$H$9,B485="2012-2013",E485="",G485="PLN03"),H485,"")</f>
        <v/>
      </c>
      <c r="AQ485" s="44" t="str">
        <f>IF(AND(C485=Master!$H$1,B485="2012-2013",E485&gt;1000,G485="NPN05"),H485,"")</f>
        <v/>
      </c>
      <c r="AR485" s="44" t="str">
        <f>IF(AND(C485=Master!$H$1,B485="2012-2013",E485="",G485="NPN05"),H485,"")</f>
        <v/>
      </c>
      <c r="AS485" s="44" t="str">
        <f>IF(AND(C485=Master!$H$2,B485="2012-2013",E485&gt;1000,G485="NPN05"),H485,"")</f>
        <v/>
      </c>
      <c r="AT485" s="44" t="str">
        <f>IF(AND(C485=Master!$H$2,B485="2012-2013",E485="",G485="NPN05"),H485,"")</f>
        <v/>
      </c>
      <c r="AU485" s="44" t="str">
        <f>IF(AND(C485=Master!$H$3,B485="2012-2013",E485&gt;1000,G485="NPN05"),H485,"")</f>
        <v/>
      </c>
      <c r="AV485" s="44" t="str">
        <f>IF(AND(C485=Master!$H$3,B485="2012-2013",E485="",G485="NPN05"),H485,"")</f>
        <v/>
      </c>
      <c r="AW485" s="44" t="str">
        <f>IF(AND(C485=Master!$H$4,B485="2012-2013",E485&gt;1000,G485="NPN05"),H485,"")</f>
        <v/>
      </c>
      <c r="AX485" s="44" t="str">
        <f>IF(AND(C485=Master!$H$4,B485="2012-2013",E485="",G485="NPN05"),H485,"")</f>
        <v/>
      </c>
      <c r="AY485" s="44" t="str">
        <f>IF(AND(C485=Master!$H$5,B485="2012-2013",E485&gt;1000,G485="NPN05"),H485,"")</f>
        <v/>
      </c>
      <c r="AZ485" s="44" t="str">
        <f>IF(AND(C485=Master!$H$5,B485="2012-2013",E485="",G485="NPN05"),H485,"")</f>
        <v/>
      </c>
      <c r="BA485" s="44" t="str">
        <f>IF(AND(C485=Master!$H$6,B485="2012-2013",E485&gt;1000,G485="NPN05"),H485,"")</f>
        <v/>
      </c>
      <c r="BB485" s="44" t="str">
        <f>IF(AND(C485=Master!$H$6,B485="2012-2013",E485="",G485="NPN05"),H485,"")</f>
        <v/>
      </c>
      <c r="BC485" s="44" t="str">
        <f>IF(AND(C485=Master!$H$7,B485="2012-2013",E485&gt;1000,G485="NPN05"),H485,"")</f>
        <v/>
      </c>
      <c r="BD485" s="44" t="str">
        <f>IF(AND(C485=Master!$H$7,B485="2012-2013",E485="",G485="NPN05"),H485,"")</f>
        <v/>
      </c>
      <c r="BE485" s="44" t="str">
        <f>IF(AND(C485=Master!$H$8,B485="2012-2013",E485&gt;1000,G485="NPN05"),H485,"")</f>
        <v/>
      </c>
      <c r="BF485" s="44" t="str">
        <f>IF(AND(C485=Master!$H$8,B485="2012-2013",E485="",G485="NPN05"),H485,"")</f>
        <v/>
      </c>
      <c r="BG485" s="44" t="str">
        <f>IF(AND(C485=Master!$H$9,B485="2012-2013",E485&gt;1000,G485="NPN05"),H485,"")</f>
        <v/>
      </c>
      <c r="BH485" s="44" t="str">
        <f>IF(AND(C485=Master!$H$9,B485="2012-2013",E485="",G485="NPN05"),H485,"")</f>
        <v/>
      </c>
    </row>
    <row r="486" spans="1:60" x14ac:dyDescent="0.25">
      <c r="A486" s="3">
        <v>484</v>
      </c>
      <c r="B486" s="12"/>
      <c r="C486" s="12"/>
      <c r="D486" s="31"/>
      <c r="E486" s="4"/>
      <c r="F486" s="13"/>
      <c r="G486" s="21"/>
      <c r="H486" s="35"/>
      <c r="I486" s="21"/>
      <c r="J486" s="25" t="str">
        <f>IF(NOT(I486=""),INDEX(Master!$B$1:$B$46,MATCH(I486,Master!$A$1:$A$46,0)),"")</f>
        <v/>
      </c>
      <c r="K486" s="18"/>
      <c r="L486" s="86"/>
      <c r="M486" s="13"/>
      <c r="N486" s="13"/>
      <c r="O486" s="18"/>
      <c r="P486" s="35"/>
      <c r="Q486" s="21"/>
      <c r="R486" s="21"/>
      <c r="S486" s="13"/>
      <c r="T486" s="12"/>
      <c r="U486" s="12"/>
      <c r="V486" s="12"/>
      <c r="W486" s="14"/>
      <c r="Y486" s="42" t="str">
        <f>IF(AND(C486=Master!$H$1,B486="2012-2013",E486&gt;1000,G486="PLN03"),H486,"")</f>
        <v/>
      </c>
      <c r="Z486" s="42" t="str">
        <f>IF(AND(C486=Master!$H$1,B486="2012-2013",E486="",G486="PLN03"),H486,"")</f>
        <v/>
      </c>
      <c r="AA486" s="42" t="str">
        <f>IF(AND(C486=Master!$H$2,B486="2012-2013",E486&gt;1000,G486="PLN03"),H486,"")</f>
        <v/>
      </c>
      <c r="AB486" s="42" t="str">
        <f>IF(AND(C486=Master!$H$2,B486="2012-2013",E486="",G486="PLN03"),H486,"")</f>
        <v/>
      </c>
      <c r="AC486" s="42" t="str">
        <f>IF(AND(C486=Master!$H$3,B486="2012-2013",E486&gt;1000,G486="PLN03"),H486,"")</f>
        <v/>
      </c>
      <c r="AD486" s="42" t="str">
        <f>IF(AND(C486=Master!$H$3,B486="2012-2013",E486="",G486="PLN03"),H486,"")</f>
        <v/>
      </c>
      <c r="AE486" s="42" t="str">
        <f>IF(AND(C486=Master!$H$4,B486="2012-2013",E486&gt;1000,G486="PLN03"),H486,"")</f>
        <v/>
      </c>
      <c r="AF486" s="42" t="str">
        <f>IF(AND(C486=Master!$H$4,B486="2012-2013",E486="",G486="PLN03"),H486,"")</f>
        <v/>
      </c>
      <c r="AG486" s="42" t="str">
        <f>IF(AND(C486=Master!$H$5,B486="2012-2013",E486&gt;1000,G486="PLN03"),H486,"")</f>
        <v/>
      </c>
      <c r="AH486" s="42" t="str">
        <f>IF(AND(C486=Master!$H$5,B486="2012-2013",E486="",G486="PLN03"),H486,"")</f>
        <v/>
      </c>
      <c r="AI486" s="42" t="str">
        <f>IF(AND(C486=Master!$H$6,B486="2012-2013",E486&gt;1000,G486="PLN03"),H486,"")</f>
        <v/>
      </c>
      <c r="AJ486" s="42" t="str">
        <f>IF(AND(C486=Master!$H$6,B486="2012-2013",E486="",G486="PLN03"),H486,"")</f>
        <v/>
      </c>
      <c r="AK486" s="42" t="str">
        <f>IF(AND(C486=Master!$H$7,B486="2012-2013",E486&gt;1000,G486="PLN03"),H486,"")</f>
        <v/>
      </c>
      <c r="AL486" s="42" t="str">
        <f>IF(AND(C486=Master!$H$7,B486="2012-2013",E486="",G486="PLN03"),H486,"")</f>
        <v/>
      </c>
      <c r="AM486" s="42" t="str">
        <f>IF(AND(C486=Master!$H$8,B486="2012-2013",E486&gt;1000,G486="PLN03"),H486,"")</f>
        <v/>
      </c>
      <c r="AN486" s="42" t="str">
        <f>IF(AND(C486=Master!$H$8,B486="2012-2013",E486="",G486="PLN03"),H486,"")</f>
        <v/>
      </c>
      <c r="AO486" s="42" t="str">
        <f>IF(AND(C486=Master!$H$9,B486="2012-2013",E486&gt;1000,G486="PLN03"),H486,"")</f>
        <v/>
      </c>
      <c r="AP486" s="42" t="str">
        <f>IF(AND(C486=Master!$H$9,B486="2012-2013",E486="",G486="PLN03"),H486,"")</f>
        <v/>
      </c>
      <c r="AQ486" s="44" t="str">
        <f>IF(AND(C486=Master!$H$1,B486="2012-2013",E486&gt;1000,G486="NPN05"),H486,"")</f>
        <v/>
      </c>
      <c r="AR486" s="44" t="str">
        <f>IF(AND(C486=Master!$H$1,B486="2012-2013",E486="",G486="NPN05"),H486,"")</f>
        <v/>
      </c>
      <c r="AS486" s="44" t="str">
        <f>IF(AND(C486=Master!$H$2,B486="2012-2013",E486&gt;1000,G486="NPN05"),H486,"")</f>
        <v/>
      </c>
      <c r="AT486" s="44" t="str">
        <f>IF(AND(C486=Master!$H$2,B486="2012-2013",E486="",G486="NPN05"),H486,"")</f>
        <v/>
      </c>
      <c r="AU486" s="44" t="str">
        <f>IF(AND(C486=Master!$H$3,B486="2012-2013",E486&gt;1000,G486="NPN05"),H486,"")</f>
        <v/>
      </c>
      <c r="AV486" s="44" t="str">
        <f>IF(AND(C486=Master!$H$3,B486="2012-2013",E486="",G486="NPN05"),H486,"")</f>
        <v/>
      </c>
      <c r="AW486" s="44" t="str">
        <f>IF(AND(C486=Master!$H$4,B486="2012-2013",E486&gt;1000,G486="NPN05"),H486,"")</f>
        <v/>
      </c>
      <c r="AX486" s="44" t="str">
        <f>IF(AND(C486=Master!$H$4,B486="2012-2013",E486="",G486="NPN05"),H486,"")</f>
        <v/>
      </c>
      <c r="AY486" s="44" t="str">
        <f>IF(AND(C486=Master!$H$5,B486="2012-2013",E486&gt;1000,G486="NPN05"),H486,"")</f>
        <v/>
      </c>
      <c r="AZ486" s="44" t="str">
        <f>IF(AND(C486=Master!$H$5,B486="2012-2013",E486="",G486="NPN05"),H486,"")</f>
        <v/>
      </c>
      <c r="BA486" s="44" t="str">
        <f>IF(AND(C486=Master!$H$6,B486="2012-2013",E486&gt;1000,G486="NPN05"),H486,"")</f>
        <v/>
      </c>
      <c r="BB486" s="44" t="str">
        <f>IF(AND(C486=Master!$H$6,B486="2012-2013",E486="",G486="NPN05"),H486,"")</f>
        <v/>
      </c>
      <c r="BC486" s="44" t="str">
        <f>IF(AND(C486=Master!$H$7,B486="2012-2013",E486&gt;1000,G486="NPN05"),H486,"")</f>
        <v/>
      </c>
      <c r="BD486" s="44" t="str">
        <f>IF(AND(C486=Master!$H$7,B486="2012-2013",E486="",G486="NPN05"),H486,"")</f>
        <v/>
      </c>
      <c r="BE486" s="44" t="str">
        <f>IF(AND(C486=Master!$H$8,B486="2012-2013",E486&gt;1000,G486="NPN05"),H486,"")</f>
        <v/>
      </c>
      <c r="BF486" s="44" t="str">
        <f>IF(AND(C486=Master!$H$8,B486="2012-2013",E486="",G486="NPN05"),H486,"")</f>
        <v/>
      </c>
      <c r="BG486" s="44" t="str">
        <f>IF(AND(C486=Master!$H$9,B486="2012-2013",E486&gt;1000,G486="NPN05"),H486,"")</f>
        <v/>
      </c>
      <c r="BH486" s="44" t="str">
        <f>IF(AND(C486=Master!$H$9,B486="2012-2013",E486="",G486="NPN05"),H486,"")</f>
        <v/>
      </c>
    </row>
    <row r="487" spans="1:60" x14ac:dyDescent="0.25">
      <c r="A487" s="3">
        <v>485</v>
      </c>
      <c r="B487" s="12"/>
      <c r="C487" s="12"/>
      <c r="D487" s="31"/>
      <c r="E487" s="4"/>
      <c r="F487" s="13"/>
      <c r="G487" s="21"/>
      <c r="H487" s="35"/>
      <c r="I487" s="21"/>
      <c r="J487" s="25" t="str">
        <f>IF(NOT(I487=""),INDEX(Master!$B$1:$B$46,MATCH(I487,Master!$A$1:$A$46,0)),"")</f>
        <v/>
      </c>
      <c r="K487" s="18"/>
      <c r="L487" s="86"/>
      <c r="M487" s="13"/>
      <c r="N487" s="13"/>
      <c r="O487" s="18"/>
      <c r="P487" s="35"/>
      <c r="Q487" s="21"/>
      <c r="R487" s="21"/>
      <c r="S487" s="13"/>
      <c r="T487" s="12"/>
      <c r="U487" s="12"/>
      <c r="V487" s="12"/>
      <c r="W487" s="14"/>
      <c r="Y487" s="42" t="str">
        <f>IF(AND(C487=Master!$H$1,B487="2012-2013",E487&gt;1000,G487="PLN03"),H487,"")</f>
        <v/>
      </c>
      <c r="Z487" s="42" t="str">
        <f>IF(AND(C487=Master!$H$1,B487="2012-2013",E487="",G487="PLN03"),H487,"")</f>
        <v/>
      </c>
      <c r="AA487" s="42" t="str">
        <f>IF(AND(C487=Master!$H$2,B487="2012-2013",E487&gt;1000,G487="PLN03"),H487,"")</f>
        <v/>
      </c>
      <c r="AB487" s="42" t="str">
        <f>IF(AND(C487=Master!$H$2,B487="2012-2013",E487="",G487="PLN03"),H487,"")</f>
        <v/>
      </c>
      <c r="AC487" s="42" t="str">
        <f>IF(AND(C487=Master!$H$3,B487="2012-2013",E487&gt;1000,G487="PLN03"),H487,"")</f>
        <v/>
      </c>
      <c r="AD487" s="42" t="str">
        <f>IF(AND(C487=Master!$H$3,B487="2012-2013",E487="",G487="PLN03"),H487,"")</f>
        <v/>
      </c>
      <c r="AE487" s="42" t="str">
        <f>IF(AND(C487=Master!$H$4,B487="2012-2013",E487&gt;1000,G487="PLN03"),H487,"")</f>
        <v/>
      </c>
      <c r="AF487" s="42" t="str">
        <f>IF(AND(C487=Master!$H$4,B487="2012-2013",E487="",G487="PLN03"),H487,"")</f>
        <v/>
      </c>
      <c r="AG487" s="42" t="str">
        <f>IF(AND(C487=Master!$H$5,B487="2012-2013",E487&gt;1000,G487="PLN03"),H487,"")</f>
        <v/>
      </c>
      <c r="AH487" s="42" t="str">
        <f>IF(AND(C487=Master!$H$5,B487="2012-2013",E487="",G487="PLN03"),H487,"")</f>
        <v/>
      </c>
      <c r="AI487" s="42" t="str">
        <f>IF(AND(C487=Master!$H$6,B487="2012-2013",E487&gt;1000,G487="PLN03"),H487,"")</f>
        <v/>
      </c>
      <c r="AJ487" s="42" t="str">
        <f>IF(AND(C487=Master!$H$6,B487="2012-2013",E487="",G487="PLN03"),H487,"")</f>
        <v/>
      </c>
      <c r="AK487" s="42" t="str">
        <f>IF(AND(C487=Master!$H$7,B487="2012-2013",E487&gt;1000,G487="PLN03"),H487,"")</f>
        <v/>
      </c>
      <c r="AL487" s="42" t="str">
        <f>IF(AND(C487=Master!$H$7,B487="2012-2013",E487="",G487="PLN03"),H487,"")</f>
        <v/>
      </c>
      <c r="AM487" s="42" t="str">
        <f>IF(AND(C487=Master!$H$8,B487="2012-2013",E487&gt;1000,G487="PLN03"),H487,"")</f>
        <v/>
      </c>
      <c r="AN487" s="42" t="str">
        <f>IF(AND(C487=Master!$H$8,B487="2012-2013",E487="",G487="PLN03"),H487,"")</f>
        <v/>
      </c>
      <c r="AO487" s="42" t="str">
        <f>IF(AND(C487=Master!$H$9,B487="2012-2013",E487&gt;1000,G487="PLN03"),H487,"")</f>
        <v/>
      </c>
      <c r="AP487" s="42" t="str">
        <f>IF(AND(C487=Master!$H$9,B487="2012-2013",E487="",G487="PLN03"),H487,"")</f>
        <v/>
      </c>
      <c r="AQ487" s="44" t="str">
        <f>IF(AND(C487=Master!$H$1,B487="2012-2013",E487&gt;1000,G487="NPN05"),H487,"")</f>
        <v/>
      </c>
      <c r="AR487" s="44" t="str">
        <f>IF(AND(C487=Master!$H$1,B487="2012-2013",E487="",G487="NPN05"),H487,"")</f>
        <v/>
      </c>
      <c r="AS487" s="44" t="str">
        <f>IF(AND(C487=Master!$H$2,B487="2012-2013",E487&gt;1000,G487="NPN05"),H487,"")</f>
        <v/>
      </c>
      <c r="AT487" s="44" t="str">
        <f>IF(AND(C487=Master!$H$2,B487="2012-2013",E487="",G487="NPN05"),H487,"")</f>
        <v/>
      </c>
      <c r="AU487" s="44" t="str">
        <f>IF(AND(C487=Master!$H$3,B487="2012-2013",E487&gt;1000,G487="NPN05"),H487,"")</f>
        <v/>
      </c>
      <c r="AV487" s="44" t="str">
        <f>IF(AND(C487=Master!$H$3,B487="2012-2013",E487="",G487="NPN05"),H487,"")</f>
        <v/>
      </c>
      <c r="AW487" s="44" t="str">
        <f>IF(AND(C487=Master!$H$4,B487="2012-2013",E487&gt;1000,G487="NPN05"),H487,"")</f>
        <v/>
      </c>
      <c r="AX487" s="44" t="str">
        <f>IF(AND(C487=Master!$H$4,B487="2012-2013",E487="",G487="NPN05"),H487,"")</f>
        <v/>
      </c>
      <c r="AY487" s="44" t="str">
        <f>IF(AND(C487=Master!$H$5,B487="2012-2013",E487&gt;1000,G487="NPN05"),H487,"")</f>
        <v/>
      </c>
      <c r="AZ487" s="44" t="str">
        <f>IF(AND(C487=Master!$H$5,B487="2012-2013",E487="",G487="NPN05"),H487,"")</f>
        <v/>
      </c>
      <c r="BA487" s="44" t="str">
        <f>IF(AND(C487=Master!$H$6,B487="2012-2013",E487&gt;1000,G487="NPN05"),H487,"")</f>
        <v/>
      </c>
      <c r="BB487" s="44" t="str">
        <f>IF(AND(C487=Master!$H$6,B487="2012-2013",E487="",G487="NPN05"),H487,"")</f>
        <v/>
      </c>
      <c r="BC487" s="44" t="str">
        <f>IF(AND(C487=Master!$H$7,B487="2012-2013",E487&gt;1000,G487="NPN05"),H487,"")</f>
        <v/>
      </c>
      <c r="BD487" s="44" t="str">
        <f>IF(AND(C487=Master!$H$7,B487="2012-2013",E487="",G487="NPN05"),H487,"")</f>
        <v/>
      </c>
      <c r="BE487" s="44" t="str">
        <f>IF(AND(C487=Master!$H$8,B487="2012-2013",E487&gt;1000,G487="NPN05"),H487,"")</f>
        <v/>
      </c>
      <c r="BF487" s="44" t="str">
        <f>IF(AND(C487=Master!$H$8,B487="2012-2013",E487="",G487="NPN05"),H487,"")</f>
        <v/>
      </c>
      <c r="BG487" s="44" t="str">
        <f>IF(AND(C487=Master!$H$9,B487="2012-2013",E487&gt;1000,G487="NPN05"),H487,"")</f>
        <v/>
      </c>
      <c r="BH487" s="44" t="str">
        <f>IF(AND(C487=Master!$H$9,B487="2012-2013",E487="",G487="NPN05"),H487,"")</f>
        <v/>
      </c>
    </row>
    <row r="488" spans="1:60" x14ac:dyDescent="0.25">
      <c r="A488" s="3">
        <v>486</v>
      </c>
      <c r="B488" s="12"/>
      <c r="C488" s="12"/>
      <c r="D488" s="31"/>
      <c r="E488" s="4"/>
      <c r="F488" s="13"/>
      <c r="G488" s="21"/>
      <c r="H488" s="35"/>
      <c r="I488" s="21"/>
      <c r="J488" s="25" t="str">
        <f>IF(NOT(I488=""),INDEX(Master!$B$1:$B$46,MATCH(I488,Master!$A$1:$A$46,0)),"")</f>
        <v/>
      </c>
      <c r="K488" s="18"/>
      <c r="L488" s="86"/>
      <c r="M488" s="13"/>
      <c r="N488" s="13"/>
      <c r="O488" s="18"/>
      <c r="P488" s="35"/>
      <c r="Q488" s="21"/>
      <c r="R488" s="21"/>
      <c r="S488" s="13"/>
      <c r="T488" s="12"/>
      <c r="U488" s="12"/>
      <c r="V488" s="12"/>
      <c r="W488" s="14"/>
      <c r="Y488" s="42" t="str">
        <f>IF(AND(C488=Master!$H$1,B488="2012-2013",E488&gt;1000,G488="PLN03"),H488,"")</f>
        <v/>
      </c>
      <c r="Z488" s="42" t="str">
        <f>IF(AND(C488=Master!$H$1,B488="2012-2013",E488="",G488="PLN03"),H488,"")</f>
        <v/>
      </c>
      <c r="AA488" s="42" t="str">
        <f>IF(AND(C488=Master!$H$2,B488="2012-2013",E488&gt;1000,G488="PLN03"),H488,"")</f>
        <v/>
      </c>
      <c r="AB488" s="42" t="str">
        <f>IF(AND(C488=Master!$H$2,B488="2012-2013",E488="",G488="PLN03"),H488,"")</f>
        <v/>
      </c>
      <c r="AC488" s="42" t="str">
        <f>IF(AND(C488=Master!$H$3,B488="2012-2013",E488&gt;1000,G488="PLN03"),H488,"")</f>
        <v/>
      </c>
      <c r="AD488" s="42" t="str">
        <f>IF(AND(C488=Master!$H$3,B488="2012-2013",E488="",G488="PLN03"),H488,"")</f>
        <v/>
      </c>
      <c r="AE488" s="42" t="str">
        <f>IF(AND(C488=Master!$H$4,B488="2012-2013",E488&gt;1000,G488="PLN03"),H488,"")</f>
        <v/>
      </c>
      <c r="AF488" s="42" t="str">
        <f>IF(AND(C488=Master!$H$4,B488="2012-2013",E488="",G488="PLN03"),H488,"")</f>
        <v/>
      </c>
      <c r="AG488" s="42" t="str">
        <f>IF(AND(C488=Master!$H$5,B488="2012-2013",E488&gt;1000,G488="PLN03"),H488,"")</f>
        <v/>
      </c>
      <c r="AH488" s="42" t="str">
        <f>IF(AND(C488=Master!$H$5,B488="2012-2013",E488="",G488="PLN03"),H488,"")</f>
        <v/>
      </c>
      <c r="AI488" s="42" t="str">
        <f>IF(AND(C488=Master!$H$6,B488="2012-2013",E488&gt;1000,G488="PLN03"),H488,"")</f>
        <v/>
      </c>
      <c r="AJ488" s="42" t="str">
        <f>IF(AND(C488=Master!$H$6,B488="2012-2013",E488="",G488="PLN03"),H488,"")</f>
        <v/>
      </c>
      <c r="AK488" s="42" t="str">
        <f>IF(AND(C488=Master!$H$7,B488="2012-2013",E488&gt;1000,G488="PLN03"),H488,"")</f>
        <v/>
      </c>
      <c r="AL488" s="42" t="str">
        <f>IF(AND(C488=Master!$H$7,B488="2012-2013",E488="",G488="PLN03"),H488,"")</f>
        <v/>
      </c>
      <c r="AM488" s="42" t="str">
        <f>IF(AND(C488=Master!$H$8,B488="2012-2013",E488&gt;1000,G488="PLN03"),H488,"")</f>
        <v/>
      </c>
      <c r="AN488" s="42" t="str">
        <f>IF(AND(C488=Master!$H$8,B488="2012-2013",E488="",G488="PLN03"),H488,"")</f>
        <v/>
      </c>
      <c r="AO488" s="42" t="str">
        <f>IF(AND(C488=Master!$H$9,B488="2012-2013",E488&gt;1000,G488="PLN03"),H488,"")</f>
        <v/>
      </c>
      <c r="AP488" s="42" t="str">
        <f>IF(AND(C488=Master!$H$9,B488="2012-2013",E488="",G488="PLN03"),H488,"")</f>
        <v/>
      </c>
      <c r="AQ488" s="44" t="str">
        <f>IF(AND(C488=Master!$H$1,B488="2012-2013",E488&gt;1000,G488="NPN05"),H488,"")</f>
        <v/>
      </c>
      <c r="AR488" s="44" t="str">
        <f>IF(AND(C488=Master!$H$1,B488="2012-2013",E488="",G488="NPN05"),H488,"")</f>
        <v/>
      </c>
      <c r="AS488" s="44" t="str">
        <f>IF(AND(C488=Master!$H$2,B488="2012-2013",E488&gt;1000,G488="NPN05"),H488,"")</f>
        <v/>
      </c>
      <c r="AT488" s="44" t="str">
        <f>IF(AND(C488=Master!$H$2,B488="2012-2013",E488="",G488="NPN05"),H488,"")</f>
        <v/>
      </c>
      <c r="AU488" s="44" t="str">
        <f>IF(AND(C488=Master!$H$3,B488="2012-2013",E488&gt;1000,G488="NPN05"),H488,"")</f>
        <v/>
      </c>
      <c r="AV488" s="44" t="str">
        <f>IF(AND(C488=Master!$H$3,B488="2012-2013",E488="",G488="NPN05"),H488,"")</f>
        <v/>
      </c>
      <c r="AW488" s="44" t="str">
        <f>IF(AND(C488=Master!$H$4,B488="2012-2013",E488&gt;1000,G488="NPN05"),H488,"")</f>
        <v/>
      </c>
      <c r="AX488" s="44" t="str">
        <f>IF(AND(C488=Master!$H$4,B488="2012-2013",E488="",G488="NPN05"),H488,"")</f>
        <v/>
      </c>
      <c r="AY488" s="44" t="str">
        <f>IF(AND(C488=Master!$H$5,B488="2012-2013",E488&gt;1000,G488="NPN05"),H488,"")</f>
        <v/>
      </c>
      <c r="AZ488" s="44" t="str">
        <f>IF(AND(C488=Master!$H$5,B488="2012-2013",E488="",G488="NPN05"),H488,"")</f>
        <v/>
      </c>
      <c r="BA488" s="44" t="str">
        <f>IF(AND(C488=Master!$H$6,B488="2012-2013",E488&gt;1000,G488="NPN05"),H488,"")</f>
        <v/>
      </c>
      <c r="BB488" s="44" t="str">
        <f>IF(AND(C488=Master!$H$6,B488="2012-2013",E488="",G488="NPN05"),H488,"")</f>
        <v/>
      </c>
      <c r="BC488" s="44" t="str">
        <f>IF(AND(C488=Master!$H$7,B488="2012-2013",E488&gt;1000,G488="NPN05"),H488,"")</f>
        <v/>
      </c>
      <c r="BD488" s="44" t="str">
        <f>IF(AND(C488=Master!$H$7,B488="2012-2013",E488="",G488="NPN05"),H488,"")</f>
        <v/>
      </c>
      <c r="BE488" s="44" t="str">
        <f>IF(AND(C488=Master!$H$8,B488="2012-2013",E488&gt;1000,G488="NPN05"),H488,"")</f>
        <v/>
      </c>
      <c r="BF488" s="44" t="str">
        <f>IF(AND(C488=Master!$H$8,B488="2012-2013",E488="",G488="NPN05"),H488,"")</f>
        <v/>
      </c>
      <c r="BG488" s="44" t="str">
        <f>IF(AND(C488=Master!$H$9,B488="2012-2013",E488&gt;1000,G488="NPN05"),H488,"")</f>
        <v/>
      </c>
      <c r="BH488" s="44" t="str">
        <f>IF(AND(C488=Master!$H$9,B488="2012-2013",E488="",G488="NPN05"),H488,"")</f>
        <v/>
      </c>
    </row>
    <row r="489" spans="1:60" x14ac:dyDescent="0.25">
      <c r="A489" s="3">
        <v>487</v>
      </c>
      <c r="B489" s="12"/>
      <c r="C489" s="12"/>
      <c r="D489" s="31"/>
      <c r="E489" s="4"/>
      <c r="F489" s="13"/>
      <c r="G489" s="21"/>
      <c r="H489" s="35"/>
      <c r="I489" s="21"/>
      <c r="J489" s="25" t="str">
        <f>IF(NOT(I489=""),INDEX(Master!$B$1:$B$46,MATCH(I489,Master!$A$1:$A$46,0)),"")</f>
        <v/>
      </c>
      <c r="K489" s="18"/>
      <c r="L489" s="86"/>
      <c r="M489" s="13"/>
      <c r="N489" s="13"/>
      <c r="O489" s="18"/>
      <c r="P489" s="35"/>
      <c r="Q489" s="21"/>
      <c r="R489" s="21"/>
      <c r="S489" s="13"/>
      <c r="T489" s="12"/>
      <c r="U489" s="12"/>
      <c r="V489" s="12"/>
      <c r="W489" s="14"/>
      <c r="Y489" s="42" t="str">
        <f>IF(AND(C489=Master!$H$1,B489="2012-2013",E489&gt;1000,G489="PLN03"),H489,"")</f>
        <v/>
      </c>
      <c r="Z489" s="42" t="str">
        <f>IF(AND(C489=Master!$H$1,B489="2012-2013",E489="",G489="PLN03"),H489,"")</f>
        <v/>
      </c>
      <c r="AA489" s="42" t="str">
        <f>IF(AND(C489=Master!$H$2,B489="2012-2013",E489&gt;1000,G489="PLN03"),H489,"")</f>
        <v/>
      </c>
      <c r="AB489" s="42" t="str">
        <f>IF(AND(C489=Master!$H$2,B489="2012-2013",E489="",G489="PLN03"),H489,"")</f>
        <v/>
      </c>
      <c r="AC489" s="42" t="str">
        <f>IF(AND(C489=Master!$H$3,B489="2012-2013",E489&gt;1000,G489="PLN03"),H489,"")</f>
        <v/>
      </c>
      <c r="AD489" s="42" t="str">
        <f>IF(AND(C489=Master!$H$3,B489="2012-2013",E489="",G489="PLN03"),H489,"")</f>
        <v/>
      </c>
      <c r="AE489" s="42" t="str">
        <f>IF(AND(C489=Master!$H$4,B489="2012-2013",E489&gt;1000,G489="PLN03"),H489,"")</f>
        <v/>
      </c>
      <c r="AF489" s="42" t="str">
        <f>IF(AND(C489=Master!$H$4,B489="2012-2013",E489="",G489="PLN03"),H489,"")</f>
        <v/>
      </c>
      <c r="AG489" s="42" t="str">
        <f>IF(AND(C489=Master!$H$5,B489="2012-2013",E489&gt;1000,G489="PLN03"),H489,"")</f>
        <v/>
      </c>
      <c r="AH489" s="42" t="str">
        <f>IF(AND(C489=Master!$H$5,B489="2012-2013",E489="",G489="PLN03"),H489,"")</f>
        <v/>
      </c>
      <c r="AI489" s="42" t="str">
        <f>IF(AND(C489=Master!$H$6,B489="2012-2013",E489&gt;1000,G489="PLN03"),H489,"")</f>
        <v/>
      </c>
      <c r="AJ489" s="42" t="str">
        <f>IF(AND(C489=Master!$H$6,B489="2012-2013",E489="",G489="PLN03"),H489,"")</f>
        <v/>
      </c>
      <c r="AK489" s="42" t="str">
        <f>IF(AND(C489=Master!$H$7,B489="2012-2013",E489&gt;1000,G489="PLN03"),H489,"")</f>
        <v/>
      </c>
      <c r="AL489" s="42" t="str">
        <f>IF(AND(C489=Master!$H$7,B489="2012-2013",E489="",G489="PLN03"),H489,"")</f>
        <v/>
      </c>
      <c r="AM489" s="42" t="str">
        <f>IF(AND(C489=Master!$H$8,B489="2012-2013",E489&gt;1000,G489="PLN03"),H489,"")</f>
        <v/>
      </c>
      <c r="AN489" s="42" t="str">
        <f>IF(AND(C489=Master!$H$8,B489="2012-2013",E489="",G489="PLN03"),H489,"")</f>
        <v/>
      </c>
      <c r="AO489" s="42" t="str">
        <f>IF(AND(C489=Master!$H$9,B489="2012-2013",E489&gt;1000,G489="PLN03"),H489,"")</f>
        <v/>
      </c>
      <c r="AP489" s="42" t="str">
        <f>IF(AND(C489=Master!$H$9,B489="2012-2013",E489="",G489="PLN03"),H489,"")</f>
        <v/>
      </c>
      <c r="AQ489" s="44" t="str">
        <f>IF(AND(C489=Master!$H$1,B489="2012-2013",E489&gt;1000,G489="NPN05"),H489,"")</f>
        <v/>
      </c>
      <c r="AR489" s="44" t="str">
        <f>IF(AND(C489=Master!$H$1,B489="2012-2013",E489="",G489="NPN05"),H489,"")</f>
        <v/>
      </c>
      <c r="AS489" s="44" t="str">
        <f>IF(AND(C489=Master!$H$2,B489="2012-2013",E489&gt;1000,G489="NPN05"),H489,"")</f>
        <v/>
      </c>
      <c r="AT489" s="44" t="str">
        <f>IF(AND(C489=Master!$H$2,B489="2012-2013",E489="",G489="NPN05"),H489,"")</f>
        <v/>
      </c>
      <c r="AU489" s="44" t="str">
        <f>IF(AND(C489=Master!$H$3,B489="2012-2013",E489&gt;1000,G489="NPN05"),H489,"")</f>
        <v/>
      </c>
      <c r="AV489" s="44" t="str">
        <f>IF(AND(C489=Master!$H$3,B489="2012-2013",E489="",G489="NPN05"),H489,"")</f>
        <v/>
      </c>
      <c r="AW489" s="44" t="str">
        <f>IF(AND(C489=Master!$H$4,B489="2012-2013",E489&gt;1000,G489="NPN05"),H489,"")</f>
        <v/>
      </c>
      <c r="AX489" s="44" t="str">
        <f>IF(AND(C489=Master!$H$4,B489="2012-2013",E489="",G489="NPN05"),H489,"")</f>
        <v/>
      </c>
      <c r="AY489" s="44" t="str">
        <f>IF(AND(C489=Master!$H$5,B489="2012-2013",E489&gt;1000,G489="NPN05"),H489,"")</f>
        <v/>
      </c>
      <c r="AZ489" s="44" t="str">
        <f>IF(AND(C489=Master!$H$5,B489="2012-2013",E489="",G489="NPN05"),H489,"")</f>
        <v/>
      </c>
      <c r="BA489" s="44" t="str">
        <f>IF(AND(C489=Master!$H$6,B489="2012-2013",E489&gt;1000,G489="NPN05"),H489,"")</f>
        <v/>
      </c>
      <c r="BB489" s="44" t="str">
        <f>IF(AND(C489=Master!$H$6,B489="2012-2013",E489="",G489="NPN05"),H489,"")</f>
        <v/>
      </c>
      <c r="BC489" s="44" t="str">
        <f>IF(AND(C489=Master!$H$7,B489="2012-2013",E489&gt;1000,G489="NPN05"),H489,"")</f>
        <v/>
      </c>
      <c r="BD489" s="44" t="str">
        <f>IF(AND(C489=Master!$H$7,B489="2012-2013",E489="",G489="NPN05"),H489,"")</f>
        <v/>
      </c>
      <c r="BE489" s="44" t="str">
        <f>IF(AND(C489=Master!$H$8,B489="2012-2013",E489&gt;1000,G489="NPN05"),H489,"")</f>
        <v/>
      </c>
      <c r="BF489" s="44" t="str">
        <f>IF(AND(C489=Master!$H$8,B489="2012-2013",E489="",G489="NPN05"),H489,"")</f>
        <v/>
      </c>
      <c r="BG489" s="44" t="str">
        <f>IF(AND(C489=Master!$H$9,B489="2012-2013",E489&gt;1000,G489="NPN05"),H489,"")</f>
        <v/>
      </c>
      <c r="BH489" s="44" t="str">
        <f>IF(AND(C489=Master!$H$9,B489="2012-2013",E489="",G489="NPN05"),H489,"")</f>
        <v/>
      </c>
    </row>
    <row r="490" spans="1:60" x14ac:dyDescent="0.25">
      <c r="A490" s="5">
        <v>488</v>
      </c>
      <c r="B490" s="12"/>
      <c r="C490" s="12"/>
      <c r="D490" s="31"/>
      <c r="E490" s="4"/>
      <c r="F490" s="13"/>
      <c r="G490" s="21"/>
      <c r="H490" s="35"/>
      <c r="I490" s="21"/>
      <c r="J490" s="25" t="str">
        <f>IF(NOT(I490=""),INDEX(Master!$B$1:$B$46,MATCH(I490,Master!$A$1:$A$46,0)),"")</f>
        <v/>
      </c>
      <c r="K490" s="18"/>
      <c r="L490" s="86"/>
      <c r="M490" s="13"/>
      <c r="N490" s="13"/>
      <c r="O490" s="18"/>
      <c r="P490" s="35"/>
      <c r="Q490" s="21"/>
      <c r="R490" s="21"/>
      <c r="S490" s="13"/>
      <c r="T490" s="12"/>
      <c r="U490" s="12"/>
      <c r="V490" s="12"/>
      <c r="W490" s="14"/>
      <c r="Y490" s="42" t="str">
        <f>IF(AND(C490=Master!$H$1,B490="2012-2013",E490&gt;1000,G490="PLN03"),H490,"")</f>
        <v/>
      </c>
      <c r="Z490" s="42" t="str">
        <f>IF(AND(C490=Master!$H$1,B490="2012-2013",E490="",G490="PLN03"),H490,"")</f>
        <v/>
      </c>
      <c r="AA490" s="42" t="str">
        <f>IF(AND(C490=Master!$H$2,B490="2012-2013",E490&gt;1000,G490="PLN03"),H490,"")</f>
        <v/>
      </c>
      <c r="AB490" s="42" t="str">
        <f>IF(AND(C490=Master!$H$2,B490="2012-2013",E490="",G490="PLN03"),H490,"")</f>
        <v/>
      </c>
      <c r="AC490" s="42" t="str">
        <f>IF(AND(C490=Master!$H$3,B490="2012-2013",E490&gt;1000,G490="PLN03"),H490,"")</f>
        <v/>
      </c>
      <c r="AD490" s="42" t="str">
        <f>IF(AND(C490=Master!$H$3,B490="2012-2013",E490="",G490="PLN03"),H490,"")</f>
        <v/>
      </c>
      <c r="AE490" s="42" t="str">
        <f>IF(AND(C490=Master!$H$4,B490="2012-2013",E490&gt;1000,G490="PLN03"),H490,"")</f>
        <v/>
      </c>
      <c r="AF490" s="42" t="str">
        <f>IF(AND(C490=Master!$H$4,B490="2012-2013",E490="",G490="PLN03"),H490,"")</f>
        <v/>
      </c>
      <c r="AG490" s="42" t="str">
        <f>IF(AND(C490=Master!$H$5,B490="2012-2013",E490&gt;1000,G490="PLN03"),H490,"")</f>
        <v/>
      </c>
      <c r="AH490" s="42" t="str">
        <f>IF(AND(C490=Master!$H$5,B490="2012-2013",E490="",G490="PLN03"),H490,"")</f>
        <v/>
      </c>
      <c r="AI490" s="42" t="str">
        <f>IF(AND(C490=Master!$H$6,B490="2012-2013",E490&gt;1000,G490="PLN03"),H490,"")</f>
        <v/>
      </c>
      <c r="AJ490" s="42" t="str">
        <f>IF(AND(C490=Master!$H$6,B490="2012-2013",E490="",G490="PLN03"),H490,"")</f>
        <v/>
      </c>
      <c r="AK490" s="42" t="str">
        <f>IF(AND(C490=Master!$H$7,B490="2012-2013",E490&gt;1000,G490="PLN03"),H490,"")</f>
        <v/>
      </c>
      <c r="AL490" s="42" t="str">
        <f>IF(AND(C490=Master!$H$7,B490="2012-2013",E490="",G490="PLN03"),H490,"")</f>
        <v/>
      </c>
      <c r="AM490" s="42" t="str">
        <f>IF(AND(C490=Master!$H$8,B490="2012-2013",E490&gt;1000,G490="PLN03"),H490,"")</f>
        <v/>
      </c>
      <c r="AN490" s="42" t="str">
        <f>IF(AND(C490=Master!$H$8,B490="2012-2013",E490="",G490="PLN03"),H490,"")</f>
        <v/>
      </c>
      <c r="AO490" s="42" t="str">
        <f>IF(AND(C490=Master!$H$9,B490="2012-2013",E490&gt;1000,G490="PLN03"),H490,"")</f>
        <v/>
      </c>
      <c r="AP490" s="42" t="str">
        <f>IF(AND(C490=Master!$H$9,B490="2012-2013",E490="",G490="PLN03"),H490,"")</f>
        <v/>
      </c>
      <c r="AQ490" s="44" t="str">
        <f>IF(AND(C490=Master!$H$1,B490="2012-2013",E490&gt;1000,G490="NPN05"),H490,"")</f>
        <v/>
      </c>
      <c r="AR490" s="44" t="str">
        <f>IF(AND(C490=Master!$H$1,B490="2012-2013",E490="",G490="NPN05"),H490,"")</f>
        <v/>
      </c>
      <c r="AS490" s="44" t="str">
        <f>IF(AND(C490=Master!$H$2,B490="2012-2013",E490&gt;1000,G490="NPN05"),H490,"")</f>
        <v/>
      </c>
      <c r="AT490" s="44" t="str">
        <f>IF(AND(C490=Master!$H$2,B490="2012-2013",E490="",G490="NPN05"),H490,"")</f>
        <v/>
      </c>
      <c r="AU490" s="44" t="str">
        <f>IF(AND(C490=Master!$H$3,B490="2012-2013",E490&gt;1000,G490="NPN05"),H490,"")</f>
        <v/>
      </c>
      <c r="AV490" s="44" t="str">
        <f>IF(AND(C490=Master!$H$3,B490="2012-2013",E490="",G490="NPN05"),H490,"")</f>
        <v/>
      </c>
      <c r="AW490" s="44" t="str">
        <f>IF(AND(C490=Master!$H$4,B490="2012-2013",E490&gt;1000,G490="NPN05"),H490,"")</f>
        <v/>
      </c>
      <c r="AX490" s="44" t="str">
        <f>IF(AND(C490=Master!$H$4,B490="2012-2013",E490="",G490="NPN05"),H490,"")</f>
        <v/>
      </c>
      <c r="AY490" s="44" t="str">
        <f>IF(AND(C490=Master!$H$5,B490="2012-2013",E490&gt;1000,G490="NPN05"),H490,"")</f>
        <v/>
      </c>
      <c r="AZ490" s="44" t="str">
        <f>IF(AND(C490=Master!$H$5,B490="2012-2013",E490="",G490="NPN05"),H490,"")</f>
        <v/>
      </c>
      <c r="BA490" s="44" t="str">
        <f>IF(AND(C490=Master!$H$6,B490="2012-2013",E490&gt;1000,G490="NPN05"),H490,"")</f>
        <v/>
      </c>
      <c r="BB490" s="44" t="str">
        <f>IF(AND(C490=Master!$H$6,B490="2012-2013",E490="",G490="NPN05"),H490,"")</f>
        <v/>
      </c>
      <c r="BC490" s="44" t="str">
        <f>IF(AND(C490=Master!$H$7,B490="2012-2013",E490&gt;1000,G490="NPN05"),H490,"")</f>
        <v/>
      </c>
      <c r="BD490" s="44" t="str">
        <f>IF(AND(C490=Master!$H$7,B490="2012-2013",E490="",G490="NPN05"),H490,"")</f>
        <v/>
      </c>
      <c r="BE490" s="44" t="str">
        <f>IF(AND(C490=Master!$H$8,B490="2012-2013",E490&gt;1000,G490="NPN05"),H490,"")</f>
        <v/>
      </c>
      <c r="BF490" s="44" t="str">
        <f>IF(AND(C490=Master!$H$8,B490="2012-2013",E490="",G490="NPN05"),H490,"")</f>
        <v/>
      </c>
      <c r="BG490" s="44" t="str">
        <f>IF(AND(C490=Master!$H$9,B490="2012-2013",E490&gt;1000,G490="NPN05"),H490,"")</f>
        <v/>
      </c>
      <c r="BH490" s="44" t="str">
        <f>IF(AND(C490=Master!$H$9,B490="2012-2013",E490="",G490="NPN05"),H490,"")</f>
        <v/>
      </c>
    </row>
    <row r="491" spans="1:60" x14ac:dyDescent="0.25">
      <c r="A491" s="3">
        <v>489</v>
      </c>
      <c r="B491" s="12"/>
      <c r="C491" s="12"/>
      <c r="D491" s="31"/>
      <c r="E491" s="4"/>
      <c r="F491" s="13"/>
      <c r="G491" s="21"/>
      <c r="H491" s="35"/>
      <c r="I491" s="21"/>
      <c r="J491" s="25" t="str">
        <f>IF(NOT(I491=""),INDEX(Master!$B$1:$B$46,MATCH(I491,Master!$A$1:$A$46,0)),"")</f>
        <v/>
      </c>
      <c r="K491" s="18"/>
      <c r="L491" s="86"/>
      <c r="M491" s="13"/>
      <c r="N491" s="13"/>
      <c r="O491" s="18"/>
      <c r="P491" s="35"/>
      <c r="Q491" s="21"/>
      <c r="R491" s="21"/>
      <c r="S491" s="13"/>
      <c r="T491" s="12"/>
      <c r="U491" s="12"/>
      <c r="V491" s="12"/>
      <c r="W491" s="14"/>
      <c r="Y491" s="42" t="str">
        <f>IF(AND(C491=Master!$H$1,B491="2012-2013",E491&gt;1000,G491="PLN03"),H491,"")</f>
        <v/>
      </c>
      <c r="Z491" s="42" t="str">
        <f>IF(AND(C491=Master!$H$1,B491="2012-2013",E491="",G491="PLN03"),H491,"")</f>
        <v/>
      </c>
      <c r="AA491" s="42" t="str">
        <f>IF(AND(C491=Master!$H$2,B491="2012-2013",E491&gt;1000,G491="PLN03"),H491,"")</f>
        <v/>
      </c>
      <c r="AB491" s="42" t="str">
        <f>IF(AND(C491=Master!$H$2,B491="2012-2013",E491="",G491="PLN03"),H491,"")</f>
        <v/>
      </c>
      <c r="AC491" s="42" t="str">
        <f>IF(AND(C491=Master!$H$3,B491="2012-2013",E491&gt;1000,G491="PLN03"),H491,"")</f>
        <v/>
      </c>
      <c r="AD491" s="42" t="str">
        <f>IF(AND(C491=Master!$H$3,B491="2012-2013",E491="",G491="PLN03"),H491,"")</f>
        <v/>
      </c>
      <c r="AE491" s="42" t="str">
        <f>IF(AND(C491=Master!$H$4,B491="2012-2013",E491&gt;1000,G491="PLN03"),H491,"")</f>
        <v/>
      </c>
      <c r="AF491" s="42" t="str">
        <f>IF(AND(C491=Master!$H$4,B491="2012-2013",E491="",G491="PLN03"),H491,"")</f>
        <v/>
      </c>
      <c r="AG491" s="42" t="str">
        <f>IF(AND(C491=Master!$H$5,B491="2012-2013",E491&gt;1000,G491="PLN03"),H491,"")</f>
        <v/>
      </c>
      <c r="AH491" s="42" t="str">
        <f>IF(AND(C491=Master!$H$5,B491="2012-2013",E491="",G491="PLN03"),H491,"")</f>
        <v/>
      </c>
      <c r="AI491" s="42" t="str">
        <f>IF(AND(C491=Master!$H$6,B491="2012-2013",E491&gt;1000,G491="PLN03"),H491,"")</f>
        <v/>
      </c>
      <c r="AJ491" s="42" t="str">
        <f>IF(AND(C491=Master!$H$6,B491="2012-2013",E491="",G491="PLN03"),H491,"")</f>
        <v/>
      </c>
      <c r="AK491" s="42" t="str">
        <f>IF(AND(C491=Master!$H$7,B491="2012-2013",E491&gt;1000,G491="PLN03"),H491,"")</f>
        <v/>
      </c>
      <c r="AL491" s="42" t="str">
        <f>IF(AND(C491=Master!$H$7,B491="2012-2013",E491="",G491="PLN03"),H491,"")</f>
        <v/>
      </c>
      <c r="AM491" s="42" t="str">
        <f>IF(AND(C491=Master!$H$8,B491="2012-2013",E491&gt;1000,G491="PLN03"),H491,"")</f>
        <v/>
      </c>
      <c r="AN491" s="42" t="str">
        <f>IF(AND(C491=Master!$H$8,B491="2012-2013",E491="",G491="PLN03"),H491,"")</f>
        <v/>
      </c>
      <c r="AO491" s="42" t="str">
        <f>IF(AND(C491=Master!$H$9,B491="2012-2013",E491&gt;1000,G491="PLN03"),H491,"")</f>
        <v/>
      </c>
      <c r="AP491" s="42" t="str">
        <f>IF(AND(C491=Master!$H$9,B491="2012-2013",E491="",G491="PLN03"),H491,"")</f>
        <v/>
      </c>
      <c r="AQ491" s="44" t="str">
        <f>IF(AND(C491=Master!$H$1,B491="2012-2013",E491&gt;1000,G491="NPN05"),H491,"")</f>
        <v/>
      </c>
      <c r="AR491" s="44" t="str">
        <f>IF(AND(C491=Master!$H$1,B491="2012-2013",E491="",G491="NPN05"),H491,"")</f>
        <v/>
      </c>
      <c r="AS491" s="44" t="str">
        <f>IF(AND(C491=Master!$H$2,B491="2012-2013",E491&gt;1000,G491="NPN05"),H491,"")</f>
        <v/>
      </c>
      <c r="AT491" s="44" t="str">
        <f>IF(AND(C491=Master!$H$2,B491="2012-2013",E491="",G491="NPN05"),H491,"")</f>
        <v/>
      </c>
      <c r="AU491" s="44" t="str">
        <f>IF(AND(C491=Master!$H$3,B491="2012-2013",E491&gt;1000,G491="NPN05"),H491,"")</f>
        <v/>
      </c>
      <c r="AV491" s="44" t="str">
        <f>IF(AND(C491=Master!$H$3,B491="2012-2013",E491="",G491="NPN05"),H491,"")</f>
        <v/>
      </c>
      <c r="AW491" s="44" t="str">
        <f>IF(AND(C491=Master!$H$4,B491="2012-2013",E491&gt;1000,G491="NPN05"),H491,"")</f>
        <v/>
      </c>
      <c r="AX491" s="44" t="str">
        <f>IF(AND(C491=Master!$H$4,B491="2012-2013",E491="",G491="NPN05"),H491,"")</f>
        <v/>
      </c>
      <c r="AY491" s="44" t="str">
        <f>IF(AND(C491=Master!$H$5,B491="2012-2013",E491&gt;1000,G491="NPN05"),H491,"")</f>
        <v/>
      </c>
      <c r="AZ491" s="44" t="str">
        <f>IF(AND(C491=Master!$H$5,B491="2012-2013",E491="",G491="NPN05"),H491,"")</f>
        <v/>
      </c>
      <c r="BA491" s="44" t="str">
        <f>IF(AND(C491=Master!$H$6,B491="2012-2013",E491&gt;1000,G491="NPN05"),H491,"")</f>
        <v/>
      </c>
      <c r="BB491" s="44" t="str">
        <f>IF(AND(C491=Master!$H$6,B491="2012-2013",E491="",G491="NPN05"),H491,"")</f>
        <v/>
      </c>
      <c r="BC491" s="44" t="str">
        <f>IF(AND(C491=Master!$H$7,B491="2012-2013",E491&gt;1000,G491="NPN05"),H491,"")</f>
        <v/>
      </c>
      <c r="BD491" s="44" t="str">
        <f>IF(AND(C491=Master!$H$7,B491="2012-2013",E491="",G491="NPN05"),H491,"")</f>
        <v/>
      </c>
      <c r="BE491" s="44" t="str">
        <f>IF(AND(C491=Master!$H$8,B491="2012-2013",E491&gt;1000,G491="NPN05"),H491,"")</f>
        <v/>
      </c>
      <c r="BF491" s="44" t="str">
        <f>IF(AND(C491=Master!$H$8,B491="2012-2013",E491="",G491="NPN05"),H491,"")</f>
        <v/>
      </c>
      <c r="BG491" s="44" t="str">
        <f>IF(AND(C491=Master!$H$9,B491="2012-2013",E491&gt;1000,G491="NPN05"),H491,"")</f>
        <v/>
      </c>
      <c r="BH491" s="44" t="str">
        <f>IF(AND(C491=Master!$H$9,B491="2012-2013",E491="",G491="NPN05"),H491,"")</f>
        <v/>
      </c>
    </row>
    <row r="492" spans="1:60" x14ac:dyDescent="0.25">
      <c r="A492" s="3">
        <v>490</v>
      </c>
      <c r="B492" s="12"/>
      <c r="C492" s="12"/>
      <c r="D492" s="31"/>
      <c r="E492" s="4"/>
      <c r="F492" s="13"/>
      <c r="G492" s="21"/>
      <c r="H492" s="35"/>
      <c r="I492" s="21"/>
      <c r="J492" s="25" t="str">
        <f>IF(NOT(I492=""),INDEX(Master!$B$1:$B$46,MATCH(I492,Master!$A$1:$A$46,0)),"")</f>
        <v/>
      </c>
      <c r="K492" s="18"/>
      <c r="L492" s="86"/>
      <c r="M492" s="13"/>
      <c r="N492" s="13"/>
      <c r="O492" s="18"/>
      <c r="P492" s="35"/>
      <c r="Q492" s="21"/>
      <c r="R492" s="21"/>
      <c r="S492" s="13"/>
      <c r="T492" s="12"/>
      <c r="U492" s="12"/>
      <c r="V492" s="12"/>
      <c r="W492" s="14"/>
      <c r="Y492" s="42" t="str">
        <f>IF(AND(C492=Master!$H$1,B492="2012-2013",E492&gt;1000,G492="PLN03"),H492,"")</f>
        <v/>
      </c>
      <c r="Z492" s="42" t="str">
        <f>IF(AND(C492=Master!$H$1,B492="2012-2013",E492="",G492="PLN03"),H492,"")</f>
        <v/>
      </c>
      <c r="AA492" s="42" t="str">
        <f>IF(AND(C492=Master!$H$2,B492="2012-2013",E492&gt;1000,G492="PLN03"),H492,"")</f>
        <v/>
      </c>
      <c r="AB492" s="42" t="str">
        <f>IF(AND(C492=Master!$H$2,B492="2012-2013",E492="",G492="PLN03"),H492,"")</f>
        <v/>
      </c>
      <c r="AC492" s="42" t="str">
        <f>IF(AND(C492=Master!$H$3,B492="2012-2013",E492&gt;1000,G492="PLN03"),H492,"")</f>
        <v/>
      </c>
      <c r="AD492" s="42" t="str">
        <f>IF(AND(C492=Master!$H$3,B492="2012-2013",E492="",G492="PLN03"),H492,"")</f>
        <v/>
      </c>
      <c r="AE492" s="42" t="str">
        <f>IF(AND(C492=Master!$H$4,B492="2012-2013",E492&gt;1000,G492="PLN03"),H492,"")</f>
        <v/>
      </c>
      <c r="AF492" s="42" t="str">
        <f>IF(AND(C492=Master!$H$4,B492="2012-2013",E492="",G492="PLN03"),H492,"")</f>
        <v/>
      </c>
      <c r="AG492" s="42" t="str">
        <f>IF(AND(C492=Master!$H$5,B492="2012-2013",E492&gt;1000,G492="PLN03"),H492,"")</f>
        <v/>
      </c>
      <c r="AH492" s="42" t="str">
        <f>IF(AND(C492=Master!$H$5,B492="2012-2013",E492="",G492="PLN03"),H492,"")</f>
        <v/>
      </c>
      <c r="AI492" s="42" t="str">
        <f>IF(AND(C492=Master!$H$6,B492="2012-2013",E492&gt;1000,G492="PLN03"),H492,"")</f>
        <v/>
      </c>
      <c r="AJ492" s="42" t="str">
        <f>IF(AND(C492=Master!$H$6,B492="2012-2013",E492="",G492="PLN03"),H492,"")</f>
        <v/>
      </c>
      <c r="AK492" s="42" t="str">
        <f>IF(AND(C492=Master!$H$7,B492="2012-2013",E492&gt;1000,G492="PLN03"),H492,"")</f>
        <v/>
      </c>
      <c r="AL492" s="42" t="str">
        <f>IF(AND(C492=Master!$H$7,B492="2012-2013",E492="",G492="PLN03"),H492,"")</f>
        <v/>
      </c>
      <c r="AM492" s="42" t="str">
        <f>IF(AND(C492=Master!$H$8,B492="2012-2013",E492&gt;1000,G492="PLN03"),H492,"")</f>
        <v/>
      </c>
      <c r="AN492" s="42" t="str">
        <f>IF(AND(C492=Master!$H$8,B492="2012-2013",E492="",G492="PLN03"),H492,"")</f>
        <v/>
      </c>
      <c r="AO492" s="42" t="str">
        <f>IF(AND(C492=Master!$H$9,B492="2012-2013",E492&gt;1000,G492="PLN03"),H492,"")</f>
        <v/>
      </c>
      <c r="AP492" s="42" t="str">
        <f>IF(AND(C492=Master!$H$9,B492="2012-2013",E492="",G492="PLN03"),H492,"")</f>
        <v/>
      </c>
      <c r="AQ492" s="44" t="str">
        <f>IF(AND(C492=Master!$H$1,B492="2012-2013",E492&gt;1000,G492="NPN05"),H492,"")</f>
        <v/>
      </c>
      <c r="AR492" s="44" t="str">
        <f>IF(AND(C492=Master!$H$1,B492="2012-2013",E492="",G492="NPN05"),H492,"")</f>
        <v/>
      </c>
      <c r="AS492" s="44" t="str">
        <f>IF(AND(C492=Master!$H$2,B492="2012-2013",E492&gt;1000,G492="NPN05"),H492,"")</f>
        <v/>
      </c>
      <c r="AT492" s="44" t="str">
        <f>IF(AND(C492=Master!$H$2,B492="2012-2013",E492="",G492="NPN05"),H492,"")</f>
        <v/>
      </c>
      <c r="AU492" s="44" t="str">
        <f>IF(AND(C492=Master!$H$3,B492="2012-2013",E492&gt;1000,G492="NPN05"),H492,"")</f>
        <v/>
      </c>
      <c r="AV492" s="44" t="str">
        <f>IF(AND(C492=Master!$H$3,B492="2012-2013",E492="",G492="NPN05"),H492,"")</f>
        <v/>
      </c>
      <c r="AW492" s="44" t="str">
        <f>IF(AND(C492=Master!$H$4,B492="2012-2013",E492&gt;1000,G492="NPN05"),H492,"")</f>
        <v/>
      </c>
      <c r="AX492" s="44" t="str">
        <f>IF(AND(C492=Master!$H$4,B492="2012-2013",E492="",G492="NPN05"),H492,"")</f>
        <v/>
      </c>
      <c r="AY492" s="44" t="str">
        <f>IF(AND(C492=Master!$H$5,B492="2012-2013",E492&gt;1000,G492="NPN05"),H492,"")</f>
        <v/>
      </c>
      <c r="AZ492" s="44" t="str">
        <f>IF(AND(C492=Master!$H$5,B492="2012-2013",E492="",G492="NPN05"),H492,"")</f>
        <v/>
      </c>
      <c r="BA492" s="44" t="str">
        <f>IF(AND(C492=Master!$H$6,B492="2012-2013",E492&gt;1000,G492="NPN05"),H492,"")</f>
        <v/>
      </c>
      <c r="BB492" s="44" t="str">
        <f>IF(AND(C492=Master!$H$6,B492="2012-2013",E492="",G492="NPN05"),H492,"")</f>
        <v/>
      </c>
      <c r="BC492" s="44" t="str">
        <f>IF(AND(C492=Master!$H$7,B492="2012-2013",E492&gt;1000,G492="NPN05"),H492,"")</f>
        <v/>
      </c>
      <c r="BD492" s="44" t="str">
        <f>IF(AND(C492=Master!$H$7,B492="2012-2013",E492="",G492="NPN05"),H492,"")</f>
        <v/>
      </c>
      <c r="BE492" s="44" t="str">
        <f>IF(AND(C492=Master!$H$8,B492="2012-2013",E492&gt;1000,G492="NPN05"),H492,"")</f>
        <v/>
      </c>
      <c r="BF492" s="44" t="str">
        <f>IF(AND(C492=Master!$H$8,B492="2012-2013",E492="",G492="NPN05"),H492,"")</f>
        <v/>
      </c>
      <c r="BG492" s="44" t="str">
        <f>IF(AND(C492=Master!$H$9,B492="2012-2013",E492&gt;1000,G492="NPN05"),H492,"")</f>
        <v/>
      </c>
      <c r="BH492" s="44" t="str">
        <f>IF(AND(C492=Master!$H$9,B492="2012-2013",E492="",G492="NPN05"),H492,"")</f>
        <v/>
      </c>
    </row>
    <row r="493" spans="1:60" x14ac:dyDescent="0.25">
      <c r="A493" s="3">
        <v>491</v>
      </c>
      <c r="B493" s="12"/>
      <c r="C493" s="12"/>
      <c r="D493" s="31"/>
      <c r="E493" s="4"/>
      <c r="F493" s="13"/>
      <c r="G493" s="21"/>
      <c r="H493" s="35"/>
      <c r="I493" s="21"/>
      <c r="J493" s="25" t="str">
        <f>IF(NOT(I493=""),INDEX(Master!$B$1:$B$46,MATCH(I493,Master!$A$1:$A$46,0)),"")</f>
        <v/>
      </c>
      <c r="K493" s="18"/>
      <c r="L493" s="86"/>
      <c r="M493" s="13"/>
      <c r="N493" s="13"/>
      <c r="O493" s="18"/>
      <c r="P493" s="35"/>
      <c r="Q493" s="21"/>
      <c r="R493" s="21"/>
      <c r="S493" s="13"/>
      <c r="T493" s="12"/>
      <c r="U493" s="12"/>
      <c r="V493" s="12"/>
      <c r="W493" s="14"/>
      <c r="Y493" s="42" t="str">
        <f>IF(AND(C493=Master!$H$1,B493="2012-2013",E493&gt;1000,G493="PLN03"),H493,"")</f>
        <v/>
      </c>
      <c r="Z493" s="42" t="str">
        <f>IF(AND(C493=Master!$H$1,B493="2012-2013",E493="",G493="PLN03"),H493,"")</f>
        <v/>
      </c>
      <c r="AA493" s="42" t="str">
        <f>IF(AND(C493=Master!$H$2,B493="2012-2013",E493&gt;1000,G493="PLN03"),H493,"")</f>
        <v/>
      </c>
      <c r="AB493" s="42" t="str">
        <f>IF(AND(C493=Master!$H$2,B493="2012-2013",E493="",G493="PLN03"),H493,"")</f>
        <v/>
      </c>
      <c r="AC493" s="42" t="str">
        <f>IF(AND(C493=Master!$H$3,B493="2012-2013",E493&gt;1000,G493="PLN03"),H493,"")</f>
        <v/>
      </c>
      <c r="AD493" s="42" t="str">
        <f>IF(AND(C493=Master!$H$3,B493="2012-2013",E493="",G493="PLN03"),H493,"")</f>
        <v/>
      </c>
      <c r="AE493" s="42" t="str">
        <f>IF(AND(C493=Master!$H$4,B493="2012-2013",E493&gt;1000,G493="PLN03"),H493,"")</f>
        <v/>
      </c>
      <c r="AF493" s="42" t="str">
        <f>IF(AND(C493=Master!$H$4,B493="2012-2013",E493="",G493="PLN03"),H493,"")</f>
        <v/>
      </c>
      <c r="AG493" s="42" t="str">
        <f>IF(AND(C493=Master!$H$5,B493="2012-2013",E493&gt;1000,G493="PLN03"),H493,"")</f>
        <v/>
      </c>
      <c r="AH493" s="42" t="str">
        <f>IF(AND(C493=Master!$H$5,B493="2012-2013",E493="",G493="PLN03"),H493,"")</f>
        <v/>
      </c>
      <c r="AI493" s="42" t="str">
        <f>IF(AND(C493=Master!$H$6,B493="2012-2013",E493&gt;1000,G493="PLN03"),H493,"")</f>
        <v/>
      </c>
      <c r="AJ493" s="42" t="str">
        <f>IF(AND(C493=Master!$H$6,B493="2012-2013",E493="",G493="PLN03"),H493,"")</f>
        <v/>
      </c>
      <c r="AK493" s="42" t="str">
        <f>IF(AND(C493=Master!$H$7,B493="2012-2013",E493&gt;1000,G493="PLN03"),H493,"")</f>
        <v/>
      </c>
      <c r="AL493" s="42" t="str">
        <f>IF(AND(C493=Master!$H$7,B493="2012-2013",E493="",G493="PLN03"),H493,"")</f>
        <v/>
      </c>
      <c r="AM493" s="42" t="str">
        <f>IF(AND(C493=Master!$H$8,B493="2012-2013",E493&gt;1000,G493="PLN03"),H493,"")</f>
        <v/>
      </c>
      <c r="AN493" s="42" t="str">
        <f>IF(AND(C493=Master!$H$8,B493="2012-2013",E493="",G493="PLN03"),H493,"")</f>
        <v/>
      </c>
      <c r="AO493" s="42" t="str">
        <f>IF(AND(C493=Master!$H$9,B493="2012-2013",E493&gt;1000,G493="PLN03"),H493,"")</f>
        <v/>
      </c>
      <c r="AP493" s="42" t="str">
        <f>IF(AND(C493=Master!$H$9,B493="2012-2013",E493="",G493="PLN03"),H493,"")</f>
        <v/>
      </c>
      <c r="AQ493" s="44" t="str">
        <f>IF(AND(C493=Master!$H$1,B493="2012-2013",E493&gt;1000,G493="NPN05"),H493,"")</f>
        <v/>
      </c>
      <c r="AR493" s="44" t="str">
        <f>IF(AND(C493=Master!$H$1,B493="2012-2013",E493="",G493="NPN05"),H493,"")</f>
        <v/>
      </c>
      <c r="AS493" s="44" t="str">
        <f>IF(AND(C493=Master!$H$2,B493="2012-2013",E493&gt;1000,G493="NPN05"),H493,"")</f>
        <v/>
      </c>
      <c r="AT493" s="44" t="str">
        <f>IF(AND(C493=Master!$H$2,B493="2012-2013",E493="",G493="NPN05"),H493,"")</f>
        <v/>
      </c>
      <c r="AU493" s="44" t="str">
        <f>IF(AND(C493=Master!$H$3,B493="2012-2013",E493&gt;1000,G493="NPN05"),H493,"")</f>
        <v/>
      </c>
      <c r="AV493" s="44" t="str">
        <f>IF(AND(C493=Master!$H$3,B493="2012-2013",E493="",G493="NPN05"),H493,"")</f>
        <v/>
      </c>
      <c r="AW493" s="44" t="str">
        <f>IF(AND(C493=Master!$H$4,B493="2012-2013",E493&gt;1000,G493="NPN05"),H493,"")</f>
        <v/>
      </c>
      <c r="AX493" s="44" t="str">
        <f>IF(AND(C493=Master!$H$4,B493="2012-2013",E493="",G493="NPN05"),H493,"")</f>
        <v/>
      </c>
      <c r="AY493" s="44" t="str">
        <f>IF(AND(C493=Master!$H$5,B493="2012-2013",E493&gt;1000,G493="NPN05"),H493,"")</f>
        <v/>
      </c>
      <c r="AZ493" s="44" t="str">
        <f>IF(AND(C493=Master!$H$5,B493="2012-2013",E493="",G493="NPN05"),H493,"")</f>
        <v/>
      </c>
      <c r="BA493" s="44" t="str">
        <f>IF(AND(C493=Master!$H$6,B493="2012-2013",E493&gt;1000,G493="NPN05"),H493,"")</f>
        <v/>
      </c>
      <c r="BB493" s="44" t="str">
        <f>IF(AND(C493=Master!$H$6,B493="2012-2013",E493="",G493="NPN05"),H493,"")</f>
        <v/>
      </c>
      <c r="BC493" s="44" t="str">
        <f>IF(AND(C493=Master!$H$7,B493="2012-2013",E493&gt;1000,G493="NPN05"),H493,"")</f>
        <v/>
      </c>
      <c r="BD493" s="44" t="str">
        <f>IF(AND(C493=Master!$H$7,B493="2012-2013",E493="",G493="NPN05"),H493,"")</f>
        <v/>
      </c>
      <c r="BE493" s="44" t="str">
        <f>IF(AND(C493=Master!$H$8,B493="2012-2013",E493&gt;1000,G493="NPN05"),H493,"")</f>
        <v/>
      </c>
      <c r="BF493" s="44" t="str">
        <f>IF(AND(C493=Master!$H$8,B493="2012-2013",E493="",G493="NPN05"),H493,"")</f>
        <v/>
      </c>
      <c r="BG493" s="44" t="str">
        <f>IF(AND(C493=Master!$H$9,B493="2012-2013",E493&gt;1000,G493="NPN05"),H493,"")</f>
        <v/>
      </c>
      <c r="BH493" s="44" t="str">
        <f>IF(AND(C493=Master!$H$9,B493="2012-2013",E493="",G493="NPN05"),H493,"")</f>
        <v/>
      </c>
    </row>
    <row r="494" spans="1:60" x14ac:dyDescent="0.25">
      <c r="A494" s="3">
        <v>492</v>
      </c>
      <c r="B494" s="12"/>
      <c r="C494" s="12"/>
      <c r="D494" s="31"/>
      <c r="E494" s="4"/>
      <c r="F494" s="13"/>
      <c r="G494" s="21"/>
      <c r="H494" s="35"/>
      <c r="I494" s="21"/>
      <c r="J494" s="25" t="str">
        <f>IF(NOT(I494=""),INDEX(Master!$B$1:$B$46,MATCH(I494,Master!$A$1:$A$46,0)),"")</f>
        <v/>
      </c>
      <c r="K494" s="18"/>
      <c r="L494" s="86"/>
      <c r="M494" s="13"/>
      <c r="N494" s="13"/>
      <c r="O494" s="18"/>
      <c r="P494" s="35"/>
      <c r="Q494" s="21"/>
      <c r="R494" s="21"/>
      <c r="S494" s="13"/>
      <c r="T494" s="12"/>
      <c r="U494" s="12"/>
      <c r="V494" s="12"/>
      <c r="W494" s="14"/>
      <c r="Y494" s="42" t="str">
        <f>IF(AND(C494=Master!$H$1,B494="2012-2013",E494&gt;1000,G494="PLN03"),H494,"")</f>
        <v/>
      </c>
      <c r="Z494" s="42" t="str">
        <f>IF(AND(C494=Master!$H$1,B494="2012-2013",E494="",G494="PLN03"),H494,"")</f>
        <v/>
      </c>
      <c r="AA494" s="42" t="str">
        <f>IF(AND(C494=Master!$H$2,B494="2012-2013",E494&gt;1000,G494="PLN03"),H494,"")</f>
        <v/>
      </c>
      <c r="AB494" s="42" t="str">
        <f>IF(AND(C494=Master!$H$2,B494="2012-2013",E494="",G494="PLN03"),H494,"")</f>
        <v/>
      </c>
      <c r="AC494" s="42" t="str">
        <f>IF(AND(C494=Master!$H$3,B494="2012-2013",E494&gt;1000,G494="PLN03"),H494,"")</f>
        <v/>
      </c>
      <c r="AD494" s="42" t="str">
        <f>IF(AND(C494=Master!$H$3,B494="2012-2013",E494="",G494="PLN03"),H494,"")</f>
        <v/>
      </c>
      <c r="AE494" s="42" t="str">
        <f>IF(AND(C494=Master!$H$4,B494="2012-2013",E494&gt;1000,G494="PLN03"),H494,"")</f>
        <v/>
      </c>
      <c r="AF494" s="42" t="str">
        <f>IF(AND(C494=Master!$H$4,B494="2012-2013",E494="",G494="PLN03"),H494,"")</f>
        <v/>
      </c>
      <c r="AG494" s="42" t="str">
        <f>IF(AND(C494=Master!$H$5,B494="2012-2013",E494&gt;1000,G494="PLN03"),H494,"")</f>
        <v/>
      </c>
      <c r="AH494" s="42" t="str">
        <f>IF(AND(C494=Master!$H$5,B494="2012-2013",E494="",G494="PLN03"),H494,"")</f>
        <v/>
      </c>
      <c r="AI494" s="42" t="str">
        <f>IF(AND(C494=Master!$H$6,B494="2012-2013",E494&gt;1000,G494="PLN03"),H494,"")</f>
        <v/>
      </c>
      <c r="AJ494" s="42" t="str">
        <f>IF(AND(C494=Master!$H$6,B494="2012-2013",E494="",G494="PLN03"),H494,"")</f>
        <v/>
      </c>
      <c r="AK494" s="42" t="str">
        <f>IF(AND(C494=Master!$H$7,B494="2012-2013",E494&gt;1000,G494="PLN03"),H494,"")</f>
        <v/>
      </c>
      <c r="AL494" s="42" t="str">
        <f>IF(AND(C494=Master!$H$7,B494="2012-2013",E494="",G494="PLN03"),H494,"")</f>
        <v/>
      </c>
      <c r="AM494" s="42" t="str">
        <f>IF(AND(C494=Master!$H$8,B494="2012-2013",E494&gt;1000,G494="PLN03"),H494,"")</f>
        <v/>
      </c>
      <c r="AN494" s="42" t="str">
        <f>IF(AND(C494=Master!$H$8,B494="2012-2013",E494="",G494="PLN03"),H494,"")</f>
        <v/>
      </c>
      <c r="AO494" s="42" t="str">
        <f>IF(AND(C494=Master!$H$9,B494="2012-2013",E494&gt;1000,G494="PLN03"),H494,"")</f>
        <v/>
      </c>
      <c r="AP494" s="42" t="str">
        <f>IF(AND(C494=Master!$H$9,B494="2012-2013",E494="",G494="PLN03"),H494,"")</f>
        <v/>
      </c>
      <c r="AQ494" s="44" t="str">
        <f>IF(AND(C494=Master!$H$1,B494="2012-2013",E494&gt;1000,G494="NPN05"),H494,"")</f>
        <v/>
      </c>
      <c r="AR494" s="44" t="str">
        <f>IF(AND(C494=Master!$H$1,B494="2012-2013",E494="",G494="NPN05"),H494,"")</f>
        <v/>
      </c>
      <c r="AS494" s="44" t="str">
        <f>IF(AND(C494=Master!$H$2,B494="2012-2013",E494&gt;1000,G494="NPN05"),H494,"")</f>
        <v/>
      </c>
      <c r="AT494" s="44" t="str">
        <f>IF(AND(C494=Master!$H$2,B494="2012-2013",E494="",G494="NPN05"),H494,"")</f>
        <v/>
      </c>
      <c r="AU494" s="44" t="str">
        <f>IF(AND(C494=Master!$H$3,B494="2012-2013",E494&gt;1000,G494="NPN05"),H494,"")</f>
        <v/>
      </c>
      <c r="AV494" s="44" t="str">
        <f>IF(AND(C494=Master!$H$3,B494="2012-2013",E494="",G494="NPN05"),H494,"")</f>
        <v/>
      </c>
      <c r="AW494" s="44" t="str">
        <f>IF(AND(C494=Master!$H$4,B494="2012-2013",E494&gt;1000,G494="NPN05"),H494,"")</f>
        <v/>
      </c>
      <c r="AX494" s="44" t="str">
        <f>IF(AND(C494=Master!$H$4,B494="2012-2013",E494="",G494="NPN05"),H494,"")</f>
        <v/>
      </c>
      <c r="AY494" s="44" t="str">
        <f>IF(AND(C494=Master!$H$5,B494="2012-2013",E494&gt;1000,G494="NPN05"),H494,"")</f>
        <v/>
      </c>
      <c r="AZ494" s="44" t="str">
        <f>IF(AND(C494=Master!$H$5,B494="2012-2013",E494="",G494="NPN05"),H494,"")</f>
        <v/>
      </c>
      <c r="BA494" s="44" t="str">
        <f>IF(AND(C494=Master!$H$6,B494="2012-2013",E494&gt;1000,G494="NPN05"),H494,"")</f>
        <v/>
      </c>
      <c r="BB494" s="44" t="str">
        <f>IF(AND(C494=Master!$H$6,B494="2012-2013",E494="",G494="NPN05"),H494,"")</f>
        <v/>
      </c>
      <c r="BC494" s="44" t="str">
        <f>IF(AND(C494=Master!$H$7,B494="2012-2013",E494&gt;1000,G494="NPN05"),H494,"")</f>
        <v/>
      </c>
      <c r="BD494" s="44" t="str">
        <f>IF(AND(C494=Master!$H$7,B494="2012-2013",E494="",G494="NPN05"),H494,"")</f>
        <v/>
      </c>
      <c r="BE494" s="44" t="str">
        <f>IF(AND(C494=Master!$H$8,B494="2012-2013",E494&gt;1000,G494="NPN05"),H494,"")</f>
        <v/>
      </c>
      <c r="BF494" s="44" t="str">
        <f>IF(AND(C494=Master!$H$8,B494="2012-2013",E494="",G494="NPN05"),H494,"")</f>
        <v/>
      </c>
      <c r="BG494" s="44" t="str">
        <f>IF(AND(C494=Master!$H$9,B494="2012-2013",E494&gt;1000,G494="NPN05"),H494,"")</f>
        <v/>
      </c>
      <c r="BH494" s="44" t="str">
        <f>IF(AND(C494=Master!$H$9,B494="2012-2013",E494="",G494="NPN05"),H494,"")</f>
        <v/>
      </c>
    </row>
    <row r="495" spans="1:60" x14ac:dyDescent="0.25">
      <c r="A495" s="3">
        <v>493</v>
      </c>
      <c r="B495" s="12"/>
      <c r="C495" s="12"/>
      <c r="D495" s="31"/>
      <c r="E495" s="4"/>
      <c r="F495" s="13"/>
      <c r="G495" s="21"/>
      <c r="H495" s="35"/>
      <c r="I495" s="21"/>
      <c r="J495" s="25" t="str">
        <f>IF(NOT(I495=""),INDEX(Master!$B$1:$B$46,MATCH(I495,Master!$A$1:$A$46,0)),"")</f>
        <v/>
      </c>
      <c r="K495" s="18"/>
      <c r="L495" s="86"/>
      <c r="M495" s="13"/>
      <c r="N495" s="13"/>
      <c r="O495" s="18"/>
      <c r="P495" s="35"/>
      <c r="Q495" s="21"/>
      <c r="R495" s="21"/>
      <c r="S495" s="13"/>
      <c r="T495" s="12"/>
      <c r="U495" s="12"/>
      <c r="V495" s="12"/>
      <c r="W495" s="14"/>
      <c r="Y495" s="42" t="str">
        <f>IF(AND(C495=Master!$H$1,B495="2012-2013",E495&gt;1000,G495="PLN03"),H495,"")</f>
        <v/>
      </c>
      <c r="Z495" s="42" t="str">
        <f>IF(AND(C495=Master!$H$1,B495="2012-2013",E495="",G495="PLN03"),H495,"")</f>
        <v/>
      </c>
      <c r="AA495" s="42" t="str">
        <f>IF(AND(C495=Master!$H$2,B495="2012-2013",E495&gt;1000,G495="PLN03"),H495,"")</f>
        <v/>
      </c>
      <c r="AB495" s="42" t="str">
        <f>IF(AND(C495=Master!$H$2,B495="2012-2013",E495="",G495="PLN03"),H495,"")</f>
        <v/>
      </c>
      <c r="AC495" s="42" t="str">
        <f>IF(AND(C495=Master!$H$3,B495="2012-2013",E495&gt;1000,G495="PLN03"),H495,"")</f>
        <v/>
      </c>
      <c r="AD495" s="42" t="str">
        <f>IF(AND(C495=Master!$H$3,B495="2012-2013",E495="",G495="PLN03"),H495,"")</f>
        <v/>
      </c>
      <c r="AE495" s="42" t="str">
        <f>IF(AND(C495=Master!$H$4,B495="2012-2013",E495&gt;1000,G495="PLN03"),H495,"")</f>
        <v/>
      </c>
      <c r="AF495" s="42" t="str">
        <f>IF(AND(C495=Master!$H$4,B495="2012-2013",E495="",G495="PLN03"),H495,"")</f>
        <v/>
      </c>
      <c r="AG495" s="42" t="str">
        <f>IF(AND(C495=Master!$H$5,B495="2012-2013",E495&gt;1000,G495="PLN03"),H495,"")</f>
        <v/>
      </c>
      <c r="AH495" s="42" t="str">
        <f>IF(AND(C495=Master!$H$5,B495="2012-2013",E495="",G495="PLN03"),H495,"")</f>
        <v/>
      </c>
      <c r="AI495" s="42" t="str">
        <f>IF(AND(C495=Master!$H$6,B495="2012-2013",E495&gt;1000,G495="PLN03"),H495,"")</f>
        <v/>
      </c>
      <c r="AJ495" s="42" t="str">
        <f>IF(AND(C495=Master!$H$6,B495="2012-2013",E495="",G495="PLN03"),H495,"")</f>
        <v/>
      </c>
      <c r="AK495" s="42" t="str">
        <f>IF(AND(C495=Master!$H$7,B495="2012-2013",E495&gt;1000,G495="PLN03"),H495,"")</f>
        <v/>
      </c>
      <c r="AL495" s="42" t="str">
        <f>IF(AND(C495=Master!$H$7,B495="2012-2013",E495="",G495="PLN03"),H495,"")</f>
        <v/>
      </c>
      <c r="AM495" s="42" t="str">
        <f>IF(AND(C495=Master!$H$8,B495="2012-2013",E495&gt;1000,G495="PLN03"),H495,"")</f>
        <v/>
      </c>
      <c r="AN495" s="42" t="str">
        <f>IF(AND(C495=Master!$H$8,B495="2012-2013",E495="",G495="PLN03"),H495,"")</f>
        <v/>
      </c>
      <c r="AO495" s="42" t="str">
        <f>IF(AND(C495=Master!$H$9,B495="2012-2013",E495&gt;1000,G495="PLN03"),H495,"")</f>
        <v/>
      </c>
      <c r="AP495" s="42" t="str">
        <f>IF(AND(C495=Master!$H$9,B495="2012-2013",E495="",G495="PLN03"),H495,"")</f>
        <v/>
      </c>
      <c r="AQ495" s="44" t="str">
        <f>IF(AND(C495=Master!$H$1,B495="2012-2013",E495&gt;1000,G495="NPN05"),H495,"")</f>
        <v/>
      </c>
      <c r="AR495" s="44" t="str">
        <f>IF(AND(C495=Master!$H$1,B495="2012-2013",E495="",G495="NPN05"),H495,"")</f>
        <v/>
      </c>
      <c r="AS495" s="44" t="str">
        <f>IF(AND(C495=Master!$H$2,B495="2012-2013",E495&gt;1000,G495="NPN05"),H495,"")</f>
        <v/>
      </c>
      <c r="AT495" s="44" t="str">
        <f>IF(AND(C495=Master!$H$2,B495="2012-2013",E495="",G495="NPN05"),H495,"")</f>
        <v/>
      </c>
      <c r="AU495" s="44" t="str">
        <f>IF(AND(C495=Master!$H$3,B495="2012-2013",E495&gt;1000,G495="NPN05"),H495,"")</f>
        <v/>
      </c>
      <c r="AV495" s="44" t="str">
        <f>IF(AND(C495=Master!$H$3,B495="2012-2013",E495="",G495="NPN05"),H495,"")</f>
        <v/>
      </c>
      <c r="AW495" s="44" t="str">
        <f>IF(AND(C495=Master!$H$4,B495="2012-2013",E495&gt;1000,G495="NPN05"),H495,"")</f>
        <v/>
      </c>
      <c r="AX495" s="44" t="str">
        <f>IF(AND(C495=Master!$H$4,B495="2012-2013",E495="",G495="NPN05"),H495,"")</f>
        <v/>
      </c>
      <c r="AY495" s="44" t="str">
        <f>IF(AND(C495=Master!$H$5,B495="2012-2013",E495&gt;1000,G495="NPN05"),H495,"")</f>
        <v/>
      </c>
      <c r="AZ495" s="44" t="str">
        <f>IF(AND(C495=Master!$H$5,B495="2012-2013",E495="",G495="NPN05"),H495,"")</f>
        <v/>
      </c>
      <c r="BA495" s="44" t="str">
        <f>IF(AND(C495=Master!$H$6,B495="2012-2013",E495&gt;1000,G495="NPN05"),H495,"")</f>
        <v/>
      </c>
      <c r="BB495" s="44" t="str">
        <f>IF(AND(C495=Master!$H$6,B495="2012-2013",E495="",G495="NPN05"),H495,"")</f>
        <v/>
      </c>
      <c r="BC495" s="44" t="str">
        <f>IF(AND(C495=Master!$H$7,B495="2012-2013",E495&gt;1000,G495="NPN05"),H495,"")</f>
        <v/>
      </c>
      <c r="BD495" s="44" t="str">
        <f>IF(AND(C495=Master!$H$7,B495="2012-2013",E495="",G495="NPN05"),H495,"")</f>
        <v/>
      </c>
      <c r="BE495" s="44" t="str">
        <f>IF(AND(C495=Master!$H$8,B495="2012-2013",E495&gt;1000,G495="NPN05"),H495,"")</f>
        <v/>
      </c>
      <c r="BF495" s="44" t="str">
        <f>IF(AND(C495=Master!$H$8,B495="2012-2013",E495="",G495="NPN05"),H495,"")</f>
        <v/>
      </c>
      <c r="BG495" s="44" t="str">
        <f>IF(AND(C495=Master!$H$9,B495="2012-2013",E495&gt;1000,G495="NPN05"),H495,"")</f>
        <v/>
      </c>
      <c r="BH495" s="44" t="str">
        <f>IF(AND(C495=Master!$H$9,B495="2012-2013",E495="",G495="NPN05"),H495,"")</f>
        <v/>
      </c>
    </row>
    <row r="496" spans="1:60" x14ac:dyDescent="0.25">
      <c r="A496" s="3">
        <v>494</v>
      </c>
      <c r="B496" s="12"/>
      <c r="C496" s="12"/>
      <c r="D496" s="31"/>
      <c r="E496" s="4"/>
      <c r="F496" s="13"/>
      <c r="G496" s="21"/>
      <c r="H496" s="35"/>
      <c r="I496" s="21"/>
      <c r="J496" s="25" t="str">
        <f>IF(NOT(I496=""),INDEX(Master!$B$1:$B$46,MATCH(I496,Master!$A$1:$A$46,0)),"")</f>
        <v/>
      </c>
      <c r="K496" s="18"/>
      <c r="L496" s="86"/>
      <c r="M496" s="13"/>
      <c r="N496" s="13"/>
      <c r="O496" s="18"/>
      <c r="P496" s="35"/>
      <c r="Q496" s="21"/>
      <c r="R496" s="21"/>
      <c r="S496" s="13"/>
      <c r="T496" s="12"/>
      <c r="U496" s="12"/>
      <c r="V496" s="12"/>
      <c r="W496" s="14"/>
      <c r="Y496" s="42" t="str">
        <f>IF(AND(C496=Master!$H$1,B496="2012-2013",E496&gt;1000,G496="PLN03"),H496,"")</f>
        <v/>
      </c>
      <c r="Z496" s="42" t="str">
        <f>IF(AND(C496=Master!$H$1,B496="2012-2013",E496="",G496="PLN03"),H496,"")</f>
        <v/>
      </c>
      <c r="AA496" s="42" t="str">
        <f>IF(AND(C496=Master!$H$2,B496="2012-2013",E496&gt;1000,G496="PLN03"),H496,"")</f>
        <v/>
      </c>
      <c r="AB496" s="42" t="str">
        <f>IF(AND(C496=Master!$H$2,B496="2012-2013",E496="",G496="PLN03"),H496,"")</f>
        <v/>
      </c>
      <c r="AC496" s="42" t="str">
        <f>IF(AND(C496=Master!$H$3,B496="2012-2013",E496&gt;1000,G496="PLN03"),H496,"")</f>
        <v/>
      </c>
      <c r="AD496" s="42" t="str">
        <f>IF(AND(C496=Master!$H$3,B496="2012-2013",E496="",G496="PLN03"),H496,"")</f>
        <v/>
      </c>
      <c r="AE496" s="42" t="str">
        <f>IF(AND(C496=Master!$H$4,B496="2012-2013",E496&gt;1000,G496="PLN03"),H496,"")</f>
        <v/>
      </c>
      <c r="AF496" s="42" t="str">
        <f>IF(AND(C496=Master!$H$4,B496="2012-2013",E496="",G496="PLN03"),H496,"")</f>
        <v/>
      </c>
      <c r="AG496" s="42" t="str">
        <f>IF(AND(C496=Master!$H$5,B496="2012-2013",E496&gt;1000,G496="PLN03"),H496,"")</f>
        <v/>
      </c>
      <c r="AH496" s="42" t="str">
        <f>IF(AND(C496=Master!$H$5,B496="2012-2013",E496="",G496="PLN03"),H496,"")</f>
        <v/>
      </c>
      <c r="AI496" s="42" t="str">
        <f>IF(AND(C496=Master!$H$6,B496="2012-2013",E496&gt;1000,G496="PLN03"),H496,"")</f>
        <v/>
      </c>
      <c r="AJ496" s="42" t="str">
        <f>IF(AND(C496=Master!$H$6,B496="2012-2013",E496="",G496="PLN03"),H496,"")</f>
        <v/>
      </c>
      <c r="AK496" s="42" t="str">
        <f>IF(AND(C496=Master!$H$7,B496="2012-2013",E496&gt;1000,G496="PLN03"),H496,"")</f>
        <v/>
      </c>
      <c r="AL496" s="42" t="str">
        <f>IF(AND(C496=Master!$H$7,B496="2012-2013",E496="",G496="PLN03"),H496,"")</f>
        <v/>
      </c>
      <c r="AM496" s="42" t="str">
        <f>IF(AND(C496=Master!$H$8,B496="2012-2013",E496&gt;1000,G496="PLN03"),H496,"")</f>
        <v/>
      </c>
      <c r="AN496" s="42" t="str">
        <f>IF(AND(C496=Master!$H$8,B496="2012-2013",E496="",G496="PLN03"),H496,"")</f>
        <v/>
      </c>
      <c r="AO496" s="42" t="str">
        <f>IF(AND(C496=Master!$H$9,B496="2012-2013",E496&gt;1000,G496="PLN03"),H496,"")</f>
        <v/>
      </c>
      <c r="AP496" s="42" t="str">
        <f>IF(AND(C496=Master!$H$9,B496="2012-2013",E496="",G496="PLN03"),H496,"")</f>
        <v/>
      </c>
      <c r="AQ496" s="44" t="str">
        <f>IF(AND(C496=Master!$H$1,B496="2012-2013",E496&gt;1000,G496="NPN05"),H496,"")</f>
        <v/>
      </c>
      <c r="AR496" s="44" t="str">
        <f>IF(AND(C496=Master!$H$1,B496="2012-2013",E496="",G496="NPN05"),H496,"")</f>
        <v/>
      </c>
      <c r="AS496" s="44" t="str">
        <f>IF(AND(C496=Master!$H$2,B496="2012-2013",E496&gt;1000,G496="NPN05"),H496,"")</f>
        <v/>
      </c>
      <c r="AT496" s="44" t="str">
        <f>IF(AND(C496=Master!$H$2,B496="2012-2013",E496="",G496="NPN05"),H496,"")</f>
        <v/>
      </c>
      <c r="AU496" s="44" t="str">
        <f>IF(AND(C496=Master!$H$3,B496="2012-2013",E496&gt;1000,G496="NPN05"),H496,"")</f>
        <v/>
      </c>
      <c r="AV496" s="44" t="str">
        <f>IF(AND(C496=Master!$H$3,B496="2012-2013",E496="",G496="NPN05"),H496,"")</f>
        <v/>
      </c>
      <c r="AW496" s="44" t="str">
        <f>IF(AND(C496=Master!$H$4,B496="2012-2013",E496&gt;1000,G496="NPN05"),H496,"")</f>
        <v/>
      </c>
      <c r="AX496" s="44" t="str">
        <f>IF(AND(C496=Master!$H$4,B496="2012-2013",E496="",G496="NPN05"),H496,"")</f>
        <v/>
      </c>
      <c r="AY496" s="44" t="str">
        <f>IF(AND(C496=Master!$H$5,B496="2012-2013",E496&gt;1000,G496="NPN05"),H496,"")</f>
        <v/>
      </c>
      <c r="AZ496" s="44" t="str">
        <f>IF(AND(C496=Master!$H$5,B496="2012-2013",E496="",G496="NPN05"),H496,"")</f>
        <v/>
      </c>
      <c r="BA496" s="44" t="str">
        <f>IF(AND(C496=Master!$H$6,B496="2012-2013",E496&gt;1000,G496="NPN05"),H496,"")</f>
        <v/>
      </c>
      <c r="BB496" s="44" t="str">
        <f>IF(AND(C496=Master!$H$6,B496="2012-2013",E496="",G496="NPN05"),H496,"")</f>
        <v/>
      </c>
      <c r="BC496" s="44" t="str">
        <f>IF(AND(C496=Master!$H$7,B496="2012-2013",E496&gt;1000,G496="NPN05"),H496,"")</f>
        <v/>
      </c>
      <c r="BD496" s="44" t="str">
        <f>IF(AND(C496=Master!$H$7,B496="2012-2013",E496="",G496="NPN05"),H496,"")</f>
        <v/>
      </c>
      <c r="BE496" s="44" t="str">
        <f>IF(AND(C496=Master!$H$8,B496="2012-2013",E496&gt;1000,G496="NPN05"),H496,"")</f>
        <v/>
      </c>
      <c r="BF496" s="44" t="str">
        <f>IF(AND(C496=Master!$H$8,B496="2012-2013",E496="",G496="NPN05"),H496,"")</f>
        <v/>
      </c>
      <c r="BG496" s="44" t="str">
        <f>IF(AND(C496=Master!$H$9,B496="2012-2013",E496&gt;1000,G496="NPN05"),H496,"")</f>
        <v/>
      </c>
      <c r="BH496" s="44" t="str">
        <f>IF(AND(C496=Master!$H$9,B496="2012-2013",E496="",G496="NPN05"),H496,"")</f>
        <v/>
      </c>
    </row>
    <row r="497" spans="1:60" x14ac:dyDescent="0.25">
      <c r="A497" s="3">
        <v>495</v>
      </c>
      <c r="B497" s="12"/>
      <c r="C497" s="12"/>
      <c r="D497" s="31"/>
      <c r="E497" s="4"/>
      <c r="F497" s="13"/>
      <c r="G497" s="21"/>
      <c r="H497" s="35"/>
      <c r="I497" s="21"/>
      <c r="J497" s="25" t="str">
        <f>IF(NOT(I497=""),INDEX(Master!$B$1:$B$46,MATCH(I497,Master!$A$1:$A$46,0)),"")</f>
        <v/>
      </c>
      <c r="K497" s="18"/>
      <c r="L497" s="86"/>
      <c r="M497" s="13"/>
      <c r="N497" s="13"/>
      <c r="O497" s="18"/>
      <c r="P497" s="35"/>
      <c r="Q497" s="21"/>
      <c r="R497" s="21"/>
      <c r="S497" s="13"/>
      <c r="T497" s="12"/>
      <c r="U497" s="12"/>
      <c r="V497" s="12"/>
      <c r="W497" s="14"/>
      <c r="Y497" s="42" t="str">
        <f>IF(AND(C497=Master!$H$1,B497="2012-2013",E497&gt;1000,G497="PLN03"),H497,"")</f>
        <v/>
      </c>
      <c r="Z497" s="42" t="str">
        <f>IF(AND(C497=Master!$H$1,B497="2012-2013",E497="",G497="PLN03"),H497,"")</f>
        <v/>
      </c>
      <c r="AA497" s="42" t="str">
        <f>IF(AND(C497=Master!$H$2,B497="2012-2013",E497&gt;1000,G497="PLN03"),H497,"")</f>
        <v/>
      </c>
      <c r="AB497" s="42" t="str">
        <f>IF(AND(C497=Master!$H$2,B497="2012-2013",E497="",G497="PLN03"),H497,"")</f>
        <v/>
      </c>
      <c r="AC497" s="42" t="str">
        <f>IF(AND(C497=Master!$H$3,B497="2012-2013",E497&gt;1000,G497="PLN03"),H497,"")</f>
        <v/>
      </c>
      <c r="AD497" s="42" t="str">
        <f>IF(AND(C497=Master!$H$3,B497="2012-2013",E497="",G497="PLN03"),H497,"")</f>
        <v/>
      </c>
      <c r="AE497" s="42" t="str">
        <f>IF(AND(C497=Master!$H$4,B497="2012-2013",E497&gt;1000,G497="PLN03"),H497,"")</f>
        <v/>
      </c>
      <c r="AF497" s="42" t="str">
        <f>IF(AND(C497=Master!$H$4,B497="2012-2013",E497="",G497="PLN03"),H497,"")</f>
        <v/>
      </c>
      <c r="AG497" s="42" t="str">
        <f>IF(AND(C497=Master!$H$5,B497="2012-2013",E497&gt;1000,G497="PLN03"),H497,"")</f>
        <v/>
      </c>
      <c r="AH497" s="42" t="str">
        <f>IF(AND(C497=Master!$H$5,B497="2012-2013",E497="",G497="PLN03"),H497,"")</f>
        <v/>
      </c>
      <c r="AI497" s="42" t="str">
        <f>IF(AND(C497=Master!$H$6,B497="2012-2013",E497&gt;1000,G497="PLN03"),H497,"")</f>
        <v/>
      </c>
      <c r="AJ497" s="42" t="str">
        <f>IF(AND(C497=Master!$H$6,B497="2012-2013",E497="",G497="PLN03"),H497,"")</f>
        <v/>
      </c>
      <c r="AK497" s="42" t="str">
        <f>IF(AND(C497=Master!$H$7,B497="2012-2013",E497&gt;1000,G497="PLN03"),H497,"")</f>
        <v/>
      </c>
      <c r="AL497" s="42" t="str">
        <f>IF(AND(C497=Master!$H$7,B497="2012-2013",E497="",G497="PLN03"),H497,"")</f>
        <v/>
      </c>
      <c r="AM497" s="42" t="str">
        <f>IF(AND(C497=Master!$H$8,B497="2012-2013",E497&gt;1000,G497="PLN03"),H497,"")</f>
        <v/>
      </c>
      <c r="AN497" s="42" t="str">
        <f>IF(AND(C497=Master!$H$8,B497="2012-2013",E497="",G497="PLN03"),H497,"")</f>
        <v/>
      </c>
      <c r="AO497" s="42" t="str">
        <f>IF(AND(C497=Master!$H$9,B497="2012-2013",E497&gt;1000,G497="PLN03"),H497,"")</f>
        <v/>
      </c>
      <c r="AP497" s="42" t="str">
        <f>IF(AND(C497=Master!$H$9,B497="2012-2013",E497="",G497="PLN03"),H497,"")</f>
        <v/>
      </c>
      <c r="AQ497" s="44" t="str">
        <f>IF(AND(C497=Master!$H$1,B497="2012-2013",E497&gt;1000,G497="NPN05"),H497,"")</f>
        <v/>
      </c>
      <c r="AR497" s="44" t="str">
        <f>IF(AND(C497=Master!$H$1,B497="2012-2013",E497="",G497="NPN05"),H497,"")</f>
        <v/>
      </c>
      <c r="AS497" s="44" t="str">
        <f>IF(AND(C497=Master!$H$2,B497="2012-2013",E497&gt;1000,G497="NPN05"),H497,"")</f>
        <v/>
      </c>
      <c r="AT497" s="44" t="str">
        <f>IF(AND(C497=Master!$H$2,B497="2012-2013",E497="",G497="NPN05"),H497,"")</f>
        <v/>
      </c>
      <c r="AU497" s="44" t="str">
        <f>IF(AND(C497=Master!$H$3,B497="2012-2013",E497&gt;1000,G497="NPN05"),H497,"")</f>
        <v/>
      </c>
      <c r="AV497" s="44" t="str">
        <f>IF(AND(C497=Master!$H$3,B497="2012-2013",E497="",G497="NPN05"),H497,"")</f>
        <v/>
      </c>
      <c r="AW497" s="44" t="str">
        <f>IF(AND(C497=Master!$H$4,B497="2012-2013",E497&gt;1000,G497="NPN05"),H497,"")</f>
        <v/>
      </c>
      <c r="AX497" s="44" t="str">
        <f>IF(AND(C497=Master!$H$4,B497="2012-2013",E497="",G497="NPN05"),H497,"")</f>
        <v/>
      </c>
      <c r="AY497" s="44" t="str">
        <f>IF(AND(C497=Master!$H$5,B497="2012-2013",E497&gt;1000,G497="NPN05"),H497,"")</f>
        <v/>
      </c>
      <c r="AZ497" s="44" t="str">
        <f>IF(AND(C497=Master!$H$5,B497="2012-2013",E497="",G497="NPN05"),H497,"")</f>
        <v/>
      </c>
      <c r="BA497" s="44" t="str">
        <f>IF(AND(C497=Master!$H$6,B497="2012-2013",E497&gt;1000,G497="NPN05"),H497,"")</f>
        <v/>
      </c>
      <c r="BB497" s="44" t="str">
        <f>IF(AND(C497=Master!$H$6,B497="2012-2013",E497="",G497="NPN05"),H497,"")</f>
        <v/>
      </c>
      <c r="BC497" s="44" t="str">
        <f>IF(AND(C497=Master!$H$7,B497="2012-2013",E497&gt;1000,G497="NPN05"),H497,"")</f>
        <v/>
      </c>
      <c r="BD497" s="44" t="str">
        <f>IF(AND(C497=Master!$H$7,B497="2012-2013",E497="",G497="NPN05"),H497,"")</f>
        <v/>
      </c>
      <c r="BE497" s="44" t="str">
        <f>IF(AND(C497=Master!$H$8,B497="2012-2013",E497&gt;1000,G497="NPN05"),H497,"")</f>
        <v/>
      </c>
      <c r="BF497" s="44" t="str">
        <f>IF(AND(C497=Master!$H$8,B497="2012-2013",E497="",G497="NPN05"),H497,"")</f>
        <v/>
      </c>
      <c r="BG497" s="44" t="str">
        <f>IF(AND(C497=Master!$H$9,B497="2012-2013",E497&gt;1000,G497="NPN05"),H497,"")</f>
        <v/>
      </c>
      <c r="BH497" s="44" t="str">
        <f>IF(AND(C497=Master!$H$9,B497="2012-2013",E497="",G497="NPN05"),H497,"")</f>
        <v/>
      </c>
    </row>
    <row r="498" spans="1:60" x14ac:dyDescent="0.25">
      <c r="A498" s="3">
        <v>496</v>
      </c>
      <c r="B498" s="12"/>
      <c r="C498" s="12"/>
      <c r="D498" s="31"/>
      <c r="E498" s="4"/>
      <c r="F498" s="13"/>
      <c r="G498" s="21"/>
      <c r="H498" s="35"/>
      <c r="I498" s="21"/>
      <c r="J498" s="25" t="str">
        <f>IF(NOT(I498=""),INDEX(Master!$B$1:$B$46,MATCH(I498,Master!$A$1:$A$46,0)),"")</f>
        <v/>
      </c>
      <c r="K498" s="18"/>
      <c r="L498" s="86"/>
      <c r="M498" s="13"/>
      <c r="N498" s="13"/>
      <c r="O498" s="18"/>
      <c r="P498" s="35"/>
      <c r="Q498" s="21"/>
      <c r="R498" s="21"/>
      <c r="S498" s="13"/>
      <c r="T498" s="12"/>
      <c r="U498" s="12"/>
      <c r="V498" s="12"/>
      <c r="W498" s="14"/>
      <c r="Y498" s="42" t="str">
        <f>IF(AND(C498=Master!$H$1,B498="2012-2013",E498&gt;1000,G498="PLN03"),H498,"")</f>
        <v/>
      </c>
      <c r="Z498" s="42" t="str">
        <f>IF(AND(C498=Master!$H$1,B498="2012-2013",E498="",G498="PLN03"),H498,"")</f>
        <v/>
      </c>
      <c r="AA498" s="42" t="str">
        <f>IF(AND(C498=Master!$H$2,B498="2012-2013",E498&gt;1000,G498="PLN03"),H498,"")</f>
        <v/>
      </c>
      <c r="AB498" s="42" t="str">
        <f>IF(AND(C498=Master!$H$2,B498="2012-2013",E498="",G498="PLN03"),H498,"")</f>
        <v/>
      </c>
      <c r="AC498" s="42" t="str">
        <f>IF(AND(C498=Master!$H$3,B498="2012-2013",E498&gt;1000,G498="PLN03"),H498,"")</f>
        <v/>
      </c>
      <c r="AD498" s="42" t="str">
        <f>IF(AND(C498=Master!$H$3,B498="2012-2013",E498="",G498="PLN03"),H498,"")</f>
        <v/>
      </c>
      <c r="AE498" s="42" t="str">
        <f>IF(AND(C498=Master!$H$4,B498="2012-2013",E498&gt;1000,G498="PLN03"),H498,"")</f>
        <v/>
      </c>
      <c r="AF498" s="42" t="str">
        <f>IF(AND(C498=Master!$H$4,B498="2012-2013",E498="",G498="PLN03"),H498,"")</f>
        <v/>
      </c>
      <c r="AG498" s="42" t="str">
        <f>IF(AND(C498=Master!$H$5,B498="2012-2013",E498&gt;1000,G498="PLN03"),H498,"")</f>
        <v/>
      </c>
      <c r="AH498" s="42" t="str">
        <f>IF(AND(C498=Master!$H$5,B498="2012-2013",E498="",G498="PLN03"),H498,"")</f>
        <v/>
      </c>
      <c r="AI498" s="42" t="str">
        <f>IF(AND(C498=Master!$H$6,B498="2012-2013",E498&gt;1000,G498="PLN03"),H498,"")</f>
        <v/>
      </c>
      <c r="AJ498" s="42" t="str">
        <f>IF(AND(C498=Master!$H$6,B498="2012-2013",E498="",G498="PLN03"),H498,"")</f>
        <v/>
      </c>
      <c r="AK498" s="42" t="str">
        <f>IF(AND(C498=Master!$H$7,B498="2012-2013",E498&gt;1000,G498="PLN03"),H498,"")</f>
        <v/>
      </c>
      <c r="AL498" s="42" t="str">
        <f>IF(AND(C498=Master!$H$7,B498="2012-2013",E498="",G498="PLN03"),H498,"")</f>
        <v/>
      </c>
      <c r="AM498" s="42" t="str">
        <f>IF(AND(C498=Master!$H$8,B498="2012-2013",E498&gt;1000,G498="PLN03"),H498,"")</f>
        <v/>
      </c>
      <c r="AN498" s="42" t="str">
        <f>IF(AND(C498=Master!$H$8,B498="2012-2013",E498="",G498="PLN03"),H498,"")</f>
        <v/>
      </c>
      <c r="AO498" s="42" t="str">
        <f>IF(AND(C498=Master!$H$9,B498="2012-2013",E498&gt;1000,G498="PLN03"),H498,"")</f>
        <v/>
      </c>
      <c r="AP498" s="42" t="str">
        <f>IF(AND(C498=Master!$H$9,B498="2012-2013",E498="",G498="PLN03"),H498,"")</f>
        <v/>
      </c>
      <c r="AQ498" s="44" t="str">
        <f>IF(AND(C498=Master!$H$1,B498="2012-2013",E498&gt;1000,G498="NPN05"),H498,"")</f>
        <v/>
      </c>
      <c r="AR498" s="44" t="str">
        <f>IF(AND(C498=Master!$H$1,B498="2012-2013",E498="",G498="NPN05"),H498,"")</f>
        <v/>
      </c>
      <c r="AS498" s="44" t="str">
        <f>IF(AND(C498=Master!$H$2,B498="2012-2013",E498&gt;1000,G498="NPN05"),H498,"")</f>
        <v/>
      </c>
      <c r="AT498" s="44" t="str">
        <f>IF(AND(C498=Master!$H$2,B498="2012-2013",E498="",G498="NPN05"),H498,"")</f>
        <v/>
      </c>
      <c r="AU498" s="44" t="str">
        <f>IF(AND(C498=Master!$H$3,B498="2012-2013",E498&gt;1000,G498="NPN05"),H498,"")</f>
        <v/>
      </c>
      <c r="AV498" s="44" t="str">
        <f>IF(AND(C498=Master!$H$3,B498="2012-2013",E498="",G498="NPN05"),H498,"")</f>
        <v/>
      </c>
      <c r="AW498" s="44" t="str">
        <f>IF(AND(C498=Master!$H$4,B498="2012-2013",E498&gt;1000,G498="NPN05"),H498,"")</f>
        <v/>
      </c>
      <c r="AX498" s="44" t="str">
        <f>IF(AND(C498=Master!$H$4,B498="2012-2013",E498="",G498="NPN05"),H498,"")</f>
        <v/>
      </c>
      <c r="AY498" s="44" t="str">
        <f>IF(AND(C498=Master!$H$5,B498="2012-2013",E498&gt;1000,G498="NPN05"),H498,"")</f>
        <v/>
      </c>
      <c r="AZ498" s="44" t="str">
        <f>IF(AND(C498=Master!$H$5,B498="2012-2013",E498="",G498="NPN05"),H498,"")</f>
        <v/>
      </c>
      <c r="BA498" s="44" t="str">
        <f>IF(AND(C498=Master!$H$6,B498="2012-2013",E498&gt;1000,G498="NPN05"),H498,"")</f>
        <v/>
      </c>
      <c r="BB498" s="44" t="str">
        <f>IF(AND(C498=Master!$H$6,B498="2012-2013",E498="",G498="NPN05"),H498,"")</f>
        <v/>
      </c>
      <c r="BC498" s="44" t="str">
        <f>IF(AND(C498=Master!$H$7,B498="2012-2013",E498&gt;1000,G498="NPN05"),H498,"")</f>
        <v/>
      </c>
      <c r="BD498" s="44" t="str">
        <f>IF(AND(C498=Master!$H$7,B498="2012-2013",E498="",G498="NPN05"),H498,"")</f>
        <v/>
      </c>
      <c r="BE498" s="44" t="str">
        <f>IF(AND(C498=Master!$H$8,B498="2012-2013",E498&gt;1000,G498="NPN05"),H498,"")</f>
        <v/>
      </c>
      <c r="BF498" s="44" t="str">
        <f>IF(AND(C498=Master!$H$8,B498="2012-2013",E498="",G498="NPN05"),H498,"")</f>
        <v/>
      </c>
      <c r="BG498" s="44" t="str">
        <f>IF(AND(C498=Master!$H$9,B498="2012-2013",E498&gt;1000,G498="NPN05"),H498,"")</f>
        <v/>
      </c>
      <c r="BH498" s="44" t="str">
        <f>IF(AND(C498=Master!$H$9,B498="2012-2013",E498="",G498="NPN05"),H498,"")</f>
        <v/>
      </c>
    </row>
    <row r="499" spans="1:60" x14ac:dyDescent="0.25">
      <c r="A499" s="5">
        <v>497</v>
      </c>
      <c r="B499" s="12"/>
      <c r="C499" s="12"/>
      <c r="D499" s="31"/>
      <c r="E499" s="4"/>
      <c r="F499" s="13"/>
      <c r="G499" s="21"/>
      <c r="H499" s="35"/>
      <c r="I499" s="21"/>
      <c r="J499" s="25" t="str">
        <f>IF(NOT(I499=""),INDEX(Master!$B$1:$B$46,MATCH(I499,Master!$A$1:$A$46,0)),"")</f>
        <v/>
      </c>
      <c r="K499" s="18"/>
      <c r="L499" s="86"/>
      <c r="M499" s="13"/>
      <c r="N499" s="13"/>
      <c r="O499" s="18"/>
      <c r="P499" s="35"/>
      <c r="Q499" s="21"/>
      <c r="R499" s="21"/>
      <c r="S499" s="13"/>
      <c r="T499" s="12"/>
      <c r="U499" s="12"/>
      <c r="V499" s="12"/>
      <c r="W499" s="14"/>
      <c r="Y499" s="42" t="str">
        <f>IF(AND(C499=Master!$H$1,B499="2012-2013",E499&gt;1000,G499="PLN03"),H499,"")</f>
        <v/>
      </c>
      <c r="Z499" s="42" t="str">
        <f>IF(AND(C499=Master!$H$1,B499="2012-2013",E499="",G499="PLN03"),H499,"")</f>
        <v/>
      </c>
      <c r="AA499" s="42" t="str">
        <f>IF(AND(C499=Master!$H$2,B499="2012-2013",E499&gt;1000,G499="PLN03"),H499,"")</f>
        <v/>
      </c>
      <c r="AB499" s="42" t="str">
        <f>IF(AND(C499=Master!$H$2,B499="2012-2013",E499="",G499="PLN03"),H499,"")</f>
        <v/>
      </c>
      <c r="AC499" s="42" t="str">
        <f>IF(AND(C499=Master!$H$3,B499="2012-2013",E499&gt;1000,G499="PLN03"),H499,"")</f>
        <v/>
      </c>
      <c r="AD499" s="42" t="str">
        <f>IF(AND(C499=Master!$H$3,B499="2012-2013",E499="",G499="PLN03"),H499,"")</f>
        <v/>
      </c>
      <c r="AE499" s="42" t="str">
        <f>IF(AND(C499=Master!$H$4,B499="2012-2013",E499&gt;1000,G499="PLN03"),H499,"")</f>
        <v/>
      </c>
      <c r="AF499" s="42" t="str">
        <f>IF(AND(C499=Master!$H$4,B499="2012-2013",E499="",G499="PLN03"),H499,"")</f>
        <v/>
      </c>
      <c r="AG499" s="42" t="str">
        <f>IF(AND(C499=Master!$H$5,B499="2012-2013",E499&gt;1000,G499="PLN03"),H499,"")</f>
        <v/>
      </c>
      <c r="AH499" s="42" t="str">
        <f>IF(AND(C499=Master!$H$5,B499="2012-2013",E499="",G499="PLN03"),H499,"")</f>
        <v/>
      </c>
      <c r="AI499" s="42" t="str">
        <f>IF(AND(C499=Master!$H$6,B499="2012-2013",E499&gt;1000,G499="PLN03"),H499,"")</f>
        <v/>
      </c>
      <c r="AJ499" s="42" t="str">
        <f>IF(AND(C499=Master!$H$6,B499="2012-2013",E499="",G499="PLN03"),H499,"")</f>
        <v/>
      </c>
      <c r="AK499" s="42" t="str">
        <f>IF(AND(C499=Master!$H$7,B499="2012-2013",E499&gt;1000,G499="PLN03"),H499,"")</f>
        <v/>
      </c>
      <c r="AL499" s="42" t="str">
        <f>IF(AND(C499=Master!$H$7,B499="2012-2013",E499="",G499="PLN03"),H499,"")</f>
        <v/>
      </c>
      <c r="AM499" s="42" t="str">
        <f>IF(AND(C499=Master!$H$8,B499="2012-2013",E499&gt;1000,G499="PLN03"),H499,"")</f>
        <v/>
      </c>
      <c r="AN499" s="42" t="str">
        <f>IF(AND(C499=Master!$H$8,B499="2012-2013",E499="",G499="PLN03"),H499,"")</f>
        <v/>
      </c>
      <c r="AO499" s="42" t="str">
        <f>IF(AND(C499=Master!$H$9,B499="2012-2013",E499&gt;1000,G499="PLN03"),H499,"")</f>
        <v/>
      </c>
      <c r="AP499" s="42" t="str">
        <f>IF(AND(C499=Master!$H$9,B499="2012-2013",E499="",G499="PLN03"),H499,"")</f>
        <v/>
      </c>
      <c r="AQ499" s="44" t="str">
        <f>IF(AND(C499=Master!$H$1,B499="2012-2013",E499&gt;1000,G499="NPN05"),H499,"")</f>
        <v/>
      </c>
      <c r="AR499" s="44" t="str">
        <f>IF(AND(C499=Master!$H$1,B499="2012-2013",E499="",G499="NPN05"),H499,"")</f>
        <v/>
      </c>
      <c r="AS499" s="44" t="str">
        <f>IF(AND(C499=Master!$H$2,B499="2012-2013",E499&gt;1000,G499="NPN05"),H499,"")</f>
        <v/>
      </c>
      <c r="AT499" s="44" t="str">
        <f>IF(AND(C499=Master!$H$2,B499="2012-2013",E499="",G499="NPN05"),H499,"")</f>
        <v/>
      </c>
      <c r="AU499" s="44" t="str">
        <f>IF(AND(C499=Master!$H$3,B499="2012-2013",E499&gt;1000,G499="NPN05"),H499,"")</f>
        <v/>
      </c>
      <c r="AV499" s="44" t="str">
        <f>IF(AND(C499=Master!$H$3,B499="2012-2013",E499="",G499="NPN05"),H499,"")</f>
        <v/>
      </c>
      <c r="AW499" s="44" t="str">
        <f>IF(AND(C499=Master!$H$4,B499="2012-2013",E499&gt;1000,G499="NPN05"),H499,"")</f>
        <v/>
      </c>
      <c r="AX499" s="44" t="str">
        <f>IF(AND(C499=Master!$H$4,B499="2012-2013",E499="",G499="NPN05"),H499,"")</f>
        <v/>
      </c>
      <c r="AY499" s="44" t="str">
        <f>IF(AND(C499=Master!$H$5,B499="2012-2013",E499&gt;1000,G499="NPN05"),H499,"")</f>
        <v/>
      </c>
      <c r="AZ499" s="44" t="str">
        <f>IF(AND(C499=Master!$H$5,B499="2012-2013",E499="",G499="NPN05"),H499,"")</f>
        <v/>
      </c>
      <c r="BA499" s="44" t="str">
        <f>IF(AND(C499=Master!$H$6,B499="2012-2013",E499&gt;1000,G499="NPN05"),H499,"")</f>
        <v/>
      </c>
      <c r="BB499" s="44" t="str">
        <f>IF(AND(C499=Master!$H$6,B499="2012-2013",E499="",G499="NPN05"),H499,"")</f>
        <v/>
      </c>
      <c r="BC499" s="44" t="str">
        <f>IF(AND(C499=Master!$H$7,B499="2012-2013",E499&gt;1000,G499="NPN05"),H499,"")</f>
        <v/>
      </c>
      <c r="BD499" s="44" t="str">
        <f>IF(AND(C499=Master!$H$7,B499="2012-2013",E499="",G499="NPN05"),H499,"")</f>
        <v/>
      </c>
      <c r="BE499" s="44" t="str">
        <f>IF(AND(C499=Master!$H$8,B499="2012-2013",E499&gt;1000,G499="NPN05"),H499,"")</f>
        <v/>
      </c>
      <c r="BF499" s="44" t="str">
        <f>IF(AND(C499=Master!$H$8,B499="2012-2013",E499="",G499="NPN05"),H499,"")</f>
        <v/>
      </c>
      <c r="BG499" s="44" t="str">
        <f>IF(AND(C499=Master!$H$9,B499="2012-2013",E499&gt;1000,G499="NPN05"),H499,"")</f>
        <v/>
      </c>
      <c r="BH499" s="44" t="str">
        <f>IF(AND(C499=Master!$H$9,B499="2012-2013",E499="",G499="NPN05"),H499,"")</f>
        <v/>
      </c>
    </row>
    <row r="500" spans="1:60" x14ac:dyDescent="0.25">
      <c r="A500" s="3">
        <v>498</v>
      </c>
      <c r="B500" s="12"/>
      <c r="C500" s="12"/>
      <c r="D500" s="31"/>
      <c r="E500" s="4"/>
      <c r="F500" s="13"/>
      <c r="G500" s="21"/>
      <c r="H500" s="35"/>
      <c r="I500" s="21"/>
      <c r="J500" s="25" t="str">
        <f>IF(NOT(I500=""),INDEX(Master!$B$1:$B$46,MATCH(I500,Master!$A$1:$A$46,0)),"")</f>
        <v/>
      </c>
      <c r="K500" s="18"/>
      <c r="L500" s="86"/>
      <c r="M500" s="13"/>
      <c r="N500" s="13"/>
      <c r="O500" s="18"/>
      <c r="P500" s="35"/>
      <c r="Q500" s="21"/>
      <c r="R500" s="21"/>
      <c r="S500" s="13"/>
      <c r="T500" s="12"/>
      <c r="U500" s="12"/>
      <c r="V500" s="12"/>
      <c r="W500" s="14"/>
      <c r="Y500" s="42" t="str">
        <f>IF(AND(C500=Master!$H$1,B500="2012-2013",E500&gt;1000,G500="PLN03"),H500,"")</f>
        <v/>
      </c>
      <c r="Z500" s="42" t="str">
        <f>IF(AND(C500=Master!$H$1,B500="2012-2013",E500="",G500="PLN03"),H500,"")</f>
        <v/>
      </c>
      <c r="AA500" s="42" t="str">
        <f>IF(AND(C500=Master!$H$2,B500="2012-2013",E500&gt;1000,G500="PLN03"),H500,"")</f>
        <v/>
      </c>
      <c r="AB500" s="42" t="str">
        <f>IF(AND(C500=Master!$H$2,B500="2012-2013",E500="",G500="PLN03"),H500,"")</f>
        <v/>
      </c>
      <c r="AC500" s="42" t="str">
        <f>IF(AND(C500=Master!$H$3,B500="2012-2013",E500&gt;1000,G500="PLN03"),H500,"")</f>
        <v/>
      </c>
      <c r="AD500" s="42" t="str">
        <f>IF(AND(C500=Master!$H$3,B500="2012-2013",E500="",G500="PLN03"),H500,"")</f>
        <v/>
      </c>
      <c r="AE500" s="42" t="str">
        <f>IF(AND(C500=Master!$H$4,B500="2012-2013",E500&gt;1000,G500="PLN03"),H500,"")</f>
        <v/>
      </c>
      <c r="AF500" s="42" t="str">
        <f>IF(AND(C500=Master!$H$4,B500="2012-2013",E500="",G500="PLN03"),H500,"")</f>
        <v/>
      </c>
      <c r="AG500" s="42" t="str">
        <f>IF(AND(C500=Master!$H$5,B500="2012-2013",E500&gt;1000,G500="PLN03"),H500,"")</f>
        <v/>
      </c>
      <c r="AH500" s="42" t="str">
        <f>IF(AND(C500=Master!$H$5,B500="2012-2013",E500="",G500="PLN03"),H500,"")</f>
        <v/>
      </c>
      <c r="AI500" s="42" t="str">
        <f>IF(AND(C500=Master!$H$6,B500="2012-2013",E500&gt;1000,G500="PLN03"),H500,"")</f>
        <v/>
      </c>
      <c r="AJ500" s="42" t="str">
        <f>IF(AND(C500=Master!$H$6,B500="2012-2013",E500="",G500="PLN03"),H500,"")</f>
        <v/>
      </c>
      <c r="AK500" s="42" t="str">
        <f>IF(AND(C500=Master!$H$7,B500="2012-2013",E500&gt;1000,G500="PLN03"),H500,"")</f>
        <v/>
      </c>
      <c r="AL500" s="42" t="str">
        <f>IF(AND(C500=Master!$H$7,B500="2012-2013",E500="",G500="PLN03"),H500,"")</f>
        <v/>
      </c>
      <c r="AM500" s="42" t="str">
        <f>IF(AND(C500=Master!$H$8,B500="2012-2013",E500&gt;1000,G500="PLN03"),H500,"")</f>
        <v/>
      </c>
      <c r="AN500" s="42" t="str">
        <f>IF(AND(C500=Master!$H$8,B500="2012-2013",E500="",G500="PLN03"),H500,"")</f>
        <v/>
      </c>
      <c r="AO500" s="42" t="str">
        <f>IF(AND(C500=Master!$H$9,B500="2012-2013",E500&gt;1000,G500="PLN03"),H500,"")</f>
        <v/>
      </c>
      <c r="AP500" s="42" t="str">
        <f>IF(AND(C500=Master!$H$9,B500="2012-2013",E500="",G500="PLN03"),H500,"")</f>
        <v/>
      </c>
      <c r="AQ500" s="44" t="str">
        <f>IF(AND(C500=Master!$H$1,B500="2012-2013",E500&gt;1000,G500="NPN05"),H500,"")</f>
        <v/>
      </c>
      <c r="AR500" s="44" t="str">
        <f>IF(AND(C500=Master!$H$1,B500="2012-2013",E500="",G500="NPN05"),H500,"")</f>
        <v/>
      </c>
      <c r="AS500" s="44" t="str">
        <f>IF(AND(C500=Master!$H$2,B500="2012-2013",E500&gt;1000,G500="NPN05"),H500,"")</f>
        <v/>
      </c>
      <c r="AT500" s="44" t="str">
        <f>IF(AND(C500=Master!$H$2,B500="2012-2013",E500="",G500="NPN05"),H500,"")</f>
        <v/>
      </c>
      <c r="AU500" s="44" t="str">
        <f>IF(AND(C500=Master!$H$3,B500="2012-2013",E500&gt;1000,G500="NPN05"),H500,"")</f>
        <v/>
      </c>
      <c r="AV500" s="44" t="str">
        <f>IF(AND(C500=Master!$H$3,B500="2012-2013",E500="",G500="NPN05"),H500,"")</f>
        <v/>
      </c>
      <c r="AW500" s="44" t="str">
        <f>IF(AND(C500=Master!$H$4,B500="2012-2013",E500&gt;1000,G500="NPN05"),H500,"")</f>
        <v/>
      </c>
      <c r="AX500" s="44" t="str">
        <f>IF(AND(C500=Master!$H$4,B500="2012-2013",E500="",G500="NPN05"),H500,"")</f>
        <v/>
      </c>
      <c r="AY500" s="44" t="str">
        <f>IF(AND(C500=Master!$H$5,B500="2012-2013",E500&gt;1000,G500="NPN05"),H500,"")</f>
        <v/>
      </c>
      <c r="AZ500" s="44" t="str">
        <f>IF(AND(C500=Master!$H$5,B500="2012-2013",E500="",G500="NPN05"),H500,"")</f>
        <v/>
      </c>
      <c r="BA500" s="44" t="str">
        <f>IF(AND(C500=Master!$H$6,B500="2012-2013",E500&gt;1000,G500="NPN05"),H500,"")</f>
        <v/>
      </c>
      <c r="BB500" s="44" t="str">
        <f>IF(AND(C500=Master!$H$6,B500="2012-2013",E500="",G500="NPN05"),H500,"")</f>
        <v/>
      </c>
      <c r="BC500" s="44" t="str">
        <f>IF(AND(C500=Master!$H$7,B500="2012-2013",E500&gt;1000,G500="NPN05"),H500,"")</f>
        <v/>
      </c>
      <c r="BD500" s="44" t="str">
        <f>IF(AND(C500=Master!$H$7,B500="2012-2013",E500="",G500="NPN05"),H500,"")</f>
        <v/>
      </c>
      <c r="BE500" s="44" t="str">
        <f>IF(AND(C500=Master!$H$8,B500="2012-2013",E500&gt;1000,G500="NPN05"),H500,"")</f>
        <v/>
      </c>
      <c r="BF500" s="44" t="str">
        <f>IF(AND(C500=Master!$H$8,B500="2012-2013",E500="",G500="NPN05"),H500,"")</f>
        <v/>
      </c>
      <c r="BG500" s="44" t="str">
        <f>IF(AND(C500=Master!$H$9,B500="2012-2013",E500&gt;1000,G500="NPN05"),H500,"")</f>
        <v/>
      </c>
      <c r="BH500" s="44" t="str">
        <f>IF(AND(C500=Master!$H$9,B500="2012-2013",E500="",G500="NPN05"),H500,"")</f>
        <v/>
      </c>
    </row>
    <row r="501" spans="1:60" x14ac:dyDescent="0.25">
      <c r="A501" s="3">
        <v>499</v>
      </c>
      <c r="B501" s="12"/>
      <c r="C501" s="12"/>
      <c r="D501" s="31"/>
      <c r="E501" s="4"/>
      <c r="F501" s="13"/>
      <c r="G501" s="21"/>
      <c r="H501" s="35"/>
      <c r="I501" s="21"/>
      <c r="J501" s="25" t="str">
        <f>IF(NOT(I501=""),INDEX(Master!$B$1:$B$46,MATCH(I501,Master!$A$1:$A$46,0)),"")</f>
        <v/>
      </c>
      <c r="K501" s="18"/>
      <c r="L501" s="86"/>
      <c r="M501" s="13"/>
      <c r="N501" s="13"/>
      <c r="O501" s="18"/>
      <c r="P501" s="35"/>
      <c r="Q501" s="21"/>
      <c r="R501" s="21"/>
      <c r="S501" s="13"/>
      <c r="T501" s="12"/>
      <c r="U501" s="12"/>
      <c r="V501" s="12"/>
      <c r="W501" s="14"/>
      <c r="Y501" s="42" t="str">
        <f>IF(AND(C501=Master!$H$1,B501="2012-2013",E501&gt;1000,G501="PLN03"),H501,"")</f>
        <v/>
      </c>
      <c r="Z501" s="42" t="str">
        <f>IF(AND(C501=Master!$H$1,B501="2012-2013",E501="",G501="PLN03"),H501,"")</f>
        <v/>
      </c>
      <c r="AA501" s="42" t="str">
        <f>IF(AND(C501=Master!$H$2,B501="2012-2013",E501&gt;1000,G501="PLN03"),H501,"")</f>
        <v/>
      </c>
      <c r="AB501" s="42" t="str">
        <f>IF(AND(C501=Master!$H$2,B501="2012-2013",E501="",G501="PLN03"),H501,"")</f>
        <v/>
      </c>
      <c r="AC501" s="42" t="str">
        <f>IF(AND(C501=Master!$H$3,B501="2012-2013",E501&gt;1000,G501="PLN03"),H501,"")</f>
        <v/>
      </c>
      <c r="AD501" s="42" t="str">
        <f>IF(AND(C501=Master!$H$3,B501="2012-2013",E501="",G501="PLN03"),H501,"")</f>
        <v/>
      </c>
      <c r="AE501" s="42" t="str">
        <f>IF(AND(C501=Master!$H$4,B501="2012-2013",E501&gt;1000,G501="PLN03"),H501,"")</f>
        <v/>
      </c>
      <c r="AF501" s="42" t="str">
        <f>IF(AND(C501=Master!$H$4,B501="2012-2013",E501="",G501="PLN03"),H501,"")</f>
        <v/>
      </c>
      <c r="AG501" s="42" t="str">
        <f>IF(AND(C501=Master!$H$5,B501="2012-2013",E501&gt;1000,G501="PLN03"),H501,"")</f>
        <v/>
      </c>
      <c r="AH501" s="42" t="str">
        <f>IF(AND(C501=Master!$H$5,B501="2012-2013",E501="",G501="PLN03"),H501,"")</f>
        <v/>
      </c>
      <c r="AI501" s="42" t="str">
        <f>IF(AND(C501=Master!$H$6,B501="2012-2013",E501&gt;1000,G501="PLN03"),H501,"")</f>
        <v/>
      </c>
      <c r="AJ501" s="42" t="str">
        <f>IF(AND(C501=Master!$H$6,B501="2012-2013",E501="",G501="PLN03"),H501,"")</f>
        <v/>
      </c>
      <c r="AK501" s="42" t="str">
        <f>IF(AND(C501=Master!$H$7,B501="2012-2013",E501&gt;1000,G501="PLN03"),H501,"")</f>
        <v/>
      </c>
      <c r="AL501" s="42" t="str">
        <f>IF(AND(C501=Master!$H$7,B501="2012-2013",E501="",G501="PLN03"),H501,"")</f>
        <v/>
      </c>
      <c r="AM501" s="42" t="str">
        <f>IF(AND(C501=Master!$H$8,B501="2012-2013",E501&gt;1000,G501="PLN03"),H501,"")</f>
        <v/>
      </c>
      <c r="AN501" s="42" t="str">
        <f>IF(AND(C501=Master!$H$8,B501="2012-2013",E501="",G501="PLN03"),H501,"")</f>
        <v/>
      </c>
      <c r="AO501" s="42" t="str">
        <f>IF(AND(C501=Master!$H$9,B501="2012-2013",E501&gt;1000,G501="PLN03"),H501,"")</f>
        <v/>
      </c>
      <c r="AP501" s="42" t="str">
        <f>IF(AND(C501=Master!$H$9,B501="2012-2013",E501="",G501="PLN03"),H501,"")</f>
        <v/>
      </c>
      <c r="AQ501" s="44" t="str">
        <f>IF(AND(C501=Master!$H$1,B501="2012-2013",E501&gt;1000,G501="NPN05"),H501,"")</f>
        <v/>
      </c>
      <c r="AR501" s="44" t="str">
        <f>IF(AND(C501=Master!$H$1,B501="2012-2013",E501="",G501="NPN05"),H501,"")</f>
        <v/>
      </c>
      <c r="AS501" s="44" t="str">
        <f>IF(AND(C501=Master!$H$2,B501="2012-2013",E501&gt;1000,G501="NPN05"),H501,"")</f>
        <v/>
      </c>
      <c r="AT501" s="44" t="str">
        <f>IF(AND(C501=Master!$H$2,B501="2012-2013",E501="",G501="NPN05"),H501,"")</f>
        <v/>
      </c>
      <c r="AU501" s="44" t="str">
        <f>IF(AND(C501=Master!$H$3,B501="2012-2013",E501&gt;1000,G501="NPN05"),H501,"")</f>
        <v/>
      </c>
      <c r="AV501" s="44" t="str">
        <f>IF(AND(C501=Master!$H$3,B501="2012-2013",E501="",G501="NPN05"),H501,"")</f>
        <v/>
      </c>
      <c r="AW501" s="44" t="str">
        <f>IF(AND(C501=Master!$H$4,B501="2012-2013",E501&gt;1000,G501="NPN05"),H501,"")</f>
        <v/>
      </c>
      <c r="AX501" s="44" t="str">
        <f>IF(AND(C501=Master!$H$4,B501="2012-2013",E501="",G501="NPN05"),H501,"")</f>
        <v/>
      </c>
      <c r="AY501" s="44" t="str">
        <f>IF(AND(C501=Master!$H$5,B501="2012-2013",E501&gt;1000,G501="NPN05"),H501,"")</f>
        <v/>
      </c>
      <c r="AZ501" s="44" t="str">
        <f>IF(AND(C501=Master!$H$5,B501="2012-2013",E501="",G501="NPN05"),H501,"")</f>
        <v/>
      </c>
      <c r="BA501" s="44" t="str">
        <f>IF(AND(C501=Master!$H$6,B501="2012-2013",E501&gt;1000,G501="NPN05"),H501,"")</f>
        <v/>
      </c>
      <c r="BB501" s="44" t="str">
        <f>IF(AND(C501=Master!$H$6,B501="2012-2013",E501="",G501="NPN05"),H501,"")</f>
        <v/>
      </c>
      <c r="BC501" s="44" t="str">
        <f>IF(AND(C501=Master!$H$7,B501="2012-2013",E501&gt;1000,G501="NPN05"),H501,"")</f>
        <v/>
      </c>
      <c r="BD501" s="44" t="str">
        <f>IF(AND(C501=Master!$H$7,B501="2012-2013",E501="",G501="NPN05"),H501,"")</f>
        <v/>
      </c>
      <c r="BE501" s="44" t="str">
        <f>IF(AND(C501=Master!$H$8,B501="2012-2013",E501&gt;1000,G501="NPN05"),H501,"")</f>
        <v/>
      </c>
      <c r="BF501" s="44" t="str">
        <f>IF(AND(C501=Master!$H$8,B501="2012-2013",E501="",G501="NPN05"),H501,"")</f>
        <v/>
      </c>
      <c r="BG501" s="44" t="str">
        <f>IF(AND(C501=Master!$H$9,B501="2012-2013",E501&gt;1000,G501="NPN05"),H501,"")</f>
        <v/>
      </c>
      <c r="BH501" s="44" t="str">
        <f>IF(AND(C501=Master!$H$9,B501="2012-2013",E501="",G501="NPN05"),H501,"")</f>
        <v/>
      </c>
    </row>
    <row r="502" spans="1:60" x14ac:dyDescent="0.25">
      <c r="A502" s="3">
        <v>500</v>
      </c>
      <c r="B502" s="12"/>
      <c r="C502" s="12"/>
      <c r="D502" s="31"/>
      <c r="E502" s="4"/>
      <c r="F502" s="13"/>
      <c r="G502" s="21"/>
      <c r="H502" s="35"/>
      <c r="I502" s="21"/>
      <c r="J502" s="25" t="str">
        <f>IF(NOT(I502=""),INDEX(Master!$B$1:$B$46,MATCH(I502,Master!$A$1:$A$46,0)),"")</f>
        <v/>
      </c>
      <c r="K502" s="18"/>
      <c r="L502" s="86"/>
      <c r="M502" s="13"/>
      <c r="N502" s="13"/>
      <c r="O502" s="18"/>
      <c r="P502" s="35"/>
      <c r="Q502" s="21"/>
      <c r="R502" s="21"/>
      <c r="S502" s="13"/>
      <c r="T502" s="12"/>
      <c r="U502" s="12"/>
      <c r="V502" s="12"/>
      <c r="W502" s="14"/>
      <c r="Y502" s="42" t="str">
        <f>IF(AND(C502=Master!$H$1,B502="2012-2013",E502&gt;1000,G502="PLN03"),H502,"")</f>
        <v/>
      </c>
      <c r="Z502" s="42" t="str">
        <f>IF(AND(C502=Master!$H$1,B502="2012-2013",E502="",G502="PLN03"),H502,"")</f>
        <v/>
      </c>
      <c r="AA502" s="42" t="str">
        <f>IF(AND(C502=Master!$H$2,B502="2012-2013",E502&gt;1000,G502="PLN03"),H502,"")</f>
        <v/>
      </c>
      <c r="AB502" s="42" t="str">
        <f>IF(AND(C502=Master!$H$2,B502="2012-2013",E502="",G502="PLN03"),H502,"")</f>
        <v/>
      </c>
      <c r="AC502" s="42" t="str">
        <f>IF(AND(C502=Master!$H$3,B502="2012-2013",E502&gt;1000,G502="PLN03"),H502,"")</f>
        <v/>
      </c>
      <c r="AD502" s="42" t="str">
        <f>IF(AND(C502=Master!$H$3,B502="2012-2013",E502="",G502="PLN03"),H502,"")</f>
        <v/>
      </c>
      <c r="AE502" s="42" t="str">
        <f>IF(AND(C502=Master!$H$4,B502="2012-2013",E502&gt;1000,G502="PLN03"),H502,"")</f>
        <v/>
      </c>
      <c r="AF502" s="42" t="str">
        <f>IF(AND(C502=Master!$H$4,B502="2012-2013",E502="",G502="PLN03"),H502,"")</f>
        <v/>
      </c>
      <c r="AG502" s="42" t="str">
        <f>IF(AND(C502=Master!$H$5,B502="2012-2013",E502&gt;1000,G502="PLN03"),H502,"")</f>
        <v/>
      </c>
      <c r="AH502" s="42" t="str">
        <f>IF(AND(C502=Master!$H$5,B502="2012-2013",E502="",G502="PLN03"),H502,"")</f>
        <v/>
      </c>
      <c r="AI502" s="42" t="str">
        <f>IF(AND(C502=Master!$H$6,B502="2012-2013",E502&gt;1000,G502="PLN03"),H502,"")</f>
        <v/>
      </c>
      <c r="AJ502" s="42" t="str">
        <f>IF(AND(C502=Master!$H$6,B502="2012-2013",E502="",G502="PLN03"),H502,"")</f>
        <v/>
      </c>
      <c r="AK502" s="42" t="str">
        <f>IF(AND(C502=Master!$H$7,B502="2012-2013",E502&gt;1000,G502="PLN03"),H502,"")</f>
        <v/>
      </c>
      <c r="AL502" s="42" t="str">
        <f>IF(AND(C502=Master!$H$7,B502="2012-2013",E502="",G502="PLN03"),H502,"")</f>
        <v/>
      </c>
      <c r="AM502" s="42" t="str">
        <f>IF(AND(C502=Master!$H$8,B502="2012-2013",E502&gt;1000,G502="PLN03"),H502,"")</f>
        <v/>
      </c>
      <c r="AN502" s="42" t="str">
        <f>IF(AND(C502=Master!$H$8,B502="2012-2013",E502="",G502="PLN03"),H502,"")</f>
        <v/>
      </c>
      <c r="AO502" s="42" t="str">
        <f>IF(AND(C502=Master!$H$9,B502="2012-2013",E502&gt;1000,G502="PLN03"),H502,"")</f>
        <v/>
      </c>
      <c r="AP502" s="42" t="str">
        <f>IF(AND(C502=Master!$H$9,B502="2012-2013",E502="",G502="PLN03"),H502,"")</f>
        <v/>
      </c>
      <c r="AQ502" s="44" t="str">
        <f>IF(AND(C502=Master!$H$1,B502="2012-2013",E502&gt;1000,G502="NPN05"),H502,"")</f>
        <v/>
      </c>
      <c r="AR502" s="44" t="str">
        <f>IF(AND(C502=Master!$H$1,B502="2012-2013",E502="",G502="NPN05"),H502,"")</f>
        <v/>
      </c>
      <c r="AS502" s="44" t="str">
        <f>IF(AND(C502=Master!$H$2,B502="2012-2013",E502&gt;1000,G502="NPN05"),H502,"")</f>
        <v/>
      </c>
      <c r="AT502" s="44" t="str">
        <f>IF(AND(C502=Master!$H$2,B502="2012-2013",E502="",G502="NPN05"),H502,"")</f>
        <v/>
      </c>
      <c r="AU502" s="44" t="str">
        <f>IF(AND(C502=Master!$H$3,B502="2012-2013",E502&gt;1000,G502="NPN05"),H502,"")</f>
        <v/>
      </c>
      <c r="AV502" s="44" t="str">
        <f>IF(AND(C502=Master!$H$3,B502="2012-2013",E502="",G502="NPN05"),H502,"")</f>
        <v/>
      </c>
      <c r="AW502" s="44" t="str">
        <f>IF(AND(C502=Master!$H$4,B502="2012-2013",E502&gt;1000,G502="NPN05"),H502,"")</f>
        <v/>
      </c>
      <c r="AX502" s="44" t="str">
        <f>IF(AND(C502=Master!$H$4,B502="2012-2013",E502="",G502="NPN05"),H502,"")</f>
        <v/>
      </c>
      <c r="AY502" s="44" t="str">
        <f>IF(AND(C502=Master!$H$5,B502="2012-2013",E502&gt;1000,G502="NPN05"),H502,"")</f>
        <v/>
      </c>
      <c r="AZ502" s="44" t="str">
        <f>IF(AND(C502=Master!$H$5,B502="2012-2013",E502="",G502="NPN05"),H502,"")</f>
        <v/>
      </c>
      <c r="BA502" s="44" t="str">
        <f>IF(AND(C502=Master!$H$6,B502="2012-2013",E502&gt;1000,G502="NPN05"),H502,"")</f>
        <v/>
      </c>
      <c r="BB502" s="44" t="str">
        <f>IF(AND(C502=Master!$H$6,B502="2012-2013",E502="",G502="NPN05"),H502,"")</f>
        <v/>
      </c>
      <c r="BC502" s="44" t="str">
        <f>IF(AND(C502=Master!$H$7,B502="2012-2013",E502&gt;1000,G502="NPN05"),H502,"")</f>
        <v/>
      </c>
      <c r="BD502" s="44" t="str">
        <f>IF(AND(C502=Master!$H$7,B502="2012-2013",E502="",G502="NPN05"),H502,"")</f>
        <v/>
      </c>
      <c r="BE502" s="44" t="str">
        <f>IF(AND(C502=Master!$H$8,B502="2012-2013",E502&gt;1000,G502="NPN05"),H502,"")</f>
        <v/>
      </c>
      <c r="BF502" s="44" t="str">
        <f>IF(AND(C502=Master!$H$8,B502="2012-2013",E502="",G502="NPN05"),H502,"")</f>
        <v/>
      </c>
      <c r="BG502" s="44" t="str">
        <f>IF(AND(C502=Master!$H$9,B502="2012-2013",E502&gt;1000,G502="NPN05"),H502,"")</f>
        <v/>
      </c>
      <c r="BH502" s="44" t="str">
        <f>IF(AND(C502=Master!$H$9,B502="2012-2013",E502="",G502="NPN05"),H502,"")</f>
        <v/>
      </c>
    </row>
    <row r="503" spans="1:60" x14ac:dyDescent="0.25">
      <c r="A503" s="3">
        <v>501</v>
      </c>
      <c r="B503" s="12"/>
      <c r="C503" s="12"/>
      <c r="D503" s="31"/>
      <c r="E503" s="4"/>
      <c r="F503" s="13"/>
      <c r="G503" s="21"/>
      <c r="H503" s="35"/>
      <c r="I503" s="21"/>
      <c r="J503" s="25" t="str">
        <f>IF(NOT(I503=""),INDEX(Master!$B$1:$B$46,MATCH(I503,Master!$A$1:$A$46,0)),"")</f>
        <v/>
      </c>
      <c r="K503" s="18"/>
      <c r="L503" s="86"/>
      <c r="M503" s="13"/>
      <c r="N503" s="13"/>
      <c r="O503" s="18"/>
      <c r="P503" s="35"/>
      <c r="Q503" s="21"/>
      <c r="R503" s="21"/>
      <c r="S503" s="13"/>
      <c r="T503" s="12"/>
      <c r="U503" s="12"/>
      <c r="V503" s="12"/>
      <c r="W503" s="14"/>
      <c r="Y503" s="42" t="str">
        <f>IF(AND(C503=Master!$H$1,B503="2012-2013",E503&gt;1000,G503="PLN03"),H503,"")</f>
        <v/>
      </c>
      <c r="Z503" s="42" t="str">
        <f>IF(AND(C503=Master!$H$1,B503="2012-2013",E503="",G503="PLN03"),H503,"")</f>
        <v/>
      </c>
      <c r="AA503" s="42" t="str">
        <f>IF(AND(C503=Master!$H$2,B503="2012-2013",E503&gt;1000,G503="PLN03"),H503,"")</f>
        <v/>
      </c>
      <c r="AB503" s="42" t="str">
        <f>IF(AND(C503=Master!$H$2,B503="2012-2013",E503="",G503="PLN03"),H503,"")</f>
        <v/>
      </c>
      <c r="AC503" s="42" t="str">
        <f>IF(AND(C503=Master!$H$3,B503="2012-2013",E503&gt;1000,G503="PLN03"),H503,"")</f>
        <v/>
      </c>
      <c r="AD503" s="42" t="str">
        <f>IF(AND(C503=Master!$H$3,B503="2012-2013",E503="",G503="PLN03"),H503,"")</f>
        <v/>
      </c>
      <c r="AE503" s="42" t="str">
        <f>IF(AND(C503=Master!$H$4,B503="2012-2013",E503&gt;1000,G503="PLN03"),H503,"")</f>
        <v/>
      </c>
      <c r="AF503" s="42" t="str">
        <f>IF(AND(C503=Master!$H$4,B503="2012-2013",E503="",G503="PLN03"),H503,"")</f>
        <v/>
      </c>
      <c r="AG503" s="42" t="str">
        <f>IF(AND(C503=Master!$H$5,B503="2012-2013",E503&gt;1000,G503="PLN03"),H503,"")</f>
        <v/>
      </c>
      <c r="AH503" s="42" t="str">
        <f>IF(AND(C503=Master!$H$5,B503="2012-2013",E503="",G503="PLN03"),H503,"")</f>
        <v/>
      </c>
      <c r="AI503" s="42" t="str">
        <f>IF(AND(C503=Master!$H$6,B503="2012-2013",E503&gt;1000,G503="PLN03"),H503,"")</f>
        <v/>
      </c>
      <c r="AJ503" s="42" t="str">
        <f>IF(AND(C503=Master!$H$6,B503="2012-2013",E503="",G503="PLN03"),H503,"")</f>
        <v/>
      </c>
      <c r="AK503" s="42" t="str">
        <f>IF(AND(C503=Master!$H$7,B503="2012-2013",E503&gt;1000,G503="PLN03"),H503,"")</f>
        <v/>
      </c>
      <c r="AL503" s="42" t="str">
        <f>IF(AND(C503=Master!$H$7,B503="2012-2013",E503="",G503="PLN03"),H503,"")</f>
        <v/>
      </c>
      <c r="AM503" s="42" t="str">
        <f>IF(AND(C503=Master!$H$8,B503="2012-2013",E503&gt;1000,G503="PLN03"),H503,"")</f>
        <v/>
      </c>
      <c r="AN503" s="42" t="str">
        <f>IF(AND(C503=Master!$H$8,B503="2012-2013",E503="",G503="PLN03"),H503,"")</f>
        <v/>
      </c>
      <c r="AO503" s="42" t="str">
        <f>IF(AND(C503=Master!$H$9,B503="2012-2013",E503&gt;1000,G503="PLN03"),H503,"")</f>
        <v/>
      </c>
      <c r="AP503" s="42" t="str">
        <f>IF(AND(C503=Master!$H$9,B503="2012-2013",E503="",G503="PLN03"),H503,"")</f>
        <v/>
      </c>
      <c r="AQ503" s="44" t="str">
        <f>IF(AND(C503=Master!$H$1,B503="2012-2013",E503&gt;1000,G503="NPN05"),H503,"")</f>
        <v/>
      </c>
      <c r="AR503" s="44" t="str">
        <f>IF(AND(C503=Master!$H$1,B503="2012-2013",E503="",G503="NPN05"),H503,"")</f>
        <v/>
      </c>
      <c r="AS503" s="44" t="str">
        <f>IF(AND(C503=Master!$H$2,B503="2012-2013",E503&gt;1000,G503="NPN05"),H503,"")</f>
        <v/>
      </c>
      <c r="AT503" s="44" t="str">
        <f>IF(AND(C503=Master!$H$2,B503="2012-2013",E503="",G503="NPN05"),H503,"")</f>
        <v/>
      </c>
      <c r="AU503" s="44" t="str">
        <f>IF(AND(C503=Master!$H$3,B503="2012-2013",E503&gt;1000,G503="NPN05"),H503,"")</f>
        <v/>
      </c>
      <c r="AV503" s="44" t="str">
        <f>IF(AND(C503=Master!$H$3,B503="2012-2013",E503="",G503="NPN05"),H503,"")</f>
        <v/>
      </c>
      <c r="AW503" s="44" t="str">
        <f>IF(AND(C503=Master!$H$4,B503="2012-2013",E503&gt;1000,G503="NPN05"),H503,"")</f>
        <v/>
      </c>
      <c r="AX503" s="44" t="str">
        <f>IF(AND(C503=Master!$H$4,B503="2012-2013",E503="",G503="NPN05"),H503,"")</f>
        <v/>
      </c>
      <c r="AY503" s="44" t="str">
        <f>IF(AND(C503=Master!$H$5,B503="2012-2013",E503&gt;1000,G503="NPN05"),H503,"")</f>
        <v/>
      </c>
      <c r="AZ503" s="44" t="str">
        <f>IF(AND(C503=Master!$H$5,B503="2012-2013",E503="",G503="NPN05"),H503,"")</f>
        <v/>
      </c>
      <c r="BA503" s="44" t="str">
        <f>IF(AND(C503=Master!$H$6,B503="2012-2013",E503&gt;1000,G503="NPN05"),H503,"")</f>
        <v/>
      </c>
      <c r="BB503" s="44" t="str">
        <f>IF(AND(C503=Master!$H$6,B503="2012-2013",E503="",G503="NPN05"),H503,"")</f>
        <v/>
      </c>
      <c r="BC503" s="44" t="str">
        <f>IF(AND(C503=Master!$H$7,B503="2012-2013",E503&gt;1000,G503="NPN05"),H503,"")</f>
        <v/>
      </c>
      <c r="BD503" s="44" t="str">
        <f>IF(AND(C503=Master!$H$7,B503="2012-2013",E503="",G503="NPN05"),H503,"")</f>
        <v/>
      </c>
      <c r="BE503" s="44" t="str">
        <f>IF(AND(C503=Master!$H$8,B503="2012-2013",E503&gt;1000,G503="NPN05"),H503,"")</f>
        <v/>
      </c>
      <c r="BF503" s="44" t="str">
        <f>IF(AND(C503=Master!$H$8,B503="2012-2013",E503="",G503="NPN05"),H503,"")</f>
        <v/>
      </c>
      <c r="BG503" s="44" t="str">
        <f>IF(AND(C503=Master!$H$9,B503="2012-2013",E503&gt;1000,G503="NPN05"),H503,"")</f>
        <v/>
      </c>
      <c r="BH503" s="44" t="str">
        <f>IF(AND(C503=Master!$H$9,B503="2012-2013",E503="",G503="NPN05"),H503,"")</f>
        <v/>
      </c>
    </row>
    <row r="504" spans="1:60" x14ac:dyDescent="0.25">
      <c r="A504" s="3">
        <v>502</v>
      </c>
      <c r="B504" s="12"/>
      <c r="C504" s="12"/>
      <c r="D504" s="31"/>
      <c r="E504" s="4"/>
      <c r="F504" s="13"/>
      <c r="G504" s="21"/>
      <c r="H504" s="35"/>
      <c r="I504" s="21"/>
      <c r="J504" s="25" t="str">
        <f>IF(NOT(I504=""),INDEX(Master!$B$1:$B$46,MATCH(I504,Master!$A$1:$A$46,0)),"")</f>
        <v/>
      </c>
      <c r="K504" s="18"/>
      <c r="L504" s="86"/>
      <c r="M504" s="13"/>
      <c r="N504" s="13"/>
      <c r="O504" s="18"/>
      <c r="P504" s="35"/>
      <c r="Q504" s="21"/>
      <c r="R504" s="21"/>
      <c r="S504" s="13"/>
      <c r="T504" s="12"/>
      <c r="U504" s="12"/>
      <c r="V504" s="12"/>
      <c r="W504" s="14"/>
      <c r="Y504" s="42" t="str">
        <f>IF(AND(C504=Master!$H$1,B504="2012-2013",E504&gt;1000,G504="PLN03"),H504,"")</f>
        <v/>
      </c>
      <c r="Z504" s="42" t="str">
        <f>IF(AND(C504=Master!$H$1,B504="2012-2013",E504="",G504="PLN03"),H504,"")</f>
        <v/>
      </c>
      <c r="AA504" s="42" t="str">
        <f>IF(AND(C504=Master!$H$2,B504="2012-2013",E504&gt;1000,G504="PLN03"),H504,"")</f>
        <v/>
      </c>
      <c r="AB504" s="42" t="str">
        <f>IF(AND(C504=Master!$H$2,B504="2012-2013",E504="",G504="PLN03"),H504,"")</f>
        <v/>
      </c>
      <c r="AC504" s="42" t="str">
        <f>IF(AND(C504=Master!$H$3,B504="2012-2013",E504&gt;1000,G504="PLN03"),H504,"")</f>
        <v/>
      </c>
      <c r="AD504" s="42" t="str">
        <f>IF(AND(C504=Master!$H$3,B504="2012-2013",E504="",G504="PLN03"),H504,"")</f>
        <v/>
      </c>
      <c r="AE504" s="42" t="str">
        <f>IF(AND(C504=Master!$H$4,B504="2012-2013",E504&gt;1000,G504="PLN03"),H504,"")</f>
        <v/>
      </c>
      <c r="AF504" s="42" t="str">
        <f>IF(AND(C504=Master!$H$4,B504="2012-2013",E504="",G504="PLN03"),H504,"")</f>
        <v/>
      </c>
      <c r="AG504" s="42" t="str">
        <f>IF(AND(C504=Master!$H$5,B504="2012-2013",E504&gt;1000,G504="PLN03"),H504,"")</f>
        <v/>
      </c>
      <c r="AH504" s="42" t="str">
        <f>IF(AND(C504=Master!$H$5,B504="2012-2013",E504="",G504="PLN03"),H504,"")</f>
        <v/>
      </c>
      <c r="AI504" s="42" t="str">
        <f>IF(AND(C504=Master!$H$6,B504="2012-2013",E504&gt;1000,G504="PLN03"),H504,"")</f>
        <v/>
      </c>
      <c r="AJ504" s="42" t="str">
        <f>IF(AND(C504=Master!$H$6,B504="2012-2013",E504="",G504="PLN03"),H504,"")</f>
        <v/>
      </c>
      <c r="AK504" s="42" t="str">
        <f>IF(AND(C504=Master!$H$7,B504="2012-2013",E504&gt;1000,G504="PLN03"),H504,"")</f>
        <v/>
      </c>
      <c r="AL504" s="42" t="str">
        <f>IF(AND(C504=Master!$H$7,B504="2012-2013",E504="",G504="PLN03"),H504,"")</f>
        <v/>
      </c>
      <c r="AM504" s="42" t="str">
        <f>IF(AND(C504=Master!$H$8,B504="2012-2013",E504&gt;1000,G504="PLN03"),H504,"")</f>
        <v/>
      </c>
      <c r="AN504" s="42" t="str">
        <f>IF(AND(C504=Master!$H$8,B504="2012-2013",E504="",G504="PLN03"),H504,"")</f>
        <v/>
      </c>
      <c r="AO504" s="42" t="str">
        <f>IF(AND(C504=Master!$H$9,B504="2012-2013",E504&gt;1000,G504="PLN03"),H504,"")</f>
        <v/>
      </c>
      <c r="AP504" s="42" t="str">
        <f>IF(AND(C504=Master!$H$9,B504="2012-2013",E504="",G504="PLN03"),H504,"")</f>
        <v/>
      </c>
      <c r="AQ504" s="44" t="str">
        <f>IF(AND(C504=Master!$H$1,B504="2012-2013",E504&gt;1000,G504="NPN05"),H504,"")</f>
        <v/>
      </c>
      <c r="AR504" s="44" t="str">
        <f>IF(AND(C504=Master!$H$1,B504="2012-2013",E504="",G504="NPN05"),H504,"")</f>
        <v/>
      </c>
      <c r="AS504" s="44" t="str">
        <f>IF(AND(C504=Master!$H$2,B504="2012-2013",E504&gt;1000,G504="NPN05"),H504,"")</f>
        <v/>
      </c>
      <c r="AT504" s="44" t="str">
        <f>IF(AND(C504=Master!$H$2,B504="2012-2013",E504="",G504="NPN05"),H504,"")</f>
        <v/>
      </c>
      <c r="AU504" s="44" t="str">
        <f>IF(AND(C504=Master!$H$3,B504="2012-2013",E504&gt;1000,G504="NPN05"),H504,"")</f>
        <v/>
      </c>
      <c r="AV504" s="44" t="str">
        <f>IF(AND(C504=Master!$H$3,B504="2012-2013",E504="",G504="NPN05"),H504,"")</f>
        <v/>
      </c>
      <c r="AW504" s="44" t="str">
        <f>IF(AND(C504=Master!$H$4,B504="2012-2013",E504&gt;1000,G504="NPN05"),H504,"")</f>
        <v/>
      </c>
      <c r="AX504" s="44" t="str">
        <f>IF(AND(C504=Master!$H$4,B504="2012-2013",E504="",G504="NPN05"),H504,"")</f>
        <v/>
      </c>
      <c r="AY504" s="44" t="str">
        <f>IF(AND(C504=Master!$H$5,B504="2012-2013",E504&gt;1000,G504="NPN05"),H504,"")</f>
        <v/>
      </c>
      <c r="AZ504" s="44" t="str">
        <f>IF(AND(C504=Master!$H$5,B504="2012-2013",E504="",G504="NPN05"),H504,"")</f>
        <v/>
      </c>
      <c r="BA504" s="44" t="str">
        <f>IF(AND(C504=Master!$H$6,B504="2012-2013",E504&gt;1000,G504="NPN05"),H504,"")</f>
        <v/>
      </c>
      <c r="BB504" s="44" t="str">
        <f>IF(AND(C504=Master!$H$6,B504="2012-2013",E504="",G504="NPN05"),H504,"")</f>
        <v/>
      </c>
      <c r="BC504" s="44" t="str">
        <f>IF(AND(C504=Master!$H$7,B504="2012-2013",E504&gt;1000,G504="NPN05"),H504,"")</f>
        <v/>
      </c>
      <c r="BD504" s="44" t="str">
        <f>IF(AND(C504=Master!$H$7,B504="2012-2013",E504="",G504="NPN05"),H504,"")</f>
        <v/>
      </c>
      <c r="BE504" s="44" t="str">
        <f>IF(AND(C504=Master!$H$8,B504="2012-2013",E504&gt;1000,G504="NPN05"),H504,"")</f>
        <v/>
      </c>
      <c r="BF504" s="44" t="str">
        <f>IF(AND(C504=Master!$H$8,B504="2012-2013",E504="",G504="NPN05"),H504,"")</f>
        <v/>
      </c>
      <c r="BG504" s="44" t="str">
        <f>IF(AND(C504=Master!$H$9,B504="2012-2013",E504&gt;1000,G504="NPN05"),H504,"")</f>
        <v/>
      </c>
      <c r="BH504" s="44" t="str">
        <f>IF(AND(C504=Master!$H$9,B504="2012-2013",E504="",G504="NPN05"),H504,"")</f>
        <v/>
      </c>
    </row>
    <row r="505" spans="1:60" x14ac:dyDescent="0.25">
      <c r="A505" s="3">
        <v>503</v>
      </c>
      <c r="B505" s="12"/>
      <c r="C505" s="12"/>
      <c r="D505" s="31"/>
      <c r="E505" s="4"/>
      <c r="F505" s="13"/>
      <c r="G505" s="21"/>
      <c r="H505" s="35"/>
      <c r="I505" s="21"/>
      <c r="J505" s="25" t="str">
        <f>IF(NOT(I505=""),INDEX(Master!$B$1:$B$46,MATCH(I505,Master!$A$1:$A$46,0)),"")</f>
        <v/>
      </c>
      <c r="K505" s="18"/>
      <c r="L505" s="86"/>
      <c r="M505" s="13"/>
      <c r="N505" s="13"/>
      <c r="O505" s="18"/>
      <c r="P505" s="35"/>
      <c r="Q505" s="21"/>
      <c r="R505" s="21"/>
      <c r="S505" s="13"/>
      <c r="T505" s="12"/>
      <c r="U505" s="12"/>
      <c r="V505" s="12"/>
      <c r="W505" s="14"/>
      <c r="Y505" s="42" t="str">
        <f>IF(AND(C505=Master!$H$1,B505="2012-2013",E505&gt;1000,G505="PLN03"),H505,"")</f>
        <v/>
      </c>
      <c r="Z505" s="42" t="str">
        <f>IF(AND(C505=Master!$H$1,B505="2012-2013",E505="",G505="PLN03"),H505,"")</f>
        <v/>
      </c>
      <c r="AA505" s="42" t="str">
        <f>IF(AND(C505=Master!$H$2,B505="2012-2013",E505&gt;1000,G505="PLN03"),H505,"")</f>
        <v/>
      </c>
      <c r="AB505" s="42" t="str">
        <f>IF(AND(C505=Master!$H$2,B505="2012-2013",E505="",G505="PLN03"),H505,"")</f>
        <v/>
      </c>
      <c r="AC505" s="42" t="str">
        <f>IF(AND(C505=Master!$H$3,B505="2012-2013",E505&gt;1000,G505="PLN03"),H505,"")</f>
        <v/>
      </c>
      <c r="AD505" s="42" t="str">
        <f>IF(AND(C505=Master!$H$3,B505="2012-2013",E505="",G505="PLN03"),H505,"")</f>
        <v/>
      </c>
      <c r="AE505" s="42" t="str">
        <f>IF(AND(C505=Master!$H$4,B505="2012-2013",E505&gt;1000,G505="PLN03"),H505,"")</f>
        <v/>
      </c>
      <c r="AF505" s="42" t="str">
        <f>IF(AND(C505=Master!$H$4,B505="2012-2013",E505="",G505="PLN03"),H505,"")</f>
        <v/>
      </c>
      <c r="AG505" s="42" t="str">
        <f>IF(AND(C505=Master!$H$5,B505="2012-2013",E505&gt;1000,G505="PLN03"),H505,"")</f>
        <v/>
      </c>
      <c r="AH505" s="42" t="str">
        <f>IF(AND(C505=Master!$H$5,B505="2012-2013",E505="",G505="PLN03"),H505,"")</f>
        <v/>
      </c>
      <c r="AI505" s="42" t="str">
        <f>IF(AND(C505=Master!$H$6,B505="2012-2013",E505&gt;1000,G505="PLN03"),H505,"")</f>
        <v/>
      </c>
      <c r="AJ505" s="42" t="str">
        <f>IF(AND(C505=Master!$H$6,B505="2012-2013",E505="",G505="PLN03"),H505,"")</f>
        <v/>
      </c>
      <c r="AK505" s="42" t="str">
        <f>IF(AND(C505=Master!$H$7,B505="2012-2013",E505&gt;1000,G505="PLN03"),H505,"")</f>
        <v/>
      </c>
      <c r="AL505" s="42" t="str">
        <f>IF(AND(C505=Master!$H$7,B505="2012-2013",E505="",G505="PLN03"),H505,"")</f>
        <v/>
      </c>
      <c r="AM505" s="42" t="str">
        <f>IF(AND(C505=Master!$H$8,B505="2012-2013",E505&gt;1000,G505="PLN03"),H505,"")</f>
        <v/>
      </c>
      <c r="AN505" s="42" t="str">
        <f>IF(AND(C505=Master!$H$8,B505="2012-2013",E505="",G505="PLN03"),H505,"")</f>
        <v/>
      </c>
      <c r="AO505" s="42" t="str">
        <f>IF(AND(C505=Master!$H$9,B505="2012-2013",E505&gt;1000,G505="PLN03"),H505,"")</f>
        <v/>
      </c>
      <c r="AP505" s="42" t="str">
        <f>IF(AND(C505=Master!$H$9,B505="2012-2013",E505="",G505="PLN03"),H505,"")</f>
        <v/>
      </c>
      <c r="AQ505" s="44" t="str">
        <f>IF(AND(C505=Master!$H$1,B505="2012-2013",E505&gt;1000,G505="NPN05"),H505,"")</f>
        <v/>
      </c>
      <c r="AR505" s="44" t="str">
        <f>IF(AND(C505=Master!$H$1,B505="2012-2013",E505="",G505="NPN05"),H505,"")</f>
        <v/>
      </c>
      <c r="AS505" s="44" t="str">
        <f>IF(AND(C505=Master!$H$2,B505="2012-2013",E505&gt;1000,G505="NPN05"),H505,"")</f>
        <v/>
      </c>
      <c r="AT505" s="44" t="str">
        <f>IF(AND(C505=Master!$H$2,B505="2012-2013",E505="",G505="NPN05"),H505,"")</f>
        <v/>
      </c>
      <c r="AU505" s="44" t="str">
        <f>IF(AND(C505=Master!$H$3,B505="2012-2013",E505&gt;1000,G505="NPN05"),H505,"")</f>
        <v/>
      </c>
      <c r="AV505" s="44" t="str">
        <f>IF(AND(C505=Master!$H$3,B505="2012-2013",E505="",G505="NPN05"),H505,"")</f>
        <v/>
      </c>
      <c r="AW505" s="44" t="str">
        <f>IF(AND(C505=Master!$H$4,B505="2012-2013",E505&gt;1000,G505="NPN05"),H505,"")</f>
        <v/>
      </c>
      <c r="AX505" s="44" t="str">
        <f>IF(AND(C505=Master!$H$4,B505="2012-2013",E505="",G505="NPN05"),H505,"")</f>
        <v/>
      </c>
      <c r="AY505" s="44" t="str">
        <f>IF(AND(C505=Master!$H$5,B505="2012-2013",E505&gt;1000,G505="NPN05"),H505,"")</f>
        <v/>
      </c>
      <c r="AZ505" s="44" t="str">
        <f>IF(AND(C505=Master!$H$5,B505="2012-2013",E505="",G505="NPN05"),H505,"")</f>
        <v/>
      </c>
      <c r="BA505" s="44" t="str">
        <f>IF(AND(C505=Master!$H$6,B505="2012-2013",E505&gt;1000,G505="NPN05"),H505,"")</f>
        <v/>
      </c>
      <c r="BB505" s="44" t="str">
        <f>IF(AND(C505=Master!$H$6,B505="2012-2013",E505="",G505="NPN05"),H505,"")</f>
        <v/>
      </c>
      <c r="BC505" s="44" t="str">
        <f>IF(AND(C505=Master!$H$7,B505="2012-2013",E505&gt;1000,G505="NPN05"),H505,"")</f>
        <v/>
      </c>
      <c r="BD505" s="44" t="str">
        <f>IF(AND(C505=Master!$H$7,B505="2012-2013",E505="",G505="NPN05"),H505,"")</f>
        <v/>
      </c>
      <c r="BE505" s="44" t="str">
        <f>IF(AND(C505=Master!$H$8,B505="2012-2013",E505&gt;1000,G505="NPN05"),H505,"")</f>
        <v/>
      </c>
      <c r="BF505" s="44" t="str">
        <f>IF(AND(C505=Master!$H$8,B505="2012-2013",E505="",G505="NPN05"),H505,"")</f>
        <v/>
      </c>
      <c r="BG505" s="44" t="str">
        <f>IF(AND(C505=Master!$H$9,B505="2012-2013",E505&gt;1000,G505="NPN05"),H505,"")</f>
        <v/>
      </c>
      <c r="BH505" s="44" t="str">
        <f>IF(AND(C505=Master!$H$9,B505="2012-2013",E505="",G505="NPN05"),H505,"")</f>
        <v/>
      </c>
    </row>
    <row r="506" spans="1:60" x14ac:dyDescent="0.25">
      <c r="A506" s="3">
        <v>504</v>
      </c>
      <c r="B506" s="12"/>
      <c r="C506" s="12"/>
      <c r="D506" s="31"/>
      <c r="E506" s="4"/>
      <c r="F506" s="13"/>
      <c r="G506" s="21"/>
      <c r="H506" s="35"/>
      <c r="I506" s="21"/>
      <c r="J506" s="25" t="str">
        <f>IF(NOT(I506=""),INDEX(Master!$B$1:$B$46,MATCH(I506,Master!$A$1:$A$46,0)),"")</f>
        <v/>
      </c>
      <c r="K506" s="18"/>
      <c r="L506" s="86"/>
      <c r="M506" s="13"/>
      <c r="N506" s="13"/>
      <c r="O506" s="18"/>
      <c r="P506" s="35"/>
      <c r="Q506" s="21"/>
      <c r="R506" s="21"/>
      <c r="S506" s="13"/>
      <c r="T506" s="12"/>
      <c r="U506" s="12"/>
      <c r="V506" s="12"/>
      <c r="W506" s="14"/>
      <c r="Y506" s="42" t="str">
        <f>IF(AND(C506=Master!$H$1,B506="2012-2013",E506&gt;1000,G506="PLN03"),H506,"")</f>
        <v/>
      </c>
      <c r="Z506" s="42" t="str">
        <f>IF(AND(C506=Master!$H$1,B506="2012-2013",E506="",G506="PLN03"),H506,"")</f>
        <v/>
      </c>
      <c r="AA506" s="42" t="str">
        <f>IF(AND(C506=Master!$H$2,B506="2012-2013",E506&gt;1000,G506="PLN03"),H506,"")</f>
        <v/>
      </c>
      <c r="AB506" s="42" t="str">
        <f>IF(AND(C506=Master!$H$2,B506="2012-2013",E506="",G506="PLN03"),H506,"")</f>
        <v/>
      </c>
      <c r="AC506" s="42" t="str">
        <f>IF(AND(C506=Master!$H$3,B506="2012-2013",E506&gt;1000,G506="PLN03"),H506,"")</f>
        <v/>
      </c>
      <c r="AD506" s="42" t="str">
        <f>IF(AND(C506=Master!$H$3,B506="2012-2013",E506="",G506="PLN03"),H506,"")</f>
        <v/>
      </c>
      <c r="AE506" s="42" t="str">
        <f>IF(AND(C506=Master!$H$4,B506="2012-2013",E506&gt;1000,G506="PLN03"),H506,"")</f>
        <v/>
      </c>
      <c r="AF506" s="42" t="str">
        <f>IF(AND(C506=Master!$H$4,B506="2012-2013",E506="",G506="PLN03"),H506,"")</f>
        <v/>
      </c>
      <c r="AG506" s="42" t="str">
        <f>IF(AND(C506=Master!$H$5,B506="2012-2013",E506&gt;1000,G506="PLN03"),H506,"")</f>
        <v/>
      </c>
      <c r="AH506" s="42" t="str">
        <f>IF(AND(C506=Master!$H$5,B506="2012-2013",E506="",G506="PLN03"),H506,"")</f>
        <v/>
      </c>
      <c r="AI506" s="42" t="str">
        <f>IF(AND(C506=Master!$H$6,B506="2012-2013",E506&gt;1000,G506="PLN03"),H506,"")</f>
        <v/>
      </c>
      <c r="AJ506" s="42" t="str">
        <f>IF(AND(C506=Master!$H$6,B506="2012-2013",E506="",G506="PLN03"),H506,"")</f>
        <v/>
      </c>
      <c r="AK506" s="42" t="str">
        <f>IF(AND(C506=Master!$H$7,B506="2012-2013",E506&gt;1000,G506="PLN03"),H506,"")</f>
        <v/>
      </c>
      <c r="AL506" s="42" t="str">
        <f>IF(AND(C506=Master!$H$7,B506="2012-2013",E506="",G506="PLN03"),H506,"")</f>
        <v/>
      </c>
      <c r="AM506" s="42" t="str">
        <f>IF(AND(C506=Master!$H$8,B506="2012-2013",E506&gt;1000,G506="PLN03"),H506,"")</f>
        <v/>
      </c>
      <c r="AN506" s="42" t="str">
        <f>IF(AND(C506=Master!$H$8,B506="2012-2013",E506="",G506="PLN03"),H506,"")</f>
        <v/>
      </c>
      <c r="AO506" s="42" t="str">
        <f>IF(AND(C506=Master!$H$9,B506="2012-2013",E506&gt;1000,G506="PLN03"),H506,"")</f>
        <v/>
      </c>
      <c r="AP506" s="42" t="str">
        <f>IF(AND(C506=Master!$H$9,B506="2012-2013",E506="",G506="PLN03"),H506,"")</f>
        <v/>
      </c>
      <c r="AQ506" s="44" t="str">
        <f>IF(AND(C506=Master!$H$1,B506="2012-2013",E506&gt;1000,G506="NPN05"),H506,"")</f>
        <v/>
      </c>
      <c r="AR506" s="44" t="str">
        <f>IF(AND(C506=Master!$H$1,B506="2012-2013",E506="",G506="NPN05"),H506,"")</f>
        <v/>
      </c>
      <c r="AS506" s="44" t="str">
        <f>IF(AND(C506=Master!$H$2,B506="2012-2013",E506&gt;1000,G506="NPN05"),H506,"")</f>
        <v/>
      </c>
      <c r="AT506" s="44" t="str">
        <f>IF(AND(C506=Master!$H$2,B506="2012-2013",E506="",G506="NPN05"),H506,"")</f>
        <v/>
      </c>
      <c r="AU506" s="44" t="str">
        <f>IF(AND(C506=Master!$H$3,B506="2012-2013",E506&gt;1000,G506="NPN05"),H506,"")</f>
        <v/>
      </c>
      <c r="AV506" s="44" t="str">
        <f>IF(AND(C506=Master!$H$3,B506="2012-2013",E506="",G506="NPN05"),H506,"")</f>
        <v/>
      </c>
      <c r="AW506" s="44" t="str">
        <f>IF(AND(C506=Master!$H$4,B506="2012-2013",E506&gt;1000,G506="NPN05"),H506,"")</f>
        <v/>
      </c>
      <c r="AX506" s="44" t="str">
        <f>IF(AND(C506=Master!$H$4,B506="2012-2013",E506="",G506="NPN05"),H506,"")</f>
        <v/>
      </c>
      <c r="AY506" s="44" t="str">
        <f>IF(AND(C506=Master!$H$5,B506="2012-2013",E506&gt;1000,G506="NPN05"),H506,"")</f>
        <v/>
      </c>
      <c r="AZ506" s="44" t="str">
        <f>IF(AND(C506=Master!$H$5,B506="2012-2013",E506="",G506="NPN05"),H506,"")</f>
        <v/>
      </c>
      <c r="BA506" s="44" t="str">
        <f>IF(AND(C506=Master!$H$6,B506="2012-2013",E506&gt;1000,G506="NPN05"),H506,"")</f>
        <v/>
      </c>
      <c r="BB506" s="44" t="str">
        <f>IF(AND(C506=Master!$H$6,B506="2012-2013",E506="",G506="NPN05"),H506,"")</f>
        <v/>
      </c>
      <c r="BC506" s="44" t="str">
        <f>IF(AND(C506=Master!$H$7,B506="2012-2013",E506&gt;1000,G506="NPN05"),H506,"")</f>
        <v/>
      </c>
      <c r="BD506" s="44" t="str">
        <f>IF(AND(C506=Master!$H$7,B506="2012-2013",E506="",G506="NPN05"),H506,"")</f>
        <v/>
      </c>
      <c r="BE506" s="44" t="str">
        <f>IF(AND(C506=Master!$H$8,B506="2012-2013",E506&gt;1000,G506="NPN05"),H506,"")</f>
        <v/>
      </c>
      <c r="BF506" s="44" t="str">
        <f>IF(AND(C506=Master!$H$8,B506="2012-2013",E506="",G506="NPN05"),H506,"")</f>
        <v/>
      </c>
      <c r="BG506" s="44" t="str">
        <f>IF(AND(C506=Master!$H$9,B506="2012-2013",E506&gt;1000,G506="NPN05"),H506,"")</f>
        <v/>
      </c>
      <c r="BH506" s="44" t="str">
        <f>IF(AND(C506=Master!$H$9,B506="2012-2013",E506="",G506="NPN05"),H506,"")</f>
        <v/>
      </c>
    </row>
    <row r="507" spans="1:60" x14ac:dyDescent="0.25">
      <c r="A507" s="3">
        <v>505</v>
      </c>
      <c r="B507" s="12"/>
      <c r="C507" s="12"/>
      <c r="D507" s="31"/>
      <c r="E507" s="4"/>
      <c r="F507" s="13"/>
      <c r="G507" s="21"/>
      <c r="H507" s="35"/>
      <c r="I507" s="21"/>
      <c r="J507" s="25" t="str">
        <f>IF(NOT(I507=""),INDEX(Master!$B$1:$B$46,MATCH(I507,Master!$A$1:$A$46,0)),"")</f>
        <v/>
      </c>
      <c r="K507" s="18"/>
      <c r="L507" s="86"/>
      <c r="M507" s="13"/>
      <c r="N507" s="13"/>
      <c r="O507" s="18"/>
      <c r="P507" s="35"/>
      <c r="Q507" s="21"/>
      <c r="R507" s="21"/>
      <c r="S507" s="13"/>
      <c r="T507" s="12"/>
      <c r="U507" s="12"/>
      <c r="V507" s="12"/>
      <c r="W507" s="14"/>
      <c r="Y507" s="42" t="str">
        <f>IF(AND(C507=Master!$H$1,B507="2012-2013",E507&gt;1000,G507="PLN03"),H507,"")</f>
        <v/>
      </c>
      <c r="Z507" s="42" t="str">
        <f>IF(AND(C507=Master!$H$1,B507="2012-2013",E507="",G507="PLN03"),H507,"")</f>
        <v/>
      </c>
      <c r="AA507" s="42" t="str">
        <f>IF(AND(C507=Master!$H$2,B507="2012-2013",E507&gt;1000,G507="PLN03"),H507,"")</f>
        <v/>
      </c>
      <c r="AB507" s="42" t="str">
        <f>IF(AND(C507=Master!$H$2,B507="2012-2013",E507="",G507="PLN03"),H507,"")</f>
        <v/>
      </c>
      <c r="AC507" s="42" t="str">
        <f>IF(AND(C507=Master!$H$3,B507="2012-2013",E507&gt;1000,G507="PLN03"),H507,"")</f>
        <v/>
      </c>
      <c r="AD507" s="42" t="str">
        <f>IF(AND(C507=Master!$H$3,B507="2012-2013",E507="",G507="PLN03"),H507,"")</f>
        <v/>
      </c>
      <c r="AE507" s="42" t="str">
        <f>IF(AND(C507=Master!$H$4,B507="2012-2013",E507&gt;1000,G507="PLN03"),H507,"")</f>
        <v/>
      </c>
      <c r="AF507" s="42" t="str">
        <f>IF(AND(C507=Master!$H$4,B507="2012-2013",E507="",G507="PLN03"),H507,"")</f>
        <v/>
      </c>
      <c r="AG507" s="42" t="str">
        <f>IF(AND(C507=Master!$H$5,B507="2012-2013",E507&gt;1000,G507="PLN03"),H507,"")</f>
        <v/>
      </c>
      <c r="AH507" s="42" t="str">
        <f>IF(AND(C507=Master!$H$5,B507="2012-2013",E507="",G507="PLN03"),H507,"")</f>
        <v/>
      </c>
      <c r="AI507" s="42" t="str">
        <f>IF(AND(C507=Master!$H$6,B507="2012-2013",E507&gt;1000,G507="PLN03"),H507,"")</f>
        <v/>
      </c>
      <c r="AJ507" s="42" t="str">
        <f>IF(AND(C507=Master!$H$6,B507="2012-2013",E507="",G507="PLN03"),H507,"")</f>
        <v/>
      </c>
      <c r="AK507" s="42" t="str">
        <f>IF(AND(C507=Master!$H$7,B507="2012-2013",E507&gt;1000,G507="PLN03"),H507,"")</f>
        <v/>
      </c>
      <c r="AL507" s="42" t="str">
        <f>IF(AND(C507=Master!$H$7,B507="2012-2013",E507="",G507="PLN03"),H507,"")</f>
        <v/>
      </c>
      <c r="AM507" s="42" t="str">
        <f>IF(AND(C507=Master!$H$8,B507="2012-2013",E507&gt;1000,G507="PLN03"),H507,"")</f>
        <v/>
      </c>
      <c r="AN507" s="42" t="str">
        <f>IF(AND(C507=Master!$H$8,B507="2012-2013",E507="",G507="PLN03"),H507,"")</f>
        <v/>
      </c>
      <c r="AO507" s="42" t="str">
        <f>IF(AND(C507=Master!$H$9,B507="2012-2013",E507&gt;1000,G507="PLN03"),H507,"")</f>
        <v/>
      </c>
      <c r="AP507" s="42" t="str">
        <f>IF(AND(C507=Master!$H$9,B507="2012-2013",E507="",G507="PLN03"),H507,"")</f>
        <v/>
      </c>
      <c r="AQ507" s="44" t="str">
        <f>IF(AND(C507=Master!$H$1,B507="2012-2013",E507&gt;1000,G507="NPN05"),H507,"")</f>
        <v/>
      </c>
      <c r="AR507" s="44" t="str">
        <f>IF(AND(C507=Master!$H$1,B507="2012-2013",E507="",G507="NPN05"),H507,"")</f>
        <v/>
      </c>
      <c r="AS507" s="44" t="str">
        <f>IF(AND(C507=Master!$H$2,B507="2012-2013",E507&gt;1000,G507="NPN05"),H507,"")</f>
        <v/>
      </c>
      <c r="AT507" s="44" t="str">
        <f>IF(AND(C507=Master!$H$2,B507="2012-2013",E507="",G507="NPN05"),H507,"")</f>
        <v/>
      </c>
      <c r="AU507" s="44" t="str">
        <f>IF(AND(C507=Master!$H$3,B507="2012-2013",E507&gt;1000,G507="NPN05"),H507,"")</f>
        <v/>
      </c>
      <c r="AV507" s="44" t="str">
        <f>IF(AND(C507=Master!$H$3,B507="2012-2013",E507="",G507="NPN05"),H507,"")</f>
        <v/>
      </c>
      <c r="AW507" s="44" t="str">
        <f>IF(AND(C507=Master!$H$4,B507="2012-2013",E507&gt;1000,G507="NPN05"),H507,"")</f>
        <v/>
      </c>
      <c r="AX507" s="44" t="str">
        <f>IF(AND(C507=Master!$H$4,B507="2012-2013",E507="",G507="NPN05"),H507,"")</f>
        <v/>
      </c>
      <c r="AY507" s="44" t="str">
        <f>IF(AND(C507=Master!$H$5,B507="2012-2013",E507&gt;1000,G507="NPN05"),H507,"")</f>
        <v/>
      </c>
      <c r="AZ507" s="44" t="str">
        <f>IF(AND(C507=Master!$H$5,B507="2012-2013",E507="",G507="NPN05"),H507,"")</f>
        <v/>
      </c>
      <c r="BA507" s="44" t="str">
        <f>IF(AND(C507=Master!$H$6,B507="2012-2013",E507&gt;1000,G507="NPN05"),H507,"")</f>
        <v/>
      </c>
      <c r="BB507" s="44" t="str">
        <f>IF(AND(C507=Master!$H$6,B507="2012-2013",E507="",G507="NPN05"),H507,"")</f>
        <v/>
      </c>
      <c r="BC507" s="44" t="str">
        <f>IF(AND(C507=Master!$H$7,B507="2012-2013",E507&gt;1000,G507="NPN05"),H507,"")</f>
        <v/>
      </c>
      <c r="BD507" s="44" t="str">
        <f>IF(AND(C507=Master!$H$7,B507="2012-2013",E507="",G507="NPN05"),H507,"")</f>
        <v/>
      </c>
      <c r="BE507" s="44" t="str">
        <f>IF(AND(C507=Master!$H$8,B507="2012-2013",E507&gt;1000,G507="NPN05"),H507,"")</f>
        <v/>
      </c>
      <c r="BF507" s="44" t="str">
        <f>IF(AND(C507=Master!$H$8,B507="2012-2013",E507="",G507="NPN05"),H507,"")</f>
        <v/>
      </c>
      <c r="BG507" s="44" t="str">
        <f>IF(AND(C507=Master!$H$9,B507="2012-2013",E507&gt;1000,G507="NPN05"),H507,"")</f>
        <v/>
      </c>
      <c r="BH507" s="44" t="str">
        <f>IF(AND(C507=Master!$H$9,B507="2012-2013",E507="",G507="NPN05"),H507,"")</f>
        <v/>
      </c>
    </row>
    <row r="508" spans="1:60" x14ac:dyDescent="0.25">
      <c r="A508" s="5">
        <v>506</v>
      </c>
      <c r="B508" s="12"/>
      <c r="C508" s="12"/>
      <c r="D508" s="31"/>
      <c r="E508" s="4"/>
      <c r="F508" s="13"/>
      <c r="G508" s="21"/>
      <c r="H508" s="35"/>
      <c r="I508" s="21"/>
      <c r="J508" s="25" t="str">
        <f>IF(NOT(I508=""),INDEX(Master!$B$1:$B$46,MATCH(I508,Master!$A$1:$A$46,0)),"")</f>
        <v/>
      </c>
      <c r="K508" s="18"/>
      <c r="L508" s="86"/>
      <c r="M508" s="13"/>
      <c r="N508" s="13"/>
      <c r="O508" s="18"/>
      <c r="P508" s="35"/>
      <c r="Q508" s="21"/>
      <c r="R508" s="21"/>
      <c r="S508" s="13"/>
      <c r="T508" s="12"/>
      <c r="U508" s="12"/>
      <c r="V508" s="12"/>
      <c r="W508" s="14"/>
      <c r="Y508" s="42" t="str">
        <f>IF(AND(C508=Master!$H$1,B508="2012-2013",E508&gt;1000,G508="PLN03"),H508,"")</f>
        <v/>
      </c>
      <c r="Z508" s="42" t="str">
        <f>IF(AND(C508=Master!$H$1,B508="2012-2013",E508="",G508="PLN03"),H508,"")</f>
        <v/>
      </c>
      <c r="AA508" s="42" t="str">
        <f>IF(AND(C508=Master!$H$2,B508="2012-2013",E508&gt;1000,G508="PLN03"),H508,"")</f>
        <v/>
      </c>
      <c r="AB508" s="42" t="str">
        <f>IF(AND(C508=Master!$H$2,B508="2012-2013",E508="",G508="PLN03"),H508,"")</f>
        <v/>
      </c>
      <c r="AC508" s="42" t="str">
        <f>IF(AND(C508=Master!$H$3,B508="2012-2013",E508&gt;1000,G508="PLN03"),H508,"")</f>
        <v/>
      </c>
      <c r="AD508" s="42" t="str">
        <f>IF(AND(C508=Master!$H$3,B508="2012-2013",E508="",G508="PLN03"),H508,"")</f>
        <v/>
      </c>
      <c r="AE508" s="42" t="str">
        <f>IF(AND(C508=Master!$H$4,B508="2012-2013",E508&gt;1000,G508="PLN03"),H508,"")</f>
        <v/>
      </c>
      <c r="AF508" s="42" t="str">
        <f>IF(AND(C508=Master!$H$4,B508="2012-2013",E508="",G508="PLN03"),H508,"")</f>
        <v/>
      </c>
      <c r="AG508" s="42" t="str">
        <f>IF(AND(C508=Master!$H$5,B508="2012-2013",E508&gt;1000,G508="PLN03"),H508,"")</f>
        <v/>
      </c>
      <c r="AH508" s="42" t="str">
        <f>IF(AND(C508=Master!$H$5,B508="2012-2013",E508="",G508="PLN03"),H508,"")</f>
        <v/>
      </c>
      <c r="AI508" s="42" t="str">
        <f>IF(AND(C508=Master!$H$6,B508="2012-2013",E508&gt;1000,G508="PLN03"),H508,"")</f>
        <v/>
      </c>
      <c r="AJ508" s="42" t="str">
        <f>IF(AND(C508=Master!$H$6,B508="2012-2013",E508="",G508="PLN03"),H508,"")</f>
        <v/>
      </c>
      <c r="AK508" s="42" t="str">
        <f>IF(AND(C508=Master!$H$7,B508="2012-2013",E508&gt;1000,G508="PLN03"),H508,"")</f>
        <v/>
      </c>
      <c r="AL508" s="42" t="str">
        <f>IF(AND(C508=Master!$H$7,B508="2012-2013",E508="",G508="PLN03"),H508,"")</f>
        <v/>
      </c>
      <c r="AM508" s="42" t="str">
        <f>IF(AND(C508=Master!$H$8,B508="2012-2013",E508&gt;1000,G508="PLN03"),H508,"")</f>
        <v/>
      </c>
      <c r="AN508" s="42" t="str">
        <f>IF(AND(C508=Master!$H$8,B508="2012-2013",E508="",G508="PLN03"),H508,"")</f>
        <v/>
      </c>
      <c r="AO508" s="42" t="str">
        <f>IF(AND(C508=Master!$H$9,B508="2012-2013",E508&gt;1000,G508="PLN03"),H508,"")</f>
        <v/>
      </c>
      <c r="AP508" s="42" t="str">
        <f>IF(AND(C508=Master!$H$9,B508="2012-2013",E508="",G508="PLN03"),H508,"")</f>
        <v/>
      </c>
      <c r="AQ508" s="44" t="str">
        <f>IF(AND(C508=Master!$H$1,B508="2012-2013",E508&gt;1000,G508="NPN05"),H508,"")</f>
        <v/>
      </c>
      <c r="AR508" s="44" t="str">
        <f>IF(AND(C508=Master!$H$1,B508="2012-2013",E508="",G508="NPN05"),H508,"")</f>
        <v/>
      </c>
      <c r="AS508" s="44" t="str">
        <f>IF(AND(C508=Master!$H$2,B508="2012-2013",E508&gt;1000,G508="NPN05"),H508,"")</f>
        <v/>
      </c>
      <c r="AT508" s="44" t="str">
        <f>IF(AND(C508=Master!$H$2,B508="2012-2013",E508="",G508="NPN05"),H508,"")</f>
        <v/>
      </c>
      <c r="AU508" s="44" t="str">
        <f>IF(AND(C508=Master!$H$3,B508="2012-2013",E508&gt;1000,G508="NPN05"),H508,"")</f>
        <v/>
      </c>
      <c r="AV508" s="44" t="str">
        <f>IF(AND(C508=Master!$H$3,B508="2012-2013",E508="",G508="NPN05"),H508,"")</f>
        <v/>
      </c>
      <c r="AW508" s="44" t="str">
        <f>IF(AND(C508=Master!$H$4,B508="2012-2013",E508&gt;1000,G508="NPN05"),H508,"")</f>
        <v/>
      </c>
      <c r="AX508" s="44" t="str">
        <f>IF(AND(C508=Master!$H$4,B508="2012-2013",E508="",G508="NPN05"),H508,"")</f>
        <v/>
      </c>
      <c r="AY508" s="44" t="str">
        <f>IF(AND(C508=Master!$H$5,B508="2012-2013",E508&gt;1000,G508="NPN05"),H508,"")</f>
        <v/>
      </c>
      <c r="AZ508" s="44" t="str">
        <f>IF(AND(C508=Master!$H$5,B508="2012-2013",E508="",G508="NPN05"),H508,"")</f>
        <v/>
      </c>
      <c r="BA508" s="44" t="str">
        <f>IF(AND(C508=Master!$H$6,B508="2012-2013",E508&gt;1000,G508="NPN05"),H508,"")</f>
        <v/>
      </c>
      <c r="BB508" s="44" t="str">
        <f>IF(AND(C508=Master!$H$6,B508="2012-2013",E508="",G508="NPN05"),H508,"")</f>
        <v/>
      </c>
      <c r="BC508" s="44" t="str">
        <f>IF(AND(C508=Master!$H$7,B508="2012-2013",E508&gt;1000,G508="NPN05"),H508,"")</f>
        <v/>
      </c>
      <c r="BD508" s="44" t="str">
        <f>IF(AND(C508=Master!$H$7,B508="2012-2013",E508="",G508="NPN05"),H508,"")</f>
        <v/>
      </c>
      <c r="BE508" s="44" t="str">
        <f>IF(AND(C508=Master!$H$8,B508="2012-2013",E508&gt;1000,G508="NPN05"),H508,"")</f>
        <v/>
      </c>
      <c r="BF508" s="44" t="str">
        <f>IF(AND(C508=Master!$H$8,B508="2012-2013",E508="",G508="NPN05"),H508,"")</f>
        <v/>
      </c>
      <c r="BG508" s="44" t="str">
        <f>IF(AND(C508=Master!$H$9,B508="2012-2013",E508&gt;1000,G508="NPN05"),H508,"")</f>
        <v/>
      </c>
      <c r="BH508" s="44" t="str">
        <f>IF(AND(C508=Master!$H$9,B508="2012-2013",E508="",G508="NPN05"),H508,"")</f>
        <v/>
      </c>
    </row>
    <row r="509" spans="1:60" x14ac:dyDescent="0.25">
      <c r="A509" s="3">
        <v>507</v>
      </c>
      <c r="B509" s="12"/>
      <c r="C509" s="12"/>
      <c r="D509" s="31"/>
      <c r="E509" s="4"/>
      <c r="F509" s="13"/>
      <c r="G509" s="21"/>
      <c r="H509" s="35"/>
      <c r="I509" s="21"/>
      <c r="J509" s="25" t="str">
        <f>IF(NOT(I509=""),INDEX(Master!$B$1:$B$46,MATCH(I509,Master!$A$1:$A$46,0)),"")</f>
        <v/>
      </c>
      <c r="K509" s="18"/>
      <c r="L509" s="86"/>
      <c r="M509" s="13"/>
      <c r="N509" s="13"/>
      <c r="O509" s="18"/>
      <c r="P509" s="35"/>
      <c r="Q509" s="21"/>
      <c r="R509" s="21"/>
      <c r="S509" s="13"/>
      <c r="T509" s="12"/>
      <c r="U509" s="12"/>
      <c r="V509" s="12"/>
      <c r="W509" s="14"/>
      <c r="Y509" s="42" t="str">
        <f>IF(AND(C509=Master!$H$1,B509="2012-2013",E509&gt;1000,G509="PLN03"),H509,"")</f>
        <v/>
      </c>
      <c r="Z509" s="42" t="str">
        <f>IF(AND(C509=Master!$H$1,B509="2012-2013",E509="",G509="PLN03"),H509,"")</f>
        <v/>
      </c>
      <c r="AA509" s="42" t="str">
        <f>IF(AND(C509=Master!$H$2,B509="2012-2013",E509&gt;1000,G509="PLN03"),H509,"")</f>
        <v/>
      </c>
      <c r="AB509" s="42" t="str">
        <f>IF(AND(C509=Master!$H$2,B509="2012-2013",E509="",G509="PLN03"),H509,"")</f>
        <v/>
      </c>
      <c r="AC509" s="42" t="str">
        <f>IF(AND(C509=Master!$H$3,B509="2012-2013",E509&gt;1000,G509="PLN03"),H509,"")</f>
        <v/>
      </c>
      <c r="AD509" s="42" t="str">
        <f>IF(AND(C509=Master!$H$3,B509="2012-2013",E509="",G509="PLN03"),H509,"")</f>
        <v/>
      </c>
      <c r="AE509" s="42" t="str">
        <f>IF(AND(C509=Master!$H$4,B509="2012-2013",E509&gt;1000,G509="PLN03"),H509,"")</f>
        <v/>
      </c>
      <c r="AF509" s="42" t="str">
        <f>IF(AND(C509=Master!$H$4,B509="2012-2013",E509="",G509="PLN03"),H509,"")</f>
        <v/>
      </c>
      <c r="AG509" s="42" t="str">
        <f>IF(AND(C509=Master!$H$5,B509="2012-2013",E509&gt;1000,G509="PLN03"),H509,"")</f>
        <v/>
      </c>
      <c r="AH509" s="42" t="str">
        <f>IF(AND(C509=Master!$H$5,B509="2012-2013",E509="",G509="PLN03"),H509,"")</f>
        <v/>
      </c>
      <c r="AI509" s="42" t="str">
        <f>IF(AND(C509=Master!$H$6,B509="2012-2013",E509&gt;1000,G509="PLN03"),H509,"")</f>
        <v/>
      </c>
      <c r="AJ509" s="42" t="str">
        <f>IF(AND(C509=Master!$H$6,B509="2012-2013",E509="",G509="PLN03"),H509,"")</f>
        <v/>
      </c>
      <c r="AK509" s="42" t="str">
        <f>IF(AND(C509=Master!$H$7,B509="2012-2013",E509&gt;1000,G509="PLN03"),H509,"")</f>
        <v/>
      </c>
      <c r="AL509" s="42" t="str">
        <f>IF(AND(C509=Master!$H$7,B509="2012-2013",E509="",G509="PLN03"),H509,"")</f>
        <v/>
      </c>
      <c r="AM509" s="42" t="str">
        <f>IF(AND(C509=Master!$H$8,B509="2012-2013",E509&gt;1000,G509="PLN03"),H509,"")</f>
        <v/>
      </c>
      <c r="AN509" s="42" t="str">
        <f>IF(AND(C509=Master!$H$8,B509="2012-2013",E509="",G509="PLN03"),H509,"")</f>
        <v/>
      </c>
      <c r="AO509" s="42" t="str">
        <f>IF(AND(C509=Master!$H$9,B509="2012-2013",E509&gt;1000,G509="PLN03"),H509,"")</f>
        <v/>
      </c>
      <c r="AP509" s="42" t="str">
        <f>IF(AND(C509=Master!$H$9,B509="2012-2013",E509="",G509="PLN03"),H509,"")</f>
        <v/>
      </c>
      <c r="AQ509" s="44" t="str">
        <f>IF(AND(C509=Master!$H$1,B509="2012-2013",E509&gt;1000,G509="NPN05"),H509,"")</f>
        <v/>
      </c>
      <c r="AR509" s="44" t="str">
        <f>IF(AND(C509=Master!$H$1,B509="2012-2013",E509="",G509="NPN05"),H509,"")</f>
        <v/>
      </c>
      <c r="AS509" s="44" t="str">
        <f>IF(AND(C509=Master!$H$2,B509="2012-2013",E509&gt;1000,G509="NPN05"),H509,"")</f>
        <v/>
      </c>
      <c r="AT509" s="44" t="str">
        <f>IF(AND(C509=Master!$H$2,B509="2012-2013",E509="",G509="NPN05"),H509,"")</f>
        <v/>
      </c>
      <c r="AU509" s="44" t="str">
        <f>IF(AND(C509=Master!$H$3,B509="2012-2013",E509&gt;1000,G509="NPN05"),H509,"")</f>
        <v/>
      </c>
      <c r="AV509" s="44" t="str">
        <f>IF(AND(C509=Master!$H$3,B509="2012-2013",E509="",G509="NPN05"),H509,"")</f>
        <v/>
      </c>
      <c r="AW509" s="44" t="str">
        <f>IF(AND(C509=Master!$H$4,B509="2012-2013",E509&gt;1000,G509="NPN05"),H509,"")</f>
        <v/>
      </c>
      <c r="AX509" s="44" t="str">
        <f>IF(AND(C509=Master!$H$4,B509="2012-2013",E509="",G509="NPN05"),H509,"")</f>
        <v/>
      </c>
      <c r="AY509" s="44" t="str">
        <f>IF(AND(C509=Master!$H$5,B509="2012-2013",E509&gt;1000,G509="NPN05"),H509,"")</f>
        <v/>
      </c>
      <c r="AZ509" s="44" t="str">
        <f>IF(AND(C509=Master!$H$5,B509="2012-2013",E509="",G509="NPN05"),H509,"")</f>
        <v/>
      </c>
      <c r="BA509" s="44" t="str">
        <f>IF(AND(C509=Master!$H$6,B509="2012-2013",E509&gt;1000,G509="NPN05"),H509,"")</f>
        <v/>
      </c>
      <c r="BB509" s="44" t="str">
        <f>IF(AND(C509=Master!$H$6,B509="2012-2013",E509="",G509="NPN05"),H509,"")</f>
        <v/>
      </c>
      <c r="BC509" s="44" t="str">
        <f>IF(AND(C509=Master!$H$7,B509="2012-2013",E509&gt;1000,G509="NPN05"),H509,"")</f>
        <v/>
      </c>
      <c r="BD509" s="44" t="str">
        <f>IF(AND(C509=Master!$H$7,B509="2012-2013",E509="",G509="NPN05"),H509,"")</f>
        <v/>
      </c>
      <c r="BE509" s="44" t="str">
        <f>IF(AND(C509=Master!$H$8,B509="2012-2013",E509&gt;1000,G509="NPN05"),H509,"")</f>
        <v/>
      </c>
      <c r="BF509" s="44" t="str">
        <f>IF(AND(C509=Master!$H$8,B509="2012-2013",E509="",G509="NPN05"),H509,"")</f>
        <v/>
      </c>
      <c r="BG509" s="44" t="str">
        <f>IF(AND(C509=Master!$H$9,B509="2012-2013",E509&gt;1000,G509="NPN05"),H509,"")</f>
        <v/>
      </c>
      <c r="BH509" s="44" t="str">
        <f>IF(AND(C509=Master!$H$9,B509="2012-2013",E509="",G509="NPN05"),H509,"")</f>
        <v/>
      </c>
    </row>
    <row r="510" spans="1:60" x14ac:dyDescent="0.25">
      <c r="A510" s="3">
        <v>508</v>
      </c>
      <c r="B510" s="12"/>
      <c r="C510" s="12"/>
      <c r="D510" s="31"/>
      <c r="E510" s="4"/>
      <c r="F510" s="13"/>
      <c r="G510" s="21"/>
      <c r="H510" s="35"/>
      <c r="I510" s="21"/>
      <c r="J510" s="25" t="str">
        <f>IF(NOT(I510=""),INDEX(Master!$B$1:$B$46,MATCH(I510,Master!$A$1:$A$46,0)),"")</f>
        <v/>
      </c>
      <c r="K510" s="18"/>
      <c r="L510" s="86"/>
      <c r="M510" s="13"/>
      <c r="N510" s="13"/>
      <c r="O510" s="18"/>
      <c r="P510" s="35"/>
      <c r="Q510" s="21"/>
      <c r="R510" s="21"/>
      <c r="S510" s="13"/>
      <c r="T510" s="12"/>
      <c r="U510" s="12"/>
      <c r="V510" s="12"/>
      <c r="W510" s="14"/>
      <c r="Y510" s="42" t="str">
        <f>IF(AND(C510=Master!$H$1,B510="2012-2013",E510&gt;1000,G510="PLN03"),H510,"")</f>
        <v/>
      </c>
      <c r="Z510" s="42" t="str">
        <f>IF(AND(C510=Master!$H$1,B510="2012-2013",E510="",G510="PLN03"),H510,"")</f>
        <v/>
      </c>
      <c r="AA510" s="42" t="str">
        <f>IF(AND(C510=Master!$H$2,B510="2012-2013",E510&gt;1000,G510="PLN03"),H510,"")</f>
        <v/>
      </c>
      <c r="AB510" s="42" t="str">
        <f>IF(AND(C510=Master!$H$2,B510="2012-2013",E510="",G510="PLN03"),H510,"")</f>
        <v/>
      </c>
      <c r="AC510" s="42" t="str">
        <f>IF(AND(C510=Master!$H$3,B510="2012-2013",E510&gt;1000,G510="PLN03"),H510,"")</f>
        <v/>
      </c>
      <c r="AD510" s="42" t="str">
        <f>IF(AND(C510=Master!$H$3,B510="2012-2013",E510="",G510="PLN03"),H510,"")</f>
        <v/>
      </c>
      <c r="AE510" s="42" t="str">
        <f>IF(AND(C510=Master!$H$4,B510="2012-2013",E510&gt;1000,G510="PLN03"),H510,"")</f>
        <v/>
      </c>
      <c r="AF510" s="42" t="str">
        <f>IF(AND(C510=Master!$H$4,B510="2012-2013",E510="",G510="PLN03"),H510,"")</f>
        <v/>
      </c>
      <c r="AG510" s="42" t="str">
        <f>IF(AND(C510=Master!$H$5,B510="2012-2013",E510&gt;1000,G510="PLN03"),H510,"")</f>
        <v/>
      </c>
      <c r="AH510" s="42" t="str">
        <f>IF(AND(C510=Master!$H$5,B510="2012-2013",E510="",G510="PLN03"),H510,"")</f>
        <v/>
      </c>
      <c r="AI510" s="42" t="str">
        <f>IF(AND(C510=Master!$H$6,B510="2012-2013",E510&gt;1000,G510="PLN03"),H510,"")</f>
        <v/>
      </c>
      <c r="AJ510" s="42" t="str">
        <f>IF(AND(C510=Master!$H$6,B510="2012-2013",E510="",G510="PLN03"),H510,"")</f>
        <v/>
      </c>
      <c r="AK510" s="42" t="str">
        <f>IF(AND(C510=Master!$H$7,B510="2012-2013",E510&gt;1000,G510="PLN03"),H510,"")</f>
        <v/>
      </c>
      <c r="AL510" s="42" t="str">
        <f>IF(AND(C510=Master!$H$7,B510="2012-2013",E510="",G510="PLN03"),H510,"")</f>
        <v/>
      </c>
      <c r="AM510" s="42" t="str">
        <f>IF(AND(C510=Master!$H$8,B510="2012-2013",E510&gt;1000,G510="PLN03"),H510,"")</f>
        <v/>
      </c>
      <c r="AN510" s="42" t="str">
        <f>IF(AND(C510=Master!$H$8,B510="2012-2013",E510="",G510="PLN03"),H510,"")</f>
        <v/>
      </c>
      <c r="AO510" s="42" t="str">
        <f>IF(AND(C510=Master!$H$9,B510="2012-2013",E510&gt;1000,G510="PLN03"),H510,"")</f>
        <v/>
      </c>
      <c r="AP510" s="42" t="str">
        <f>IF(AND(C510=Master!$H$9,B510="2012-2013",E510="",G510="PLN03"),H510,"")</f>
        <v/>
      </c>
      <c r="AQ510" s="44" t="str">
        <f>IF(AND(C510=Master!$H$1,B510="2012-2013",E510&gt;1000,G510="NPN05"),H510,"")</f>
        <v/>
      </c>
      <c r="AR510" s="44" t="str">
        <f>IF(AND(C510=Master!$H$1,B510="2012-2013",E510="",G510="NPN05"),H510,"")</f>
        <v/>
      </c>
      <c r="AS510" s="44" t="str">
        <f>IF(AND(C510=Master!$H$2,B510="2012-2013",E510&gt;1000,G510="NPN05"),H510,"")</f>
        <v/>
      </c>
      <c r="AT510" s="44" t="str">
        <f>IF(AND(C510=Master!$H$2,B510="2012-2013",E510="",G510="NPN05"),H510,"")</f>
        <v/>
      </c>
      <c r="AU510" s="44" t="str">
        <f>IF(AND(C510=Master!$H$3,B510="2012-2013",E510&gt;1000,G510="NPN05"),H510,"")</f>
        <v/>
      </c>
      <c r="AV510" s="44" t="str">
        <f>IF(AND(C510=Master!$H$3,B510="2012-2013",E510="",G510="NPN05"),H510,"")</f>
        <v/>
      </c>
      <c r="AW510" s="44" t="str">
        <f>IF(AND(C510=Master!$H$4,B510="2012-2013",E510&gt;1000,G510="NPN05"),H510,"")</f>
        <v/>
      </c>
      <c r="AX510" s="44" t="str">
        <f>IF(AND(C510=Master!$H$4,B510="2012-2013",E510="",G510="NPN05"),H510,"")</f>
        <v/>
      </c>
      <c r="AY510" s="44" t="str">
        <f>IF(AND(C510=Master!$H$5,B510="2012-2013",E510&gt;1000,G510="NPN05"),H510,"")</f>
        <v/>
      </c>
      <c r="AZ510" s="44" t="str">
        <f>IF(AND(C510=Master!$H$5,B510="2012-2013",E510="",G510="NPN05"),H510,"")</f>
        <v/>
      </c>
      <c r="BA510" s="44" t="str">
        <f>IF(AND(C510=Master!$H$6,B510="2012-2013",E510&gt;1000,G510="NPN05"),H510,"")</f>
        <v/>
      </c>
      <c r="BB510" s="44" t="str">
        <f>IF(AND(C510=Master!$H$6,B510="2012-2013",E510="",G510="NPN05"),H510,"")</f>
        <v/>
      </c>
      <c r="BC510" s="44" t="str">
        <f>IF(AND(C510=Master!$H$7,B510="2012-2013",E510&gt;1000,G510="NPN05"),H510,"")</f>
        <v/>
      </c>
      <c r="BD510" s="44" t="str">
        <f>IF(AND(C510=Master!$H$7,B510="2012-2013",E510="",G510="NPN05"),H510,"")</f>
        <v/>
      </c>
      <c r="BE510" s="44" t="str">
        <f>IF(AND(C510=Master!$H$8,B510="2012-2013",E510&gt;1000,G510="NPN05"),H510,"")</f>
        <v/>
      </c>
      <c r="BF510" s="44" t="str">
        <f>IF(AND(C510=Master!$H$8,B510="2012-2013",E510="",G510="NPN05"),H510,"")</f>
        <v/>
      </c>
      <c r="BG510" s="44" t="str">
        <f>IF(AND(C510=Master!$H$9,B510="2012-2013",E510&gt;1000,G510="NPN05"),H510,"")</f>
        <v/>
      </c>
      <c r="BH510" s="44" t="str">
        <f>IF(AND(C510=Master!$H$9,B510="2012-2013",E510="",G510="NPN05"),H510,"")</f>
        <v/>
      </c>
    </row>
    <row r="511" spans="1:60" x14ac:dyDescent="0.25">
      <c r="A511" s="3">
        <v>509</v>
      </c>
      <c r="B511" s="12"/>
      <c r="C511" s="12"/>
      <c r="D511" s="31"/>
      <c r="E511" s="4"/>
      <c r="F511" s="13"/>
      <c r="G511" s="21"/>
      <c r="H511" s="35"/>
      <c r="I511" s="21"/>
      <c r="J511" s="25" t="str">
        <f>IF(NOT(I511=""),INDEX(Master!$B$1:$B$46,MATCH(I511,Master!$A$1:$A$46,0)),"")</f>
        <v/>
      </c>
      <c r="K511" s="18"/>
      <c r="L511" s="86"/>
      <c r="M511" s="13"/>
      <c r="N511" s="13"/>
      <c r="O511" s="18"/>
      <c r="P511" s="35"/>
      <c r="Q511" s="21"/>
      <c r="R511" s="21"/>
      <c r="S511" s="13"/>
      <c r="T511" s="12"/>
      <c r="U511" s="12"/>
      <c r="V511" s="12"/>
      <c r="W511" s="14"/>
      <c r="Y511" s="42" t="str">
        <f>IF(AND(C511=Master!$H$1,B511="2012-2013",E511&gt;1000,G511="PLN03"),H511,"")</f>
        <v/>
      </c>
      <c r="Z511" s="42" t="str">
        <f>IF(AND(C511=Master!$H$1,B511="2012-2013",E511="",G511="PLN03"),H511,"")</f>
        <v/>
      </c>
      <c r="AA511" s="42" t="str">
        <f>IF(AND(C511=Master!$H$2,B511="2012-2013",E511&gt;1000,G511="PLN03"),H511,"")</f>
        <v/>
      </c>
      <c r="AB511" s="42" t="str">
        <f>IF(AND(C511=Master!$H$2,B511="2012-2013",E511="",G511="PLN03"),H511,"")</f>
        <v/>
      </c>
      <c r="AC511" s="42" t="str">
        <f>IF(AND(C511=Master!$H$3,B511="2012-2013",E511&gt;1000,G511="PLN03"),H511,"")</f>
        <v/>
      </c>
      <c r="AD511" s="42" t="str">
        <f>IF(AND(C511=Master!$H$3,B511="2012-2013",E511="",G511="PLN03"),H511,"")</f>
        <v/>
      </c>
      <c r="AE511" s="42" t="str">
        <f>IF(AND(C511=Master!$H$4,B511="2012-2013",E511&gt;1000,G511="PLN03"),H511,"")</f>
        <v/>
      </c>
      <c r="AF511" s="42" t="str">
        <f>IF(AND(C511=Master!$H$4,B511="2012-2013",E511="",G511="PLN03"),H511,"")</f>
        <v/>
      </c>
      <c r="AG511" s="42" t="str">
        <f>IF(AND(C511=Master!$H$5,B511="2012-2013",E511&gt;1000,G511="PLN03"),H511,"")</f>
        <v/>
      </c>
      <c r="AH511" s="42" t="str">
        <f>IF(AND(C511=Master!$H$5,B511="2012-2013",E511="",G511="PLN03"),H511,"")</f>
        <v/>
      </c>
      <c r="AI511" s="42" t="str">
        <f>IF(AND(C511=Master!$H$6,B511="2012-2013",E511&gt;1000,G511="PLN03"),H511,"")</f>
        <v/>
      </c>
      <c r="AJ511" s="42" t="str">
        <f>IF(AND(C511=Master!$H$6,B511="2012-2013",E511="",G511="PLN03"),H511,"")</f>
        <v/>
      </c>
      <c r="AK511" s="42" t="str">
        <f>IF(AND(C511=Master!$H$7,B511="2012-2013",E511&gt;1000,G511="PLN03"),H511,"")</f>
        <v/>
      </c>
      <c r="AL511" s="42" t="str">
        <f>IF(AND(C511=Master!$H$7,B511="2012-2013",E511="",G511="PLN03"),H511,"")</f>
        <v/>
      </c>
      <c r="AM511" s="42" t="str">
        <f>IF(AND(C511=Master!$H$8,B511="2012-2013",E511&gt;1000,G511="PLN03"),H511,"")</f>
        <v/>
      </c>
      <c r="AN511" s="42" t="str">
        <f>IF(AND(C511=Master!$H$8,B511="2012-2013",E511="",G511="PLN03"),H511,"")</f>
        <v/>
      </c>
      <c r="AO511" s="42" t="str">
        <f>IF(AND(C511=Master!$H$9,B511="2012-2013",E511&gt;1000,G511="PLN03"),H511,"")</f>
        <v/>
      </c>
      <c r="AP511" s="42" t="str">
        <f>IF(AND(C511=Master!$H$9,B511="2012-2013",E511="",G511="PLN03"),H511,"")</f>
        <v/>
      </c>
      <c r="AQ511" s="44" t="str">
        <f>IF(AND(C511=Master!$H$1,B511="2012-2013",E511&gt;1000,G511="NPN05"),H511,"")</f>
        <v/>
      </c>
      <c r="AR511" s="44" t="str">
        <f>IF(AND(C511=Master!$H$1,B511="2012-2013",E511="",G511="NPN05"),H511,"")</f>
        <v/>
      </c>
      <c r="AS511" s="44" t="str">
        <f>IF(AND(C511=Master!$H$2,B511="2012-2013",E511&gt;1000,G511="NPN05"),H511,"")</f>
        <v/>
      </c>
      <c r="AT511" s="44" t="str">
        <f>IF(AND(C511=Master!$H$2,B511="2012-2013",E511="",G511="NPN05"),H511,"")</f>
        <v/>
      </c>
      <c r="AU511" s="44" t="str">
        <f>IF(AND(C511=Master!$H$3,B511="2012-2013",E511&gt;1000,G511="NPN05"),H511,"")</f>
        <v/>
      </c>
      <c r="AV511" s="44" t="str">
        <f>IF(AND(C511=Master!$H$3,B511="2012-2013",E511="",G511="NPN05"),H511,"")</f>
        <v/>
      </c>
      <c r="AW511" s="44" t="str">
        <f>IF(AND(C511=Master!$H$4,B511="2012-2013",E511&gt;1000,G511="NPN05"),H511,"")</f>
        <v/>
      </c>
      <c r="AX511" s="44" t="str">
        <f>IF(AND(C511=Master!$H$4,B511="2012-2013",E511="",G511="NPN05"),H511,"")</f>
        <v/>
      </c>
      <c r="AY511" s="44" t="str">
        <f>IF(AND(C511=Master!$H$5,B511="2012-2013",E511&gt;1000,G511="NPN05"),H511,"")</f>
        <v/>
      </c>
      <c r="AZ511" s="44" t="str">
        <f>IF(AND(C511=Master!$H$5,B511="2012-2013",E511="",G511="NPN05"),H511,"")</f>
        <v/>
      </c>
      <c r="BA511" s="44" t="str">
        <f>IF(AND(C511=Master!$H$6,B511="2012-2013",E511&gt;1000,G511="NPN05"),H511,"")</f>
        <v/>
      </c>
      <c r="BB511" s="44" t="str">
        <f>IF(AND(C511=Master!$H$6,B511="2012-2013",E511="",G511="NPN05"),H511,"")</f>
        <v/>
      </c>
      <c r="BC511" s="44" t="str">
        <f>IF(AND(C511=Master!$H$7,B511="2012-2013",E511&gt;1000,G511="NPN05"),H511,"")</f>
        <v/>
      </c>
      <c r="BD511" s="44" t="str">
        <f>IF(AND(C511=Master!$H$7,B511="2012-2013",E511="",G511="NPN05"),H511,"")</f>
        <v/>
      </c>
      <c r="BE511" s="44" t="str">
        <f>IF(AND(C511=Master!$H$8,B511="2012-2013",E511&gt;1000,G511="NPN05"),H511,"")</f>
        <v/>
      </c>
      <c r="BF511" s="44" t="str">
        <f>IF(AND(C511=Master!$H$8,B511="2012-2013",E511="",G511="NPN05"),H511,"")</f>
        <v/>
      </c>
      <c r="BG511" s="44" t="str">
        <f>IF(AND(C511=Master!$H$9,B511="2012-2013",E511&gt;1000,G511="NPN05"),H511,"")</f>
        <v/>
      </c>
      <c r="BH511" s="44" t="str">
        <f>IF(AND(C511=Master!$H$9,B511="2012-2013",E511="",G511="NPN05"),H511,"")</f>
        <v/>
      </c>
    </row>
    <row r="512" spans="1:60" x14ac:dyDescent="0.25">
      <c r="A512" s="3">
        <v>510</v>
      </c>
      <c r="B512" s="12"/>
      <c r="C512" s="12"/>
      <c r="D512" s="31"/>
      <c r="E512" s="4"/>
      <c r="F512" s="13"/>
      <c r="G512" s="21"/>
      <c r="H512" s="35"/>
      <c r="I512" s="21"/>
      <c r="J512" s="25" t="str">
        <f>IF(NOT(I512=""),INDEX(Master!$B$1:$B$46,MATCH(I512,Master!$A$1:$A$46,0)),"")</f>
        <v/>
      </c>
      <c r="K512" s="18"/>
      <c r="L512" s="86"/>
      <c r="M512" s="13"/>
      <c r="N512" s="13"/>
      <c r="O512" s="18"/>
      <c r="P512" s="35"/>
      <c r="Q512" s="21"/>
      <c r="R512" s="21"/>
      <c r="S512" s="13"/>
      <c r="T512" s="12"/>
      <c r="U512" s="12"/>
      <c r="V512" s="12"/>
      <c r="W512" s="14"/>
      <c r="Y512" s="42" t="str">
        <f>IF(AND(C512=Master!$H$1,B512="2012-2013",E512&gt;1000,G512="PLN03"),H512,"")</f>
        <v/>
      </c>
      <c r="Z512" s="42" t="str">
        <f>IF(AND(C512=Master!$H$1,B512="2012-2013",E512="",G512="PLN03"),H512,"")</f>
        <v/>
      </c>
      <c r="AA512" s="42" t="str">
        <f>IF(AND(C512=Master!$H$2,B512="2012-2013",E512&gt;1000,G512="PLN03"),H512,"")</f>
        <v/>
      </c>
      <c r="AB512" s="42" t="str">
        <f>IF(AND(C512=Master!$H$2,B512="2012-2013",E512="",G512="PLN03"),H512,"")</f>
        <v/>
      </c>
      <c r="AC512" s="42" t="str">
        <f>IF(AND(C512=Master!$H$3,B512="2012-2013",E512&gt;1000,G512="PLN03"),H512,"")</f>
        <v/>
      </c>
      <c r="AD512" s="42" t="str">
        <f>IF(AND(C512=Master!$H$3,B512="2012-2013",E512="",G512="PLN03"),H512,"")</f>
        <v/>
      </c>
      <c r="AE512" s="42" t="str">
        <f>IF(AND(C512=Master!$H$4,B512="2012-2013",E512&gt;1000,G512="PLN03"),H512,"")</f>
        <v/>
      </c>
      <c r="AF512" s="42" t="str">
        <f>IF(AND(C512=Master!$H$4,B512="2012-2013",E512="",G512="PLN03"),H512,"")</f>
        <v/>
      </c>
      <c r="AG512" s="42" t="str">
        <f>IF(AND(C512=Master!$H$5,B512="2012-2013",E512&gt;1000,G512="PLN03"),H512,"")</f>
        <v/>
      </c>
      <c r="AH512" s="42" t="str">
        <f>IF(AND(C512=Master!$H$5,B512="2012-2013",E512="",G512="PLN03"),H512,"")</f>
        <v/>
      </c>
      <c r="AI512" s="42" t="str">
        <f>IF(AND(C512=Master!$H$6,B512="2012-2013",E512&gt;1000,G512="PLN03"),H512,"")</f>
        <v/>
      </c>
      <c r="AJ512" s="42" t="str">
        <f>IF(AND(C512=Master!$H$6,B512="2012-2013",E512="",G512="PLN03"),H512,"")</f>
        <v/>
      </c>
      <c r="AK512" s="42" t="str">
        <f>IF(AND(C512=Master!$H$7,B512="2012-2013",E512&gt;1000,G512="PLN03"),H512,"")</f>
        <v/>
      </c>
      <c r="AL512" s="42" t="str">
        <f>IF(AND(C512=Master!$H$7,B512="2012-2013",E512="",G512="PLN03"),H512,"")</f>
        <v/>
      </c>
      <c r="AM512" s="42" t="str">
        <f>IF(AND(C512=Master!$H$8,B512="2012-2013",E512&gt;1000,G512="PLN03"),H512,"")</f>
        <v/>
      </c>
      <c r="AN512" s="42" t="str">
        <f>IF(AND(C512=Master!$H$8,B512="2012-2013",E512="",G512="PLN03"),H512,"")</f>
        <v/>
      </c>
      <c r="AO512" s="42" t="str">
        <f>IF(AND(C512=Master!$H$9,B512="2012-2013",E512&gt;1000,G512="PLN03"),H512,"")</f>
        <v/>
      </c>
      <c r="AP512" s="42" t="str">
        <f>IF(AND(C512=Master!$H$9,B512="2012-2013",E512="",G512="PLN03"),H512,"")</f>
        <v/>
      </c>
      <c r="AQ512" s="44" t="str">
        <f>IF(AND(C512=Master!$H$1,B512="2012-2013",E512&gt;1000,G512="NPN05"),H512,"")</f>
        <v/>
      </c>
      <c r="AR512" s="44" t="str">
        <f>IF(AND(C512=Master!$H$1,B512="2012-2013",E512="",G512="NPN05"),H512,"")</f>
        <v/>
      </c>
      <c r="AS512" s="44" t="str">
        <f>IF(AND(C512=Master!$H$2,B512="2012-2013",E512&gt;1000,G512="NPN05"),H512,"")</f>
        <v/>
      </c>
      <c r="AT512" s="44" t="str">
        <f>IF(AND(C512=Master!$H$2,B512="2012-2013",E512="",G512="NPN05"),H512,"")</f>
        <v/>
      </c>
      <c r="AU512" s="44" t="str">
        <f>IF(AND(C512=Master!$H$3,B512="2012-2013",E512&gt;1000,G512="NPN05"),H512,"")</f>
        <v/>
      </c>
      <c r="AV512" s="44" t="str">
        <f>IF(AND(C512=Master!$H$3,B512="2012-2013",E512="",G512="NPN05"),H512,"")</f>
        <v/>
      </c>
      <c r="AW512" s="44" t="str">
        <f>IF(AND(C512=Master!$H$4,B512="2012-2013",E512&gt;1000,G512="NPN05"),H512,"")</f>
        <v/>
      </c>
      <c r="AX512" s="44" t="str">
        <f>IF(AND(C512=Master!$H$4,B512="2012-2013",E512="",G512="NPN05"),H512,"")</f>
        <v/>
      </c>
      <c r="AY512" s="44" t="str">
        <f>IF(AND(C512=Master!$H$5,B512="2012-2013",E512&gt;1000,G512="NPN05"),H512,"")</f>
        <v/>
      </c>
      <c r="AZ512" s="44" t="str">
        <f>IF(AND(C512=Master!$H$5,B512="2012-2013",E512="",G512="NPN05"),H512,"")</f>
        <v/>
      </c>
      <c r="BA512" s="44" t="str">
        <f>IF(AND(C512=Master!$H$6,B512="2012-2013",E512&gt;1000,G512="NPN05"),H512,"")</f>
        <v/>
      </c>
      <c r="BB512" s="44" t="str">
        <f>IF(AND(C512=Master!$H$6,B512="2012-2013",E512="",G512="NPN05"),H512,"")</f>
        <v/>
      </c>
      <c r="BC512" s="44" t="str">
        <f>IF(AND(C512=Master!$H$7,B512="2012-2013",E512&gt;1000,G512="NPN05"),H512,"")</f>
        <v/>
      </c>
      <c r="BD512" s="44" t="str">
        <f>IF(AND(C512=Master!$H$7,B512="2012-2013",E512="",G512="NPN05"),H512,"")</f>
        <v/>
      </c>
      <c r="BE512" s="44" t="str">
        <f>IF(AND(C512=Master!$H$8,B512="2012-2013",E512&gt;1000,G512="NPN05"),H512,"")</f>
        <v/>
      </c>
      <c r="BF512" s="44" t="str">
        <f>IF(AND(C512=Master!$H$8,B512="2012-2013",E512="",G512="NPN05"),H512,"")</f>
        <v/>
      </c>
      <c r="BG512" s="44" t="str">
        <f>IF(AND(C512=Master!$H$9,B512="2012-2013",E512&gt;1000,G512="NPN05"),H512,"")</f>
        <v/>
      </c>
      <c r="BH512" s="44" t="str">
        <f>IF(AND(C512=Master!$H$9,B512="2012-2013",E512="",G512="NPN05"),H512,"")</f>
        <v/>
      </c>
    </row>
    <row r="513" spans="1:60" x14ac:dyDescent="0.25">
      <c r="A513" s="3">
        <v>511</v>
      </c>
      <c r="B513" s="12"/>
      <c r="C513" s="12"/>
      <c r="D513" s="31"/>
      <c r="E513" s="4"/>
      <c r="F513" s="13"/>
      <c r="G513" s="21"/>
      <c r="H513" s="35"/>
      <c r="I513" s="21"/>
      <c r="J513" s="25" t="str">
        <f>IF(NOT(I513=""),INDEX(Master!$B$1:$B$46,MATCH(I513,Master!$A$1:$A$46,0)),"")</f>
        <v/>
      </c>
      <c r="K513" s="18"/>
      <c r="L513" s="86"/>
      <c r="M513" s="13"/>
      <c r="N513" s="13"/>
      <c r="O513" s="18"/>
      <c r="P513" s="35"/>
      <c r="Q513" s="21"/>
      <c r="R513" s="21"/>
      <c r="S513" s="13"/>
      <c r="T513" s="12"/>
      <c r="U513" s="12"/>
      <c r="V513" s="12"/>
      <c r="W513" s="14"/>
      <c r="Y513" s="42" t="str">
        <f>IF(AND(C513=Master!$H$1,B513="2012-2013",E513&gt;1000,G513="PLN03"),H513,"")</f>
        <v/>
      </c>
      <c r="Z513" s="42" t="str">
        <f>IF(AND(C513=Master!$H$1,B513="2012-2013",E513="",G513="PLN03"),H513,"")</f>
        <v/>
      </c>
      <c r="AA513" s="42" t="str">
        <f>IF(AND(C513=Master!$H$2,B513="2012-2013",E513&gt;1000,G513="PLN03"),H513,"")</f>
        <v/>
      </c>
      <c r="AB513" s="42" t="str">
        <f>IF(AND(C513=Master!$H$2,B513="2012-2013",E513="",G513="PLN03"),H513,"")</f>
        <v/>
      </c>
      <c r="AC513" s="42" t="str">
        <f>IF(AND(C513=Master!$H$3,B513="2012-2013",E513&gt;1000,G513="PLN03"),H513,"")</f>
        <v/>
      </c>
      <c r="AD513" s="42" t="str">
        <f>IF(AND(C513=Master!$H$3,B513="2012-2013",E513="",G513="PLN03"),H513,"")</f>
        <v/>
      </c>
      <c r="AE513" s="42" t="str">
        <f>IF(AND(C513=Master!$H$4,B513="2012-2013",E513&gt;1000,G513="PLN03"),H513,"")</f>
        <v/>
      </c>
      <c r="AF513" s="42" t="str">
        <f>IF(AND(C513=Master!$H$4,B513="2012-2013",E513="",G513="PLN03"),H513,"")</f>
        <v/>
      </c>
      <c r="AG513" s="42" t="str">
        <f>IF(AND(C513=Master!$H$5,B513="2012-2013",E513&gt;1000,G513="PLN03"),H513,"")</f>
        <v/>
      </c>
      <c r="AH513" s="42" t="str">
        <f>IF(AND(C513=Master!$H$5,B513="2012-2013",E513="",G513="PLN03"),H513,"")</f>
        <v/>
      </c>
      <c r="AI513" s="42" t="str">
        <f>IF(AND(C513=Master!$H$6,B513="2012-2013",E513&gt;1000,G513="PLN03"),H513,"")</f>
        <v/>
      </c>
      <c r="AJ513" s="42" t="str">
        <f>IF(AND(C513=Master!$H$6,B513="2012-2013",E513="",G513="PLN03"),H513,"")</f>
        <v/>
      </c>
      <c r="AK513" s="42" t="str">
        <f>IF(AND(C513=Master!$H$7,B513="2012-2013",E513&gt;1000,G513="PLN03"),H513,"")</f>
        <v/>
      </c>
      <c r="AL513" s="42" t="str">
        <f>IF(AND(C513=Master!$H$7,B513="2012-2013",E513="",G513="PLN03"),H513,"")</f>
        <v/>
      </c>
      <c r="AM513" s="42" t="str">
        <f>IF(AND(C513=Master!$H$8,B513="2012-2013",E513&gt;1000,G513="PLN03"),H513,"")</f>
        <v/>
      </c>
      <c r="AN513" s="42" t="str">
        <f>IF(AND(C513=Master!$H$8,B513="2012-2013",E513="",G513="PLN03"),H513,"")</f>
        <v/>
      </c>
      <c r="AO513" s="42" t="str">
        <f>IF(AND(C513=Master!$H$9,B513="2012-2013",E513&gt;1000,G513="PLN03"),H513,"")</f>
        <v/>
      </c>
      <c r="AP513" s="42" t="str">
        <f>IF(AND(C513=Master!$H$9,B513="2012-2013",E513="",G513="PLN03"),H513,"")</f>
        <v/>
      </c>
      <c r="AQ513" s="44" t="str">
        <f>IF(AND(C513=Master!$H$1,B513="2012-2013",E513&gt;1000,G513="NPN05"),H513,"")</f>
        <v/>
      </c>
      <c r="AR513" s="44" t="str">
        <f>IF(AND(C513=Master!$H$1,B513="2012-2013",E513="",G513="NPN05"),H513,"")</f>
        <v/>
      </c>
      <c r="AS513" s="44" t="str">
        <f>IF(AND(C513=Master!$H$2,B513="2012-2013",E513&gt;1000,G513="NPN05"),H513,"")</f>
        <v/>
      </c>
      <c r="AT513" s="44" t="str">
        <f>IF(AND(C513=Master!$H$2,B513="2012-2013",E513="",G513="NPN05"),H513,"")</f>
        <v/>
      </c>
      <c r="AU513" s="44" t="str">
        <f>IF(AND(C513=Master!$H$3,B513="2012-2013",E513&gt;1000,G513="NPN05"),H513,"")</f>
        <v/>
      </c>
      <c r="AV513" s="44" t="str">
        <f>IF(AND(C513=Master!$H$3,B513="2012-2013",E513="",G513="NPN05"),H513,"")</f>
        <v/>
      </c>
      <c r="AW513" s="44" t="str">
        <f>IF(AND(C513=Master!$H$4,B513="2012-2013",E513&gt;1000,G513="NPN05"),H513,"")</f>
        <v/>
      </c>
      <c r="AX513" s="44" t="str">
        <f>IF(AND(C513=Master!$H$4,B513="2012-2013",E513="",G513="NPN05"),H513,"")</f>
        <v/>
      </c>
      <c r="AY513" s="44" t="str">
        <f>IF(AND(C513=Master!$H$5,B513="2012-2013",E513&gt;1000,G513="NPN05"),H513,"")</f>
        <v/>
      </c>
      <c r="AZ513" s="44" t="str">
        <f>IF(AND(C513=Master!$H$5,B513="2012-2013",E513="",G513="NPN05"),H513,"")</f>
        <v/>
      </c>
      <c r="BA513" s="44" t="str">
        <f>IF(AND(C513=Master!$H$6,B513="2012-2013",E513&gt;1000,G513="NPN05"),H513,"")</f>
        <v/>
      </c>
      <c r="BB513" s="44" t="str">
        <f>IF(AND(C513=Master!$H$6,B513="2012-2013",E513="",G513="NPN05"),H513,"")</f>
        <v/>
      </c>
      <c r="BC513" s="44" t="str">
        <f>IF(AND(C513=Master!$H$7,B513="2012-2013",E513&gt;1000,G513="NPN05"),H513,"")</f>
        <v/>
      </c>
      <c r="BD513" s="44" t="str">
        <f>IF(AND(C513=Master!$H$7,B513="2012-2013",E513="",G513="NPN05"),H513,"")</f>
        <v/>
      </c>
      <c r="BE513" s="44" t="str">
        <f>IF(AND(C513=Master!$H$8,B513="2012-2013",E513&gt;1000,G513="NPN05"),H513,"")</f>
        <v/>
      </c>
      <c r="BF513" s="44" t="str">
        <f>IF(AND(C513=Master!$H$8,B513="2012-2013",E513="",G513="NPN05"),H513,"")</f>
        <v/>
      </c>
      <c r="BG513" s="44" t="str">
        <f>IF(AND(C513=Master!$H$9,B513="2012-2013",E513&gt;1000,G513="NPN05"),H513,"")</f>
        <v/>
      </c>
      <c r="BH513" s="44" t="str">
        <f>IF(AND(C513=Master!$H$9,B513="2012-2013",E513="",G513="NPN05"),H513,"")</f>
        <v/>
      </c>
    </row>
    <row r="514" spans="1:60" x14ac:dyDescent="0.25">
      <c r="A514" s="3">
        <v>512</v>
      </c>
      <c r="B514" s="12"/>
      <c r="C514" s="12"/>
      <c r="D514" s="31"/>
      <c r="E514" s="4"/>
      <c r="F514" s="13"/>
      <c r="G514" s="21"/>
      <c r="H514" s="35"/>
      <c r="I514" s="21"/>
      <c r="J514" s="25" t="str">
        <f>IF(NOT(I514=""),INDEX(Master!$B$1:$B$46,MATCH(I514,Master!$A$1:$A$46,0)),"")</f>
        <v/>
      </c>
      <c r="K514" s="18"/>
      <c r="L514" s="86"/>
      <c r="M514" s="13"/>
      <c r="N514" s="13"/>
      <c r="O514" s="18"/>
      <c r="P514" s="35"/>
      <c r="Q514" s="21"/>
      <c r="R514" s="21"/>
      <c r="S514" s="13"/>
      <c r="T514" s="12"/>
      <c r="U514" s="12"/>
      <c r="V514" s="12"/>
      <c r="W514" s="14"/>
      <c r="Y514" s="42" t="str">
        <f>IF(AND(C514=Master!$H$1,B514="2012-2013",E514&gt;1000,G514="PLN03"),H514,"")</f>
        <v/>
      </c>
      <c r="Z514" s="42" t="str">
        <f>IF(AND(C514=Master!$H$1,B514="2012-2013",E514="",G514="PLN03"),H514,"")</f>
        <v/>
      </c>
      <c r="AA514" s="42" t="str">
        <f>IF(AND(C514=Master!$H$2,B514="2012-2013",E514&gt;1000,G514="PLN03"),H514,"")</f>
        <v/>
      </c>
      <c r="AB514" s="42" t="str">
        <f>IF(AND(C514=Master!$H$2,B514="2012-2013",E514="",G514="PLN03"),H514,"")</f>
        <v/>
      </c>
      <c r="AC514" s="42" t="str">
        <f>IF(AND(C514=Master!$H$3,B514="2012-2013",E514&gt;1000,G514="PLN03"),H514,"")</f>
        <v/>
      </c>
      <c r="AD514" s="42" t="str">
        <f>IF(AND(C514=Master!$H$3,B514="2012-2013",E514="",G514="PLN03"),H514,"")</f>
        <v/>
      </c>
      <c r="AE514" s="42" t="str">
        <f>IF(AND(C514=Master!$H$4,B514="2012-2013",E514&gt;1000,G514="PLN03"),H514,"")</f>
        <v/>
      </c>
      <c r="AF514" s="42" t="str">
        <f>IF(AND(C514=Master!$H$4,B514="2012-2013",E514="",G514="PLN03"),H514,"")</f>
        <v/>
      </c>
      <c r="AG514" s="42" t="str">
        <f>IF(AND(C514=Master!$H$5,B514="2012-2013",E514&gt;1000,G514="PLN03"),H514,"")</f>
        <v/>
      </c>
      <c r="AH514" s="42" t="str">
        <f>IF(AND(C514=Master!$H$5,B514="2012-2013",E514="",G514="PLN03"),H514,"")</f>
        <v/>
      </c>
      <c r="AI514" s="42" t="str">
        <f>IF(AND(C514=Master!$H$6,B514="2012-2013",E514&gt;1000,G514="PLN03"),H514,"")</f>
        <v/>
      </c>
      <c r="AJ514" s="42" t="str">
        <f>IF(AND(C514=Master!$H$6,B514="2012-2013",E514="",G514="PLN03"),H514,"")</f>
        <v/>
      </c>
      <c r="AK514" s="42" t="str">
        <f>IF(AND(C514=Master!$H$7,B514="2012-2013",E514&gt;1000,G514="PLN03"),H514,"")</f>
        <v/>
      </c>
      <c r="AL514" s="42" t="str">
        <f>IF(AND(C514=Master!$H$7,B514="2012-2013",E514="",G514="PLN03"),H514,"")</f>
        <v/>
      </c>
      <c r="AM514" s="42" t="str">
        <f>IF(AND(C514=Master!$H$8,B514="2012-2013",E514&gt;1000,G514="PLN03"),H514,"")</f>
        <v/>
      </c>
      <c r="AN514" s="42" t="str">
        <f>IF(AND(C514=Master!$H$8,B514="2012-2013",E514="",G514="PLN03"),H514,"")</f>
        <v/>
      </c>
      <c r="AO514" s="42" t="str">
        <f>IF(AND(C514=Master!$H$9,B514="2012-2013",E514&gt;1000,G514="PLN03"),H514,"")</f>
        <v/>
      </c>
      <c r="AP514" s="42" t="str">
        <f>IF(AND(C514=Master!$H$9,B514="2012-2013",E514="",G514="PLN03"),H514,"")</f>
        <v/>
      </c>
      <c r="AQ514" s="44" t="str">
        <f>IF(AND(C514=Master!$H$1,B514="2012-2013",E514&gt;1000,G514="NPN05"),H514,"")</f>
        <v/>
      </c>
      <c r="AR514" s="44" t="str">
        <f>IF(AND(C514=Master!$H$1,B514="2012-2013",E514="",G514="NPN05"),H514,"")</f>
        <v/>
      </c>
      <c r="AS514" s="44" t="str">
        <f>IF(AND(C514=Master!$H$2,B514="2012-2013",E514&gt;1000,G514="NPN05"),H514,"")</f>
        <v/>
      </c>
      <c r="AT514" s="44" t="str">
        <f>IF(AND(C514=Master!$H$2,B514="2012-2013",E514="",G514="NPN05"),H514,"")</f>
        <v/>
      </c>
      <c r="AU514" s="44" t="str">
        <f>IF(AND(C514=Master!$H$3,B514="2012-2013",E514&gt;1000,G514="NPN05"),H514,"")</f>
        <v/>
      </c>
      <c r="AV514" s="44" t="str">
        <f>IF(AND(C514=Master!$H$3,B514="2012-2013",E514="",G514="NPN05"),H514,"")</f>
        <v/>
      </c>
      <c r="AW514" s="44" t="str">
        <f>IF(AND(C514=Master!$H$4,B514="2012-2013",E514&gt;1000,G514="NPN05"),H514,"")</f>
        <v/>
      </c>
      <c r="AX514" s="44" t="str">
        <f>IF(AND(C514=Master!$H$4,B514="2012-2013",E514="",G514="NPN05"),H514,"")</f>
        <v/>
      </c>
      <c r="AY514" s="44" t="str">
        <f>IF(AND(C514=Master!$H$5,B514="2012-2013",E514&gt;1000,G514="NPN05"),H514,"")</f>
        <v/>
      </c>
      <c r="AZ514" s="44" t="str">
        <f>IF(AND(C514=Master!$H$5,B514="2012-2013",E514="",G514="NPN05"),H514,"")</f>
        <v/>
      </c>
      <c r="BA514" s="44" t="str">
        <f>IF(AND(C514=Master!$H$6,B514="2012-2013",E514&gt;1000,G514="NPN05"),H514,"")</f>
        <v/>
      </c>
      <c r="BB514" s="44" t="str">
        <f>IF(AND(C514=Master!$H$6,B514="2012-2013",E514="",G514="NPN05"),H514,"")</f>
        <v/>
      </c>
      <c r="BC514" s="44" t="str">
        <f>IF(AND(C514=Master!$H$7,B514="2012-2013",E514&gt;1000,G514="NPN05"),H514,"")</f>
        <v/>
      </c>
      <c r="BD514" s="44" t="str">
        <f>IF(AND(C514=Master!$H$7,B514="2012-2013",E514="",G514="NPN05"),H514,"")</f>
        <v/>
      </c>
      <c r="BE514" s="44" t="str">
        <f>IF(AND(C514=Master!$H$8,B514="2012-2013",E514&gt;1000,G514="NPN05"),H514,"")</f>
        <v/>
      </c>
      <c r="BF514" s="44" t="str">
        <f>IF(AND(C514=Master!$H$8,B514="2012-2013",E514="",G514="NPN05"),H514,"")</f>
        <v/>
      </c>
      <c r="BG514" s="44" t="str">
        <f>IF(AND(C514=Master!$H$9,B514="2012-2013",E514&gt;1000,G514="NPN05"),H514,"")</f>
        <v/>
      </c>
      <c r="BH514" s="44" t="str">
        <f>IF(AND(C514=Master!$H$9,B514="2012-2013",E514="",G514="NPN05"),H514,"")</f>
        <v/>
      </c>
    </row>
    <row r="515" spans="1:60" x14ac:dyDescent="0.25">
      <c r="A515" s="3">
        <v>513</v>
      </c>
      <c r="B515" s="12"/>
      <c r="C515" s="12"/>
      <c r="D515" s="31"/>
      <c r="E515" s="4"/>
      <c r="F515" s="13"/>
      <c r="G515" s="21"/>
      <c r="H515" s="35"/>
      <c r="I515" s="21"/>
      <c r="J515" s="25" t="str">
        <f>IF(NOT(I515=""),INDEX(Master!$B$1:$B$46,MATCH(I515,Master!$A$1:$A$46,0)),"")</f>
        <v/>
      </c>
      <c r="K515" s="18"/>
      <c r="L515" s="86"/>
      <c r="M515" s="13"/>
      <c r="N515" s="13"/>
      <c r="O515" s="18"/>
      <c r="P515" s="35"/>
      <c r="Q515" s="21"/>
      <c r="R515" s="21"/>
      <c r="S515" s="13"/>
      <c r="T515" s="12"/>
      <c r="U515" s="12"/>
      <c r="V515" s="12"/>
      <c r="W515" s="14"/>
      <c r="Y515" s="42" t="str">
        <f>IF(AND(C515=Master!$H$1,B515="2012-2013",E515&gt;1000,G515="PLN03"),H515,"")</f>
        <v/>
      </c>
      <c r="Z515" s="42" t="str">
        <f>IF(AND(C515=Master!$H$1,B515="2012-2013",E515="",G515="PLN03"),H515,"")</f>
        <v/>
      </c>
      <c r="AA515" s="42" t="str">
        <f>IF(AND(C515=Master!$H$2,B515="2012-2013",E515&gt;1000,G515="PLN03"),H515,"")</f>
        <v/>
      </c>
      <c r="AB515" s="42" t="str">
        <f>IF(AND(C515=Master!$H$2,B515="2012-2013",E515="",G515="PLN03"),H515,"")</f>
        <v/>
      </c>
      <c r="AC515" s="42" t="str">
        <f>IF(AND(C515=Master!$H$3,B515="2012-2013",E515&gt;1000,G515="PLN03"),H515,"")</f>
        <v/>
      </c>
      <c r="AD515" s="42" t="str">
        <f>IF(AND(C515=Master!$H$3,B515="2012-2013",E515="",G515="PLN03"),H515,"")</f>
        <v/>
      </c>
      <c r="AE515" s="42" t="str">
        <f>IF(AND(C515=Master!$H$4,B515="2012-2013",E515&gt;1000,G515="PLN03"),H515,"")</f>
        <v/>
      </c>
      <c r="AF515" s="42" t="str">
        <f>IF(AND(C515=Master!$H$4,B515="2012-2013",E515="",G515="PLN03"),H515,"")</f>
        <v/>
      </c>
      <c r="AG515" s="42" t="str">
        <f>IF(AND(C515=Master!$H$5,B515="2012-2013",E515&gt;1000,G515="PLN03"),H515,"")</f>
        <v/>
      </c>
      <c r="AH515" s="42" t="str">
        <f>IF(AND(C515=Master!$H$5,B515="2012-2013",E515="",G515="PLN03"),H515,"")</f>
        <v/>
      </c>
      <c r="AI515" s="42" t="str">
        <f>IF(AND(C515=Master!$H$6,B515="2012-2013",E515&gt;1000,G515="PLN03"),H515,"")</f>
        <v/>
      </c>
      <c r="AJ515" s="42" t="str">
        <f>IF(AND(C515=Master!$H$6,B515="2012-2013",E515="",G515="PLN03"),H515,"")</f>
        <v/>
      </c>
      <c r="AK515" s="42" t="str">
        <f>IF(AND(C515=Master!$H$7,B515="2012-2013",E515&gt;1000,G515="PLN03"),H515,"")</f>
        <v/>
      </c>
      <c r="AL515" s="42" t="str">
        <f>IF(AND(C515=Master!$H$7,B515="2012-2013",E515="",G515="PLN03"),H515,"")</f>
        <v/>
      </c>
      <c r="AM515" s="42" t="str">
        <f>IF(AND(C515=Master!$H$8,B515="2012-2013",E515&gt;1000,G515="PLN03"),H515,"")</f>
        <v/>
      </c>
      <c r="AN515" s="42" t="str">
        <f>IF(AND(C515=Master!$H$8,B515="2012-2013",E515="",G515="PLN03"),H515,"")</f>
        <v/>
      </c>
      <c r="AO515" s="42" t="str">
        <f>IF(AND(C515=Master!$H$9,B515="2012-2013",E515&gt;1000,G515="PLN03"),H515,"")</f>
        <v/>
      </c>
      <c r="AP515" s="42" t="str">
        <f>IF(AND(C515=Master!$H$9,B515="2012-2013",E515="",G515="PLN03"),H515,"")</f>
        <v/>
      </c>
      <c r="AQ515" s="44" t="str">
        <f>IF(AND(C515=Master!$H$1,B515="2012-2013",E515&gt;1000,G515="NPN05"),H515,"")</f>
        <v/>
      </c>
      <c r="AR515" s="44" t="str">
        <f>IF(AND(C515=Master!$H$1,B515="2012-2013",E515="",G515="NPN05"),H515,"")</f>
        <v/>
      </c>
      <c r="AS515" s="44" t="str">
        <f>IF(AND(C515=Master!$H$2,B515="2012-2013",E515&gt;1000,G515="NPN05"),H515,"")</f>
        <v/>
      </c>
      <c r="AT515" s="44" t="str">
        <f>IF(AND(C515=Master!$H$2,B515="2012-2013",E515="",G515="NPN05"),H515,"")</f>
        <v/>
      </c>
      <c r="AU515" s="44" t="str">
        <f>IF(AND(C515=Master!$H$3,B515="2012-2013",E515&gt;1000,G515="NPN05"),H515,"")</f>
        <v/>
      </c>
      <c r="AV515" s="44" t="str">
        <f>IF(AND(C515=Master!$H$3,B515="2012-2013",E515="",G515="NPN05"),H515,"")</f>
        <v/>
      </c>
      <c r="AW515" s="44" t="str">
        <f>IF(AND(C515=Master!$H$4,B515="2012-2013",E515&gt;1000,G515="NPN05"),H515,"")</f>
        <v/>
      </c>
      <c r="AX515" s="44" t="str">
        <f>IF(AND(C515=Master!$H$4,B515="2012-2013",E515="",G515="NPN05"),H515,"")</f>
        <v/>
      </c>
      <c r="AY515" s="44" t="str">
        <f>IF(AND(C515=Master!$H$5,B515="2012-2013",E515&gt;1000,G515="NPN05"),H515,"")</f>
        <v/>
      </c>
      <c r="AZ515" s="44" t="str">
        <f>IF(AND(C515=Master!$H$5,B515="2012-2013",E515="",G515="NPN05"),H515,"")</f>
        <v/>
      </c>
      <c r="BA515" s="44" t="str">
        <f>IF(AND(C515=Master!$H$6,B515="2012-2013",E515&gt;1000,G515="NPN05"),H515,"")</f>
        <v/>
      </c>
      <c r="BB515" s="44" t="str">
        <f>IF(AND(C515=Master!$H$6,B515="2012-2013",E515="",G515="NPN05"),H515,"")</f>
        <v/>
      </c>
      <c r="BC515" s="44" t="str">
        <f>IF(AND(C515=Master!$H$7,B515="2012-2013",E515&gt;1000,G515="NPN05"),H515,"")</f>
        <v/>
      </c>
      <c r="BD515" s="44" t="str">
        <f>IF(AND(C515=Master!$H$7,B515="2012-2013",E515="",G515="NPN05"),H515,"")</f>
        <v/>
      </c>
      <c r="BE515" s="44" t="str">
        <f>IF(AND(C515=Master!$H$8,B515="2012-2013",E515&gt;1000,G515="NPN05"),H515,"")</f>
        <v/>
      </c>
      <c r="BF515" s="44" t="str">
        <f>IF(AND(C515=Master!$H$8,B515="2012-2013",E515="",G515="NPN05"),H515,"")</f>
        <v/>
      </c>
      <c r="BG515" s="44" t="str">
        <f>IF(AND(C515=Master!$H$9,B515="2012-2013",E515&gt;1000,G515="NPN05"),H515,"")</f>
        <v/>
      </c>
      <c r="BH515" s="44" t="str">
        <f>IF(AND(C515=Master!$H$9,B515="2012-2013",E515="",G515="NPN05"),H515,"")</f>
        <v/>
      </c>
    </row>
    <row r="516" spans="1:60" x14ac:dyDescent="0.25">
      <c r="A516" s="3">
        <v>514</v>
      </c>
      <c r="B516" s="12"/>
      <c r="C516" s="12"/>
      <c r="D516" s="31"/>
      <c r="E516" s="4"/>
      <c r="F516" s="13"/>
      <c r="G516" s="21"/>
      <c r="H516" s="35"/>
      <c r="I516" s="21"/>
      <c r="J516" s="25" t="str">
        <f>IF(NOT(I516=""),INDEX(Master!$B$1:$B$46,MATCH(I516,Master!$A$1:$A$46,0)),"")</f>
        <v/>
      </c>
      <c r="K516" s="18"/>
      <c r="L516" s="86"/>
      <c r="M516" s="13"/>
      <c r="N516" s="13"/>
      <c r="O516" s="18"/>
      <c r="P516" s="35"/>
      <c r="Q516" s="21"/>
      <c r="R516" s="21"/>
      <c r="S516" s="13"/>
      <c r="T516" s="12"/>
      <c r="U516" s="12"/>
      <c r="V516" s="12"/>
      <c r="W516" s="14"/>
      <c r="Y516" s="42" t="str">
        <f>IF(AND(C516=Master!$H$1,B516="2012-2013",E516&gt;1000,G516="PLN03"),H516,"")</f>
        <v/>
      </c>
      <c r="Z516" s="42" t="str">
        <f>IF(AND(C516=Master!$H$1,B516="2012-2013",E516="",G516="PLN03"),H516,"")</f>
        <v/>
      </c>
      <c r="AA516" s="42" t="str">
        <f>IF(AND(C516=Master!$H$2,B516="2012-2013",E516&gt;1000,G516="PLN03"),H516,"")</f>
        <v/>
      </c>
      <c r="AB516" s="42" t="str">
        <f>IF(AND(C516=Master!$H$2,B516="2012-2013",E516="",G516="PLN03"),H516,"")</f>
        <v/>
      </c>
      <c r="AC516" s="42" t="str">
        <f>IF(AND(C516=Master!$H$3,B516="2012-2013",E516&gt;1000,G516="PLN03"),H516,"")</f>
        <v/>
      </c>
      <c r="AD516" s="42" t="str">
        <f>IF(AND(C516=Master!$H$3,B516="2012-2013",E516="",G516="PLN03"),H516,"")</f>
        <v/>
      </c>
      <c r="AE516" s="42" t="str">
        <f>IF(AND(C516=Master!$H$4,B516="2012-2013",E516&gt;1000,G516="PLN03"),H516,"")</f>
        <v/>
      </c>
      <c r="AF516" s="42" t="str">
        <f>IF(AND(C516=Master!$H$4,B516="2012-2013",E516="",G516="PLN03"),H516,"")</f>
        <v/>
      </c>
      <c r="AG516" s="42" t="str">
        <f>IF(AND(C516=Master!$H$5,B516="2012-2013",E516&gt;1000,G516="PLN03"),H516,"")</f>
        <v/>
      </c>
      <c r="AH516" s="42" t="str">
        <f>IF(AND(C516=Master!$H$5,B516="2012-2013",E516="",G516="PLN03"),H516,"")</f>
        <v/>
      </c>
      <c r="AI516" s="42" t="str">
        <f>IF(AND(C516=Master!$H$6,B516="2012-2013",E516&gt;1000,G516="PLN03"),H516,"")</f>
        <v/>
      </c>
      <c r="AJ516" s="42" t="str">
        <f>IF(AND(C516=Master!$H$6,B516="2012-2013",E516="",G516="PLN03"),H516,"")</f>
        <v/>
      </c>
      <c r="AK516" s="42" t="str">
        <f>IF(AND(C516=Master!$H$7,B516="2012-2013",E516&gt;1000,G516="PLN03"),H516,"")</f>
        <v/>
      </c>
      <c r="AL516" s="42" t="str">
        <f>IF(AND(C516=Master!$H$7,B516="2012-2013",E516="",G516="PLN03"),H516,"")</f>
        <v/>
      </c>
      <c r="AM516" s="42" t="str">
        <f>IF(AND(C516=Master!$H$8,B516="2012-2013",E516&gt;1000,G516="PLN03"),H516,"")</f>
        <v/>
      </c>
      <c r="AN516" s="42" t="str">
        <f>IF(AND(C516=Master!$H$8,B516="2012-2013",E516="",G516="PLN03"),H516,"")</f>
        <v/>
      </c>
      <c r="AO516" s="42" t="str">
        <f>IF(AND(C516=Master!$H$9,B516="2012-2013",E516&gt;1000,G516="PLN03"),H516,"")</f>
        <v/>
      </c>
      <c r="AP516" s="42" t="str">
        <f>IF(AND(C516=Master!$H$9,B516="2012-2013",E516="",G516="PLN03"),H516,"")</f>
        <v/>
      </c>
      <c r="AQ516" s="44" t="str">
        <f>IF(AND(C516=Master!$H$1,B516="2012-2013",E516&gt;1000,G516="NPN05"),H516,"")</f>
        <v/>
      </c>
      <c r="AR516" s="44" t="str">
        <f>IF(AND(C516=Master!$H$1,B516="2012-2013",E516="",G516="NPN05"),H516,"")</f>
        <v/>
      </c>
      <c r="AS516" s="44" t="str">
        <f>IF(AND(C516=Master!$H$2,B516="2012-2013",E516&gt;1000,G516="NPN05"),H516,"")</f>
        <v/>
      </c>
      <c r="AT516" s="44" t="str">
        <f>IF(AND(C516=Master!$H$2,B516="2012-2013",E516="",G516="NPN05"),H516,"")</f>
        <v/>
      </c>
      <c r="AU516" s="44" t="str">
        <f>IF(AND(C516=Master!$H$3,B516="2012-2013",E516&gt;1000,G516="NPN05"),H516,"")</f>
        <v/>
      </c>
      <c r="AV516" s="44" t="str">
        <f>IF(AND(C516=Master!$H$3,B516="2012-2013",E516="",G516="NPN05"),H516,"")</f>
        <v/>
      </c>
      <c r="AW516" s="44" t="str">
        <f>IF(AND(C516=Master!$H$4,B516="2012-2013",E516&gt;1000,G516="NPN05"),H516,"")</f>
        <v/>
      </c>
      <c r="AX516" s="44" t="str">
        <f>IF(AND(C516=Master!$H$4,B516="2012-2013",E516="",G516="NPN05"),H516,"")</f>
        <v/>
      </c>
      <c r="AY516" s="44" t="str">
        <f>IF(AND(C516=Master!$H$5,B516="2012-2013",E516&gt;1000,G516="NPN05"),H516,"")</f>
        <v/>
      </c>
      <c r="AZ516" s="44" t="str">
        <f>IF(AND(C516=Master!$H$5,B516="2012-2013",E516="",G516="NPN05"),H516,"")</f>
        <v/>
      </c>
      <c r="BA516" s="44" t="str">
        <f>IF(AND(C516=Master!$H$6,B516="2012-2013",E516&gt;1000,G516="NPN05"),H516,"")</f>
        <v/>
      </c>
      <c r="BB516" s="44" t="str">
        <f>IF(AND(C516=Master!$H$6,B516="2012-2013",E516="",G516="NPN05"),H516,"")</f>
        <v/>
      </c>
      <c r="BC516" s="44" t="str">
        <f>IF(AND(C516=Master!$H$7,B516="2012-2013",E516&gt;1000,G516="NPN05"),H516,"")</f>
        <v/>
      </c>
      <c r="BD516" s="44" t="str">
        <f>IF(AND(C516=Master!$H$7,B516="2012-2013",E516="",G516="NPN05"),H516,"")</f>
        <v/>
      </c>
      <c r="BE516" s="44" t="str">
        <f>IF(AND(C516=Master!$H$8,B516="2012-2013",E516&gt;1000,G516="NPN05"),H516,"")</f>
        <v/>
      </c>
      <c r="BF516" s="44" t="str">
        <f>IF(AND(C516=Master!$H$8,B516="2012-2013",E516="",G516="NPN05"),H516,"")</f>
        <v/>
      </c>
      <c r="BG516" s="44" t="str">
        <f>IF(AND(C516=Master!$H$9,B516="2012-2013",E516&gt;1000,G516="NPN05"),H516,"")</f>
        <v/>
      </c>
      <c r="BH516" s="44" t="str">
        <f>IF(AND(C516=Master!$H$9,B516="2012-2013",E516="",G516="NPN05"),H516,"")</f>
        <v/>
      </c>
    </row>
    <row r="517" spans="1:60" x14ac:dyDescent="0.25">
      <c r="A517" s="5">
        <v>515</v>
      </c>
      <c r="B517" s="12"/>
      <c r="C517" s="12"/>
      <c r="D517" s="31"/>
      <c r="E517" s="4"/>
      <c r="F517" s="13"/>
      <c r="G517" s="21"/>
      <c r="H517" s="35"/>
      <c r="I517" s="21"/>
      <c r="J517" s="25" t="str">
        <f>IF(NOT(I517=""),INDEX(Master!$B$1:$B$46,MATCH(I517,Master!$A$1:$A$46,0)),"")</f>
        <v/>
      </c>
      <c r="K517" s="18"/>
      <c r="L517" s="86"/>
      <c r="M517" s="13"/>
      <c r="N517" s="13"/>
      <c r="O517" s="18"/>
      <c r="P517" s="35"/>
      <c r="Q517" s="21"/>
      <c r="R517" s="21"/>
      <c r="S517" s="13"/>
      <c r="T517" s="12"/>
      <c r="U517" s="12"/>
      <c r="V517" s="12"/>
      <c r="W517" s="14"/>
      <c r="Y517" s="42" t="str">
        <f>IF(AND(C517=Master!$H$1,B517="2012-2013",E517&gt;1000,G517="PLN03"),H517,"")</f>
        <v/>
      </c>
      <c r="Z517" s="42" t="str">
        <f>IF(AND(C517=Master!$H$1,B517="2012-2013",E517="",G517="PLN03"),H517,"")</f>
        <v/>
      </c>
      <c r="AA517" s="42" t="str">
        <f>IF(AND(C517=Master!$H$2,B517="2012-2013",E517&gt;1000,G517="PLN03"),H517,"")</f>
        <v/>
      </c>
      <c r="AB517" s="42" t="str">
        <f>IF(AND(C517=Master!$H$2,B517="2012-2013",E517="",G517="PLN03"),H517,"")</f>
        <v/>
      </c>
      <c r="AC517" s="42" t="str">
        <f>IF(AND(C517=Master!$H$3,B517="2012-2013",E517&gt;1000,G517="PLN03"),H517,"")</f>
        <v/>
      </c>
      <c r="AD517" s="42" t="str">
        <f>IF(AND(C517=Master!$H$3,B517="2012-2013",E517="",G517="PLN03"),H517,"")</f>
        <v/>
      </c>
      <c r="AE517" s="42" t="str">
        <f>IF(AND(C517=Master!$H$4,B517="2012-2013",E517&gt;1000,G517="PLN03"),H517,"")</f>
        <v/>
      </c>
      <c r="AF517" s="42" t="str">
        <f>IF(AND(C517=Master!$H$4,B517="2012-2013",E517="",G517="PLN03"),H517,"")</f>
        <v/>
      </c>
      <c r="AG517" s="42" t="str">
        <f>IF(AND(C517=Master!$H$5,B517="2012-2013",E517&gt;1000,G517="PLN03"),H517,"")</f>
        <v/>
      </c>
      <c r="AH517" s="42" t="str">
        <f>IF(AND(C517=Master!$H$5,B517="2012-2013",E517="",G517="PLN03"),H517,"")</f>
        <v/>
      </c>
      <c r="AI517" s="42" t="str">
        <f>IF(AND(C517=Master!$H$6,B517="2012-2013",E517&gt;1000,G517="PLN03"),H517,"")</f>
        <v/>
      </c>
      <c r="AJ517" s="42" t="str">
        <f>IF(AND(C517=Master!$H$6,B517="2012-2013",E517="",G517="PLN03"),H517,"")</f>
        <v/>
      </c>
      <c r="AK517" s="42" t="str">
        <f>IF(AND(C517=Master!$H$7,B517="2012-2013",E517&gt;1000,G517="PLN03"),H517,"")</f>
        <v/>
      </c>
      <c r="AL517" s="42" t="str">
        <f>IF(AND(C517=Master!$H$7,B517="2012-2013",E517="",G517="PLN03"),H517,"")</f>
        <v/>
      </c>
      <c r="AM517" s="42" t="str">
        <f>IF(AND(C517=Master!$H$8,B517="2012-2013",E517&gt;1000,G517="PLN03"),H517,"")</f>
        <v/>
      </c>
      <c r="AN517" s="42" t="str">
        <f>IF(AND(C517=Master!$H$8,B517="2012-2013",E517="",G517="PLN03"),H517,"")</f>
        <v/>
      </c>
      <c r="AO517" s="42" t="str">
        <f>IF(AND(C517=Master!$H$9,B517="2012-2013",E517&gt;1000,G517="PLN03"),H517,"")</f>
        <v/>
      </c>
      <c r="AP517" s="42" t="str">
        <f>IF(AND(C517=Master!$H$9,B517="2012-2013",E517="",G517="PLN03"),H517,"")</f>
        <v/>
      </c>
      <c r="AQ517" s="44" t="str">
        <f>IF(AND(C517=Master!$H$1,B517="2012-2013",E517&gt;1000,G517="NPN05"),H517,"")</f>
        <v/>
      </c>
      <c r="AR517" s="44" t="str">
        <f>IF(AND(C517=Master!$H$1,B517="2012-2013",E517="",G517="NPN05"),H517,"")</f>
        <v/>
      </c>
      <c r="AS517" s="44" t="str">
        <f>IF(AND(C517=Master!$H$2,B517="2012-2013",E517&gt;1000,G517="NPN05"),H517,"")</f>
        <v/>
      </c>
      <c r="AT517" s="44" t="str">
        <f>IF(AND(C517=Master!$H$2,B517="2012-2013",E517="",G517="NPN05"),H517,"")</f>
        <v/>
      </c>
      <c r="AU517" s="44" t="str">
        <f>IF(AND(C517=Master!$H$3,B517="2012-2013",E517&gt;1000,G517="NPN05"),H517,"")</f>
        <v/>
      </c>
      <c r="AV517" s="44" t="str">
        <f>IF(AND(C517=Master!$H$3,B517="2012-2013",E517="",G517="NPN05"),H517,"")</f>
        <v/>
      </c>
      <c r="AW517" s="44" t="str">
        <f>IF(AND(C517=Master!$H$4,B517="2012-2013",E517&gt;1000,G517="NPN05"),H517,"")</f>
        <v/>
      </c>
      <c r="AX517" s="44" t="str">
        <f>IF(AND(C517=Master!$H$4,B517="2012-2013",E517="",G517="NPN05"),H517,"")</f>
        <v/>
      </c>
      <c r="AY517" s="44" t="str">
        <f>IF(AND(C517=Master!$H$5,B517="2012-2013",E517&gt;1000,G517="NPN05"),H517,"")</f>
        <v/>
      </c>
      <c r="AZ517" s="44" t="str">
        <f>IF(AND(C517=Master!$H$5,B517="2012-2013",E517="",G517="NPN05"),H517,"")</f>
        <v/>
      </c>
      <c r="BA517" s="44" t="str">
        <f>IF(AND(C517=Master!$H$6,B517="2012-2013",E517&gt;1000,G517="NPN05"),H517,"")</f>
        <v/>
      </c>
      <c r="BB517" s="44" t="str">
        <f>IF(AND(C517=Master!$H$6,B517="2012-2013",E517="",G517="NPN05"),H517,"")</f>
        <v/>
      </c>
      <c r="BC517" s="44" t="str">
        <f>IF(AND(C517=Master!$H$7,B517="2012-2013",E517&gt;1000,G517="NPN05"),H517,"")</f>
        <v/>
      </c>
      <c r="BD517" s="44" t="str">
        <f>IF(AND(C517=Master!$H$7,B517="2012-2013",E517="",G517="NPN05"),H517,"")</f>
        <v/>
      </c>
      <c r="BE517" s="44" t="str">
        <f>IF(AND(C517=Master!$H$8,B517="2012-2013",E517&gt;1000,G517="NPN05"),H517,"")</f>
        <v/>
      </c>
      <c r="BF517" s="44" t="str">
        <f>IF(AND(C517=Master!$H$8,B517="2012-2013",E517="",G517="NPN05"),H517,"")</f>
        <v/>
      </c>
      <c r="BG517" s="44" t="str">
        <f>IF(AND(C517=Master!$H$9,B517="2012-2013",E517&gt;1000,G517="NPN05"),H517,"")</f>
        <v/>
      </c>
      <c r="BH517" s="44" t="str">
        <f>IF(AND(C517=Master!$H$9,B517="2012-2013",E517="",G517="NPN05"),H517,"")</f>
        <v/>
      </c>
    </row>
    <row r="518" spans="1:60" x14ac:dyDescent="0.25">
      <c r="A518" s="3">
        <v>516</v>
      </c>
      <c r="B518" s="12"/>
      <c r="C518" s="12"/>
      <c r="D518" s="31"/>
      <c r="E518" s="4"/>
      <c r="F518" s="13"/>
      <c r="G518" s="21"/>
      <c r="H518" s="35"/>
      <c r="I518" s="21"/>
      <c r="J518" s="25" t="str">
        <f>IF(NOT(I518=""),INDEX(Master!$B$1:$B$46,MATCH(I518,Master!$A$1:$A$46,0)),"")</f>
        <v/>
      </c>
      <c r="K518" s="18"/>
      <c r="L518" s="86"/>
      <c r="M518" s="13"/>
      <c r="N518" s="13"/>
      <c r="O518" s="18"/>
      <c r="P518" s="35"/>
      <c r="Q518" s="21"/>
      <c r="R518" s="21"/>
      <c r="S518" s="13"/>
      <c r="T518" s="12"/>
      <c r="U518" s="12"/>
      <c r="V518" s="12"/>
      <c r="W518" s="14"/>
      <c r="Y518" s="42" t="str">
        <f>IF(AND(C518=Master!$H$1,B518="2012-2013",E518&gt;1000,G518="PLN03"),H518,"")</f>
        <v/>
      </c>
      <c r="Z518" s="42" t="str">
        <f>IF(AND(C518=Master!$H$1,B518="2012-2013",E518="",G518="PLN03"),H518,"")</f>
        <v/>
      </c>
      <c r="AA518" s="42" t="str">
        <f>IF(AND(C518=Master!$H$2,B518="2012-2013",E518&gt;1000,G518="PLN03"),H518,"")</f>
        <v/>
      </c>
      <c r="AB518" s="42" t="str">
        <f>IF(AND(C518=Master!$H$2,B518="2012-2013",E518="",G518="PLN03"),H518,"")</f>
        <v/>
      </c>
      <c r="AC518" s="42" t="str">
        <f>IF(AND(C518=Master!$H$3,B518="2012-2013",E518&gt;1000,G518="PLN03"),H518,"")</f>
        <v/>
      </c>
      <c r="AD518" s="42" t="str">
        <f>IF(AND(C518=Master!$H$3,B518="2012-2013",E518="",G518="PLN03"),H518,"")</f>
        <v/>
      </c>
      <c r="AE518" s="42" t="str">
        <f>IF(AND(C518=Master!$H$4,B518="2012-2013",E518&gt;1000,G518="PLN03"),H518,"")</f>
        <v/>
      </c>
      <c r="AF518" s="42" t="str">
        <f>IF(AND(C518=Master!$H$4,B518="2012-2013",E518="",G518="PLN03"),H518,"")</f>
        <v/>
      </c>
      <c r="AG518" s="42" t="str">
        <f>IF(AND(C518=Master!$H$5,B518="2012-2013",E518&gt;1000,G518="PLN03"),H518,"")</f>
        <v/>
      </c>
      <c r="AH518" s="42" t="str">
        <f>IF(AND(C518=Master!$H$5,B518="2012-2013",E518="",G518="PLN03"),H518,"")</f>
        <v/>
      </c>
      <c r="AI518" s="42" t="str">
        <f>IF(AND(C518=Master!$H$6,B518="2012-2013",E518&gt;1000,G518="PLN03"),H518,"")</f>
        <v/>
      </c>
      <c r="AJ518" s="42" t="str">
        <f>IF(AND(C518=Master!$H$6,B518="2012-2013",E518="",G518="PLN03"),H518,"")</f>
        <v/>
      </c>
      <c r="AK518" s="42" t="str">
        <f>IF(AND(C518=Master!$H$7,B518="2012-2013",E518&gt;1000,G518="PLN03"),H518,"")</f>
        <v/>
      </c>
      <c r="AL518" s="42" t="str">
        <f>IF(AND(C518=Master!$H$7,B518="2012-2013",E518="",G518="PLN03"),H518,"")</f>
        <v/>
      </c>
      <c r="AM518" s="42" t="str">
        <f>IF(AND(C518=Master!$H$8,B518="2012-2013",E518&gt;1000,G518="PLN03"),H518,"")</f>
        <v/>
      </c>
      <c r="AN518" s="42" t="str">
        <f>IF(AND(C518=Master!$H$8,B518="2012-2013",E518="",G518="PLN03"),H518,"")</f>
        <v/>
      </c>
      <c r="AO518" s="42" t="str">
        <f>IF(AND(C518=Master!$H$9,B518="2012-2013",E518&gt;1000,G518="PLN03"),H518,"")</f>
        <v/>
      </c>
      <c r="AP518" s="42" t="str">
        <f>IF(AND(C518=Master!$H$9,B518="2012-2013",E518="",G518="PLN03"),H518,"")</f>
        <v/>
      </c>
      <c r="AQ518" s="44" t="str">
        <f>IF(AND(C518=Master!$H$1,B518="2012-2013",E518&gt;1000,G518="NPN05"),H518,"")</f>
        <v/>
      </c>
      <c r="AR518" s="44" t="str">
        <f>IF(AND(C518=Master!$H$1,B518="2012-2013",E518="",G518="NPN05"),H518,"")</f>
        <v/>
      </c>
      <c r="AS518" s="44" t="str">
        <f>IF(AND(C518=Master!$H$2,B518="2012-2013",E518&gt;1000,G518="NPN05"),H518,"")</f>
        <v/>
      </c>
      <c r="AT518" s="44" t="str">
        <f>IF(AND(C518=Master!$H$2,B518="2012-2013",E518="",G518="NPN05"),H518,"")</f>
        <v/>
      </c>
      <c r="AU518" s="44" t="str">
        <f>IF(AND(C518=Master!$H$3,B518="2012-2013",E518&gt;1000,G518="NPN05"),H518,"")</f>
        <v/>
      </c>
      <c r="AV518" s="44" t="str">
        <f>IF(AND(C518=Master!$H$3,B518="2012-2013",E518="",G518="NPN05"),H518,"")</f>
        <v/>
      </c>
      <c r="AW518" s="44" t="str">
        <f>IF(AND(C518=Master!$H$4,B518="2012-2013",E518&gt;1000,G518="NPN05"),H518,"")</f>
        <v/>
      </c>
      <c r="AX518" s="44" t="str">
        <f>IF(AND(C518=Master!$H$4,B518="2012-2013",E518="",G518="NPN05"),H518,"")</f>
        <v/>
      </c>
      <c r="AY518" s="44" t="str">
        <f>IF(AND(C518=Master!$H$5,B518="2012-2013",E518&gt;1000,G518="NPN05"),H518,"")</f>
        <v/>
      </c>
      <c r="AZ518" s="44" t="str">
        <f>IF(AND(C518=Master!$H$5,B518="2012-2013",E518="",G518="NPN05"),H518,"")</f>
        <v/>
      </c>
      <c r="BA518" s="44" t="str">
        <f>IF(AND(C518=Master!$H$6,B518="2012-2013",E518&gt;1000,G518="NPN05"),H518,"")</f>
        <v/>
      </c>
      <c r="BB518" s="44" t="str">
        <f>IF(AND(C518=Master!$H$6,B518="2012-2013",E518="",G518="NPN05"),H518,"")</f>
        <v/>
      </c>
      <c r="BC518" s="44" t="str">
        <f>IF(AND(C518=Master!$H$7,B518="2012-2013",E518&gt;1000,G518="NPN05"),H518,"")</f>
        <v/>
      </c>
      <c r="BD518" s="44" t="str">
        <f>IF(AND(C518=Master!$H$7,B518="2012-2013",E518="",G518="NPN05"),H518,"")</f>
        <v/>
      </c>
      <c r="BE518" s="44" t="str">
        <f>IF(AND(C518=Master!$H$8,B518="2012-2013",E518&gt;1000,G518="NPN05"),H518,"")</f>
        <v/>
      </c>
      <c r="BF518" s="44" t="str">
        <f>IF(AND(C518=Master!$H$8,B518="2012-2013",E518="",G518="NPN05"),H518,"")</f>
        <v/>
      </c>
      <c r="BG518" s="44" t="str">
        <f>IF(AND(C518=Master!$H$9,B518="2012-2013",E518&gt;1000,G518="NPN05"),H518,"")</f>
        <v/>
      </c>
      <c r="BH518" s="44" t="str">
        <f>IF(AND(C518=Master!$H$9,B518="2012-2013",E518="",G518="NPN05"),H518,"")</f>
        <v/>
      </c>
    </row>
    <row r="519" spans="1:60" x14ac:dyDescent="0.25">
      <c r="A519" s="3">
        <v>517</v>
      </c>
      <c r="B519" s="12"/>
      <c r="C519" s="12"/>
      <c r="D519" s="31"/>
      <c r="E519" s="4"/>
      <c r="F519" s="13"/>
      <c r="G519" s="21"/>
      <c r="H519" s="35"/>
      <c r="I519" s="21"/>
      <c r="J519" s="25" t="str">
        <f>IF(NOT(I519=""),INDEX(Master!$B$1:$B$46,MATCH(I519,Master!$A$1:$A$46,0)),"")</f>
        <v/>
      </c>
      <c r="K519" s="18"/>
      <c r="L519" s="86"/>
      <c r="M519" s="13"/>
      <c r="N519" s="13"/>
      <c r="O519" s="18"/>
      <c r="P519" s="35"/>
      <c r="Q519" s="21"/>
      <c r="R519" s="21"/>
      <c r="S519" s="13"/>
      <c r="T519" s="12"/>
      <c r="U519" s="12"/>
      <c r="V519" s="12"/>
      <c r="W519" s="14"/>
      <c r="Y519" s="42" t="str">
        <f>IF(AND(C519=Master!$H$1,B519="2012-2013",E519&gt;1000,G519="PLN03"),H519,"")</f>
        <v/>
      </c>
      <c r="Z519" s="42" t="str">
        <f>IF(AND(C519=Master!$H$1,B519="2012-2013",E519="",G519="PLN03"),H519,"")</f>
        <v/>
      </c>
      <c r="AA519" s="42" t="str">
        <f>IF(AND(C519=Master!$H$2,B519="2012-2013",E519&gt;1000,G519="PLN03"),H519,"")</f>
        <v/>
      </c>
      <c r="AB519" s="42" t="str">
        <f>IF(AND(C519=Master!$H$2,B519="2012-2013",E519="",G519="PLN03"),H519,"")</f>
        <v/>
      </c>
      <c r="AC519" s="42" t="str">
        <f>IF(AND(C519=Master!$H$3,B519="2012-2013",E519&gt;1000,G519="PLN03"),H519,"")</f>
        <v/>
      </c>
      <c r="AD519" s="42" t="str">
        <f>IF(AND(C519=Master!$H$3,B519="2012-2013",E519="",G519="PLN03"),H519,"")</f>
        <v/>
      </c>
      <c r="AE519" s="42" t="str">
        <f>IF(AND(C519=Master!$H$4,B519="2012-2013",E519&gt;1000,G519="PLN03"),H519,"")</f>
        <v/>
      </c>
      <c r="AF519" s="42" t="str">
        <f>IF(AND(C519=Master!$H$4,B519="2012-2013",E519="",G519="PLN03"),H519,"")</f>
        <v/>
      </c>
      <c r="AG519" s="42" t="str">
        <f>IF(AND(C519=Master!$H$5,B519="2012-2013",E519&gt;1000,G519="PLN03"),H519,"")</f>
        <v/>
      </c>
      <c r="AH519" s="42" t="str">
        <f>IF(AND(C519=Master!$H$5,B519="2012-2013",E519="",G519="PLN03"),H519,"")</f>
        <v/>
      </c>
      <c r="AI519" s="42" t="str">
        <f>IF(AND(C519=Master!$H$6,B519="2012-2013",E519&gt;1000,G519="PLN03"),H519,"")</f>
        <v/>
      </c>
      <c r="AJ519" s="42" t="str">
        <f>IF(AND(C519=Master!$H$6,B519="2012-2013",E519="",G519="PLN03"),H519,"")</f>
        <v/>
      </c>
      <c r="AK519" s="42" t="str">
        <f>IF(AND(C519=Master!$H$7,B519="2012-2013",E519&gt;1000,G519="PLN03"),H519,"")</f>
        <v/>
      </c>
      <c r="AL519" s="42" t="str">
        <f>IF(AND(C519=Master!$H$7,B519="2012-2013",E519="",G519="PLN03"),H519,"")</f>
        <v/>
      </c>
      <c r="AM519" s="42" t="str">
        <f>IF(AND(C519=Master!$H$8,B519="2012-2013",E519&gt;1000,G519="PLN03"),H519,"")</f>
        <v/>
      </c>
      <c r="AN519" s="42" t="str">
        <f>IF(AND(C519=Master!$H$8,B519="2012-2013",E519="",G519="PLN03"),H519,"")</f>
        <v/>
      </c>
      <c r="AO519" s="42" t="str">
        <f>IF(AND(C519=Master!$H$9,B519="2012-2013",E519&gt;1000,G519="PLN03"),H519,"")</f>
        <v/>
      </c>
      <c r="AP519" s="42" t="str">
        <f>IF(AND(C519=Master!$H$9,B519="2012-2013",E519="",G519="PLN03"),H519,"")</f>
        <v/>
      </c>
      <c r="AQ519" s="44" t="str">
        <f>IF(AND(C519=Master!$H$1,B519="2012-2013",E519&gt;1000,G519="NPN05"),H519,"")</f>
        <v/>
      </c>
      <c r="AR519" s="44" t="str">
        <f>IF(AND(C519=Master!$H$1,B519="2012-2013",E519="",G519="NPN05"),H519,"")</f>
        <v/>
      </c>
      <c r="AS519" s="44" t="str">
        <f>IF(AND(C519=Master!$H$2,B519="2012-2013",E519&gt;1000,G519="NPN05"),H519,"")</f>
        <v/>
      </c>
      <c r="AT519" s="44" t="str">
        <f>IF(AND(C519=Master!$H$2,B519="2012-2013",E519="",G519="NPN05"),H519,"")</f>
        <v/>
      </c>
      <c r="AU519" s="44" t="str">
        <f>IF(AND(C519=Master!$H$3,B519="2012-2013",E519&gt;1000,G519="NPN05"),H519,"")</f>
        <v/>
      </c>
      <c r="AV519" s="44" t="str">
        <f>IF(AND(C519=Master!$H$3,B519="2012-2013",E519="",G519="NPN05"),H519,"")</f>
        <v/>
      </c>
      <c r="AW519" s="44" t="str">
        <f>IF(AND(C519=Master!$H$4,B519="2012-2013",E519&gt;1000,G519="NPN05"),H519,"")</f>
        <v/>
      </c>
      <c r="AX519" s="44" t="str">
        <f>IF(AND(C519=Master!$H$4,B519="2012-2013",E519="",G519="NPN05"),H519,"")</f>
        <v/>
      </c>
      <c r="AY519" s="44" t="str">
        <f>IF(AND(C519=Master!$H$5,B519="2012-2013",E519&gt;1000,G519="NPN05"),H519,"")</f>
        <v/>
      </c>
      <c r="AZ519" s="44" t="str">
        <f>IF(AND(C519=Master!$H$5,B519="2012-2013",E519="",G519="NPN05"),H519,"")</f>
        <v/>
      </c>
      <c r="BA519" s="44" t="str">
        <f>IF(AND(C519=Master!$H$6,B519="2012-2013",E519&gt;1000,G519="NPN05"),H519,"")</f>
        <v/>
      </c>
      <c r="BB519" s="44" t="str">
        <f>IF(AND(C519=Master!$H$6,B519="2012-2013",E519="",G519="NPN05"),H519,"")</f>
        <v/>
      </c>
      <c r="BC519" s="44" t="str">
        <f>IF(AND(C519=Master!$H$7,B519="2012-2013",E519&gt;1000,G519="NPN05"),H519,"")</f>
        <v/>
      </c>
      <c r="BD519" s="44" t="str">
        <f>IF(AND(C519=Master!$H$7,B519="2012-2013",E519="",G519="NPN05"),H519,"")</f>
        <v/>
      </c>
      <c r="BE519" s="44" t="str">
        <f>IF(AND(C519=Master!$H$8,B519="2012-2013",E519&gt;1000,G519="NPN05"),H519,"")</f>
        <v/>
      </c>
      <c r="BF519" s="44" t="str">
        <f>IF(AND(C519=Master!$H$8,B519="2012-2013",E519="",G519="NPN05"),H519,"")</f>
        <v/>
      </c>
      <c r="BG519" s="44" t="str">
        <f>IF(AND(C519=Master!$H$9,B519="2012-2013",E519&gt;1000,G519="NPN05"),H519,"")</f>
        <v/>
      </c>
      <c r="BH519" s="44" t="str">
        <f>IF(AND(C519=Master!$H$9,B519="2012-2013",E519="",G519="NPN05"),H519,"")</f>
        <v/>
      </c>
    </row>
    <row r="520" spans="1:60" x14ac:dyDescent="0.25">
      <c r="A520" s="3">
        <v>518</v>
      </c>
      <c r="B520" s="12"/>
      <c r="C520" s="12"/>
      <c r="D520" s="31"/>
      <c r="E520" s="4"/>
      <c r="F520" s="13"/>
      <c r="G520" s="21"/>
      <c r="H520" s="35"/>
      <c r="I520" s="21"/>
      <c r="J520" s="25" t="str">
        <f>IF(NOT(I520=""),INDEX(Master!$B$1:$B$46,MATCH(I520,Master!$A$1:$A$46,0)),"")</f>
        <v/>
      </c>
      <c r="K520" s="18"/>
      <c r="L520" s="86"/>
      <c r="M520" s="13"/>
      <c r="N520" s="13"/>
      <c r="O520" s="18"/>
      <c r="P520" s="35"/>
      <c r="Q520" s="21"/>
      <c r="R520" s="21"/>
      <c r="S520" s="13"/>
      <c r="T520" s="12"/>
      <c r="U520" s="12"/>
      <c r="V520" s="12"/>
      <c r="W520" s="14"/>
      <c r="Y520" s="42" t="str">
        <f>IF(AND(C520=Master!$H$1,B520="2012-2013",E520&gt;1000,G520="PLN03"),H520,"")</f>
        <v/>
      </c>
      <c r="Z520" s="42" t="str">
        <f>IF(AND(C520=Master!$H$1,B520="2012-2013",E520="",G520="PLN03"),H520,"")</f>
        <v/>
      </c>
      <c r="AA520" s="42" t="str">
        <f>IF(AND(C520=Master!$H$2,B520="2012-2013",E520&gt;1000,G520="PLN03"),H520,"")</f>
        <v/>
      </c>
      <c r="AB520" s="42" t="str">
        <f>IF(AND(C520=Master!$H$2,B520="2012-2013",E520="",G520="PLN03"),H520,"")</f>
        <v/>
      </c>
      <c r="AC520" s="42" t="str">
        <f>IF(AND(C520=Master!$H$3,B520="2012-2013",E520&gt;1000,G520="PLN03"),H520,"")</f>
        <v/>
      </c>
      <c r="AD520" s="42" t="str">
        <f>IF(AND(C520=Master!$H$3,B520="2012-2013",E520="",G520="PLN03"),H520,"")</f>
        <v/>
      </c>
      <c r="AE520" s="42" t="str">
        <f>IF(AND(C520=Master!$H$4,B520="2012-2013",E520&gt;1000,G520="PLN03"),H520,"")</f>
        <v/>
      </c>
      <c r="AF520" s="42" t="str">
        <f>IF(AND(C520=Master!$H$4,B520="2012-2013",E520="",G520="PLN03"),H520,"")</f>
        <v/>
      </c>
      <c r="AG520" s="42" t="str">
        <f>IF(AND(C520=Master!$H$5,B520="2012-2013",E520&gt;1000,G520="PLN03"),H520,"")</f>
        <v/>
      </c>
      <c r="AH520" s="42" t="str">
        <f>IF(AND(C520=Master!$H$5,B520="2012-2013",E520="",G520="PLN03"),H520,"")</f>
        <v/>
      </c>
      <c r="AI520" s="42" t="str">
        <f>IF(AND(C520=Master!$H$6,B520="2012-2013",E520&gt;1000,G520="PLN03"),H520,"")</f>
        <v/>
      </c>
      <c r="AJ520" s="42" t="str">
        <f>IF(AND(C520=Master!$H$6,B520="2012-2013",E520="",G520="PLN03"),H520,"")</f>
        <v/>
      </c>
      <c r="AK520" s="42" t="str">
        <f>IF(AND(C520=Master!$H$7,B520="2012-2013",E520&gt;1000,G520="PLN03"),H520,"")</f>
        <v/>
      </c>
      <c r="AL520" s="42" t="str">
        <f>IF(AND(C520=Master!$H$7,B520="2012-2013",E520="",G520="PLN03"),H520,"")</f>
        <v/>
      </c>
      <c r="AM520" s="42" t="str">
        <f>IF(AND(C520=Master!$H$8,B520="2012-2013",E520&gt;1000,G520="PLN03"),H520,"")</f>
        <v/>
      </c>
      <c r="AN520" s="42" t="str">
        <f>IF(AND(C520=Master!$H$8,B520="2012-2013",E520="",G520="PLN03"),H520,"")</f>
        <v/>
      </c>
      <c r="AO520" s="42" t="str">
        <f>IF(AND(C520=Master!$H$9,B520="2012-2013",E520&gt;1000,G520="PLN03"),H520,"")</f>
        <v/>
      </c>
      <c r="AP520" s="42" t="str">
        <f>IF(AND(C520=Master!$H$9,B520="2012-2013",E520="",G520="PLN03"),H520,"")</f>
        <v/>
      </c>
      <c r="AQ520" s="44" t="str">
        <f>IF(AND(C520=Master!$H$1,B520="2012-2013",E520&gt;1000,G520="NPN05"),H520,"")</f>
        <v/>
      </c>
      <c r="AR520" s="44" t="str">
        <f>IF(AND(C520=Master!$H$1,B520="2012-2013",E520="",G520="NPN05"),H520,"")</f>
        <v/>
      </c>
      <c r="AS520" s="44" t="str">
        <f>IF(AND(C520=Master!$H$2,B520="2012-2013",E520&gt;1000,G520="NPN05"),H520,"")</f>
        <v/>
      </c>
      <c r="AT520" s="44" t="str">
        <f>IF(AND(C520=Master!$H$2,B520="2012-2013",E520="",G520="NPN05"),H520,"")</f>
        <v/>
      </c>
      <c r="AU520" s="44" t="str">
        <f>IF(AND(C520=Master!$H$3,B520="2012-2013",E520&gt;1000,G520="NPN05"),H520,"")</f>
        <v/>
      </c>
      <c r="AV520" s="44" t="str">
        <f>IF(AND(C520=Master!$H$3,B520="2012-2013",E520="",G520="NPN05"),H520,"")</f>
        <v/>
      </c>
      <c r="AW520" s="44" t="str">
        <f>IF(AND(C520=Master!$H$4,B520="2012-2013",E520&gt;1000,G520="NPN05"),H520,"")</f>
        <v/>
      </c>
      <c r="AX520" s="44" t="str">
        <f>IF(AND(C520=Master!$H$4,B520="2012-2013",E520="",G520="NPN05"),H520,"")</f>
        <v/>
      </c>
      <c r="AY520" s="44" t="str">
        <f>IF(AND(C520=Master!$H$5,B520="2012-2013",E520&gt;1000,G520="NPN05"),H520,"")</f>
        <v/>
      </c>
      <c r="AZ520" s="44" t="str">
        <f>IF(AND(C520=Master!$H$5,B520="2012-2013",E520="",G520="NPN05"),H520,"")</f>
        <v/>
      </c>
      <c r="BA520" s="44" t="str">
        <f>IF(AND(C520=Master!$H$6,B520="2012-2013",E520&gt;1000,G520="NPN05"),H520,"")</f>
        <v/>
      </c>
      <c r="BB520" s="44" t="str">
        <f>IF(AND(C520=Master!$H$6,B520="2012-2013",E520="",G520="NPN05"),H520,"")</f>
        <v/>
      </c>
      <c r="BC520" s="44" t="str">
        <f>IF(AND(C520=Master!$H$7,B520="2012-2013",E520&gt;1000,G520="NPN05"),H520,"")</f>
        <v/>
      </c>
      <c r="BD520" s="44" t="str">
        <f>IF(AND(C520=Master!$H$7,B520="2012-2013",E520="",G520="NPN05"),H520,"")</f>
        <v/>
      </c>
      <c r="BE520" s="44" t="str">
        <f>IF(AND(C520=Master!$H$8,B520="2012-2013",E520&gt;1000,G520="NPN05"),H520,"")</f>
        <v/>
      </c>
      <c r="BF520" s="44" t="str">
        <f>IF(AND(C520=Master!$H$8,B520="2012-2013",E520="",G520="NPN05"),H520,"")</f>
        <v/>
      </c>
      <c r="BG520" s="44" t="str">
        <f>IF(AND(C520=Master!$H$9,B520="2012-2013",E520&gt;1000,G520="NPN05"),H520,"")</f>
        <v/>
      </c>
      <c r="BH520" s="44" t="str">
        <f>IF(AND(C520=Master!$H$9,B520="2012-2013",E520="",G520="NPN05"),H520,"")</f>
        <v/>
      </c>
    </row>
    <row r="521" spans="1:60" x14ac:dyDescent="0.25">
      <c r="A521" s="3">
        <v>519</v>
      </c>
      <c r="B521" s="12"/>
      <c r="C521" s="12"/>
      <c r="D521" s="31"/>
      <c r="E521" s="4"/>
      <c r="F521" s="13"/>
      <c r="G521" s="21"/>
      <c r="H521" s="35"/>
      <c r="I521" s="21"/>
      <c r="J521" s="25" t="str">
        <f>IF(NOT(I521=""),INDEX(Master!$B$1:$B$46,MATCH(I521,Master!$A$1:$A$46,0)),"")</f>
        <v/>
      </c>
      <c r="K521" s="18"/>
      <c r="L521" s="86"/>
      <c r="M521" s="13"/>
      <c r="N521" s="13"/>
      <c r="O521" s="18"/>
      <c r="P521" s="35"/>
      <c r="Q521" s="21"/>
      <c r="R521" s="21"/>
      <c r="S521" s="13"/>
      <c r="T521" s="12"/>
      <c r="U521" s="12"/>
      <c r="V521" s="12"/>
      <c r="W521" s="14"/>
      <c r="Y521" s="42" t="str">
        <f>IF(AND(C521=Master!$H$1,B521="2012-2013",E521&gt;1000,G521="PLN03"),H521,"")</f>
        <v/>
      </c>
      <c r="Z521" s="42" t="str">
        <f>IF(AND(C521=Master!$H$1,B521="2012-2013",E521="",G521="PLN03"),H521,"")</f>
        <v/>
      </c>
      <c r="AA521" s="42" t="str">
        <f>IF(AND(C521=Master!$H$2,B521="2012-2013",E521&gt;1000,G521="PLN03"),H521,"")</f>
        <v/>
      </c>
      <c r="AB521" s="42" t="str">
        <f>IF(AND(C521=Master!$H$2,B521="2012-2013",E521="",G521="PLN03"),H521,"")</f>
        <v/>
      </c>
      <c r="AC521" s="42" t="str">
        <f>IF(AND(C521=Master!$H$3,B521="2012-2013",E521&gt;1000,G521="PLN03"),H521,"")</f>
        <v/>
      </c>
      <c r="AD521" s="42" t="str">
        <f>IF(AND(C521=Master!$H$3,B521="2012-2013",E521="",G521="PLN03"),H521,"")</f>
        <v/>
      </c>
      <c r="AE521" s="42" t="str">
        <f>IF(AND(C521=Master!$H$4,B521="2012-2013",E521&gt;1000,G521="PLN03"),H521,"")</f>
        <v/>
      </c>
      <c r="AF521" s="42" t="str">
        <f>IF(AND(C521=Master!$H$4,B521="2012-2013",E521="",G521="PLN03"),H521,"")</f>
        <v/>
      </c>
      <c r="AG521" s="42" t="str">
        <f>IF(AND(C521=Master!$H$5,B521="2012-2013",E521&gt;1000,G521="PLN03"),H521,"")</f>
        <v/>
      </c>
      <c r="AH521" s="42" t="str">
        <f>IF(AND(C521=Master!$H$5,B521="2012-2013",E521="",G521="PLN03"),H521,"")</f>
        <v/>
      </c>
      <c r="AI521" s="42" t="str">
        <f>IF(AND(C521=Master!$H$6,B521="2012-2013",E521&gt;1000,G521="PLN03"),H521,"")</f>
        <v/>
      </c>
      <c r="AJ521" s="42" t="str">
        <f>IF(AND(C521=Master!$H$6,B521="2012-2013",E521="",G521="PLN03"),H521,"")</f>
        <v/>
      </c>
      <c r="AK521" s="42" t="str">
        <f>IF(AND(C521=Master!$H$7,B521="2012-2013",E521&gt;1000,G521="PLN03"),H521,"")</f>
        <v/>
      </c>
      <c r="AL521" s="42" t="str">
        <f>IF(AND(C521=Master!$H$7,B521="2012-2013",E521="",G521="PLN03"),H521,"")</f>
        <v/>
      </c>
      <c r="AM521" s="42" t="str">
        <f>IF(AND(C521=Master!$H$8,B521="2012-2013",E521&gt;1000,G521="PLN03"),H521,"")</f>
        <v/>
      </c>
      <c r="AN521" s="42" t="str">
        <f>IF(AND(C521=Master!$H$8,B521="2012-2013",E521="",G521="PLN03"),H521,"")</f>
        <v/>
      </c>
      <c r="AO521" s="42" t="str">
        <f>IF(AND(C521=Master!$H$9,B521="2012-2013",E521&gt;1000,G521="PLN03"),H521,"")</f>
        <v/>
      </c>
      <c r="AP521" s="42" t="str">
        <f>IF(AND(C521=Master!$H$9,B521="2012-2013",E521="",G521="PLN03"),H521,"")</f>
        <v/>
      </c>
      <c r="AQ521" s="44" t="str">
        <f>IF(AND(C521=Master!$H$1,B521="2012-2013",E521&gt;1000,G521="NPN05"),H521,"")</f>
        <v/>
      </c>
      <c r="AR521" s="44" t="str">
        <f>IF(AND(C521=Master!$H$1,B521="2012-2013",E521="",G521="NPN05"),H521,"")</f>
        <v/>
      </c>
      <c r="AS521" s="44" t="str">
        <f>IF(AND(C521=Master!$H$2,B521="2012-2013",E521&gt;1000,G521="NPN05"),H521,"")</f>
        <v/>
      </c>
      <c r="AT521" s="44" t="str">
        <f>IF(AND(C521=Master!$H$2,B521="2012-2013",E521="",G521="NPN05"),H521,"")</f>
        <v/>
      </c>
      <c r="AU521" s="44" t="str">
        <f>IF(AND(C521=Master!$H$3,B521="2012-2013",E521&gt;1000,G521="NPN05"),H521,"")</f>
        <v/>
      </c>
      <c r="AV521" s="44" t="str">
        <f>IF(AND(C521=Master!$H$3,B521="2012-2013",E521="",G521="NPN05"),H521,"")</f>
        <v/>
      </c>
      <c r="AW521" s="44" t="str">
        <f>IF(AND(C521=Master!$H$4,B521="2012-2013",E521&gt;1000,G521="NPN05"),H521,"")</f>
        <v/>
      </c>
      <c r="AX521" s="44" t="str">
        <f>IF(AND(C521=Master!$H$4,B521="2012-2013",E521="",G521="NPN05"),H521,"")</f>
        <v/>
      </c>
      <c r="AY521" s="44" t="str">
        <f>IF(AND(C521=Master!$H$5,B521="2012-2013",E521&gt;1000,G521="NPN05"),H521,"")</f>
        <v/>
      </c>
      <c r="AZ521" s="44" t="str">
        <f>IF(AND(C521=Master!$H$5,B521="2012-2013",E521="",G521="NPN05"),H521,"")</f>
        <v/>
      </c>
      <c r="BA521" s="44" t="str">
        <f>IF(AND(C521=Master!$H$6,B521="2012-2013",E521&gt;1000,G521="NPN05"),H521,"")</f>
        <v/>
      </c>
      <c r="BB521" s="44" t="str">
        <f>IF(AND(C521=Master!$H$6,B521="2012-2013",E521="",G521="NPN05"),H521,"")</f>
        <v/>
      </c>
      <c r="BC521" s="44" t="str">
        <f>IF(AND(C521=Master!$H$7,B521="2012-2013",E521&gt;1000,G521="NPN05"),H521,"")</f>
        <v/>
      </c>
      <c r="BD521" s="44" t="str">
        <f>IF(AND(C521=Master!$H$7,B521="2012-2013",E521="",G521="NPN05"),H521,"")</f>
        <v/>
      </c>
      <c r="BE521" s="44" t="str">
        <f>IF(AND(C521=Master!$H$8,B521="2012-2013",E521&gt;1000,G521="NPN05"),H521,"")</f>
        <v/>
      </c>
      <c r="BF521" s="44" t="str">
        <f>IF(AND(C521=Master!$H$8,B521="2012-2013",E521="",G521="NPN05"),H521,"")</f>
        <v/>
      </c>
      <c r="BG521" s="44" t="str">
        <f>IF(AND(C521=Master!$H$9,B521="2012-2013",E521&gt;1000,G521="NPN05"),H521,"")</f>
        <v/>
      </c>
      <c r="BH521" s="44" t="str">
        <f>IF(AND(C521=Master!$H$9,B521="2012-2013",E521="",G521="NPN05"),H521,"")</f>
        <v/>
      </c>
    </row>
    <row r="522" spans="1:60" x14ac:dyDescent="0.25">
      <c r="A522" s="3">
        <v>520</v>
      </c>
      <c r="B522" s="12"/>
      <c r="C522" s="12"/>
      <c r="D522" s="31"/>
      <c r="E522" s="4"/>
      <c r="F522" s="13"/>
      <c r="G522" s="21"/>
      <c r="H522" s="35"/>
      <c r="I522" s="21"/>
      <c r="J522" s="25" t="str">
        <f>IF(NOT(I522=""),INDEX(Master!$B$1:$B$46,MATCH(I522,Master!$A$1:$A$46,0)),"")</f>
        <v/>
      </c>
      <c r="K522" s="18"/>
      <c r="L522" s="86"/>
      <c r="M522" s="13"/>
      <c r="N522" s="13"/>
      <c r="O522" s="18"/>
      <c r="P522" s="35"/>
      <c r="Q522" s="21"/>
      <c r="R522" s="21"/>
      <c r="S522" s="13"/>
      <c r="T522" s="12"/>
      <c r="U522" s="12"/>
      <c r="V522" s="12"/>
      <c r="W522" s="14"/>
      <c r="Y522" s="42" t="str">
        <f>IF(AND(C522=Master!$H$1,B522="2012-2013",E522&gt;1000,G522="PLN03"),H522,"")</f>
        <v/>
      </c>
      <c r="Z522" s="42" t="str">
        <f>IF(AND(C522=Master!$H$1,B522="2012-2013",E522="",G522="PLN03"),H522,"")</f>
        <v/>
      </c>
      <c r="AA522" s="42" t="str">
        <f>IF(AND(C522=Master!$H$2,B522="2012-2013",E522&gt;1000,G522="PLN03"),H522,"")</f>
        <v/>
      </c>
      <c r="AB522" s="42" t="str">
        <f>IF(AND(C522=Master!$H$2,B522="2012-2013",E522="",G522="PLN03"),H522,"")</f>
        <v/>
      </c>
      <c r="AC522" s="42" t="str">
        <f>IF(AND(C522=Master!$H$3,B522="2012-2013",E522&gt;1000,G522="PLN03"),H522,"")</f>
        <v/>
      </c>
      <c r="AD522" s="42" t="str">
        <f>IF(AND(C522=Master!$H$3,B522="2012-2013",E522="",G522="PLN03"),H522,"")</f>
        <v/>
      </c>
      <c r="AE522" s="42" t="str">
        <f>IF(AND(C522=Master!$H$4,B522="2012-2013",E522&gt;1000,G522="PLN03"),H522,"")</f>
        <v/>
      </c>
      <c r="AF522" s="42" t="str">
        <f>IF(AND(C522=Master!$H$4,B522="2012-2013",E522="",G522="PLN03"),H522,"")</f>
        <v/>
      </c>
      <c r="AG522" s="42" t="str">
        <f>IF(AND(C522=Master!$H$5,B522="2012-2013",E522&gt;1000,G522="PLN03"),H522,"")</f>
        <v/>
      </c>
      <c r="AH522" s="42" t="str">
        <f>IF(AND(C522=Master!$H$5,B522="2012-2013",E522="",G522="PLN03"),H522,"")</f>
        <v/>
      </c>
      <c r="AI522" s="42" t="str">
        <f>IF(AND(C522=Master!$H$6,B522="2012-2013",E522&gt;1000,G522="PLN03"),H522,"")</f>
        <v/>
      </c>
      <c r="AJ522" s="42" t="str">
        <f>IF(AND(C522=Master!$H$6,B522="2012-2013",E522="",G522="PLN03"),H522,"")</f>
        <v/>
      </c>
      <c r="AK522" s="42" t="str">
        <f>IF(AND(C522=Master!$H$7,B522="2012-2013",E522&gt;1000,G522="PLN03"),H522,"")</f>
        <v/>
      </c>
      <c r="AL522" s="42" t="str">
        <f>IF(AND(C522=Master!$H$7,B522="2012-2013",E522="",G522="PLN03"),H522,"")</f>
        <v/>
      </c>
      <c r="AM522" s="42" t="str">
        <f>IF(AND(C522=Master!$H$8,B522="2012-2013",E522&gt;1000,G522="PLN03"),H522,"")</f>
        <v/>
      </c>
      <c r="AN522" s="42" t="str">
        <f>IF(AND(C522=Master!$H$8,B522="2012-2013",E522="",G522="PLN03"),H522,"")</f>
        <v/>
      </c>
      <c r="AO522" s="42" t="str">
        <f>IF(AND(C522=Master!$H$9,B522="2012-2013",E522&gt;1000,G522="PLN03"),H522,"")</f>
        <v/>
      </c>
      <c r="AP522" s="42" t="str">
        <f>IF(AND(C522=Master!$H$9,B522="2012-2013",E522="",G522="PLN03"),H522,"")</f>
        <v/>
      </c>
      <c r="AQ522" s="44" t="str">
        <f>IF(AND(C522=Master!$H$1,B522="2012-2013",E522&gt;1000,G522="NPN05"),H522,"")</f>
        <v/>
      </c>
      <c r="AR522" s="44" t="str">
        <f>IF(AND(C522=Master!$H$1,B522="2012-2013",E522="",G522="NPN05"),H522,"")</f>
        <v/>
      </c>
      <c r="AS522" s="44" t="str">
        <f>IF(AND(C522=Master!$H$2,B522="2012-2013",E522&gt;1000,G522="NPN05"),H522,"")</f>
        <v/>
      </c>
      <c r="AT522" s="44" t="str">
        <f>IF(AND(C522=Master!$H$2,B522="2012-2013",E522="",G522="NPN05"),H522,"")</f>
        <v/>
      </c>
      <c r="AU522" s="44" t="str">
        <f>IF(AND(C522=Master!$H$3,B522="2012-2013",E522&gt;1000,G522="NPN05"),H522,"")</f>
        <v/>
      </c>
      <c r="AV522" s="44" t="str">
        <f>IF(AND(C522=Master!$H$3,B522="2012-2013",E522="",G522="NPN05"),H522,"")</f>
        <v/>
      </c>
      <c r="AW522" s="44" t="str">
        <f>IF(AND(C522=Master!$H$4,B522="2012-2013",E522&gt;1000,G522="NPN05"),H522,"")</f>
        <v/>
      </c>
      <c r="AX522" s="44" t="str">
        <f>IF(AND(C522=Master!$H$4,B522="2012-2013",E522="",G522="NPN05"),H522,"")</f>
        <v/>
      </c>
      <c r="AY522" s="44" t="str">
        <f>IF(AND(C522=Master!$H$5,B522="2012-2013",E522&gt;1000,G522="NPN05"),H522,"")</f>
        <v/>
      </c>
      <c r="AZ522" s="44" t="str">
        <f>IF(AND(C522=Master!$H$5,B522="2012-2013",E522="",G522="NPN05"),H522,"")</f>
        <v/>
      </c>
      <c r="BA522" s="44" t="str">
        <f>IF(AND(C522=Master!$H$6,B522="2012-2013",E522&gt;1000,G522="NPN05"),H522,"")</f>
        <v/>
      </c>
      <c r="BB522" s="44" t="str">
        <f>IF(AND(C522=Master!$H$6,B522="2012-2013",E522="",G522="NPN05"),H522,"")</f>
        <v/>
      </c>
      <c r="BC522" s="44" t="str">
        <f>IF(AND(C522=Master!$H$7,B522="2012-2013",E522&gt;1000,G522="NPN05"),H522,"")</f>
        <v/>
      </c>
      <c r="BD522" s="44" t="str">
        <f>IF(AND(C522=Master!$H$7,B522="2012-2013",E522="",G522="NPN05"),H522,"")</f>
        <v/>
      </c>
      <c r="BE522" s="44" t="str">
        <f>IF(AND(C522=Master!$H$8,B522="2012-2013",E522&gt;1000,G522="NPN05"),H522,"")</f>
        <v/>
      </c>
      <c r="BF522" s="44" t="str">
        <f>IF(AND(C522=Master!$H$8,B522="2012-2013",E522="",G522="NPN05"),H522,"")</f>
        <v/>
      </c>
      <c r="BG522" s="44" t="str">
        <f>IF(AND(C522=Master!$H$9,B522="2012-2013",E522&gt;1000,G522="NPN05"),H522,"")</f>
        <v/>
      </c>
      <c r="BH522" s="44" t="str">
        <f>IF(AND(C522=Master!$H$9,B522="2012-2013",E522="",G522="NPN05"),H522,"")</f>
        <v/>
      </c>
    </row>
    <row r="523" spans="1:60" x14ac:dyDescent="0.25">
      <c r="A523" s="3">
        <v>521</v>
      </c>
      <c r="B523" s="12"/>
      <c r="C523" s="12"/>
      <c r="D523" s="31"/>
      <c r="E523" s="4"/>
      <c r="F523" s="13"/>
      <c r="G523" s="21"/>
      <c r="H523" s="35"/>
      <c r="I523" s="21"/>
      <c r="J523" s="25" t="str">
        <f>IF(NOT(I523=""),INDEX(Master!$B$1:$B$46,MATCH(I523,Master!$A$1:$A$46,0)),"")</f>
        <v/>
      </c>
      <c r="K523" s="18"/>
      <c r="L523" s="86"/>
      <c r="M523" s="13"/>
      <c r="N523" s="13"/>
      <c r="O523" s="18"/>
      <c r="P523" s="35"/>
      <c r="Q523" s="21"/>
      <c r="R523" s="21"/>
      <c r="S523" s="13"/>
      <c r="T523" s="12"/>
      <c r="U523" s="12"/>
      <c r="V523" s="12"/>
      <c r="W523" s="14"/>
      <c r="Y523" s="42" t="str">
        <f>IF(AND(C523=Master!$H$1,B523="2012-2013",E523&gt;1000,G523="PLN03"),H523,"")</f>
        <v/>
      </c>
      <c r="Z523" s="42" t="str">
        <f>IF(AND(C523=Master!$H$1,B523="2012-2013",E523="",G523="PLN03"),H523,"")</f>
        <v/>
      </c>
      <c r="AA523" s="42" t="str">
        <f>IF(AND(C523=Master!$H$2,B523="2012-2013",E523&gt;1000,G523="PLN03"),H523,"")</f>
        <v/>
      </c>
      <c r="AB523" s="42" t="str">
        <f>IF(AND(C523=Master!$H$2,B523="2012-2013",E523="",G523="PLN03"),H523,"")</f>
        <v/>
      </c>
      <c r="AC523" s="42" t="str">
        <f>IF(AND(C523=Master!$H$3,B523="2012-2013",E523&gt;1000,G523="PLN03"),H523,"")</f>
        <v/>
      </c>
      <c r="AD523" s="42" t="str">
        <f>IF(AND(C523=Master!$H$3,B523="2012-2013",E523="",G523="PLN03"),H523,"")</f>
        <v/>
      </c>
      <c r="AE523" s="42" t="str">
        <f>IF(AND(C523=Master!$H$4,B523="2012-2013",E523&gt;1000,G523="PLN03"),H523,"")</f>
        <v/>
      </c>
      <c r="AF523" s="42" t="str">
        <f>IF(AND(C523=Master!$H$4,B523="2012-2013",E523="",G523="PLN03"),H523,"")</f>
        <v/>
      </c>
      <c r="AG523" s="42" t="str">
        <f>IF(AND(C523=Master!$H$5,B523="2012-2013",E523&gt;1000,G523="PLN03"),H523,"")</f>
        <v/>
      </c>
      <c r="AH523" s="42" t="str">
        <f>IF(AND(C523=Master!$H$5,B523="2012-2013",E523="",G523="PLN03"),H523,"")</f>
        <v/>
      </c>
      <c r="AI523" s="42" t="str">
        <f>IF(AND(C523=Master!$H$6,B523="2012-2013",E523&gt;1000,G523="PLN03"),H523,"")</f>
        <v/>
      </c>
      <c r="AJ523" s="42" t="str">
        <f>IF(AND(C523=Master!$H$6,B523="2012-2013",E523="",G523="PLN03"),H523,"")</f>
        <v/>
      </c>
      <c r="AK523" s="42" t="str">
        <f>IF(AND(C523=Master!$H$7,B523="2012-2013",E523&gt;1000,G523="PLN03"),H523,"")</f>
        <v/>
      </c>
      <c r="AL523" s="42" t="str">
        <f>IF(AND(C523=Master!$H$7,B523="2012-2013",E523="",G523="PLN03"),H523,"")</f>
        <v/>
      </c>
      <c r="AM523" s="42" t="str">
        <f>IF(AND(C523=Master!$H$8,B523="2012-2013",E523&gt;1000,G523="PLN03"),H523,"")</f>
        <v/>
      </c>
      <c r="AN523" s="42" t="str">
        <f>IF(AND(C523=Master!$H$8,B523="2012-2013",E523="",G523="PLN03"),H523,"")</f>
        <v/>
      </c>
      <c r="AO523" s="42" t="str">
        <f>IF(AND(C523=Master!$H$9,B523="2012-2013",E523&gt;1000,G523="PLN03"),H523,"")</f>
        <v/>
      </c>
      <c r="AP523" s="42" t="str">
        <f>IF(AND(C523=Master!$H$9,B523="2012-2013",E523="",G523="PLN03"),H523,"")</f>
        <v/>
      </c>
      <c r="AQ523" s="44" t="str">
        <f>IF(AND(C523=Master!$H$1,B523="2012-2013",E523&gt;1000,G523="NPN05"),H523,"")</f>
        <v/>
      </c>
      <c r="AR523" s="44" t="str">
        <f>IF(AND(C523=Master!$H$1,B523="2012-2013",E523="",G523="NPN05"),H523,"")</f>
        <v/>
      </c>
      <c r="AS523" s="44" t="str">
        <f>IF(AND(C523=Master!$H$2,B523="2012-2013",E523&gt;1000,G523="NPN05"),H523,"")</f>
        <v/>
      </c>
      <c r="AT523" s="44" t="str">
        <f>IF(AND(C523=Master!$H$2,B523="2012-2013",E523="",G523="NPN05"),H523,"")</f>
        <v/>
      </c>
      <c r="AU523" s="44" t="str">
        <f>IF(AND(C523=Master!$H$3,B523="2012-2013",E523&gt;1000,G523="NPN05"),H523,"")</f>
        <v/>
      </c>
      <c r="AV523" s="44" t="str">
        <f>IF(AND(C523=Master!$H$3,B523="2012-2013",E523="",G523="NPN05"),H523,"")</f>
        <v/>
      </c>
      <c r="AW523" s="44" t="str">
        <f>IF(AND(C523=Master!$H$4,B523="2012-2013",E523&gt;1000,G523="NPN05"),H523,"")</f>
        <v/>
      </c>
      <c r="AX523" s="44" t="str">
        <f>IF(AND(C523=Master!$H$4,B523="2012-2013",E523="",G523="NPN05"),H523,"")</f>
        <v/>
      </c>
      <c r="AY523" s="44" t="str">
        <f>IF(AND(C523=Master!$H$5,B523="2012-2013",E523&gt;1000,G523="NPN05"),H523,"")</f>
        <v/>
      </c>
      <c r="AZ523" s="44" t="str">
        <f>IF(AND(C523=Master!$H$5,B523="2012-2013",E523="",G523="NPN05"),H523,"")</f>
        <v/>
      </c>
      <c r="BA523" s="44" t="str">
        <f>IF(AND(C523=Master!$H$6,B523="2012-2013",E523&gt;1000,G523="NPN05"),H523,"")</f>
        <v/>
      </c>
      <c r="BB523" s="44" t="str">
        <f>IF(AND(C523=Master!$H$6,B523="2012-2013",E523="",G523="NPN05"),H523,"")</f>
        <v/>
      </c>
      <c r="BC523" s="44" t="str">
        <f>IF(AND(C523=Master!$H$7,B523="2012-2013",E523&gt;1000,G523="NPN05"),H523,"")</f>
        <v/>
      </c>
      <c r="BD523" s="44" t="str">
        <f>IF(AND(C523=Master!$H$7,B523="2012-2013",E523="",G523="NPN05"),H523,"")</f>
        <v/>
      </c>
      <c r="BE523" s="44" t="str">
        <f>IF(AND(C523=Master!$H$8,B523="2012-2013",E523&gt;1000,G523="NPN05"),H523,"")</f>
        <v/>
      </c>
      <c r="BF523" s="44" t="str">
        <f>IF(AND(C523=Master!$H$8,B523="2012-2013",E523="",G523="NPN05"),H523,"")</f>
        <v/>
      </c>
      <c r="BG523" s="44" t="str">
        <f>IF(AND(C523=Master!$H$9,B523="2012-2013",E523&gt;1000,G523="NPN05"),H523,"")</f>
        <v/>
      </c>
      <c r="BH523" s="44" t="str">
        <f>IF(AND(C523=Master!$H$9,B523="2012-2013",E523="",G523="NPN05"),H523,"")</f>
        <v/>
      </c>
    </row>
    <row r="524" spans="1:60" x14ac:dyDescent="0.25">
      <c r="A524" s="3">
        <v>522</v>
      </c>
      <c r="B524" s="12"/>
      <c r="C524" s="12"/>
      <c r="D524" s="31"/>
      <c r="E524" s="4"/>
      <c r="F524" s="13"/>
      <c r="G524" s="21"/>
      <c r="H524" s="35"/>
      <c r="I524" s="21"/>
      <c r="J524" s="25" t="str">
        <f>IF(NOT(I524=""),INDEX(Master!$B$1:$B$46,MATCH(I524,Master!$A$1:$A$46,0)),"")</f>
        <v/>
      </c>
      <c r="K524" s="18"/>
      <c r="L524" s="86"/>
      <c r="M524" s="13"/>
      <c r="N524" s="13"/>
      <c r="O524" s="18"/>
      <c r="P524" s="35"/>
      <c r="Q524" s="21"/>
      <c r="R524" s="21"/>
      <c r="S524" s="13"/>
      <c r="T524" s="12"/>
      <c r="U524" s="12"/>
      <c r="V524" s="12"/>
      <c r="W524" s="14"/>
      <c r="Y524" s="42" t="str">
        <f>IF(AND(C524=Master!$H$1,B524="2012-2013",E524&gt;1000,G524="PLN03"),H524,"")</f>
        <v/>
      </c>
      <c r="Z524" s="42" t="str">
        <f>IF(AND(C524=Master!$H$1,B524="2012-2013",E524="",G524="PLN03"),H524,"")</f>
        <v/>
      </c>
      <c r="AA524" s="42" t="str">
        <f>IF(AND(C524=Master!$H$2,B524="2012-2013",E524&gt;1000,G524="PLN03"),H524,"")</f>
        <v/>
      </c>
      <c r="AB524" s="42" t="str">
        <f>IF(AND(C524=Master!$H$2,B524="2012-2013",E524="",G524="PLN03"),H524,"")</f>
        <v/>
      </c>
      <c r="AC524" s="42" t="str">
        <f>IF(AND(C524=Master!$H$3,B524="2012-2013",E524&gt;1000,G524="PLN03"),H524,"")</f>
        <v/>
      </c>
      <c r="AD524" s="42" t="str">
        <f>IF(AND(C524=Master!$H$3,B524="2012-2013",E524="",G524="PLN03"),H524,"")</f>
        <v/>
      </c>
      <c r="AE524" s="42" t="str">
        <f>IF(AND(C524=Master!$H$4,B524="2012-2013",E524&gt;1000,G524="PLN03"),H524,"")</f>
        <v/>
      </c>
      <c r="AF524" s="42" t="str">
        <f>IF(AND(C524=Master!$H$4,B524="2012-2013",E524="",G524="PLN03"),H524,"")</f>
        <v/>
      </c>
      <c r="AG524" s="42" t="str">
        <f>IF(AND(C524=Master!$H$5,B524="2012-2013",E524&gt;1000,G524="PLN03"),H524,"")</f>
        <v/>
      </c>
      <c r="AH524" s="42" t="str">
        <f>IF(AND(C524=Master!$H$5,B524="2012-2013",E524="",G524="PLN03"),H524,"")</f>
        <v/>
      </c>
      <c r="AI524" s="42" t="str">
        <f>IF(AND(C524=Master!$H$6,B524="2012-2013",E524&gt;1000,G524="PLN03"),H524,"")</f>
        <v/>
      </c>
      <c r="AJ524" s="42" t="str">
        <f>IF(AND(C524=Master!$H$6,B524="2012-2013",E524="",G524="PLN03"),H524,"")</f>
        <v/>
      </c>
      <c r="AK524" s="42" t="str">
        <f>IF(AND(C524=Master!$H$7,B524="2012-2013",E524&gt;1000,G524="PLN03"),H524,"")</f>
        <v/>
      </c>
      <c r="AL524" s="42" t="str">
        <f>IF(AND(C524=Master!$H$7,B524="2012-2013",E524="",G524="PLN03"),H524,"")</f>
        <v/>
      </c>
      <c r="AM524" s="42" t="str">
        <f>IF(AND(C524=Master!$H$8,B524="2012-2013",E524&gt;1000,G524="PLN03"),H524,"")</f>
        <v/>
      </c>
      <c r="AN524" s="42" t="str">
        <f>IF(AND(C524=Master!$H$8,B524="2012-2013",E524="",G524="PLN03"),H524,"")</f>
        <v/>
      </c>
      <c r="AO524" s="42" t="str">
        <f>IF(AND(C524=Master!$H$9,B524="2012-2013",E524&gt;1000,G524="PLN03"),H524,"")</f>
        <v/>
      </c>
      <c r="AP524" s="42" t="str">
        <f>IF(AND(C524=Master!$H$9,B524="2012-2013",E524="",G524="PLN03"),H524,"")</f>
        <v/>
      </c>
      <c r="AQ524" s="44" t="str">
        <f>IF(AND(C524=Master!$H$1,B524="2012-2013",E524&gt;1000,G524="NPN05"),H524,"")</f>
        <v/>
      </c>
      <c r="AR524" s="44" t="str">
        <f>IF(AND(C524=Master!$H$1,B524="2012-2013",E524="",G524="NPN05"),H524,"")</f>
        <v/>
      </c>
      <c r="AS524" s="44" t="str">
        <f>IF(AND(C524=Master!$H$2,B524="2012-2013",E524&gt;1000,G524="NPN05"),H524,"")</f>
        <v/>
      </c>
      <c r="AT524" s="44" t="str">
        <f>IF(AND(C524=Master!$H$2,B524="2012-2013",E524="",G524="NPN05"),H524,"")</f>
        <v/>
      </c>
      <c r="AU524" s="44" t="str">
        <f>IF(AND(C524=Master!$H$3,B524="2012-2013",E524&gt;1000,G524="NPN05"),H524,"")</f>
        <v/>
      </c>
      <c r="AV524" s="44" t="str">
        <f>IF(AND(C524=Master!$H$3,B524="2012-2013",E524="",G524="NPN05"),H524,"")</f>
        <v/>
      </c>
      <c r="AW524" s="44" t="str">
        <f>IF(AND(C524=Master!$H$4,B524="2012-2013",E524&gt;1000,G524="NPN05"),H524,"")</f>
        <v/>
      </c>
      <c r="AX524" s="44" t="str">
        <f>IF(AND(C524=Master!$H$4,B524="2012-2013",E524="",G524="NPN05"),H524,"")</f>
        <v/>
      </c>
      <c r="AY524" s="44" t="str">
        <f>IF(AND(C524=Master!$H$5,B524="2012-2013",E524&gt;1000,G524="NPN05"),H524,"")</f>
        <v/>
      </c>
      <c r="AZ524" s="44" t="str">
        <f>IF(AND(C524=Master!$H$5,B524="2012-2013",E524="",G524="NPN05"),H524,"")</f>
        <v/>
      </c>
      <c r="BA524" s="44" t="str">
        <f>IF(AND(C524=Master!$H$6,B524="2012-2013",E524&gt;1000,G524="NPN05"),H524,"")</f>
        <v/>
      </c>
      <c r="BB524" s="44" t="str">
        <f>IF(AND(C524=Master!$H$6,B524="2012-2013",E524="",G524="NPN05"),H524,"")</f>
        <v/>
      </c>
      <c r="BC524" s="44" t="str">
        <f>IF(AND(C524=Master!$H$7,B524="2012-2013",E524&gt;1000,G524="NPN05"),H524,"")</f>
        <v/>
      </c>
      <c r="BD524" s="44" t="str">
        <f>IF(AND(C524=Master!$H$7,B524="2012-2013",E524="",G524="NPN05"),H524,"")</f>
        <v/>
      </c>
      <c r="BE524" s="44" t="str">
        <f>IF(AND(C524=Master!$H$8,B524="2012-2013",E524&gt;1000,G524="NPN05"),H524,"")</f>
        <v/>
      </c>
      <c r="BF524" s="44" t="str">
        <f>IF(AND(C524=Master!$H$8,B524="2012-2013",E524="",G524="NPN05"),H524,"")</f>
        <v/>
      </c>
      <c r="BG524" s="44" t="str">
        <f>IF(AND(C524=Master!$H$9,B524="2012-2013",E524&gt;1000,G524="NPN05"),H524,"")</f>
        <v/>
      </c>
      <c r="BH524" s="44" t="str">
        <f>IF(AND(C524=Master!$H$9,B524="2012-2013",E524="",G524="NPN05"),H524,"")</f>
        <v/>
      </c>
    </row>
    <row r="525" spans="1:60" x14ac:dyDescent="0.25">
      <c r="A525" s="3">
        <v>523</v>
      </c>
      <c r="B525" s="12"/>
      <c r="C525" s="12"/>
      <c r="D525" s="31"/>
      <c r="E525" s="4"/>
      <c r="F525" s="13"/>
      <c r="G525" s="21"/>
      <c r="H525" s="35"/>
      <c r="I525" s="21"/>
      <c r="J525" s="25" t="str">
        <f>IF(NOT(I525=""),INDEX(Master!$B$1:$B$46,MATCH(I525,Master!$A$1:$A$46,0)),"")</f>
        <v/>
      </c>
      <c r="K525" s="18"/>
      <c r="L525" s="86"/>
      <c r="M525" s="13"/>
      <c r="N525" s="13"/>
      <c r="O525" s="18"/>
      <c r="P525" s="35"/>
      <c r="Q525" s="21"/>
      <c r="R525" s="21"/>
      <c r="S525" s="13"/>
      <c r="T525" s="12"/>
      <c r="U525" s="12"/>
      <c r="V525" s="12"/>
      <c r="W525" s="14"/>
      <c r="Y525" s="42" t="str">
        <f>IF(AND(C525=Master!$H$1,B525="2012-2013",E525&gt;1000,G525="PLN03"),H525,"")</f>
        <v/>
      </c>
      <c r="Z525" s="42" t="str">
        <f>IF(AND(C525=Master!$H$1,B525="2012-2013",E525="",G525="PLN03"),H525,"")</f>
        <v/>
      </c>
      <c r="AA525" s="42" t="str">
        <f>IF(AND(C525=Master!$H$2,B525="2012-2013",E525&gt;1000,G525="PLN03"),H525,"")</f>
        <v/>
      </c>
      <c r="AB525" s="42" t="str">
        <f>IF(AND(C525=Master!$H$2,B525="2012-2013",E525="",G525="PLN03"),H525,"")</f>
        <v/>
      </c>
      <c r="AC525" s="42" t="str">
        <f>IF(AND(C525=Master!$H$3,B525="2012-2013",E525&gt;1000,G525="PLN03"),H525,"")</f>
        <v/>
      </c>
      <c r="AD525" s="42" t="str">
        <f>IF(AND(C525=Master!$H$3,B525="2012-2013",E525="",G525="PLN03"),H525,"")</f>
        <v/>
      </c>
      <c r="AE525" s="42" t="str">
        <f>IF(AND(C525=Master!$H$4,B525="2012-2013",E525&gt;1000,G525="PLN03"),H525,"")</f>
        <v/>
      </c>
      <c r="AF525" s="42" t="str">
        <f>IF(AND(C525=Master!$H$4,B525="2012-2013",E525="",G525="PLN03"),H525,"")</f>
        <v/>
      </c>
      <c r="AG525" s="42" t="str">
        <f>IF(AND(C525=Master!$H$5,B525="2012-2013",E525&gt;1000,G525="PLN03"),H525,"")</f>
        <v/>
      </c>
      <c r="AH525" s="42" t="str">
        <f>IF(AND(C525=Master!$H$5,B525="2012-2013",E525="",G525="PLN03"),H525,"")</f>
        <v/>
      </c>
      <c r="AI525" s="42" t="str">
        <f>IF(AND(C525=Master!$H$6,B525="2012-2013",E525&gt;1000,G525="PLN03"),H525,"")</f>
        <v/>
      </c>
      <c r="AJ525" s="42" t="str">
        <f>IF(AND(C525=Master!$H$6,B525="2012-2013",E525="",G525="PLN03"),H525,"")</f>
        <v/>
      </c>
      <c r="AK525" s="42" t="str">
        <f>IF(AND(C525=Master!$H$7,B525="2012-2013",E525&gt;1000,G525="PLN03"),H525,"")</f>
        <v/>
      </c>
      <c r="AL525" s="42" t="str">
        <f>IF(AND(C525=Master!$H$7,B525="2012-2013",E525="",G525="PLN03"),H525,"")</f>
        <v/>
      </c>
      <c r="AM525" s="42" t="str">
        <f>IF(AND(C525=Master!$H$8,B525="2012-2013",E525&gt;1000,G525="PLN03"),H525,"")</f>
        <v/>
      </c>
      <c r="AN525" s="42" t="str">
        <f>IF(AND(C525=Master!$H$8,B525="2012-2013",E525="",G525="PLN03"),H525,"")</f>
        <v/>
      </c>
      <c r="AO525" s="42" t="str">
        <f>IF(AND(C525=Master!$H$9,B525="2012-2013",E525&gt;1000,G525="PLN03"),H525,"")</f>
        <v/>
      </c>
      <c r="AP525" s="42" t="str">
        <f>IF(AND(C525=Master!$H$9,B525="2012-2013",E525="",G525="PLN03"),H525,"")</f>
        <v/>
      </c>
      <c r="AQ525" s="44" t="str">
        <f>IF(AND(C525=Master!$H$1,B525="2012-2013",E525&gt;1000,G525="NPN05"),H525,"")</f>
        <v/>
      </c>
      <c r="AR525" s="44" t="str">
        <f>IF(AND(C525=Master!$H$1,B525="2012-2013",E525="",G525="NPN05"),H525,"")</f>
        <v/>
      </c>
      <c r="AS525" s="44" t="str">
        <f>IF(AND(C525=Master!$H$2,B525="2012-2013",E525&gt;1000,G525="NPN05"),H525,"")</f>
        <v/>
      </c>
      <c r="AT525" s="44" t="str">
        <f>IF(AND(C525=Master!$H$2,B525="2012-2013",E525="",G525="NPN05"),H525,"")</f>
        <v/>
      </c>
      <c r="AU525" s="44" t="str">
        <f>IF(AND(C525=Master!$H$3,B525="2012-2013",E525&gt;1000,G525="NPN05"),H525,"")</f>
        <v/>
      </c>
      <c r="AV525" s="44" t="str">
        <f>IF(AND(C525=Master!$H$3,B525="2012-2013",E525="",G525="NPN05"),H525,"")</f>
        <v/>
      </c>
      <c r="AW525" s="44" t="str">
        <f>IF(AND(C525=Master!$H$4,B525="2012-2013",E525&gt;1000,G525="NPN05"),H525,"")</f>
        <v/>
      </c>
      <c r="AX525" s="44" t="str">
        <f>IF(AND(C525=Master!$H$4,B525="2012-2013",E525="",G525="NPN05"),H525,"")</f>
        <v/>
      </c>
      <c r="AY525" s="44" t="str">
        <f>IF(AND(C525=Master!$H$5,B525="2012-2013",E525&gt;1000,G525="NPN05"),H525,"")</f>
        <v/>
      </c>
      <c r="AZ525" s="44" t="str">
        <f>IF(AND(C525=Master!$H$5,B525="2012-2013",E525="",G525="NPN05"),H525,"")</f>
        <v/>
      </c>
      <c r="BA525" s="44" t="str">
        <f>IF(AND(C525=Master!$H$6,B525="2012-2013",E525&gt;1000,G525="NPN05"),H525,"")</f>
        <v/>
      </c>
      <c r="BB525" s="44" t="str">
        <f>IF(AND(C525=Master!$H$6,B525="2012-2013",E525="",G525="NPN05"),H525,"")</f>
        <v/>
      </c>
      <c r="BC525" s="44" t="str">
        <f>IF(AND(C525=Master!$H$7,B525="2012-2013",E525&gt;1000,G525="NPN05"),H525,"")</f>
        <v/>
      </c>
      <c r="BD525" s="44" t="str">
        <f>IF(AND(C525=Master!$H$7,B525="2012-2013",E525="",G525="NPN05"),H525,"")</f>
        <v/>
      </c>
      <c r="BE525" s="44" t="str">
        <f>IF(AND(C525=Master!$H$8,B525="2012-2013",E525&gt;1000,G525="NPN05"),H525,"")</f>
        <v/>
      </c>
      <c r="BF525" s="44" t="str">
        <f>IF(AND(C525=Master!$H$8,B525="2012-2013",E525="",G525="NPN05"),H525,"")</f>
        <v/>
      </c>
      <c r="BG525" s="44" t="str">
        <f>IF(AND(C525=Master!$H$9,B525="2012-2013",E525&gt;1000,G525="NPN05"),H525,"")</f>
        <v/>
      </c>
      <c r="BH525" s="44" t="str">
        <f>IF(AND(C525=Master!$H$9,B525="2012-2013",E525="",G525="NPN05"),H525,"")</f>
        <v/>
      </c>
    </row>
    <row r="526" spans="1:60" x14ac:dyDescent="0.25">
      <c r="A526" s="5">
        <v>524</v>
      </c>
      <c r="B526" s="12"/>
      <c r="C526" s="12"/>
      <c r="D526" s="31"/>
      <c r="E526" s="4"/>
      <c r="F526" s="13"/>
      <c r="G526" s="21"/>
      <c r="H526" s="35"/>
      <c r="I526" s="21"/>
      <c r="J526" s="25" t="str">
        <f>IF(NOT(I526=""),INDEX(Master!$B$1:$B$46,MATCH(I526,Master!$A$1:$A$46,0)),"")</f>
        <v/>
      </c>
      <c r="K526" s="18"/>
      <c r="L526" s="86"/>
      <c r="M526" s="13"/>
      <c r="N526" s="13"/>
      <c r="O526" s="18"/>
      <c r="P526" s="35"/>
      <c r="Q526" s="21"/>
      <c r="R526" s="21"/>
      <c r="S526" s="13"/>
      <c r="T526" s="12"/>
      <c r="U526" s="12"/>
      <c r="V526" s="12"/>
      <c r="W526" s="14"/>
      <c r="Y526" s="42" t="str">
        <f>IF(AND(C526=Master!$H$1,B526="2012-2013",E526&gt;1000,G526="PLN03"),H526,"")</f>
        <v/>
      </c>
      <c r="Z526" s="42" t="str">
        <f>IF(AND(C526=Master!$H$1,B526="2012-2013",E526="",G526="PLN03"),H526,"")</f>
        <v/>
      </c>
      <c r="AA526" s="42" t="str">
        <f>IF(AND(C526=Master!$H$2,B526="2012-2013",E526&gt;1000,G526="PLN03"),H526,"")</f>
        <v/>
      </c>
      <c r="AB526" s="42" t="str">
        <f>IF(AND(C526=Master!$H$2,B526="2012-2013",E526="",G526="PLN03"),H526,"")</f>
        <v/>
      </c>
      <c r="AC526" s="42" t="str">
        <f>IF(AND(C526=Master!$H$3,B526="2012-2013",E526&gt;1000,G526="PLN03"),H526,"")</f>
        <v/>
      </c>
      <c r="AD526" s="42" t="str">
        <f>IF(AND(C526=Master!$H$3,B526="2012-2013",E526="",G526="PLN03"),H526,"")</f>
        <v/>
      </c>
      <c r="AE526" s="42" t="str">
        <f>IF(AND(C526=Master!$H$4,B526="2012-2013",E526&gt;1000,G526="PLN03"),H526,"")</f>
        <v/>
      </c>
      <c r="AF526" s="42" t="str">
        <f>IF(AND(C526=Master!$H$4,B526="2012-2013",E526="",G526="PLN03"),H526,"")</f>
        <v/>
      </c>
      <c r="AG526" s="42" t="str">
        <f>IF(AND(C526=Master!$H$5,B526="2012-2013",E526&gt;1000,G526="PLN03"),H526,"")</f>
        <v/>
      </c>
      <c r="AH526" s="42" t="str">
        <f>IF(AND(C526=Master!$H$5,B526="2012-2013",E526="",G526="PLN03"),H526,"")</f>
        <v/>
      </c>
      <c r="AI526" s="42" t="str">
        <f>IF(AND(C526=Master!$H$6,B526="2012-2013",E526&gt;1000,G526="PLN03"),H526,"")</f>
        <v/>
      </c>
      <c r="AJ526" s="42" t="str">
        <f>IF(AND(C526=Master!$H$6,B526="2012-2013",E526="",G526="PLN03"),H526,"")</f>
        <v/>
      </c>
      <c r="AK526" s="42" t="str">
        <f>IF(AND(C526=Master!$H$7,B526="2012-2013",E526&gt;1000,G526="PLN03"),H526,"")</f>
        <v/>
      </c>
      <c r="AL526" s="42" t="str">
        <f>IF(AND(C526=Master!$H$7,B526="2012-2013",E526="",G526="PLN03"),H526,"")</f>
        <v/>
      </c>
      <c r="AM526" s="42" t="str">
        <f>IF(AND(C526=Master!$H$8,B526="2012-2013",E526&gt;1000,G526="PLN03"),H526,"")</f>
        <v/>
      </c>
      <c r="AN526" s="42" t="str">
        <f>IF(AND(C526=Master!$H$8,B526="2012-2013",E526="",G526="PLN03"),H526,"")</f>
        <v/>
      </c>
      <c r="AO526" s="42" t="str">
        <f>IF(AND(C526=Master!$H$9,B526="2012-2013",E526&gt;1000,G526="PLN03"),H526,"")</f>
        <v/>
      </c>
      <c r="AP526" s="42" t="str">
        <f>IF(AND(C526=Master!$H$9,B526="2012-2013",E526="",G526="PLN03"),H526,"")</f>
        <v/>
      </c>
      <c r="AQ526" s="44" t="str">
        <f>IF(AND(C526=Master!$H$1,B526="2012-2013",E526&gt;1000,G526="NPN05"),H526,"")</f>
        <v/>
      </c>
      <c r="AR526" s="44" t="str">
        <f>IF(AND(C526=Master!$H$1,B526="2012-2013",E526="",G526="NPN05"),H526,"")</f>
        <v/>
      </c>
      <c r="AS526" s="44" t="str">
        <f>IF(AND(C526=Master!$H$2,B526="2012-2013",E526&gt;1000,G526="NPN05"),H526,"")</f>
        <v/>
      </c>
      <c r="AT526" s="44" t="str">
        <f>IF(AND(C526=Master!$H$2,B526="2012-2013",E526="",G526="NPN05"),H526,"")</f>
        <v/>
      </c>
      <c r="AU526" s="44" t="str">
        <f>IF(AND(C526=Master!$H$3,B526="2012-2013",E526&gt;1000,G526="NPN05"),H526,"")</f>
        <v/>
      </c>
      <c r="AV526" s="44" t="str">
        <f>IF(AND(C526=Master!$H$3,B526="2012-2013",E526="",G526="NPN05"),H526,"")</f>
        <v/>
      </c>
      <c r="AW526" s="44" t="str">
        <f>IF(AND(C526=Master!$H$4,B526="2012-2013",E526&gt;1000,G526="NPN05"),H526,"")</f>
        <v/>
      </c>
      <c r="AX526" s="44" t="str">
        <f>IF(AND(C526=Master!$H$4,B526="2012-2013",E526="",G526="NPN05"),H526,"")</f>
        <v/>
      </c>
      <c r="AY526" s="44" t="str">
        <f>IF(AND(C526=Master!$H$5,B526="2012-2013",E526&gt;1000,G526="NPN05"),H526,"")</f>
        <v/>
      </c>
      <c r="AZ526" s="44" t="str">
        <f>IF(AND(C526=Master!$H$5,B526="2012-2013",E526="",G526="NPN05"),H526,"")</f>
        <v/>
      </c>
      <c r="BA526" s="44" t="str">
        <f>IF(AND(C526=Master!$H$6,B526="2012-2013",E526&gt;1000,G526="NPN05"),H526,"")</f>
        <v/>
      </c>
      <c r="BB526" s="44" t="str">
        <f>IF(AND(C526=Master!$H$6,B526="2012-2013",E526="",G526="NPN05"),H526,"")</f>
        <v/>
      </c>
      <c r="BC526" s="44" t="str">
        <f>IF(AND(C526=Master!$H$7,B526="2012-2013",E526&gt;1000,G526="NPN05"),H526,"")</f>
        <v/>
      </c>
      <c r="BD526" s="44" t="str">
        <f>IF(AND(C526=Master!$H$7,B526="2012-2013",E526="",G526="NPN05"),H526,"")</f>
        <v/>
      </c>
      <c r="BE526" s="44" t="str">
        <f>IF(AND(C526=Master!$H$8,B526="2012-2013",E526&gt;1000,G526="NPN05"),H526,"")</f>
        <v/>
      </c>
      <c r="BF526" s="44" t="str">
        <f>IF(AND(C526=Master!$H$8,B526="2012-2013",E526="",G526="NPN05"),H526,"")</f>
        <v/>
      </c>
      <c r="BG526" s="44" t="str">
        <f>IF(AND(C526=Master!$H$9,B526="2012-2013",E526&gt;1000,G526="NPN05"),H526,"")</f>
        <v/>
      </c>
      <c r="BH526" s="44" t="str">
        <f>IF(AND(C526=Master!$H$9,B526="2012-2013",E526="",G526="NPN05"),H526,"")</f>
        <v/>
      </c>
    </row>
    <row r="527" spans="1:60" x14ac:dyDescent="0.25">
      <c r="A527" s="3">
        <v>525</v>
      </c>
      <c r="B527" s="12"/>
      <c r="C527" s="12"/>
      <c r="D527" s="31"/>
      <c r="E527" s="4"/>
      <c r="F527" s="13"/>
      <c r="G527" s="21"/>
      <c r="H527" s="35"/>
      <c r="I527" s="21"/>
      <c r="J527" s="25" t="str">
        <f>IF(NOT(I527=""),INDEX(Master!$B$1:$B$46,MATCH(I527,Master!$A$1:$A$46,0)),"")</f>
        <v/>
      </c>
      <c r="K527" s="18"/>
      <c r="L527" s="86"/>
      <c r="M527" s="13"/>
      <c r="N527" s="13"/>
      <c r="O527" s="18"/>
      <c r="P527" s="35"/>
      <c r="Q527" s="21"/>
      <c r="R527" s="21"/>
      <c r="S527" s="13"/>
      <c r="T527" s="12"/>
      <c r="U527" s="12"/>
      <c r="V527" s="12"/>
      <c r="W527" s="14"/>
      <c r="Y527" s="42" t="str">
        <f>IF(AND(C527=Master!$H$1,B527="2012-2013",E527&gt;1000,G527="PLN03"),H527,"")</f>
        <v/>
      </c>
      <c r="Z527" s="42" t="str">
        <f>IF(AND(C527=Master!$H$1,B527="2012-2013",E527="",G527="PLN03"),H527,"")</f>
        <v/>
      </c>
      <c r="AA527" s="42" t="str">
        <f>IF(AND(C527=Master!$H$2,B527="2012-2013",E527&gt;1000,G527="PLN03"),H527,"")</f>
        <v/>
      </c>
      <c r="AB527" s="42" t="str">
        <f>IF(AND(C527=Master!$H$2,B527="2012-2013",E527="",G527="PLN03"),H527,"")</f>
        <v/>
      </c>
      <c r="AC527" s="42" t="str">
        <f>IF(AND(C527=Master!$H$3,B527="2012-2013",E527&gt;1000,G527="PLN03"),H527,"")</f>
        <v/>
      </c>
      <c r="AD527" s="42" t="str">
        <f>IF(AND(C527=Master!$H$3,B527="2012-2013",E527="",G527="PLN03"),H527,"")</f>
        <v/>
      </c>
      <c r="AE527" s="42" t="str">
        <f>IF(AND(C527=Master!$H$4,B527="2012-2013",E527&gt;1000,G527="PLN03"),H527,"")</f>
        <v/>
      </c>
      <c r="AF527" s="42" t="str">
        <f>IF(AND(C527=Master!$H$4,B527="2012-2013",E527="",G527="PLN03"),H527,"")</f>
        <v/>
      </c>
      <c r="AG527" s="42" t="str">
        <f>IF(AND(C527=Master!$H$5,B527="2012-2013",E527&gt;1000,G527="PLN03"),H527,"")</f>
        <v/>
      </c>
      <c r="AH527" s="42" t="str">
        <f>IF(AND(C527=Master!$H$5,B527="2012-2013",E527="",G527="PLN03"),H527,"")</f>
        <v/>
      </c>
      <c r="AI527" s="42" t="str">
        <f>IF(AND(C527=Master!$H$6,B527="2012-2013",E527&gt;1000,G527="PLN03"),H527,"")</f>
        <v/>
      </c>
      <c r="AJ527" s="42" t="str">
        <f>IF(AND(C527=Master!$H$6,B527="2012-2013",E527="",G527="PLN03"),H527,"")</f>
        <v/>
      </c>
      <c r="AK527" s="42" t="str">
        <f>IF(AND(C527=Master!$H$7,B527="2012-2013",E527&gt;1000,G527="PLN03"),H527,"")</f>
        <v/>
      </c>
      <c r="AL527" s="42" t="str">
        <f>IF(AND(C527=Master!$H$7,B527="2012-2013",E527="",G527="PLN03"),H527,"")</f>
        <v/>
      </c>
      <c r="AM527" s="42" t="str">
        <f>IF(AND(C527=Master!$H$8,B527="2012-2013",E527&gt;1000,G527="PLN03"),H527,"")</f>
        <v/>
      </c>
      <c r="AN527" s="42" t="str">
        <f>IF(AND(C527=Master!$H$8,B527="2012-2013",E527="",G527="PLN03"),H527,"")</f>
        <v/>
      </c>
      <c r="AO527" s="42" t="str">
        <f>IF(AND(C527=Master!$H$9,B527="2012-2013",E527&gt;1000,G527="PLN03"),H527,"")</f>
        <v/>
      </c>
      <c r="AP527" s="42" t="str">
        <f>IF(AND(C527=Master!$H$9,B527="2012-2013",E527="",G527="PLN03"),H527,"")</f>
        <v/>
      </c>
      <c r="AQ527" s="44" t="str">
        <f>IF(AND(C527=Master!$H$1,B527="2012-2013",E527&gt;1000,G527="NPN05"),H527,"")</f>
        <v/>
      </c>
      <c r="AR527" s="44" t="str">
        <f>IF(AND(C527=Master!$H$1,B527="2012-2013",E527="",G527="NPN05"),H527,"")</f>
        <v/>
      </c>
      <c r="AS527" s="44" t="str">
        <f>IF(AND(C527=Master!$H$2,B527="2012-2013",E527&gt;1000,G527="NPN05"),H527,"")</f>
        <v/>
      </c>
      <c r="AT527" s="44" t="str">
        <f>IF(AND(C527=Master!$H$2,B527="2012-2013",E527="",G527="NPN05"),H527,"")</f>
        <v/>
      </c>
      <c r="AU527" s="44" t="str">
        <f>IF(AND(C527=Master!$H$3,B527="2012-2013",E527&gt;1000,G527="NPN05"),H527,"")</f>
        <v/>
      </c>
      <c r="AV527" s="44" t="str">
        <f>IF(AND(C527=Master!$H$3,B527="2012-2013",E527="",G527="NPN05"),H527,"")</f>
        <v/>
      </c>
      <c r="AW527" s="44" t="str">
        <f>IF(AND(C527=Master!$H$4,B527="2012-2013",E527&gt;1000,G527="NPN05"),H527,"")</f>
        <v/>
      </c>
      <c r="AX527" s="44" t="str">
        <f>IF(AND(C527=Master!$H$4,B527="2012-2013",E527="",G527="NPN05"),H527,"")</f>
        <v/>
      </c>
      <c r="AY527" s="44" t="str">
        <f>IF(AND(C527=Master!$H$5,B527="2012-2013",E527&gt;1000,G527="NPN05"),H527,"")</f>
        <v/>
      </c>
      <c r="AZ527" s="44" t="str">
        <f>IF(AND(C527=Master!$H$5,B527="2012-2013",E527="",G527="NPN05"),H527,"")</f>
        <v/>
      </c>
      <c r="BA527" s="44" t="str">
        <f>IF(AND(C527=Master!$H$6,B527="2012-2013",E527&gt;1000,G527="NPN05"),H527,"")</f>
        <v/>
      </c>
      <c r="BB527" s="44" t="str">
        <f>IF(AND(C527=Master!$H$6,B527="2012-2013",E527="",G527="NPN05"),H527,"")</f>
        <v/>
      </c>
      <c r="BC527" s="44" t="str">
        <f>IF(AND(C527=Master!$H$7,B527="2012-2013",E527&gt;1000,G527="NPN05"),H527,"")</f>
        <v/>
      </c>
      <c r="BD527" s="44" t="str">
        <f>IF(AND(C527=Master!$H$7,B527="2012-2013",E527="",G527="NPN05"),H527,"")</f>
        <v/>
      </c>
      <c r="BE527" s="44" t="str">
        <f>IF(AND(C527=Master!$H$8,B527="2012-2013",E527&gt;1000,G527="NPN05"),H527,"")</f>
        <v/>
      </c>
      <c r="BF527" s="44" t="str">
        <f>IF(AND(C527=Master!$H$8,B527="2012-2013",E527="",G527="NPN05"),H527,"")</f>
        <v/>
      </c>
      <c r="BG527" s="44" t="str">
        <f>IF(AND(C527=Master!$H$9,B527="2012-2013",E527&gt;1000,G527="NPN05"),H527,"")</f>
        <v/>
      </c>
      <c r="BH527" s="44" t="str">
        <f>IF(AND(C527=Master!$H$9,B527="2012-2013",E527="",G527="NPN05"),H527,"")</f>
        <v/>
      </c>
    </row>
    <row r="528" spans="1:60" x14ac:dyDescent="0.25">
      <c r="A528" s="3">
        <v>526</v>
      </c>
      <c r="B528" s="12"/>
      <c r="C528" s="12"/>
      <c r="D528" s="31"/>
      <c r="E528" s="4"/>
      <c r="F528" s="13"/>
      <c r="G528" s="21"/>
      <c r="H528" s="35"/>
      <c r="I528" s="21"/>
      <c r="J528" s="25" t="str">
        <f>IF(NOT(I528=""),INDEX(Master!$B$1:$B$46,MATCH(I528,Master!$A$1:$A$46,0)),"")</f>
        <v/>
      </c>
      <c r="K528" s="18"/>
      <c r="L528" s="86"/>
      <c r="M528" s="13"/>
      <c r="N528" s="13"/>
      <c r="O528" s="18"/>
      <c r="P528" s="35"/>
      <c r="Q528" s="21"/>
      <c r="R528" s="21"/>
      <c r="S528" s="13"/>
      <c r="T528" s="12"/>
      <c r="U528" s="12"/>
      <c r="V528" s="12"/>
      <c r="W528" s="14"/>
      <c r="Y528" s="42" t="str">
        <f>IF(AND(C528=Master!$H$1,B528="2012-2013",E528&gt;1000,G528="PLN03"),H528,"")</f>
        <v/>
      </c>
      <c r="Z528" s="42" t="str">
        <f>IF(AND(C528=Master!$H$1,B528="2012-2013",E528="",G528="PLN03"),H528,"")</f>
        <v/>
      </c>
      <c r="AA528" s="42" t="str">
        <f>IF(AND(C528=Master!$H$2,B528="2012-2013",E528&gt;1000,G528="PLN03"),H528,"")</f>
        <v/>
      </c>
      <c r="AB528" s="42" t="str">
        <f>IF(AND(C528=Master!$H$2,B528="2012-2013",E528="",G528="PLN03"),H528,"")</f>
        <v/>
      </c>
      <c r="AC528" s="42" t="str">
        <f>IF(AND(C528=Master!$H$3,B528="2012-2013",E528&gt;1000,G528="PLN03"),H528,"")</f>
        <v/>
      </c>
      <c r="AD528" s="42" t="str">
        <f>IF(AND(C528=Master!$H$3,B528="2012-2013",E528="",G528="PLN03"),H528,"")</f>
        <v/>
      </c>
      <c r="AE528" s="42" t="str">
        <f>IF(AND(C528=Master!$H$4,B528="2012-2013",E528&gt;1000,G528="PLN03"),H528,"")</f>
        <v/>
      </c>
      <c r="AF528" s="42" t="str">
        <f>IF(AND(C528=Master!$H$4,B528="2012-2013",E528="",G528="PLN03"),H528,"")</f>
        <v/>
      </c>
      <c r="AG528" s="42" t="str">
        <f>IF(AND(C528=Master!$H$5,B528="2012-2013",E528&gt;1000,G528="PLN03"),H528,"")</f>
        <v/>
      </c>
      <c r="AH528" s="42" t="str">
        <f>IF(AND(C528=Master!$H$5,B528="2012-2013",E528="",G528="PLN03"),H528,"")</f>
        <v/>
      </c>
      <c r="AI528" s="42" t="str">
        <f>IF(AND(C528=Master!$H$6,B528="2012-2013",E528&gt;1000,G528="PLN03"),H528,"")</f>
        <v/>
      </c>
      <c r="AJ528" s="42" t="str">
        <f>IF(AND(C528=Master!$H$6,B528="2012-2013",E528="",G528="PLN03"),H528,"")</f>
        <v/>
      </c>
      <c r="AK528" s="42" t="str">
        <f>IF(AND(C528=Master!$H$7,B528="2012-2013",E528&gt;1000,G528="PLN03"),H528,"")</f>
        <v/>
      </c>
      <c r="AL528" s="42" t="str">
        <f>IF(AND(C528=Master!$H$7,B528="2012-2013",E528="",G528="PLN03"),H528,"")</f>
        <v/>
      </c>
      <c r="AM528" s="42" t="str">
        <f>IF(AND(C528=Master!$H$8,B528="2012-2013",E528&gt;1000,G528="PLN03"),H528,"")</f>
        <v/>
      </c>
      <c r="AN528" s="42" t="str">
        <f>IF(AND(C528=Master!$H$8,B528="2012-2013",E528="",G528="PLN03"),H528,"")</f>
        <v/>
      </c>
      <c r="AO528" s="42" t="str">
        <f>IF(AND(C528=Master!$H$9,B528="2012-2013",E528&gt;1000,G528="PLN03"),H528,"")</f>
        <v/>
      </c>
      <c r="AP528" s="42" t="str">
        <f>IF(AND(C528=Master!$H$9,B528="2012-2013",E528="",G528="PLN03"),H528,"")</f>
        <v/>
      </c>
      <c r="AQ528" s="44" t="str">
        <f>IF(AND(C528=Master!$H$1,B528="2012-2013",E528&gt;1000,G528="NPN05"),H528,"")</f>
        <v/>
      </c>
      <c r="AR528" s="44" t="str">
        <f>IF(AND(C528=Master!$H$1,B528="2012-2013",E528="",G528="NPN05"),H528,"")</f>
        <v/>
      </c>
      <c r="AS528" s="44" t="str">
        <f>IF(AND(C528=Master!$H$2,B528="2012-2013",E528&gt;1000,G528="NPN05"),H528,"")</f>
        <v/>
      </c>
      <c r="AT528" s="44" t="str">
        <f>IF(AND(C528=Master!$H$2,B528="2012-2013",E528="",G528="NPN05"),H528,"")</f>
        <v/>
      </c>
      <c r="AU528" s="44" t="str">
        <f>IF(AND(C528=Master!$H$3,B528="2012-2013",E528&gt;1000,G528="NPN05"),H528,"")</f>
        <v/>
      </c>
      <c r="AV528" s="44" t="str">
        <f>IF(AND(C528=Master!$H$3,B528="2012-2013",E528="",G528="NPN05"),H528,"")</f>
        <v/>
      </c>
      <c r="AW528" s="44" t="str">
        <f>IF(AND(C528=Master!$H$4,B528="2012-2013",E528&gt;1000,G528="NPN05"),H528,"")</f>
        <v/>
      </c>
      <c r="AX528" s="44" t="str">
        <f>IF(AND(C528=Master!$H$4,B528="2012-2013",E528="",G528="NPN05"),H528,"")</f>
        <v/>
      </c>
      <c r="AY528" s="44" t="str">
        <f>IF(AND(C528=Master!$H$5,B528="2012-2013",E528&gt;1000,G528="NPN05"),H528,"")</f>
        <v/>
      </c>
      <c r="AZ528" s="44" t="str">
        <f>IF(AND(C528=Master!$H$5,B528="2012-2013",E528="",G528="NPN05"),H528,"")</f>
        <v/>
      </c>
      <c r="BA528" s="44" t="str">
        <f>IF(AND(C528=Master!$H$6,B528="2012-2013",E528&gt;1000,G528="NPN05"),H528,"")</f>
        <v/>
      </c>
      <c r="BB528" s="44" t="str">
        <f>IF(AND(C528=Master!$H$6,B528="2012-2013",E528="",G528="NPN05"),H528,"")</f>
        <v/>
      </c>
      <c r="BC528" s="44" t="str">
        <f>IF(AND(C528=Master!$H$7,B528="2012-2013",E528&gt;1000,G528="NPN05"),H528,"")</f>
        <v/>
      </c>
      <c r="BD528" s="44" t="str">
        <f>IF(AND(C528=Master!$H$7,B528="2012-2013",E528="",G528="NPN05"),H528,"")</f>
        <v/>
      </c>
      <c r="BE528" s="44" t="str">
        <f>IF(AND(C528=Master!$H$8,B528="2012-2013",E528&gt;1000,G528="NPN05"),H528,"")</f>
        <v/>
      </c>
      <c r="BF528" s="44" t="str">
        <f>IF(AND(C528=Master!$H$8,B528="2012-2013",E528="",G528="NPN05"),H528,"")</f>
        <v/>
      </c>
      <c r="BG528" s="44" t="str">
        <f>IF(AND(C528=Master!$H$9,B528="2012-2013",E528&gt;1000,G528="NPN05"),H528,"")</f>
        <v/>
      </c>
      <c r="BH528" s="44" t="str">
        <f>IF(AND(C528=Master!$H$9,B528="2012-2013",E528="",G528="NPN05"),H528,"")</f>
        <v/>
      </c>
    </row>
    <row r="529" spans="1:60" x14ac:dyDescent="0.25">
      <c r="A529" s="3">
        <v>527</v>
      </c>
      <c r="B529" s="12"/>
      <c r="C529" s="12"/>
      <c r="D529" s="31"/>
      <c r="E529" s="4"/>
      <c r="F529" s="13"/>
      <c r="G529" s="21"/>
      <c r="H529" s="35"/>
      <c r="I529" s="21"/>
      <c r="J529" s="25" t="str">
        <f>IF(NOT(I529=""),INDEX(Master!$B$1:$B$46,MATCH(I529,Master!$A$1:$A$46,0)),"")</f>
        <v/>
      </c>
      <c r="K529" s="18"/>
      <c r="L529" s="86"/>
      <c r="M529" s="13"/>
      <c r="N529" s="13"/>
      <c r="O529" s="18"/>
      <c r="P529" s="35"/>
      <c r="Q529" s="21"/>
      <c r="R529" s="21"/>
      <c r="S529" s="13"/>
      <c r="T529" s="12"/>
      <c r="U529" s="12"/>
      <c r="V529" s="12"/>
      <c r="W529" s="14"/>
      <c r="Y529" s="42" t="str">
        <f>IF(AND(C529=Master!$H$1,B529="2012-2013",E529&gt;1000,G529="PLN03"),H529,"")</f>
        <v/>
      </c>
      <c r="Z529" s="42" t="str">
        <f>IF(AND(C529=Master!$H$1,B529="2012-2013",E529="",G529="PLN03"),H529,"")</f>
        <v/>
      </c>
      <c r="AA529" s="42" t="str">
        <f>IF(AND(C529=Master!$H$2,B529="2012-2013",E529&gt;1000,G529="PLN03"),H529,"")</f>
        <v/>
      </c>
      <c r="AB529" s="42" t="str">
        <f>IF(AND(C529=Master!$H$2,B529="2012-2013",E529="",G529="PLN03"),H529,"")</f>
        <v/>
      </c>
      <c r="AC529" s="42" t="str">
        <f>IF(AND(C529=Master!$H$3,B529="2012-2013",E529&gt;1000,G529="PLN03"),H529,"")</f>
        <v/>
      </c>
      <c r="AD529" s="42" t="str">
        <f>IF(AND(C529=Master!$H$3,B529="2012-2013",E529="",G529="PLN03"),H529,"")</f>
        <v/>
      </c>
      <c r="AE529" s="42" t="str">
        <f>IF(AND(C529=Master!$H$4,B529="2012-2013",E529&gt;1000,G529="PLN03"),H529,"")</f>
        <v/>
      </c>
      <c r="AF529" s="42" t="str">
        <f>IF(AND(C529=Master!$H$4,B529="2012-2013",E529="",G529="PLN03"),H529,"")</f>
        <v/>
      </c>
      <c r="AG529" s="42" t="str">
        <f>IF(AND(C529=Master!$H$5,B529="2012-2013",E529&gt;1000,G529="PLN03"),H529,"")</f>
        <v/>
      </c>
      <c r="AH529" s="42" t="str">
        <f>IF(AND(C529=Master!$H$5,B529="2012-2013",E529="",G529="PLN03"),H529,"")</f>
        <v/>
      </c>
      <c r="AI529" s="42" t="str">
        <f>IF(AND(C529=Master!$H$6,B529="2012-2013",E529&gt;1000,G529="PLN03"),H529,"")</f>
        <v/>
      </c>
      <c r="AJ529" s="42" t="str">
        <f>IF(AND(C529=Master!$H$6,B529="2012-2013",E529="",G529="PLN03"),H529,"")</f>
        <v/>
      </c>
      <c r="AK529" s="42" t="str">
        <f>IF(AND(C529=Master!$H$7,B529="2012-2013",E529&gt;1000,G529="PLN03"),H529,"")</f>
        <v/>
      </c>
      <c r="AL529" s="42" t="str">
        <f>IF(AND(C529=Master!$H$7,B529="2012-2013",E529="",G529="PLN03"),H529,"")</f>
        <v/>
      </c>
      <c r="AM529" s="42" t="str">
        <f>IF(AND(C529=Master!$H$8,B529="2012-2013",E529&gt;1000,G529="PLN03"),H529,"")</f>
        <v/>
      </c>
      <c r="AN529" s="42" t="str">
        <f>IF(AND(C529=Master!$H$8,B529="2012-2013",E529="",G529="PLN03"),H529,"")</f>
        <v/>
      </c>
      <c r="AO529" s="42" t="str">
        <f>IF(AND(C529=Master!$H$9,B529="2012-2013",E529&gt;1000,G529="PLN03"),H529,"")</f>
        <v/>
      </c>
      <c r="AP529" s="42" t="str">
        <f>IF(AND(C529=Master!$H$9,B529="2012-2013",E529="",G529="PLN03"),H529,"")</f>
        <v/>
      </c>
      <c r="AQ529" s="44" t="str">
        <f>IF(AND(C529=Master!$H$1,B529="2012-2013",E529&gt;1000,G529="NPN05"),H529,"")</f>
        <v/>
      </c>
      <c r="AR529" s="44" t="str">
        <f>IF(AND(C529=Master!$H$1,B529="2012-2013",E529="",G529="NPN05"),H529,"")</f>
        <v/>
      </c>
      <c r="AS529" s="44" t="str">
        <f>IF(AND(C529=Master!$H$2,B529="2012-2013",E529&gt;1000,G529="NPN05"),H529,"")</f>
        <v/>
      </c>
      <c r="AT529" s="44" t="str">
        <f>IF(AND(C529=Master!$H$2,B529="2012-2013",E529="",G529="NPN05"),H529,"")</f>
        <v/>
      </c>
      <c r="AU529" s="44" t="str">
        <f>IF(AND(C529=Master!$H$3,B529="2012-2013",E529&gt;1000,G529="NPN05"),H529,"")</f>
        <v/>
      </c>
      <c r="AV529" s="44" t="str">
        <f>IF(AND(C529=Master!$H$3,B529="2012-2013",E529="",G529="NPN05"),H529,"")</f>
        <v/>
      </c>
      <c r="AW529" s="44" t="str">
        <f>IF(AND(C529=Master!$H$4,B529="2012-2013",E529&gt;1000,G529="NPN05"),H529,"")</f>
        <v/>
      </c>
      <c r="AX529" s="44" t="str">
        <f>IF(AND(C529=Master!$H$4,B529="2012-2013",E529="",G529="NPN05"),H529,"")</f>
        <v/>
      </c>
      <c r="AY529" s="44" t="str">
        <f>IF(AND(C529=Master!$H$5,B529="2012-2013",E529&gt;1000,G529="NPN05"),H529,"")</f>
        <v/>
      </c>
      <c r="AZ529" s="44" t="str">
        <f>IF(AND(C529=Master!$H$5,B529="2012-2013",E529="",G529="NPN05"),H529,"")</f>
        <v/>
      </c>
      <c r="BA529" s="44" t="str">
        <f>IF(AND(C529=Master!$H$6,B529="2012-2013",E529&gt;1000,G529="NPN05"),H529,"")</f>
        <v/>
      </c>
      <c r="BB529" s="44" t="str">
        <f>IF(AND(C529=Master!$H$6,B529="2012-2013",E529="",G529="NPN05"),H529,"")</f>
        <v/>
      </c>
      <c r="BC529" s="44" t="str">
        <f>IF(AND(C529=Master!$H$7,B529="2012-2013",E529&gt;1000,G529="NPN05"),H529,"")</f>
        <v/>
      </c>
      <c r="BD529" s="44" t="str">
        <f>IF(AND(C529=Master!$H$7,B529="2012-2013",E529="",G529="NPN05"),H529,"")</f>
        <v/>
      </c>
      <c r="BE529" s="44" t="str">
        <f>IF(AND(C529=Master!$H$8,B529="2012-2013",E529&gt;1000,G529="NPN05"),H529,"")</f>
        <v/>
      </c>
      <c r="BF529" s="44" t="str">
        <f>IF(AND(C529=Master!$H$8,B529="2012-2013",E529="",G529="NPN05"),H529,"")</f>
        <v/>
      </c>
      <c r="BG529" s="44" t="str">
        <f>IF(AND(C529=Master!$H$9,B529="2012-2013",E529&gt;1000,G529="NPN05"),H529,"")</f>
        <v/>
      </c>
      <c r="BH529" s="44" t="str">
        <f>IF(AND(C529=Master!$H$9,B529="2012-2013",E529="",G529="NPN05"),H529,"")</f>
        <v/>
      </c>
    </row>
    <row r="530" spans="1:60" x14ac:dyDescent="0.25">
      <c r="A530" s="3">
        <v>528</v>
      </c>
      <c r="B530" s="12"/>
      <c r="C530" s="12"/>
      <c r="D530" s="31"/>
      <c r="E530" s="4"/>
      <c r="F530" s="13"/>
      <c r="G530" s="21"/>
      <c r="H530" s="35"/>
      <c r="I530" s="21"/>
      <c r="J530" s="25" t="str">
        <f>IF(NOT(I530=""),INDEX(Master!$B$1:$B$46,MATCH(I530,Master!$A$1:$A$46,0)),"")</f>
        <v/>
      </c>
      <c r="K530" s="18"/>
      <c r="L530" s="86"/>
      <c r="M530" s="13"/>
      <c r="N530" s="13"/>
      <c r="O530" s="18"/>
      <c r="P530" s="35"/>
      <c r="Q530" s="21"/>
      <c r="R530" s="21"/>
      <c r="S530" s="13"/>
      <c r="T530" s="12"/>
      <c r="U530" s="12"/>
      <c r="V530" s="12"/>
      <c r="W530" s="14"/>
      <c r="Y530" s="42" t="str">
        <f>IF(AND(C530=Master!$H$1,B530="2012-2013",E530&gt;1000,G530="PLN03"),H530,"")</f>
        <v/>
      </c>
      <c r="Z530" s="42" t="str">
        <f>IF(AND(C530=Master!$H$1,B530="2012-2013",E530="",G530="PLN03"),H530,"")</f>
        <v/>
      </c>
      <c r="AA530" s="42" t="str">
        <f>IF(AND(C530=Master!$H$2,B530="2012-2013",E530&gt;1000,G530="PLN03"),H530,"")</f>
        <v/>
      </c>
      <c r="AB530" s="42" t="str">
        <f>IF(AND(C530=Master!$H$2,B530="2012-2013",E530="",G530="PLN03"),H530,"")</f>
        <v/>
      </c>
      <c r="AC530" s="42" t="str">
        <f>IF(AND(C530=Master!$H$3,B530="2012-2013",E530&gt;1000,G530="PLN03"),H530,"")</f>
        <v/>
      </c>
      <c r="AD530" s="42" t="str">
        <f>IF(AND(C530=Master!$H$3,B530="2012-2013",E530="",G530="PLN03"),H530,"")</f>
        <v/>
      </c>
      <c r="AE530" s="42" t="str">
        <f>IF(AND(C530=Master!$H$4,B530="2012-2013",E530&gt;1000,G530="PLN03"),H530,"")</f>
        <v/>
      </c>
      <c r="AF530" s="42" t="str">
        <f>IF(AND(C530=Master!$H$4,B530="2012-2013",E530="",G530="PLN03"),H530,"")</f>
        <v/>
      </c>
      <c r="AG530" s="42" t="str">
        <f>IF(AND(C530=Master!$H$5,B530="2012-2013",E530&gt;1000,G530="PLN03"),H530,"")</f>
        <v/>
      </c>
      <c r="AH530" s="42" t="str">
        <f>IF(AND(C530=Master!$H$5,B530="2012-2013",E530="",G530="PLN03"),H530,"")</f>
        <v/>
      </c>
      <c r="AI530" s="42" t="str">
        <f>IF(AND(C530=Master!$H$6,B530="2012-2013",E530&gt;1000,G530="PLN03"),H530,"")</f>
        <v/>
      </c>
      <c r="AJ530" s="42" t="str">
        <f>IF(AND(C530=Master!$H$6,B530="2012-2013",E530="",G530="PLN03"),H530,"")</f>
        <v/>
      </c>
      <c r="AK530" s="42" t="str">
        <f>IF(AND(C530=Master!$H$7,B530="2012-2013",E530&gt;1000,G530="PLN03"),H530,"")</f>
        <v/>
      </c>
      <c r="AL530" s="42" t="str">
        <f>IF(AND(C530=Master!$H$7,B530="2012-2013",E530="",G530="PLN03"),H530,"")</f>
        <v/>
      </c>
      <c r="AM530" s="42" t="str">
        <f>IF(AND(C530=Master!$H$8,B530="2012-2013",E530&gt;1000,G530="PLN03"),H530,"")</f>
        <v/>
      </c>
      <c r="AN530" s="42" t="str">
        <f>IF(AND(C530=Master!$H$8,B530="2012-2013",E530="",G530="PLN03"),H530,"")</f>
        <v/>
      </c>
      <c r="AO530" s="42" t="str">
        <f>IF(AND(C530=Master!$H$9,B530="2012-2013",E530&gt;1000,G530="PLN03"),H530,"")</f>
        <v/>
      </c>
      <c r="AP530" s="42" t="str">
        <f>IF(AND(C530=Master!$H$9,B530="2012-2013",E530="",G530="PLN03"),H530,"")</f>
        <v/>
      </c>
      <c r="AQ530" s="44" t="str">
        <f>IF(AND(C530=Master!$H$1,B530="2012-2013",E530&gt;1000,G530="NPN05"),H530,"")</f>
        <v/>
      </c>
      <c r="AR530" s="44" t="str">
        <f>IF(AND(C530=Master!$H$1,B530="2012-2013",E530="",G530="NPN05"),H530,"")</f>
        <v/>
      </c>
      <c r="AS530" s="44" t="str">
        <f>IF(AND(C530=Master!$H$2,B530="2012-2013",E530&gt;1000,G530="NPN05"),H530,"")</f>
        <v/>
      </c>
      <c r="AT530" s="44" t="str">
        <f>IF(AND(C530=Master!$H$2,B530="2012-2013",E530="",G530="NPN05"),H530,"")</f>
        <v/>
      </c>
      <c r="AU530" s="44" t="str">
        <f>IF(AND(C530=Master!$H$3,B530="2012-2013",E530&gt;1000,G530="NPN05"),H530,"")</f>
        <v/>
      </c>
      <c r="AV530" s="44" t="str">
        <f>IF(AND(C530=Master!$H$3,B530="2012-2013",E530="",G530="NPN05"),H530,"")</f>
        <v/>
      </c>
      <c r="AW530" s="44" t="str">
        <f>IF(AND(C530=Master!$H$4,B530="2012-2013",E530&gt;1000,G530="NPN05"),H530,"")</f>
        <v/>
      </c>
      <c r="AX530" s="44" t="str">
        <f>IF(AND(C530=Master!$H$4,B530="2012-2013",E530="",G530="NPN05"),H530,"")</f>
        <v/>
      </c>
      <c r="AY530" s="44" t="str">
        <f>IF(AND(C530=Master!$H$5,B530="2012-2013",E530&gt;1000,G530="NPN05"),H530,"")</f>
        <v/>
      </c>
      <c r="AZ530" s="44" t="str">
        <f>IF(AND(C530=Master!$H$5,B530="2012-2013",E530="",G530="NPN05"),H530,"")</f>
        <v/>
      </c>
      <c r="BA530" s="44" t="str">
        <f>IF(AND(C530=Master!$H$6,B530="2012-2013",E530&gt;1000,G530="NPN05"),H530,"")</f>
        <v/>
      </c>
      <c r="BB530" s="44" t="str">
        <f>IF(AND(C530=Master!$H$6,B530="2012-2013",E530="",G530="NPN05"),H530,"")</f>
        <v/>
      </c>
      <c r="BC530" s="44" t="str">
        <f>IF(AND(C530=Master!$H$7,B530="2012-2013",E530&gt;1000,G530="NPN05"),H530,"")</f>
        <v/>
      </c>
      <c r="BD530" s="44" t="str">
        <f>IF(AND(C530=Master!$H$7,B530="2012-2013",E530="",G530="NPN05"),H530,"")</f>
        <v/>
      </c>
      <c r="BE530" s="44" t="str">
        <f>IF(AND(C530=Master!$H$8,B530="2012-2013",E530&gt;1000,G530="NPN05"),H530,"")</f>
        <v/>
      </c>
      <c r="BF530" s="44" t="str">
        <f>IF(AND(C530=Master!$H$8,B530="2012-2013",E530="",G530="NPN05"),H530,"")</f>
        <v/>
      </c>
      <c r="BG530" s="44" t="str">
        <f>IF(AND(C530=Master!$H$9,B530="2012-2013",E530&gt;1000,G530="NPN05"),H530,"")</f>
        <v/>
      </c>
      <c r="BH530" s="44" t="str">
        <f>IF(AND(C530=Master!$H$9,B530="2012-2013",E530="",G530="NPN05"),H530,"")</f>
        <v/>
      </c>
    </row>
    <row r="531" spans="1:60" x14ac:dyDescent="0.25">
      <c r="A531" s="3">
        <v>529</v>
      </c>
      <c r="B531" s="12"/>
      <c r="C531" s="12"/>
      <c r="D531" s="31"/>
      <c r="E531" s="4"/>
      <c r="F531" s="13"/>
      <c r="G531" s="21"/>
      <c r="H531" s="35"/>
      <c r="I531" s="21"/>
      <c r="J531" s="25" t="str">
        <f>IF(NOT(I531=""),INDEX(Master!$B$1:$B$46,MATCH(I531,Master!$A$1:$A$46,0)),"")</f>
        <v/>
      </c>
      <c r="K531" s="18"/>
      <c r="L531" s="86"/>
      <c r="M531" s="13"/>
      <c r="N531" s="13"/>
      <c r="O531" s="18"/>
      <c r="P531" s="35"/>
      <c r="Q531" s="21"/>
      <c r="R531" s="21"/>
      <c r="S531" s="13"/>
      <c r="T531" s="12"/>
      <c r="U531" s="12"/>
      <c r="V531" s="12"/>
      <c r="W531" s="14"/>
      <c r="Y531" s="42" t="str">
        <f>IF(AND(C531=Master!$H$1,B531="2012-2013",E531&gt;1000,G531="PLN03"),H531,"")</f>
        <v/>
      </c>
      <c r="Z531" s="42" t="str">
        <f>IF(AND(C531=Master!$H$1,B531="2012-2013",E531="",G531="PLN03"),H531,"")</f>
        <v/>
      </c>
      <c r="AA531" s="42" t="str">
        <f>IF(AND(C531=Master!$H$2,B531="2012-2013",E531&gt;1000,G531="PLN03"),H531,"")</f>
        <v/>
      </c>
      <c r="AB531" s="42" t="str">
        <f>IF(AND(C531=Master!$H$2,B531="2012-2013",E531="",G531="PLN03"),H531,"")</f>
        <v/>
      </c>
      <c r="AC531" s="42" t="str">
        <f>IF(AND(C531=Master!$H$3,B531="2012-2013",E531&gt;1000,G531="PLN03"),H531,"")</f>
        <v/>
      </c>
      <c r="AD531" s="42" t="str">
        <f>IF(AND(C531=Master!$H$3,B531="2012-2013",E531="",G531="PLN03"),H531,"")</f>
        <v/>
      </c>
      <c r="AE531" s="42" t="str">
        <f>IF(AND(C531=Master!$H$4,B531="2012-2013",E531&gt;1000,G531="PLN03"),H531,"")</f>
        <v/>
      </c>
      <c r="AF531" s="42" t="str">
        <f>IF(AND(C531=Master!$H$4,B531="2012-2013",E531="",G531="PLN03"),H531,"")</f>
        <v/>
      </c>
      <c r="AG531" s="42" t="str">
        <f>IF(AND(C531=Master!$H$5,B531="2012-2013",E531&gt;1000,G531="PLN03"),H531,"")</f>
        <v/>
      </c>
      <c r="AH531" s="42" t="str">
        <f>IF(AND(C531=Master!$H$5,B531="2012-2013",E531="",G531="PLN03"),H531,"")</f>
        <v/>
      </c>
      <c r="AI531" s="42" t="str">
        <f>IF(AND(C531=Master!$H$6,B531="2012-2013",E531&gt;1000,G531="PLN03"),H531,"")</f>
        <v/>
      </c>
      <c r="AJ531" s="42" t="str">
        <f>IF(AND(C531=Master!$H$6,B531="2012-2013",E531="",G531="PLN03"),H531,"")</f>
        <v/>
      </c>
      <c r="AK531" s="42" t="str">
        <f>IF(AND(C531=Master!$H$7,B531="2012-2013",E531&gt;1000,G531="PLN03"),H531,"")</f>
        <v/>
      </c>
      <c r="AL531" s="42" t="str">
        <f>IF(AND(C531=Master!$H$7,B531="2012-2013",E531="",G531="PLN03"),H531,"")</f>
        <v/>
      </c>
      <c r="AM531" s="42" t="str">
        <f>IF(AND(C531=Master!$H$8,B531="2012-2013",E531&gt;1000,G531="PLN03"),H531,"")</f>
        <v/>
      </c>
      <c r="AN531" s="42" t="str">
        <f>IF(AND(C531=Master!$H$8,B531="2012-2013",E531="",G531="PLN03"),H531,"")</f>
        <v/>
      </c>
      <c r="AO531" s="42" t="str">
        <f>IF(AND(C531=Master!$H$9,B531="2012-2013",E531&gt;1000,G531="PLN03"),H531,"")</f>
        <v/>
      </c>
      <c r="AP531" s="42" t="str">
        <f>IF(AND(C531=Master!$H$9,B531="2012-2013",E531="",G531="PLN03"),H531,"")</f>
        <v/>
      </c>
      <c r="AQ531" s="44" t="str">
        <f>IF(AND(C531=Master!$H$1,B531="2012-2013",E531&gt;1000,G531="NPN05"),H531,"")</f>
        <v/>
      </c>
      <c r="AR531" s="44" t="str">
        <f>IF(AND(C531=Master!$H$1,B531="2012-2013",E531="",G531="NPN05"),H531,"")</f>
        <v/>
      </c>
      <c r="AS531" s="44" t="str">
        <f>IF(AND(C531=Master!$H$2,B531="2012-2013",E531&gt;1000,G531="NPN05"),H531,"")</f>
        <v/>
      </c>
      <c r="AT531" s="44" t="str">
        <f>IF(AND(C531=Master!$H$2,B531="2012-2013",E531="",G531="NPN05"),H531,"")</f>
        <v/>
      </c>
      <c r="AU531" s="44" t="str">
        <f>IF(AND(C531=Master!$H$3,B531="2012-2013",E531&gt;1000,G531="NPN05"),H531,"")</f>
        <v/>
      </c>
      <c r="AV531" s="44" t="str">
        <f>IF(AND(C531=Master!$H$3,B531="2012-2013",E531="",G531="NPN05"),H531,"")</f>
        <v/>
      </c>
      <c r="AW531" s="44" t="str">
        <f>IF(AND(C531=Master!$H$4,B531="2012-2013",E531&gt;1000,G531="NPN05"),H531,"")</f>
        <v/>
      </c>
      <c r="AX531" s="44" t="str">
        <f>IF(AND(C531=Master!$H$4,B531="2012-2013",E531="",G531="NPN05"),H531,"")</f>
        <v/>
      </c>
      <c r="AY531" s="44" t="str">
        <f>IF(AND(C531=Master!$H$5,B531="2012-2013",E531&gt;1000,G531="NPN05"),H531,"")</f>
        <v/>
      </c>
      <c r="AZ531" s="44" t="str">
        <f>IF(AND(C531=Master!$H$5,B531="2012-2013",E531="",G531="NPN05"),H531,"")</f>
        <v/>
      </c>
      <c r="BA531" s="44" t="str">
        <f>IF(AND(C531=Master!$H$6,B531="2012-2013",E531&gt;1000,G531="NPN05"),H531,"")</f>
        <v/>
      </c>
      <c r="BB531" s="44" t="str">
        <f>IF(AND(C531=Master!$H$6,B531="2012-2013",E531="",G531="NPN05"),H531,"")</f>
        <v/>
      </c>
      <c r="BC531" s="44" t="str">
        <f>IF(AND(C531=Master!$H$7,B531="2012-2013",E531&gt;1000,G531="NPN05"),H531,"")</f>
        <v/>
      </c>
      <c r="BD531" s="44" t="str">
        <f>IF(AND(C531=Master!$H$7,B531="2012-2013",E531="",G531="NPN05"),H531,"")</f>
        <v/>
      </c>
      <c r="BE531" s="44" t="str">
        <f>IF(AND(C531=Master!$H$8,B531="2012-2013",E531&gt;1000,G531="NPN05"),H531,"")</f>
        <v/>
      </c>
      <c r="BF531" s="44" t="str">
        <f>IF(AND(C531=Master!$H$8,B531="2012-2013",E531="",G531="NPN05"),H531,"")</f>
        <v/>
      </c>
      <c r="BG531" s="44" t="str">
        <f>IF(AND(C531=Master!$H$9,B531="2012-2013",E531&gt;1000,G531="NPN05"),H531,"")</f>
        <v/>
      </c>
      <c r="BH531" s="44" t="str">
        <f>IF(AND(C531=Master!$H$9,B531="2012-2013",E531="",G531="NPN05"),H531,"")</f>
        <v/>
      </c>
    </row>
    <row r="532" spans="1:60" x14ac:dyDescent="0.25">
      <c r="A532" s="3">
        <v>530</v>
      </c>
      <c r="B532" s="12"/>
      <c r="C532" s="12"/>
      <c r="D532" s="31"/>
      <c r="E532" s="4"/>
      <c r="F532" s="13"/>
      <c r="G532" s="21"/>
      <c r="H532" s="35"/>
      <c r="I532" s="21"/>
      <c r="J532" s="25" t="str">
        <f>IF(NOT(I532=""),INDEX(Master!$B$1:$B$46,MATCH(I532,Master!$A$1:$A$46,0)),"")</f>
        <v/>
      </c>
      <c r="K532" s="18"/>
      <c r="L532" s="86"/>
      <c r="M532" s="13"/>
      <c r="N532" s="13"/>
      <c r="O532" s="18"/>
      <c r="P532" s="35"/>
      <c r="Q532" s="21"/>
      <c r="R532" s="21"/>
      <c r="S532" s="13"/>
      <c r="T532" s="12"/>
      <c r="U532" s="12"/>
      <c r="V532" s="12"/>
      <c r="W532" s="14"/>
      <c r="Y532" s="42" t="str">
        <f>IF(AND(C532=Master!$H$1,B532="2012-2013",E532&gt;1000,G532="PLN03"),H532,"")</f>
        <v/>
      </c>
      <c r="Z532" s="42" t="str">
        <f>IF(AND(C532=Master!$H$1,B532="2012-2013",E532="",G532="PLN03"),H532,"")</f>
        <v/>
      </c>
      <c r="AA532" s="42" t="str">
        <f>IF(AND(C532=Master!$H$2,B532="2012-2013",E532&gt;1000,G532="PLN03"),H532,"")</f>
        <v/>
      </c>
      <c r="AB532" s="42" t="str">
        <f>IF(AND(C532=Master!$H$2,B532="2012-2013",E532="",G532="PLN03"),H532,"")</f>
        <v/>
      </c>
      <c r="AC532" s="42" t="str">
        <f>IF(AND(C532=Master!$H$3,B532="2012-2013",E532&gt;1000,G532="PLN03"),H532,"")</f>
        <v/>
      </c>
      <c r="AD532" s="42" t="str">
        <f>IF(AND(C532=Master!$H$3,B532="2012-2013",E532="",G532="PLN03"),H532,"")</f>
        <v/>
      </c>
      <c r="AE532" s="42" t="str">
        <f>IF(AND(C532=Master!$H$4,B532="2012-2013",E532&gt;1000,G532="PLN03"),H532,"")</f>
        <v/>
      </c>
      <c r="AF532" s="42" t="str">
        <f>IF(AND(C532=Master!$H$4,B532="2012-2013",E532="",G532="PLN03"),H532,"")</f>
        <v/>
      </c>
      <c r="AG532" s="42" t="str">
        <f>IF(AND(C532=Master!$H$5,B532="2012-2013",E532&gt;1000,G532="PLN03"),H532,"")</f>
        <v/>
      </c>
      <c r="AH532" s="42" t="str">
        <f>IF(AND(C532=Master!$H$5,B532="2012-2013",E532="",G532="PLN03"),H532,"")</f>
        <v/>
      </c>
      <c r="AI532" s="42" t="str">
        <f>IF(AND(C532=Master!$H$6,B532="2012-2013",E532&gt;1000,G532="PLN03"),H532,"")</f>
        <v/>
      </c>
      <c r="AJ532" s="42" t="str">
        <f>IF(AND(C532=Master!$H$6,B532="2012-2013",E532="",G532="PLN03"),H532,"")</f>
        <v/>
      </c>
      <c r="AK532" s="42" t="str">
        <f>IF(AND(C532=Master!$H$7,B532="2012-2013",E532&gt;1000,G532="PLN03"),H532,"")</f>
        <v/>
      </c>
      <c r="AL532" s="42" t="str">
        <f>IF(AND(C532=Master!$H$7,B532="2012-2013",E532="",G532="PLN03"),H532,"")</f>
        <v/>
      </c>
      <c r="AM532" s="42" t="str">
        <f>IF(AND(C532=Master!$H$8,B532="2012-2013",E532&gt;1000,G532="PLN03"),H532,"")</f>
        <v/>
      </c>
      <c r="AN532" s="42" t="str">
        <f>IF(AND(C532=Master!$H$8,B532="2012-2013",E532="",G532="PLN03"),H532,"")</f>
        <v/>
      </c>
      <c r="AO532" s="42" t="str">
        <f>IF(AND(C532=Master!$H$9,B532="2012-2013",E532&gt;1000,G532="PLN03"),H532,"")</f>
        <v/>
      </c>
      <c r="AP532" s="42" t="str">
        <f>IF(AND(C532=Master!$H$9,B532="2012-2013",E532="",G532="PLN03"),H532,"")</f>
        <v/>
      </c>
      <c r="AQ532" s="44" t="str">
        <f>IF(AND(C532=Master!$H$1,B532="2012-2013",E532&gt;1000,G532="NPN05"),H532,"")</f>
        <v/>
      </c>
      <c r="AR532" s="44" t="str">
        <f>IF(AND(C532=Master!$H$1,B532="2012-2013",E532="",G532="NPN05"),H532,"")</f>
        <v/>
      </c>
      <c r="AS532" s="44" t="str">
        <f>IF(AND(C532=Master!$H$2,B532="2012-2013",E532&gt;1000,G532="NPN05"),H532,"")</f>
        <v/>
      </c>
      <c r="AT532" s="44" t="str">
        <f>IF(AND(C532=Master!$H$2,B532="2012-2013",E532="",G532="NPN05"),H532,"")</f>
        <v/>
      </c>
      <c r="AU532" s="44" t="str">
        <f>IF(AND(C532=Master!$H$3,B532="2012-2013",E532&gt;1000,G532="NPN05"),H532,"")</f>
        <v/>
      </c>
      <c r="AV532" s="44" t="str">
        <f>IF(AND(C532=Master!$H$3,B532="2012-2013",E532="",G532="NPN05"),H532,"")</f>
        <v/>
      </c>
      <c r="AW532" s="44" t="str">
        <f>IF(AND(C532=Master!$H$4,B532="2012-2013",E532&gt;1000,G532="NPN05"),H532,"")</f>
        <v/>
      </c>
      <c r="AX532" s="44" t="str">
        <f>IF(AND(C532=Master!$H$4,B532="2012-2013",E532="",G532="NPN05"),H532,"")</f>
        <v/>
      </c>
      <c r="AY532" s="44" t="str">
        <f>IF(AND(C532=Master!$H$5,B532="2012-2013",E532&gt;1000,G532="NPN05"),H532,"")</f>
        <v/>
      </c>
      <c r="AZ532" s="44" t="str">
        <f>IF(AND(C532=Master!$H$5,B532="2012-2013",E532="",G532="NPN05"),H532,"")</f>
        <v/>
      </c>
      <c r="BA532" s="44" t="str">
        <f>IF(AND(C532=Master!$H$6,B532="2012-2013",E532&gt;1000,G532="NPN05"),H532,"")</f>
        <v/>
      </c>
      <c r="BB532" s="44" t="str">
        <f>IF(AND(C532=Master!$H$6,B532="2012-2013",E532="",G532="NPN05"),H532,"")</f>
        <v/>
      </c>
      <c r="BC532" s="44" t="str">
        <f>IF(AND(C532=Master!$H$7,B532="2012-2013",E532&gt;1000,G532="NPN05"),H532,"")</f>
        <v/>
      </c>
      <c r="BD532" s="44" t="str">
        <f>IF(AND(C532=Master!$H$7,B532="2012-2013",E532="",G532="NPN05"),H532,"")</f>
        <v/>
      </c>
      <c r="BE532" s="44" t="str">
        <f>IF(AND(C532=Master!$H$8,B532="2012-2013",E532&gt;1000,G532="NPN05"),H532,"")</f>
        <v/>
      </c>
      <c r="BF532" s="44" t="str">
        <f>IF(AND(C532=Master!$H$8,B532="2012-2013",E532="",G532="NPN05"),H532,"")</f>
        <v/>
      </c>
      <c r="BG532" s="44" t="str">
        <f>IF(AND(C532=Master!$H$9,B532="2012-2013",E532&gt;1000,G532="NPN05"),H532,"")</f>
        <v/>
      </c>
      <c r="BH532" s="44" t="str">
        <f>IF(AND(C532=Master!$H$9,B532="2012-2013",E532="",G532="NPN05"),H532,"")</f>
        <v/>
      </c>
    </row>
    <row r="533" spans="1:60" x14ac:dyDescent="0.25">
      <c r="A533" s="3">
        <v>531</v>
      </c>
      <c r="B533" s="12"/>
      <c r="C533" s="12"/>
      <c r="D533" s="31"/>
      <c r="E533" s="4"/>
      <c r="F533" s="13"/>
      <c r="G533" s="21"/>
      <c r="H533" s="35"/>
      <c r="I533" s="21"/>
      <c r="J533" s="25" t="str">
        <f>IF(NOT(I533=""),INDEX(Master!$B$1:$B$46,MATCH(I533,Master!$A$1:$A$46,0)),"")</f>
        <v/>
      </c>
      <c r="K533" s="18"/>
      <c r="L533" s="86"/>
      <c r="M533" s="13"/>
      <c r="N533" s="13"/>
      <c r="O533" s="18"/>
      <c r="P533" s="35"/>
      <c r="Q533" s="21"/>
      <c r="R533" s="21"/>
      <c r="S533" s="13"/>
      <c r="T533" s="12"/>
      <c r="U533" s="12"/>
      <c r="V533" s="12"/>
      <c r="W533" s="14"/>
      <c r="Y533" s="42" t="str">
        <f>IF(AND(C533=Master!$H$1,B533="2012-2013",E533&gt;1000,G533="PLN03"),H533,"")</f>
        <v/>
      </c>
      <c r="Z533" s="42" t="str">
        <f>IF(AND(C533=Master!$H$1,B533="2012-2013",E533="",G533="PLN03"),H533,"")</f>
        <v/>
      </c>
      <c r="AA533" s="42" t="str">
        <f>IF(AND(C533=Master!$H$2,B533="2012-2013",E533&gt;1000,G533="PLN03"),H533,"")</f>
        <v/>
      </c>
      <c r="AB533" s="42" t="str">
        <f>IF(AND(C533=Master!$H$2,B533="2012-2013",E533="",G533="PLN03"),H533,"")</f>
        <v/>
      </c>
      <c r="AC533" s="42" t="str">
        <f>IF(AND(C533=Master!$H$3,B533="2012-2013",E533&gt;1000,G533="PLN03"),H533,"")</f>
        <v/>
      </c>
      <c r="AD533" s="42" t="str">
        <f>IF(AND(C533=Master!$H$3,B533="2012-2013",E533="",G533="PLN03"),H533,"")</f>
        <v/>
      </c>
      <c r="AE533" s="42" t="str">
        <f>IF(AND(C533=Master!$H$4,B533="2012-2013",E533&gt;1000,G533="PLN03"),H533,"")</f>
        <v/>
      </c>
      <c r="AF533" s="42" t="str">
        <f>IF(AND(C533=Master!$H$4,B533="2012-2013",E533="",G533="PLN03"),H533,"")</f>
        <v/>
      </c>
      <c r="AG533" s="42" t="str">
        <f>IF(AND(C533=Master!$H$5,B533="2012-2013",E533&gt;1000,G533="PLN03"),H533,"")</f>
        <v/>
      </c>
      <c r="AH533" s="42" t="str">
        <f>IF(AND(C533=Master!$H$5,B533="2012-2013",E533="",G533="PLN03"),H533,"")</f>
        <v/>
      </c>
      <c r="AI533" s="42" t="str">
        <f>IF(AND(C533=Master!$H$6,B533="2012-2013",E533&gt;1000,G533="PLN03"),H533,"")</f>
        <v/>
      </c>
      <c r="AJ533" s="42" t="str">
        <f>IF(AND(C533=Master!$H$6,B533="2012-2013",E533="",G533="PLN03"),H533,"")</f>
        <v/>
      </c>
      <c r="AK533" s="42" t="str">
        <f>IF(AND(C533=Master!$H$7,B533="2012-2013",E533&gt;1000,G533="PLN03"),H533,"")</f>
        <v/>
      </c>
      <c r="AL533" s="42" t="str">
        <f>IF(AND(C533=Master!$H$7,B533="2012-2013",E533="",G533="PLN03"),H533,"")</f>
        <v/>
      </c>
      <c r="AM533" s="42" t="str">
        <f>IF(AND(C533=Master!$H$8,B533="2012-2013",E533&gt;1000,G533="PLN03"),H533,"")</f>
        <v/>
      </c>
      <c r="AN533" s="42" t="str">
        <f>IF(AND(C533=Master!$H$8,B533="2012-2013",E533="",G533="PLN03"),H533,"")</f>
        <v/>
      </c>
      <c r="AO533" s="42" t="str">
        <f>IF(AND(C533=Master!$H$9,B533="2012-2013",E533&gt;1000,G533="PLN03"),H533,"")</f>
        <v/>
      </c>
      <c r="AP533" s="42" t="str">
        <f>IF(AND(C533=Master!$H$9,B533="2012-2013",E533="",G533="PLN03"),H533,"")</f>
        <v/>
      </c>
      <c r="AQ533" s="44" t="str">
        <f>IF(AND(C533=Master!$H$1,B533="2012-2013",E533&gt;1000,G533="NPN05"),H533,"")</f>
        <v/>
      </c>
      <c r="AR533" s="44" t="str">
        <f>IF(AND(C533=Master!$H$1,B533="2012-2013",E533="",G533="NPN05"),H533,"")</f>
        <v/>
      </c>
      <c r="AS533" s="44" t="str">
        <f>IF(AND(C533=Master!$H$2,B533="2012-2013",E533&gt;1000,G533="NPN05"),H533,"")</f>
        <v/>
      </c>
      <c r="AT533" s="44" t="str">
        <f>IF(AND(C533=Master!$H$2,B533="2012-2013",E533="",G533="NPN05"),H533,"")</f>
        <v/>
      </c>
      <c r="AU533" s="44" t="str">
        <f>IF(AND(C533=Master!$H$3,B533="2012-2013",E533&gt;1000,G533="NPN05"),H533,"")</f>
        <v/>
      </c>
      <c r="AV533" s="44" t="str">
        <f>IF(AND(C533=Master!$H$3,B533="2012-2013",E533="",G533="NPN05"),H533,"")</f>
        <v/>
      </c>
      <c r="AW533" s="44" t="str">
        <f>IF(AND(C533=Master!$H$4,B533="2012-2013",E533&gt;1000,G533="NPN05"),H533,"")</f>
        <v/>
      </c>
      <c r="AX533" s="44" t="str">
        <f>IF(AND(C533=Master!$H$4,B533="2012-2013",E533="",G533="NPN05"),H533,"")</f>
        <v/>
      </c>
      <c r="AY533" s="44" t="str">
        <f>IF(AND(C533=Master!$H$5,B533="2012-2013",E533&gt;1000,G533="NPN05"),H533,"")</f>
        <v/>
      </c>
      <c r="AZ533" s="44" t="str">
        <f>IF(AND(C533=Master!$H$5,B533="2012-2013",E533="",G533="NPN05"),H533,"")</f>
        <v/>
      </c>
      <c r="BA533" s="44" t="str">
        <f>IF(AND(C533=Master!$H$6,B533="2012-2013",E533&gt;1000,G533="NPN05"),H533,"")</f>
        <v/>
      </c>
      <c r="BB533" s="44" t="str">
        <f>IF(AND(C533=Master!$H$6,B533="2012-2013",E533="",G533="NPN05"),H533,"")</f>
        <v/>
      </c>
      <c r="BC533" s="44" t="str">
        <f>IF(AND(C533=Master!$H$7,B533="2012-2013",E533&gt;1000,G533="NPN05"),H533,"")</f>
        <v/>
      </c>
      <c r="BD533" s="44" t="str">
        <f>IF(AND(C533=Master!$H$7,B533="2012-2013",E533="",G533="NPN05"),H533,"")</f>
        <v/>
      </c>
      <c r="BE533" s="44" t="str">
        <f>IF(AND(C533=Master!$H$8,B533="2012-2013",E533&gt;1000,G533="NPN05"),H533,"")</f>
        <v/>
      </c>
      <c r="BF533" s="44" t="str">
        <f>IF(AND(C533=Master!$H$8,B533="2012-2013",E533="",G533="NPN05"),H533,"")</f>
        <v/>
      </c>
      <c r="BG533" s="44" t="str">
        <f>IF(AND(C533=Master!$H$9,B533="2012-2013",E533&gt;1000,G533="NPN05"),H533,"")</f>
        <v/>
      </c>
      <c r="BH533" s="44" t="str">
        <f>IF(AND(C533=Master!$H$9,B533="2012-2013",E533="",G533="NPN05"),H533,"")</f>
        <v/>
      </c>
    </row>
    <row r="534" spans="1:60" x14ac:dyDescent="0.25">
      <c r="A534" s="3">
        <v>532</v>
      </c>
      <c r="B534" s="12"/>
      <c r="C534" s="12"/>
      <c r="D534" s="31"/>
      <c r="E534" s="4"/>
      <c r="F534" s="13"/>
      <c r="G534" s="21"/>
      <c r="H534" s="35"/>
      <c r="I534" s="21"/>
      <c r="J534" s="25" t="str">
        <f>IF(NOT(I534=""),INDEX(Master!$B$1:$B$46,MATCH(I534,Master!$A$1:$A$46,0)),"")</f>
        <v/>
      </c>
      <c r="K534" s="18"/>
      <c r="L534" s="86"/>
      <c r="M534" s="13"/>
      <c r="N534" s="13"/>
      <c r="O534" s="18"/>
      <c r="P534" s="35"/>
      <c r="Q534" s="21"/>
      <c r="R534" s="21"/>
      <c r="S534" s="13"/>
      <c r="T534" s="12"/>
      <c r="U534" s="12"/>
      <c r="V534" s="12"/>
      <c r="W534" s="14"/>
      <c r="Y534" s="42" t="str">
        <f>IF(AND(C534=Master!$H$1,B534="2012-2013",E534&gt;1000,G534="PLN03"),H534,"")</f>
        <v/>
      </c>
      <c r="Z534" s="42" t="str">
        <f>IF(AND(C534=Master!$H$1,B534="2012-2013",E534="",G534="PLN03"),H534,"")</f>
        <v/>
      </c>
      <c r="AA534" s="42" t="str">
        <f>IF(AND(C534=Master!$H$2,B534="2012-2013",E534&gt;1000,G534="PLN03"),H534,"")</f>
        <v/>
      </c>
      <c r="AB534" s="42" t="str">
        <f>IF(AND(C534=Master!$H$2,B534="2012-2013",E534="",G534="PLN03"),H534,"")</f>
        <v/>
      </c>
      <c r="AC534" s="42" t="str">
        <f>IF(AND(C534=Master!$H$3,B534="2012-2013",E534&gt;1000,G534="PLN03"),H534,"")</f>
        <v/>
      </c>
      <c r="AD534" s="42" t="str">
        <f>IF(AND(C534=Master!$H$3,B534="2012-2013",E534="",G534="PLN03"),H534,"")</f>
        <v/>
      </c>
      <c r="AE534" s="42" t="str">
        <f>IF(AND(C534=Master!$H$4,B534="2012-2013",E534&gt;1000,G534="PLN03"),H534,"")</f>
        <v/>
      </c>
      <c r="AF534" s="42" t="str">
        <f>IF(AND(C534=Master!$H$4,B534="2012-2013",E534="",G534="PLN03"),H534,"")</f>
        <v/>
      </c>
      <c r="AG534" s="42" t="str">
        <f>IF(AND(C534=Master!$H$5,B534="2012-2013",E534&gt;1000,G534="PLN03"),H534,"")</f>
        <v/>
      </c>
      <c r="AH534" s="42" t="str">
        <f>IF(AND(C534=Master!$H$5,B534="2012-2013",E534="",G534="PLN03"),H534,"")</f>
        <v/>
      </c>
      <c r="AI534" s="42" t="str">
        <f>IF(AND(C534=Master!$H$6,B534="2012-2013",E534&gt;1000,G534="PLN03"),H534,"")</f>
        <v/>
      </c>
      <c r="AJ534" s="42" t="str">
        <f>IF(AND(C534=Master!$H$6,B534="2012-2013",E534="",G534="PLN03"),H534,"")</f>
        <v/>
      </c>
      <c r="AK534" s="42" t="str">
        <f>IF(AND(C534=Master!$H$7,B534="2012-2013",E534&gt;1000,G534="PLN03"),H534,"")</f>
        <v/>
      </c>
      <c r="AL534" s="42" t="str">
        <f>IF(AND(C534=Master!$H$7,B534="2012-2013",E534="",G534="PLN03"),H534,"")</f>
        <v/>
      </c>
      <c r="AM534" s="42" t="str">
        <f>IF(AND(C534=Master!$H$8,B534="2012-2013",E534&gt;1000,G534="PLN03"),H534,"")</f>
        <v/>
      </c>
      <c r="AN534" s="42" t="str">
        <f>IF(AND(C534=Master!$H$8,B534="2012-2013",E534="",G534="PLN03"),H534,"")</f>
        <v/>
      </c>
      <c r="AO534" s="42" t="str">
        <f>IF(AND(C534=Master!$H$9,B534="2012-2013",E534&gt;1000,G534="PLN03"),H534,"")</f>
        <v/>
      </c>
      <c r="AP534" s="42" t="str">
        <f>IF(AND(C534=Master!$H$9,B534="2012-2013",E534="",G534="PLN03"),H534,"")</f>
        <v/>
      </c>
      <c r="AQ534" s="44" t="str">
        <f>IF(AND(C534=Master!$H$1,B534="2012-2013",E534&gt;1000,G534="NPN05"),H534,"")</f>
        <v/>
      </c>
      <c r="AR534" s="44" t="str">
        <f>IF(AND(C534=Master!$H$1,B534="2012-2013",E534="",G534="NPN05"),H534,"")</f>
        <v/>
      </c>
      <c r="AS534" s="44" t="str">
        <f>IF(AND(C534=Master!$H$2,B534="2012-2013",E534&gt;1000,G534="NPN05"),H534,"")</f>
        <v/>
      </c>
      <c r="AT534" s="44" t="str">
        <f>IF(AND(C534=Master!$H$2,B534="2012-2013",E534="",G534="NPN05"),H534,"")</f>
        <v/>
      </c>
      <c r="AU534" s="44" t="str">
        <f>IF(AND(C534=Master!$H$3,B534="2012-2013",E534&gt;1000,G534="NPN05"),H534,"")</f>
        <v/>
      </c>
      <c r="AV534" s="44" t="str">
        <f>IF(AND(C534=Master!$H$3,B534="2012-2013",E534="",G534="NPN05"),H534,"")</f>
        <v/>
      </c>
      <c r="AW534" s="44" t="str">
        <f>IF(AND(C534=Master!$H$4,B534="2012-2013",E534&gt;1000,G534="NPN05"),H534,"")</f>
        <v/>
      </c>
      <c r="AX534" s="44" t="str">
        <f>IF(AND(C534=Master!$H$4,B534="2012-2013",E534="",G534="NPN05"),H534,"")</f>
        <v/>
      </c>
      <c r="AY534" s="44" t="str">
        <f>IF(AND(C534=Master!$H$5,B534="2012-2013",E534&gt;1000,G534="NPN05"),H534,"")</f>
        <v/>
      </c>
      <c r="AZ534" s="44" t="str">
        <f>IF(AND(C534=Master!$H$5,B534="2012-2013",E534="",G534="NPN05"),H534,"")</f>
        <v/>
      </c>
      <c r="BA534" s="44" t="str">
        <f>IF(AND(C534=Master!$H$6,B534="2012-2013",E534&gt;1000,G534="NPN05"),H534,"")</f>
        <v/>
      </c>
      <c r="BB534" s="44" t="str">
        <f>IF(AND(C534=Master!$H$6,B534="2012-2013",E534="",G534="NPN05"),H534,"")</f>
        <v/>
      </c>
      <c r="BC534" s="44" t="str">
        <f>IF(AND(C534=Master!$H$7,B534="2012-2013",E534&gt;1000,G534="NPN05"),H534,"")</f>
        <v/>
      </c>
      <c r="BD534" s="44" t="str">
        <f>IF(AND(C534=Master!$H$7,B534="2012-2013",E534="",G534="NPN05"),H534,"")</f>
        <v/>
      </c>
      <c r="BE534" s="44" t="str">
        <f>IF(AND(C534=Master!$H$8,B534="2012-2013",E534&gt;1000,G534="NPN05"),H534,"")</f>
        <v/>
      </c>
      <c r="BF534" s="44" t="str">
        <f>IF(AND(C534=Master!$H$8,B534="2012-2013",E534="",G534="NPN05"),H534,"")</f>
        <v/>
      </c>
      <c r="BG534" s="44" t="str">
        <f>IF(AND(C534=Master!$H$9,B534="2012-2013",E534&gt;1000,G534="NPN05"),H534,"")</f>
        <v/>
      </c>
      <c r="BH534" s="44" t="str">
        <f>IF(AND(C534=Master!$H$9,B534="2012-2013",E534="",G534="NPN05"),H534,"")</f>
        <v/>
      </c>
    </row>
    <row r="535" spans="1:60" x14ac:dyDescent="0.25">
      <c r="A535" s="5">
        <v>533</v>
      </c>
      <c r="B535" s="12"/>
      <c r="C535" s="12"/>
      <c r="D535" s="31"/>
      <c r="E535" s="4"/>
      <c r="F535" s="13"/>
      <c r="G535" s="21"/>
      <c r="H535" s="35"/>
      <c r="I535" s="21"/>
      <c r="J535" s="25" t="str">
        <f>IF(NOT(I535=""),INDEX(Master!$B$1:$B$46,MATCH(I535,Master!$A$1:$A$46,0)),"")</f>
        <v/>
      </c>
      <c r="K535" s="18"/>
      <c r="L535" s="86"/>
      <c r="M535" s="13"/>
      <c r="N535" s="13"/>
      <c r="O535" s="18"/>
      <c r="P535" s="35"/>
      <c r="Q535" s="21"/>
      <c r="R535" s="21"/>
      <c r="S535" s="13"/>
      <c r="T535" s="12"/>
      <c r="U535" s="12"/>
      <c r="V535" s="12"/>
      <c r="W535" s="14"/>
      <c r="Y535" s="42" t="str">
        <f>IF(AND(C535=Master!$H$1,B535="2012-2013",E535&gt;1000,G535="PLN03"),H535,"")</f>
        <v/>
      </c>
      <c r="Z535" s="42" t="str">
        <f>IF(AND(C535=Master!$H$1,B535="2012-2013",E535="",G535="PLN03"),H535,"")</f>
        <v/>
      </c>
      <c r="AA535" s="42" t="str">
        <f>IF(AND(C535=Master!$H$2,B535="2012-2013",E535&gt;1000,G535="PLN03"),H535,"")</f>
        <v/>
      </c>
      <c r="AB535" s="42" t="str">
        <f>IF(AND(C535=Master!$H$2,B535="2012-2013",E535="",G535="PLN03"),H535,"")</f>
        <v/>
      </c>
      <c r="AC535" s="42" t="str">
        <f>IF(AND(C535=Master!$H$3,B535="2012-2013",E535&gt;1000,G535="PLN03"),H535,"")</f>
        <v/>
      </c>
      <c r="AD535" s="42" t="str">
        <f>IF(AND(C535=Master!$H$3,B535="2012-2013",E535="",G535="PLN03"),H535,"")</f>
        <v/>
      </c>
      <c r="AE535" s="42" t="str">
        <f>IF(AND(C535=Master!$H$4,B535="2012-2013",E535&gt;1000,G535="PLN03"),H535,"")</f>
        <v/>
      </c>
      <c r="AF535" s="42" t="str">
        <f>IF(AND(C535=Master!$H$4,B535="2012-2013",E535="",G535="PLN03"),H535,"")</f>
        <v/>
      </c>
      <c r="AG535" s="42" t="str">
        <f>IF(AND(C535=Master!$H$5,B535="2012-2013",E535&gt;1000,G535="PLN03"),H535,"")</f>
        <v/>
      </c>
      <c r="AH535" s="42" t="str">
        <f>IF(AND(C535=Master!$H$5,B535="2012-2013",E535="",G535="PLN03"),H535,"")</f>
        <v/>
      </c>
      <c r="AI535" s="42" t="str">
        <f>IF(AND(C535=Master!$H$6,B535="2012-2013",E535&gt;1000,G535="PLN03"),H535,"")</f>
        <v/>
      </c>
      <c r="AJ535" s="42" t="str">
        <f>IF(AND(C535=Master!$H$6,B535="2012-2013",E535="",G535="PLN03"),H535,"")</f>
        <v/>
      </c>
      <c r="AK535" s="42" t="str">
        <f>IF(AND(C535=Master!$H$7,B535="2012-2013",E535&gt;1000,G535="PLN03"),H535,"")</f>
        <v/>
      </c>
      <c r="AL535" s="42" t="str">
        <f>IF(AND(C535=Master!$H$7,B535="2012-2013",E535="",G535="PLN03"),H535,"")</f>
        <v/>
      </c>
      <c r="AM535" s="42" t="str">
        <f>IF(AND(C535=Master!$H$8,B535="2012-2013",E535&gt;1000,G535="PLN03"),H535,"")</f>
        <v/>
      </c>
      <c r="AN535" s="42" t="str">
        <f>IF(AND(C535=Master!$H$8,B535="2012-2013",E535="",G535="PLN03"),H535,"")</f>
        <v/>
      </c>
      <c r="AO535" s="42" t="str">
        <f>IF(AND(C535=Master!$H$9,B535="2012-2013",E535&gt;1000,G535="PLN03"),H535,"")</f>
        <v/>
      </c>
      <c r="AP535" s="42" t="str">
        <f>IF(AND(C535=Master!$H$9,B535="2012-2013",E535="",G535="PLN03"),H535,"")</f>
        <v/>
      </c>
      <c r="AQ535" s="44" t="str">
        <f>IF(AND(C535=Master!$H$1,B535="2012-2013",E535&gt;1000,G535="NPN05"),H535,"")</f>
        <v/>
      </c>
      <c r="AR535" s="44" t="str">
        <f>IF(AND(C535=Master!$H$1,B535="2012-2013",E535="",G535="NPN05"),H535,"")</f>
        <v/>
      </c>
      <c r="AS535" s="44" t="str">
        <f>IF(AND(C535=Master!$H$2,B535="2012-2013",E535&gt;1000,G535="NPN05"),H535,"")</f>
        <v/>
      </c>
      <c r="AT535" s="44" t="str">
        <f>IF(AND(C535=Master!$H$2,B535="2012-2013",E535="",G535="NPN05"),H535,"")</f>
        <v/>
      </c>
      <c r="AU535" s="44" t="str">
        <f>IF(AND(C535=Master!$H$3,B535="2012-2013",E535&gt;1000,G535="NPN05"),H535,"")</f>
        <v/>
      </c>
      <c r="AV535" s="44" t="str">
        <f>IF(AND(C535=Master!$H$3,B535="2012-2013",E535="",G535="NPN05"),H535,"")</f>
        <v/>
      </c>
      <c r="AW535" s="44" t="str">
        <f>IF(AND(C535=Master!$H$4,B535="2012-2013",E535&gt;1000,G535="NPN05"),H535,"")</f>
        <v/>
      </c>
      <c r="AX535" s="44" t="str">
        <f>IF(AND(C535=Master!$H$4,B535="2012-2013",E535="",G535="NPN05"),H535,"")</f>
        <v/>
      </c>
      <c r="AY535" s="44" t="str">
        <f>IF(AND(C535=Master!$H$5,B535="2012-2013",E535&gt;1000,G535="NPN05"),H535,"")</f>
        <v/>
      </c>
      <c r="AZ535" s="44" t="str">
        <f>IF(AND(C535=Master!$H$5,B535="2012-2013",E535="",G535="NPN05"),H535,"")</f>
        <v/>
      </c>
      <c r="BA535" s="44" t="str">
        <f>IF(AND(C535=Master!$H$6,B535="2012-2013",E535&gt;1000,G535="NPN05"),H535,"")</f>
        <v/>
      </c>
      <c r="BB535" s="44" t="str">
        <f>IF(AND(C535=Master!$H$6,B535="2012-2013",E535="",G535="NPN05"),H535,"")</f>
        <v/>
      </c>
      <c r="BC535" s="44" t="str">
        <f>IF(AND(C535=Master!$H$7,B535="2012-2013",E535&gt;1000,G535="NPN05"),H535,"")</f>
        <v/>
      </c>
      <c r="BD535" s="44" t="str">
        <f>IF(AND(C535=Master!$H$7,B535="2012-2013",E535="",G535="NPN05"),H535,"")</f>
        <v/>
      </c>
      <c r="BE535" s="44" t="str">
        <f>IF(AND(C535=Master!$H$8,B535="2012-2013",E535&gt;1000,G535="NPN05"),H535,"")</f>
        <v/>
      </c>
      <c r="BF535" s="44" t="str">
        <f>IF(AND(C535=Master!$H$8,B535="2012-2013",E535="",G535="NPN05"),H535,"")</f>
        <v/>
      </c>
      <c r="BG535" s="44" t="str">
        <f>IF(AND(C535=Master!$H$9,B535="2012-2013",E535&gt;1000,G535="NPN05"),H535,"")</f>
        <v/>
      </c>
      <c r="BH535" s="44" t="str">
        <f>IF(AND(C535=Master!$H$9,B535="2012-2013",E535="",G535="NPN05"),H535,"")</f>
        <v/>
      </c>
    </row>
    <row r="536" spans="1:60" x14ac:dyDescent="0.25">
      <c r="A536" s="3">
        <v>534</v>
      </c>
      <c r="B536" s="12"/>
      <c r="C536" s="12"/>
      <c r="D536" s="31"/>
      <c r="E536" s="4"/>
      <c r="F536" s="13"/>
      <c r="G536" s="21"/>
      <c r="H536" s="35"/>
      <c r="I536" s="21"/>
      <c r="J536" s="25" t="str">
        <f>IF(NOT(I536=""),INDEX(Master!$B$1:$B$46,MATCH(I536,Master!$A$1:$A$46,0)),"")</f>
        <v/>
      </c>
      <c r="K536" s="18"/>
      <c r="L536" s="86"/>
      <c r="M536" s="13"/>
      <c r="N536" s="13"/>
      <c r="O536" s="18"/>
      <c r="P536" s="35"/>
      <c r="Q536" s="21"/>
      <c r="R536" s="21"/>
      <c r="S536" s="13"/>
      <c r="T536" s="12"/>
      <c r="U536" s="12"/>
      <c r="V536" s="12"/>
      <c r="W536" s="14"/>
      <c r="Y536" s="42" t="str">
        <f>IF(AND(C536=Master!$H$1,B536="2012-2013",E536&gt;1000,G536="PLN03"),H536,"")</f>
        <v/>
      </c>
      <c r="Z536" s="42" t="str">
        <f>IF(AND(C536=Master!$H$1,B536="2012-2013",E536="",G536="PLN03"),H536,"")</f>
        <v/>
      </c>
      <c r="AA536" s="42" t="str">
        <f>IF(AND(C536=Master!$H$2,B536="2012-2013",E536&gt;1000,G536="PLN03"),H536,"")</f>
        <v/>
      </c>
      <c r="AB536" s="42" t="str">
        <f>IF(AND(C536=Master!$H$2,B536="2012-2013",E536="",G536="PLN03"),H536,"")</f>
        <v/>
      </c>
      <c r="AC536" s="42" t="str">
        <f>IF(AND(C536=Master!$H$3,B536="2012-2013",E536&gt;1000,G536="PLN03"),H536,"")</f>
        <v/>
      </c>
      <c r="AD536" s="42" t="str">
        <f>IF(AND(C536=Master!$H$3,B536="2012-2013",E536="",G536="PLN03"),H536,"")</f>
        <v/>
      </c>
      <c r="AE536" s="42" t="str">
        <f>IF(AND(C536=Master!$H$4,B536="2012-2013",E536&gt;1000,G536="PLN03"),H536,"")</f>
        <v/>
      </c>
      <c r="AF536" s="42" t="str">
        <f>IF(AND(C536=Master!$H$4,B536="2012-2013",E536="",G536="PLN03"),H536,"")</f>
        <v/>
      </c>
      <c r="AG536" s="42" t="str">
        <f>IF(AND(C536=Master!$H$5,B536="2012-2013",E536&gt;1000,G536="PLN03"),H536,"")</f>
        <v/>
      </c>
      <c r="AH536" s="42" t="str">
        <f>IF(AND(C536=Master!$H$5,B536="2012-2013",E536="",G536="PLN03"),H536,"")</f>
        <v/>
      </c>
      <c r="AI536" s="42" t="str">
        <f>IF(AND(C536=Master!$H$6,B536="2012-2013",E536&gt;1000,G536="PLN03"),H536,"")</f>
        <v/>
      </c>
      <c r="AJ536" s="42" t="str">
        <f>IF(AND(C536=Master!$H$6,B536="2012-2013",E536="",G536="PLN03"),H536,"")</f>
        <v/>
      </c>
      <c r="AK536" s="42" t="str">
        <f>IF(AND(C536=Master!$H$7,B536="2012-2013",E536&gt;1000,G536="PLN03"),H536,"")</f>
        <v/>
      </c>
      <c r="AL536" s="42" t="str">
        <f>IF(AND(C536=Master!$H$7,B536="2012-2013",E536="",G536="PLN03"),H536,"")</f>
        <v/>
      </c>
      <c r="AM536" s="42" t="str">
        <f>IF(AND(C536=Master!$H$8,B536="2012-2013",E536&gt;1000,G536="PLN03"),H536,"")</f>
        <v/>
      </c>
      <c r="AN536" s="42" t="str">
        <f>IF(AND(C536=Master!$H$8,B536="2012-2013",E536="",G536="PLN03"),H536,"")</f>
        <v/>
      </c>
      <c r="AO536" s="42" t="str">
        <f>IF(AND(C536=Master!$H$9,B536="2012-2013",E536&gt;1000,G536="PLN03"),H536,"")</f>
        <v/>
      </c>
      <c r="AP536" s="42" t="str">
        <f>IF(AND(C536=Master!$H$9,B536="2012-2013",E536="",G536="PLN03"),H536,"")</f>
        <v/>
      </c>
      <c r="AQ536" s="44" t="str">
        <f>IF(AND(C536=Master!$H$1,B536="2012-2013",E536&gt;1000,G536="NPN05"),H536,"")</f>
        <v/>
      </c>
      <c r="AR536" s="44" t="str">
        <f>IF(AND(C536=Master!$H$1,B536="2012-2013",E536="",G536="NPN05"),H536,"")</f>
        <v/>
      </c>
      <c r="AS536" s="44" t="str">
        <f>IF(AND(C536=Master!$H$2,B536="2012-2013",E536&gt;1000,G536="NPN05"),H536,"")</f>
        <v/>
      </c>
      <c r="AT536" s="44" t="str">
        <f>IF(AND(C536=Master!$H$2,B536="2012-2013",E536="",G536="NPN05"),H536,"")</f>
        <v/>
      </c>
      <c r="AU536" s="44" t="str">
        <f>IF(AND(C536=Master!$H$3,B536="2012-2013",E536&gt;1000,G536="NPN05"),H536,"")</f>
        <v/>
      </c>
      <c r="AV536" s="44" t="str">
        <f>IF(AND(C536=Master!$H$3,B536="2012-2013",E536="",G536="NPN05"),H536,"")</f>
        <v/>
      </c>
      <c r="AW536" s="44" t="str">
        <f>IF(AND(C536=Master!$H$4,B536="2012-2013",E536&gt;1000,G536="NPN05"),H536,"")</f>
        <v/>
      </c>
      <c r="AX536" s="44" t="str">
        <f>IF(AND(C536=Master!$H$4,B536="2012-2013",E536="",G536="NPN05"),H536,"")</f>
        <v/>
      </c>
      <c r="AY536" s="44" t="str">
        <f>IF(AND(C536=Master!$H$5,B536="2012-2013",E536&gt;1000,G536="NPN05"),H536,"")</f>
        <v/>
      </c>
      <c r="AZ536" s="44" t="str">
        <f>IF(AND(C536=Master!$H$5,B536="2012-2013",E536="",G536="NPN05"),H536,"")</f>
        <v/>
      </c>
      <c r="BA536" s="44" t="str">
        <f>IF(AND(C536=Master!$H$6,B536="2012-2013",E536&gt;1000,G536="NPN05"),H536,"")</f>
        <v/>
      </c>
      <c r="BB536" s="44" t="str">
        <f>IF(AND(C536=Master!$H$6,B536="2012-2013",E536="",G536="NPN05"),H536,"")</f>
        <v/>
      </c>
      <c r="BC536" s="44" t="str">
        <f>IF(AND(C536=Master!$H$7,B536="2012-2013",E536&gt;1000,G536="NPN05"),H536,"")</f>
        <v/>
      </c>
      <c r="BD536" s="44" t="str">
        <f>IF(AND(C536=Master!$H$7,B536="2012-2013",E536="",G536="NPN05"),H536,"")</f>
        <v/>
      </c>
      <c r="BE536" s="44" t="str">
        <f>IF(AND(C536=Master!$H$8,B536="2012-2013",E536&gt;1000,G536="NPN05"),H536,"")</f>
        <v/>
      </c>
      <c r="BF536" s="44" t="str">
        <f>IF(AND(C536=Master!$H$8,B536="2012-2013",E536="",G536="NPN05"),H536,"")</f>
        <v/>
      </c>
      <c r="BG536" s="44" t="str">
        <f>IF(AND(C536=Master!$H$9,B536="2012-2013",E536&gt;1000,G536="NPN05"),H536,"")</f>
        <v/>
      </c>
      <c r="BH536" s="44" t="str">
        <f>IF(AND(C536=Master!$H$9,B536="2012-2013",E536="",G536="NPN05"),H536,"")</f>
        <v/>
      </c>
    </row>
    <row r="537" spans="1:60" x14ac:dyDescent="0.25">
      <c r="A537" s="3">
        <v>535</v>
      </c>
      <c r="B537" s="12"/>
      <c r="C537" s="12"/>
      <c r="D537" s="31"/>
      <c r="E537" s="4"/>
      <c r="F537" s="13"/>
      <c r="G537" s="21"/>
      <c r="H537" s="35"/>
      <c r="I537" s="21"/>
      <c r="J537" s="25" t="str">
        <f>IF(NOT(I537=""),INDEX(Master!$B$1:$B$46,MATCH(I537,Master!$A$1:$A$46,0)),"")</f>
        <v/>
      </c>
      <c r="K537" s="18"/>
      <c r="L537" s="86"/>
      <c r="M537" s="13"/>
      <c r="N537" s="13"/>
      <c r="O537" s="18"/>
      <c r="P537" s="35"/>
      <c r="Q537" s="21"/>
      <c r="R537" s="21"/>
      <c r="S537" s="13"/>
      <c r="T537" s="12"/>
      <c r="U537" s="12"/>
      <c r="V537" s="12"/>
      <c r="W537" s="14"/>
      <c r="Y537" s="42" t="str">
        <f>IF(AND(C537=Master!$H$1,B537="2012-2013",E537&gt;1000,G537="PLN03"),H537,"")</f>
        <v/>
      </c>
      <c r="Z537" s="42" t="str">
        <f>IF(AND(C537=Master!$H$1,B537="2012-2013",E537="",G537="PLN03"),H537,"")</f>
        <v/>
      </c>
      <c r="AA537" s="42" t="str">
        <f>IF(AND(C537=Master!$H$2,B537="2012-2013",E537&gt;1000,G537="PLN03"),H537,"")</f>
        <v/>
      </c>
      <c r="AB537" s="42" t="str">
        <f>IF(AND(C537=Master!$H$2,B537="2012-2013",E537="",G537="PLN03"),H537,"")</f>
        <v/>
      </c>
      <c r="AC537" s="42" t="str">
        <f>IF(AND(C537=Master!$H$3,B537="2012-2013",E537&gt;1000,G537="PLN03"),H537,"")</f>
        <v/>
      </c>
      <c r="AD537" s="42" t="str">
        <f>IF(AND(C537=Master!$H$3,B537="2012-2013",E537="",G537="PLN03"),H537,"")</f>
        <v/>
      </c>
      <c r="AE537" s="42" t="str">
        <f>IF(AND(C537=Master!$H$4,B537="2012-2013",E537&gt;1000,G537="PLN03"),H537,"")</f>
        <v/>
      </c>
      <c r="AF537" s="42" t="str">
        <f>IF(AND(C537=Master!$H$4,B537="2012-2013",E537="",G537="PLN03"),H537,"")</f>
        <v/>
      </c>
      <c r="AG537" s="42" t="str">
        <f>IF(AND(C537=Master!$H$5,B537="2012-2013",E537&gt;1000,G537="PLN03"),H537,"")</f>
        <v/>
      </c>
      <c r="AH537" s="42" t="str">
        <f>IF(AND(C537=Master!$H$5,B537="2012-2013",E537="",G537="PLN03"),H537,"")</f>
        <v/>
      </c>
      <c r="AI537" s="42" t="str">
        <f>IF(AND(C537=Master!$H$6,B537="2012-2013",E537&gt;1000,G537="PLN03"),H537,"")</f>
        <v/>
      </c>
      <c r="AJ537" s="42" t="str">
        <f>IF(AND(C537=Master!$H$6,B537="2012-2013",E537="",G537="PLN03"),H537,"")</f>
        <v/>
      </c>
      <c r="AK537" s="42" t="str">
        <f>IF(AND(C537=Master!$H$7,B537="2012-2013",E537&gt;1000,G537="PLN03"),H537,"")</f>
        <v/>
      </c>
      <c r="AL537" s="42" t="str">
        <f>IF(AND(C537=Master!$H$7,B537="2012-2013",E537="",G537="PLN03"),H537,"")</f>
        <v/>
      </c>
      <c r="AM537" s="42" t="str">
        <f>IF(AND(C537=Master!$H$8,B537="2012-2013",E537&gt;1000,G537="PLN03"),H537,"")</f>
        <v/>
      </c>
      <c r="AN537" s="42" t="str">
        <f>IF(AND(C537=Master!$H$8,B537="2012-2013",E537="",G537="PLN03"),H537,"")</f>
        <v/>
      </c>
      <c r="AO537" s="42" t="str">
        <f>IF(AND(C537=Master!$H$9,B537="2012-2013",E537&gt;1000,G537="PLN03"),H537,"")</f>
        <v/>
      </c>
      <c r="AP537" s="42" t="str">
        <f>IF(AND(C537=Master!$H$9,B537="2012-2013",E537="",G537="PLN03"),H537,"")</f>
        <v/>
      </c>
      <c r="AQ537" s="44" t="str">
        <f>IF(AND(C537=Master!$H$1,B537="2012-2013",E537&gt;1000,G537="NPN05"),H537,"")</f>
        <v/>
      </c>
      <c r="AR537" s="44" t="str">
        <f>IF(AND(C537=Master!$H$1,B537="2012-2013",E537="",G537="NPN05"),H537,"")</f>
        <v/>
      </c>
      <c r="AS537" s="44" t="str">
        <f>IF(AND(C537=Master!$H$2,B537="2012-2013",E537&gt;1000,G537="NPN05"),H537,"")</f>
        <v/>
      </c>
      <c r="AT537" s="44" t="str">
        <f>IF(AND(C537=Master!$H$2,B537="2012-2013",E537="",G537="NPN05"),H537,"")</f>
        <v/>
      </c>
      <c r="AU537" s="44" t="str">
        <f>IF(AND(C537=Master!$H$3,B537="2012-2013",E537&gt;1000,G537="NPN05"),H537,"")</f>
        <v/>
      </c>
      <c r="AV537" s="44" t="str">
        <f>IF(AND(C537=Master!$H$3,B537="2012-2013",E537="",G537="NPN05"),H537,"")</f>
        <v/>
      </c>
      <c r="AW537" s="44" t="str">
        <f>IF(AND(C537=Master!$H$4,B537="2012-2013",E537&gt;1000,G537="NPN05"),H537,"")</f>
        <v/>
      </c>
      <c r="AX537" s="44" t="str">
        <f>IF(AND(C537=Master!$H$4,B537="2012-2013",E537="",G537="NPN05"),H537,"")</f>
        <v/>
      </c>
      <c r="AY537" s="44" t="str">
        <f>IF(AND(C537=Master!$H$5,B537="2012-2013",E537&gt;1000,G537="NPN05"),H537,"")</f>
        <v/>
      </c>
      <c r="AZ537" s="44" t="str">
        <f>IF(AND(C537=Master!$H$5,B537="2012-2013",E537="",G537="NPN05"),H537,"")</f>
        <v/>
      </c>
      <c r="BA537" s="44" t="str">
        <f>IF(AND(C537=Master!$H$6,B537="2012-2013",E537&gt;1000,G537="NPN05"),H537,"")</f>
        <v/>
      </c>
      <c r="BB537" s="44" t="str">
        <f>IF(AND(C537=Master!$H$6,B537="2012-2013",E537="",G537="NPN05"),H537,"")</f>
        <v/>
      </c>
      <c r="BC537" s="44" t="str">
        <f>IF(AND(C537=Master!$H$7,B537="2012-2013",E537&gt;1000,G537="NPN05"),H537,"")</f>
        <v/>
      </c>
      <c r="BD537" s="44" t="str">
        <f>IF(AND(C537=Master!$H$7,B537="2012-2013",E537="",G537="NPN05"),H537,"")</f>
        <v/>
      </c>
      <c r="BE537" s="44" t="str">
        <f>IF(AND(C537=Master!$H$8,B537="2012-2013",E537&gt;1000,G537="NPN05"),H537,"")</f>
        <v/>
      </c>
      <c r="BF537" s="44" t="str">
        <f>IF(AND(C537=Master!$H$8,B537="2012-2013",E537="",G537="NPN05"),H537,"")</f>
        <v/>
      </c>
      <c r="BG537" s="44" t="str">
        <f>IF(AND(C537=Master!$H$9,B537="2012-2013",E537&gt;1000,G537="NPN05"),H537,"")</f>
        <v/>
      </c>
      <c r="BH537" s="44" t="str">
        <f>IF(AND(C537=Master!$H$9,B537="2012-2013",E537="",G537="NPN05"),H537,"")</f>
        <v/>
      </c>
    </row>
    <row r="538" spans="1:60" x14ac:dyDescent="0.25">
      <c r="A538" s="3">
        <v>536</v>
      </c>
      <c r="B538" s="12"/>
      <c r="C538" s="12"/>
      <c r="D538" s="31"/>
      <c r="E538" s="4"/>
      <c r="F538" s="13"/>
      <c r="G538" s="21"/>
      <c r="H538" s="35"/>
      <c r="I538" s="21"/>
      <c r="J538" s="25" t="str">
        <f>IF(NOT(I538=""),INDEX(Master!$B$1:$B$46,MATCH(I538,Master!$A$1:$A$46,0)),"")</f>
        <v/>
      </c>
      <c r="K538" s="18"/>
      <c r="L538" s="86"/>
      <c r="M538" s="13"/>
      <c r="N538" s="13"/>
      <c r="O538" s="18"/>
      <c r="P538" s="35"/>
      <c r="Q538" s="21"/>
      <c r="R538" s="21"/>
      <c r="S538" s="13"/>
      <c r="T538" s="12"/>
      <c r="U538" s="12"/>
      <c r="V538" s="12"/>
      <c r="W538" s="14"/>
      <c r="Y538" s="42" t="str">
        <f>IF(AND(C538=Master!$H$1,B538="2012-2013",E538&gt;1000,G538="PLN03"),H538,"")</f>
        <v/>
      </c>
      <c r="Z538" s="42" t="str">
        <f>IF(AND(C538=Master!$H$1,B538="2012-2013",E538="",G538="PLN03"),H538,"")</f>
        <v/>
      </c>
      <c r="AA538" s="42" t="str">
        <f>IF(AND(C538=Master!$H$2,B538="2012-2013",E538&gt;1000,G538="PLN03"),H538,"")</f>
        <v/>
      </c>
      <c r="AB538" s="42" t="str">
        <f>IF(AND(C538=Master!$H$2,B538="2012-2013",E538="",G538="PLN03"),H538,"")</f>
        <v/>
      </c>
      <c r="AC538" s="42" t="str">
        <f>IF(AND(C538=Master!$H$3,B538="2012-2013",E538&gt;1000,G538="PLN03"),H538,"")</f>
        <v/>
      </c>
      <c r="AD538" s="42" t="str">
        <f>IF(AND(C538=Master!$H$3,B538="2012-2013",E538="",G538="PLN03"),H538,"")</f>
        <v/>
      </c>
      <c r="AE538" s="42" t="str">
        <f>IF(AND(C538=Master!$H$4,B538="2012-2013",E538&gt;1000,G538="PLN03"),H538,"")</f>
        <v/>
      </c>
      <c r="AF538" s="42" t="str">
        <f>IF(AND(C538=Master!$H$4,B538="2012-2013",E538="",G538="PLN03"),H538,"")</f>
        <v/>
      </c>
      <c r="AG538" s="42" t="str">
        <f>IF(AND(C538=Master!$H$5,B538="2012-2013",E538&gt;1000,G538="PLN03"),H538,"")</f>
        <v/>
      </c>
      <c r="AH538" s="42" t="str">
        <f>IF(AND(C538=Master!$H$5,B538="2012-2013",E538="",G538="PLN03"),H538,"")</f>
        <v/>
      </c>
      <c r="AI538" s="42" t="str">
        <f>IF(AND(C538=Master!$H$6,B538="2012-2013",E538&gt;1000,G538="PLN03"),H538,"")</f>
        <v/>
      </c>
      <c r="AJ538" s="42" t="str">
        <f>IF(AND(C538=Master!$H$6,B538="2012-2013",E538="",G538="PLN03"),H538,"")</f>
        <v/>
      </c>
      <c r="AK538" s="42" t="str">
        <f>IF(AND(C538=Master!$H$7,B538="2012-2013",E538&gt;1000,G538="PLN03"),H538,"")</f>
        <v/>
      </c>
      <c r="AL538" s="42" t="str">
        <f>IF(AND(C538=Master!$H$7,B538="2012-2013",E538="",G538="PLN03"),H538,"")</f>
        <v/>
      </c>
      <c r="AM538" s="42" t="str">
        <f>IF(AND(C538=Master!$H$8,B538="2012-2013",E538&gt;1000,G538="PLN03"),H538,"")</f>
        <v/>
      </c>
      <c r="AN538" s="42" t="str">
        <f>IF(AND(C538=Master!$H$8,B538="2012-2013",E538="",G538="PLN03"),H538,"")</f>
        <v/>
      </c>
      <c r="AO538" s="42" t="str">
        <f>IF(AND(C538=Master!$H$9,B538="2012-2013",E538&gt;1000,G538="PLN03"),H538,"")</f>
        <v/>
      </c>
      <c r="AP538" s="42" t="str">
        <f>IF(AND(C538=Master!$H$9,B538="2012-2013",E538="",G538="PLN03"),H538,"")</f>
        <v/>
      </c>
      <c r="AQ538" s="44" t="str">
        <f>IF(AND(C538=Master!$H$1,B538="2012-2013",E538&gt;1000,G538="NPN05"),H538,"")</f>
        <v/>
      </c>
      <c r="AR538" s="44" t="str">
        <f>IF(AND(C538=Master!$H$1,B538="2012-2013",E538="",G538="NPN05"),H538,"")</f>
        <v/>
      </c>
      <c r="AS538" s="44" t="str">
        <f>IF(AND(C538=Master!$H$2,B538="2012-2013",E538&gt;1000,G538="NPN05"),H538,"")</f>
        <v/>
      </c>
      <c r="AT538" s="44" t="str">
        <f>IF(AND(C538=Master!$H$2,B538="2012-2013",E538="",G538="NPN05"),H538,"")</f>
        <v/>
      </c>
      <c r="AU538" s="44" t="str">
        <f>IF(AND(C538=Master!$H$3,B538="2012-2013",E538&gt;1000,G538="NPN05"),H538,"")</f>
        <v/>
      </c>
      <c r="AV538" s="44" t="str">
        <f>IF(AND(C538=Master!$H$3,B538="2012-2013",E538="",G538="NPN05"),H538,"")</f>
        <v/>
      </c>
      <c r="AW538" s="44" t="str">
        <f>IF(AND(C538=Master!$H$4,B538="2012-2013",E538&gt;1000,G538="NPN05"),H538,"")</f>
        <v/>
      </c>
      <c r="AX538" s="44" t="str">
        <f>IF(AND(C538=Master!$H$4,B538="2012-2013",E538="",G538="NPN05"),H538,"")</f>
        <v/>
      </c>
      <c r="AY538" s="44" t="str">
        <f>IF(AND(C538=Master!$H$5,B538="2012-2013",E538&gt;1000,G538="NPN05"),H538,"")</f>
        <v/>
      </c>
      <c r="AZ538" s="44" t="str">
        <f>IF(AND(C538=Master!$H$5,B538="2012-2013",E538="",G538="NPN05"),H538,"")</f>
        <v/>
      </c>
      <c r="BA538" s="44" t="str">
        <f>IF(AND(C538=Master!$H$6,B538="2012-2013",E538&gt;1000,G538="NPN05"),H538,"")</f>
        <v/>
      </c>
      <c r="BB538" s="44" t="str">
        <f>IF(AND(C538=Master!$H$6,B538="2012-2013",E538="",G538="NPN05"),H538,"")</f>
        <v/>
      </c>
      <c r="BC538" s="44" t="str">
        <f>IF(AND(C538=Master!$H$7,B538="2012-2013",E538&gt;1000,G538="NPN05"),H538,"")</f>
        <v/>
      </c>
      <c r="BD538" s="44" t="str">
        <f>IF(AND(C538=Master!$H$7,B538="2012-2013",E538="",G538="NPN05"),H538,"")</f>
        <v/>
      </c>
      <c r="BE538" s="44" t="str">
        <f>IF(AND(C538=Master!$H$8,B538="2012-2013",E538&gt;1000,G538="NPN05"),H538,"")</f>
        <v/>
      </c>
      <c r="BF538" s="44" t="str">
        <f>IF(AND(C538=Master!$H$8,B538="2012-2013",E538="",G538="NPN05"),H538,"")</f>
        <v/>
      </c>
      <c r="BG538" s="44" t="str">
        <f>IF(AND(C538=Master!$H$9,B538="2012-2013",E538&gt;1000,G538="NPN05"),H538,"")</f>
        <v/>
      </c>
      <c r="BH538" s="44" t="str">
        <f>IF(AND(C538=Master!$H$9,B538="2012-2013",E538="",G538="NPN05"),H538,"")</f>
        <v/>
      </c>
    </row>
    <row r="539" spans="1:60" x14ac:dyDescent="0.25">
      <c r="A539" s="3">
        <v>537</v>
      </c>
      <c r="B539" s="12"/>
      <c r="C539" s="12"/>
      <c r="D539" s="31"/>
      <c r="E539" s="4"/>
      <c r="F539" s="13"/>
      <c r="G539" s="21"/>
      <c r="H539" s="35"/>
      <c r="I539" s="21"/>
      <c r="J539" s="25" t="str">
        <f>IF(NOT(I539=""),INDEX(Master!$B$1:$B$46,MATCH(I539,Master!$A$1:$A$46,0)),"")</f>
        <v/>
      </c>
      <c r="K539" s="18"/>
      <c r="L539" s="86"/>
      <c r="M539" s="13"/>
      <c r="N539" s="13"/>
      <c r="O539" s="18"/>
      <c r="P539" s="35"/>
      <c r="Q539" s="21"/>
      <c r="R539" s="21"/>
      <c r="S539" s="13"/>
      <c r="T539" s="12"/>
      <c r="U539" s="12"/>
      <c r="V539" s="12"/>
      <c r="W539" s="14"/>
      <c r="Y539" s="42" t="str">
        <f>IF(AND(C539=Master!$H$1,B539="2012-2013",E539&gt;1000,G539="PLN03"),H539,"")</f>
        <v/>
      </c>
      <c r="Z539" s="42" t="str">
        <f>IF(AND(C539=Master!$H$1,B539="2012-2013",E539="",G539="PLN03"),H539,"")</f>
        <v/>
      </c>
      <c r="AA539" s="42" t="str">
        <f>IF(AND(C539=Master!$H$2,B539="2012-2013",E539&gt;1000,G539="PLN03"),H539,"")</f>
        <v/>
      </c>
      <c r="AB539" s="42" t="str">
        <f>IF(AND(C539=Master!$H$2,B539="2012-2013",E539="",G539="PLN03"),H539,"")</f>
        <v/>
      </c>
      <c r="AC539" s="42" t="str">
        <f>IF(AND(C539=Master!$H$3,B539="2012-2013",E539&gt;1000,G539="PLN03"),H539,"")</f>
        <v/>
      </c>
      <c r="AD539" s="42" t="str">
        <f>IF(AND(C539=Master!$H$3,B539="2012-2013",E539="",G539="PLN03"),H539,"")</f>
        <v/>
      </c>
      <c r="AE539" s="42" t="str">
        <f>IF(AND(C539=Master!$H$4,B539="2012-2013",E539&gt;1000,G539="PLN03"),H539,"")</f>
        <v/>
      </c>
      <c r="AF539" s="42" t="str">
        <f>IF(AND(C539=Master!$H$4,B539="2012-2013",E539="",G539="PLN03"),H539,"")</f>
        <v/>
      </c>
      <c r="AG539" s="42" t="str">
        <f>IF(AND(C539=Master!$H$5,B539="2012-2013",E539&gt;1000,G539="PLN03"),H539,"")</f>
        <v/>
      </c>
      <c r="AH539" s="42" t="str">
        <f>IF(AND(C539=Master!$H$5,B539="2012-2013",E539="",G539="PLN03"),H539,"")</f>
        <v/>
      </c>
      <c r="AI539" s="42" t="str">
        <f>IF(AND(C539=Master!$H$6,B539="2012-2013",E539&gt;1000,G539="PLN03"),H539,"")</f>
        <v/>
      </c>
      <c r="AJ539" s="42" t="str">
        <f>IF(AND(C539=Master!$H$6,B539="2012-2013",E539="",G539="PLN03"),H539,"")</f>
        <v/>
      </c>
      <c r="AK539" s="42" t="str">
        <f>IF(AND(C539=Master!$H$7,B539="2012-2013",E539&gt;1000,G539="PLN03"),H539,"")</f>
        <v/>
      </c>
      <c r="AL539" s="42" t="str">
        <f>IF(AND(C539=Master!$H$7,B539="2012-2013",E539="",G539="PLN03"),H539,"")</f>
        <v/>
      </c>
      <c r="AM539" s="42" t="str">
        <f>IF(AND(C539=Master!$H$8,B539="2012-2013",E539&gt;1000,G539="PLN03"),H539,"")</f>
        <v/>
      </c>
      <c r="AN539" s="42" t="str">
        <f>IF(AND(C539=Master!$H$8,B539="2012-2013",E539="",G539="PLN03"),H539,"")</f>
        <v/>
      </c>
      <c r="AO539" s="42" t="str">
        <f>IF(AND(C539=Master!$H$9,B539="2012-2013",E539&gt;1000,G539="PLN03"),H539,"")</f>
        <v/>
      </c>
      <c r="AP539" s="42" t="str">
        <f>IF(AND(C539=Master!$H$9,B539="2012-2013",E539="",G539="PLN03"),H539,"")</f>
        <v/>
      </c>
      <c r="AQ539" s="44" t="str">
        <f>IF(AND(C539=Master!$H$1,B539="2012-2013",E539&gt;1000,G539="NPN05"),H539,"")</f>
        <v/>
      </c>
      <c r="AR539" s="44" t="str">
        <f>IF(AND(C539=Master!$H$1,B539="2012-2013",E539="",G539="NPN05"),H539,"")</f>
        <v/>
      </c>
      <c r="AS539" s="44" t="str">
        <f>IF(AND(C539=Master!$H$2,B539="2012-2013",E539&gt;1000,G539="NPN05"),H539,"")</f>
        <v/>
      </c>
      <c r="AT539" s="44" t="str">
        <f>IF(AND(C539=Master!$H$2,B539="2012-2013",E539="",G539="NPN05"),H539,"")</f>
        <v/>
      </c>
      <c r="AU539" s="44" t="str">
        <f>IF(AND(C539=Master!$H$3,B539="2012-2013",E539&gt;1000,G539="NPN05"),H539,"")</f>
        <v/>
      </c>
      <c r="AV539" s="44" t="str">
        <f>IF(AND(C539=Master!$H$3,B539="2012-2013",E539="",G539="NPN05"),H539,"")</f>
        <v/>
      </c>
      <c r="AW539" s="44" t="str">
        <f>IF(AND(C539=Master!$H$4,B539="2012-2013",E539&gt;1000,G539="NPN05"),H539,"")</f>
        <v/>
      </c>
      <c r="AX539" s="44" t="str">
        <f>IF(AND(C539=Master!$H$4,B539="2012-2013",E539="",G539="NPN05"),H539,"")</f>
        <v/>
      </c>
      <c r="AY539" s="44" t="str">
        <f>IF(AND(C539=Master!$H$5,B539="2012-2013",E539&gt;1000,G539="NPN05"),H539,"")</f>
        <v/>
      </c>
      <c r="AZ539" s="44" t="str">
        <f>IF(AND(C539=Master!$H$5,B539="2012-2013",E539="",G539="NPN05"),H539,"")</f>
        <v/>
      </c>
      <c r="BA539" s="44" t="str">
        <f>IF(AND(C539=Master!$H$6,B539="2012-2013",E539&gt;1000,G539="NPN05"),H539,"")</f>
        <v/>
      </c>
      <c r="BB539" s="44" t="str">
        <f>IF(AND(C539=Master!$H$6,B539="2012-2013",E539="",G539="NPN05"),H539,"")</f>
        <v/>
      </c>
      <c r="BC539" s="44" t="str">
        <f>IF(AND(C539=Master!$H$7,B539="2012-2013",E539&gt;1000,G539="NPN05"),H539,"")</f>
        <v/>
      </c>
      <c r="BD539" s="44" t="str">
        <f>IF(AND(C539=Master!$H$7,B539="2012-2013",E539="",G539="NPN05"),H539,"")</f>
        <v/>
      </c>
      <c r="BE539" s="44" t="str">
        <f>IF(AND(C539=Master!$H$8,B539="2012-2013",E539&gt;1000,G539="NPN05"),H539,"")</f>
        <v/>
      </c>
      <c r="BF539" s="44" t="str">
        <f>IF(AND(C539=Master!$H$8,B539="2012-2013",E539="",G539="NPN05"),H539,"")</f>
        <v/>
      </c>
      <c r="BG539" s="44" t="str">
        <f>IF(AND(C539=Master!$H$9,B539="2012-2013",E539&gt;1000,G539="NPN05"),H539,"")</f>
        <v/>
      </c>
      <c r="BH539" s="44" t="str">
        <f>IF(AND(C539=Master!$H$9,B539="2012-2013",E539="",G539="NPN05"),H539,"")</f>
        <v/>
      </c>
    </row>
    <row r="540" spans="1:60" x14ac:dyDescent="0.25">
      <c r="A540" s="3">
        <v>538</v>
      </c>
      <c r="B540" s="12"/>
      <c r="C540" s="12"/>
      <c r="D540" s="31"/>
      <c r="E540" s="4"/>
      <c r="F540" s="13"/>
      <c r="G540" s="21"/>
      <c r="H540" s="35"/>
      <c r="I540" s="21"/>
      <c r="J540" s="25" t="str">
        <f>IF(NOT(I540=""),INDEX(Master!$B$1:$B$46,MATCH(I540,Master!$A$1:$A$46,0)),"")</f>
        <v/>
      </c>
      <c r="K540" s="18"/>
      <c r="L540" s="86"/>
      <c r="M540" s="13"/>
      <c r="N540" s="13"/>
      <c r="O540" s="18"/>
      <c r="P540" s="35"/>
      <c r="Q540" s="21"/>
      <c r="R540" s="21"/>
      <c r="S540" s="13"/>
      <c r="T540" s="12"/>
      <c r="U540" s="12"/>
      <c r="V540" s="12"/>
      <c r="W540" s="14"/>
      <c r="Y540" s="42" t="str">
        <f>IF(AND(C540=Master!$H$1,B540="2012-2013",E540&gt;1000,G540="PLN03"),H540,"")</f>
        <v/>
      </c>
      <c r="Z540" s="42" t="str">
        <f>IF(AND(C540=Master!$H$1,B540="2012-2013",E540="",G540="PLN03"),H540,"")</f>
        <v/>
      </c>
      <c r="AA540" s="42" t="str">
        <f>IF(AND(C540=Master!$H$2,B540="2012-2013",E540&gt;1000,G540="PLN03"),H540,"")</f>
        <v/>
      </c>
      <c r="AB540" s="42" t="str">
        <f>IF(AND(C540=Master!$H$2,B540="2012-2013",E540="",G540="PLN03"),H540,"")</f>
        <v/>
      </c>
      <c r="AC540" s="42" t="str">
        <f>IF(AND(C540=Master!$H$3,B540="2012-2013",E540&gt;1000,G540="PLN03"),H540,"")</f>
        <v/>
      </c>
      <c r="AD540" s="42" t="str">
        <f>IF(AND(C540=Master!$H$3,B540="2012-2013",E540="",G540="PLN03"),H540,"")</f>
        <v/>
      </c>
      <c r="AE540" s="42" t="str">
        <f>IF(AND(C540=Master!$H$4,B540="2012-2013",E540&gt;1000,G540="PLN03"),H540,"")</f>
        <v/>
      </c>
      <c r="AF540" s="42" t="str">
        <f>IF(AND(C540=Master!$H$4,B540="2012-2013",E540="",G540="PLN03"),H540,"")</f>
        <v/>
      </c>
      <c r="AG540" s="42" t="str">
        <f>IF(AND(C540=Master!$H$5,B540="2012-2013",E540&gt;1000,G540="PLN03"),H540,"")</f>
        <v/>
      </c>
      <c r="AH540" s="42" t="str">
        <f>IF(AND(C540=Master!$H$5,B540="2012-2013",E540="",G540="PLN03"),H540,"")</f>
        <v/>
      </c>
      <c r="AI540" s="42" t="str">
        <f>IF(AND(C540=Master!$H$6,B540="2012-2013",E540&gt;1000,G540="PLN03"),H540,"")</f>
        <v/>
      </c>
      <c r="AJ540" s="42" t="str">
        <f>IF(AND(C540=Master!$H$6,B540="2012-2013",E540="",G540="PLN03"),H540,"")</f>
        <v/>
      </c>
      <c r="AK540" s="42" t="str">
        <f>IF(AND(C540=Master!$H$7,B540="2012-2013",E540&gt;1000,G540="PLN03"),H540,"")</f>
        <v/>
      </c>
      <c r="AL540" s="42" t="str">
        <f>IF(AND(C540=Master!$H$7,B540="2012-2013",E540="",G540="PLN03"),H540,"")</f>
        <v/>
      </c>
      <c r="AM540" s="42" t="str">
        <f>IF(AND(C540=Master!$H$8,B540="2012-2013",E540&gt;1000,G540="PLN03"),H540,"")</f>
        <v/>
      </c>
      <c r="AN540" s="42" t="str">
        <f>IF(AND(C540=Master!$H$8,B540="2012-2013",E540="",G540="PLN03"),H540,"")</f>
        <v/>
      </c>
      <c r="AO540" s="42" t="str">
        <f>IF(AND(C540=Master!$H$9,B540="2012-2013",E540&gt;1000,G540="PLN03"),H540,"")</f>
        <v/>
      </c>
      <c r="AP540" s="42" t="str">
        <f>IF(AND(C540=Master!$H$9,B540="2012-2013",E540="",G540="PLN03"),H540,"")</f>
        <v/>
      </c>
      <c r="AQ540" s="44" t="str">
        <f>IF(AND(C540=Master!$H$1,B540="2012-2013",E540&gt;1000,G540="NPN05"),H540,"")</f>
        <v/>
      </c>
      <c r="AR540" s="44" t="str">
        <f>IF(AND(C540=Master!$H$1,B540="2012-2013",E540="",G540="NPN05"),H540,"")</f>
        <v/>
      </c>
      <c r="AS540" s="44" t="str">
        <f>IF(AND(C540=Master!$H$2,B540="2012-2013",E540&gt;1000,G540="NPN05"),H540,"")</f>
        <v/>
      </c>
      <c r="AT540" s="44" t="str">
        <f>IF(AND(C540=Master!$H$2,B540="2012-2013",E540="",G540="NPN05"),H540,"")</f>
        <v/>
      </c>
      <c r="AU540" s="44" t="str">
        <f>IF(AND(C540=Master!$H$3,B540="2012-2013",E540&gt;1000,G540="NPN05"),H540,"")</f>
        <v/>
      </c>
      <c r="AV540" s="44" t="str">
        <f>IF(AND(C540=Master!$H$3,B540="2012-2013",E540="",G540="NPN05"),H540,"")</f>
        <v/>
      </c>
      <c r="AW540" s="44" t="str">
        <f>IF(AND(C540=Master!$H$4,B540="2012-2013",E540&gt;1000,G540="NPN05"),H540,"")</f>
        <v/>
      </c>
      <c r="AX540" s="44" t="str">
        <f>IF(AND(C540=Master!$H$4,B540="2012-2013",E540="",G540="NPN05"),H540,"")</f>
        <v/>
      </c>
      <c r="AY540" s="44" t="str">
        <f>IF(AND(C540=Master!$H$5,B540="2012-2013",E540&gt;1000,G540="NPN05"),H540,"")</f>
        <v/>
      </c>
      <c r="AZ540" s="44" t="str">
        <f>IF(AND(C540=Master!$H$5,B540="2012-2013",E540="",G540="NPN05"),H540,"")</f>
        <v/>
      </c>
      <c r="BA540" s="44" t="str">
        <f>IF(AND(C540=Master!$H$6,B540="2012-2013",E540&gt;1000,G540="NPN05"),H540,"")</f>
        <v/>
      </c>
      <c r="BB540" s="44" t="str">
        <f>IF(AND(C540=Master!$H$6,B540="2012-2013",E540="",G540="NPN05"),H540,"")</f>
        <v/>
      </c>
      <c r="BC540" s="44" t="str">
        <f>IF(AND(C540=Master!$H$7,B540="2012-2013",E540&gt;1000,G540="NPN05"),H540,"")</f>
        <v/>
      </c>
      <c r="BD540" s="44" t="str">
        <f>IF(AND(C540=Master!$H$7,B540="2012-2013",E540="",G540="NPN05"),H540,"")</f>
        <v/>
      </c>
      <c r="BE540" s="44" t="str">
        <f>IF(AND(C540=Master!$H$8,B540="2012-2013",E540&gt;1000,G540="NPN05"),H540,"")</f>
        <v/>
      </c>
      <c r="BF540" s="44" t="str">
        <f>IF(AND(C540=Master!$H$8,B540="2012-2013",E540="",G540="NPN05"),H540,"")</f>
        <v/>
      </c>
      <c r="BG540" s="44" t="str">
        <f>IF(AND(C540=Master!$H$9,B540="2012-2013",E540&gt;1000,G540="NPN05"),H540,"")</f>
        <v/>
      </c>
      <c r="BH540" s="44" t="str">
        <f>IF(AND(C540=Master!$H$9,B540="2012-2013",E540="",G540="NPN05"),H540,"")</f>
        <v/>
      </c>
    </row>
    <row r="541" spans="1:60" x14ac:dyDescent="0.25">
      <c r="A541" s="3">
        <v>539</v>
      </c>
      <c r="B541" s="12"/>
      <c r="C541" s="12"/>
      <c r="D541" s="31"/>
      <c r="E541" s="4"/>
      <c r="F541" s="13"/>
      <c r="G541" s="21"/>
      <c r="H541" s="35"/>
      <c r="I541" s="21"/>
      <c r="J541" s="25" t="str">
        <f>IF(NOT(I541=""),INDEX(Master!$B$1:$B$46,MATCH(I541,Master!$A$1:$A$46,0)),"")</f>
        <v/>
      </c>
      <c r="K541" s="18"/>
      <c r="L541" s="86"/>
      <c r="M541" s="13"/>
      <c r="N541" s="13"/>
      <c r="O541" s="18"/>
      <c r="P541" s="35"/>
      <c r="Q541" s="21"/>
      <c r="R541" s="21"/>
      <c r="S541" s="13"/>
      <c r="T541" s="12"/>
      <c r="U541" s="12"/>
      <c r="V541" s="12"/>
      <c r="W541" s="14"/>
      <c r="Y541" s="42" t="str">
        <f>IF(AND(C541=Master!$H$1,B541="2012-2013",E541&gt;1000,G541="PLN03"),H541,"")</f>
        <v/>
      </c>
      <c r="Z541" s="42" t="str">
        <f>IF(AND(C541=Master!$H$1,B541="2012-2013",E541="",G541="PLN03"),H541,"")</f>
        <v/>
      </c>
      <c r="AA541" s="42" t="str">
        <f>IF(AND(C541=Master!$H$2,B541="2012-2013",E541&gt;1000,G541="PLN03"),H541,"")</f>
        <v/>
      </c>
      <c r="AB541" s="42" t="str">
        <f>IF(AND(C541=Master!$H$2,B541="2012-2013",E541="",G541="PLN03"),H541,"")</f>
        <v/>
      </c>
      <c r="AC541" s="42" t="str">
        <f>IF(AND(C541=Master!$H$3,B541="2012-2013",E541&gt;1000,G541="PLN03"),H541,"")</f>
        <v/>
      </c>
      <c r="AD541" s="42" t="str">
        <f>IF(AND(C541=Master!$H$3,B541="2012-2013",E541="",G541="PLN03"),H541,"")</f>
        <v/>
      </c>
      <c r="AE541" s="42" t="str">
        <f>IF(AND(C541=Master!$H$4,B541="2012-2013",E541&gt;1000,G541="PLN03"),H541,"")</f>
        <v/>
      </c>
      <c r="AF541" s="42" t="str">
        <f>IF(AND(C541=Master!$H$4,B541="2012-2013",E541="",G541="PLN03"),H541,"")</f>
        <v/>
      </c>
      <c r="AG541" s="42" t="str">
        <f>IF(AND(C541=Master!$H$5,B541="2012-2013",E541&gt;1000,G541="PLN03"),H541,"")</f>
        <v/>
      </c>
      <c r="AH541" s="42" t="str">
        <f>IF(AND(C541=Master!$H$5,B541="2012-2013",E541="",G541="PLN03"),H541,"")</f>
        <v/>
      </c>
      <c r="AI541" s="42" t="str">
        <f>IF(AND(C541=Master!$H$6,B541="2012-2013",E541&gt;1000,G541="PLN03"),H541,"")</f>
        <v/>
      </c>
      <c r="AJ541" s="42" t="str">
        <f>IF(AND(C541=Master!$H$6,B541="2012-2013",E541="",G541="PLN03"),H541,"")</f>
        <v/>
      </c>
      <c r="AK541" s="42" t="str">
        <f>IF(AND(C541=Master!$H$7,B541="2012-2013",E541&gt;1000,G541="PLN03"),H541,"")</f>
        <v/>
      </c>
      <c r="AL541" s="42" t="str">
        <f>IF(AND(C541=Master!$H$7,B541="2012-2013",E541="",G541="PLN03"),H541,"")</f>
        <v/>
      </c>
      <c r="AM541" s="42" t="str">
        <f>IF(AND(C541=Master!$H$8,B541="2012-2013",E541&gt;1000,G541="PLN03"),H541,"")</f>
        <v/>
      </c>
      <c r="AN541" s="42" t="str">
        <f>IF(AND(C541=Master!$H$8,B541="2012-2013",E541="",G541="PLN03"),H541,"")</f>
        <v/>
      </c>
      <c r="AO541" s="42" t="str">
        <f>IF(AND(C541=Master!$H$9,B541="2012-2013",E541&gt;1000,G541="PLN03"),H541,"")</f>
        <v/>
      </c>
      <c r="AP541" s="42" t="str">
        <f>IF(AND(C541=Master!$H$9,B541="2012-2013",E541="",G541="PLN03"),H541,"")</f>
        <v/>
      </c>
      <c r="AQ541" s="44" t="str">
        <f>IF(AND(C541=Master!$H$1,B541="2012-2013",E541&gt;1000,G541="NPN05"),H541,"")</f>
        <v/>
      </c>
      <c r="AR541" s="44" t="str">
        <f>IF(AND(C541=Master!$H$1,B541="2012-2013",E541="",G541="NPN05"),H541,"")</f>
        <v/>
      </c>
      <c r="AS541" s="44" t="str">
        <f>IF(AND(C541=Master!$H$2,B541="2012-2013",E541&gt;1000,G541="NPN05"),H541,"")</f>
        <v/>
      </c>
      <c r="AT541" s="44" t="str">
        <f>IF(AND(C541=Master!$H$2,B541="2012-2013",E541="",G541="NPN05"),H541,"")</f>
        <v/>
      </c>
      <c r="AU541" s="44" t="str">
        <f>IF(AND(C541=Master!$H$3,B541="2012-2013",E541&gt;1000,G541="NPN05"),H541,"")</f>
        <v/>
      </c>
      <c r="AV541" s="44" t="str">
        <f>IF(AND(C541=Master!$H$3,B541="2012-2013",E541="",G541="NPN05"),H541,"")</f>
        <v/>
      </c>
      <c r="AW541" s="44" t="str">
        <f>IF(AND(C541=Master!$H$4,B541="2012-2013",E541&gt;1000,G541="NPN05"),H541,"")</f>
        <v/>
      </c>
      <c r="AX541" s="44" t="str">
        <f>IF(AND(C541=Master!$H$4,B541="2012-2013",E541="",G541="NPN05"),H541,"")</f>
        <v/>
      </c>
      <c r="AY541" s="44" t="str">
        <f>IF(AND(C541=Master!$H$5,B541="2012-2013",E541&gt;1000,G541="NPN05"),H541,"")</f>
        <v/>
      </c>
      <c r="AZ541" s="44" t="str">
        <f>IF(AND(C541=Master!$H$5,B541="2012-2013",E541="",G541="NPN05"),H541,"")</f>
        <v/>
      </c>
      <c r="BA541" s="44" t="str">
        <f>IF(AND(C541=Master!$H$6,B541="2012-2013",E541&gt;1000,G541="NPN05"),H541,"")</f>
        <v/>
      </c>
      <c r="BB541" s="44" t="str">
        <f>IF(AND(C541=Master!$H$6,B541="2012-2013",E541="",G541="NPN05"),H541,"")</f>
        <v/>
      </c>
      <c r="BC541" s="44" t="str">
        <f>IF(AND(C541=Master!$H$7,B541="2012-2013",E541&gt;1000,G541="NPN05"),H541,"")</f>
        <v/>
      </c>
      <c r="BD541" s="44" t="str">
        <f>IF(AND(C541=Master!$H$7,B541="2012-2013",E541="",G541="NPN05"),H541,"")</f>
        <v/>
      </c>
      <c r="BE541" s="44" t="str">
        <f>IF(AND(C541=Master!$H$8,B541="2012-2013",E541&gt;1000,G541="NPN05"),H541,"")</f>
        <v/>
      </c>
      <c r="BF541" s="44" t="str">
        <f>IF(AND(C541=Master!$H$8,B541="2012-2013",E541="",G541="NPN05"),H541,"")</f>
        <v/>
      </c>
      <c r="BG541" s="44" t="str">
        <f>IF(AND(C541=Master!$H$9,B541="2012-2013",E541&gt;1000,G541="NPN05"),H541,"")</f>
        <v/>
      </c>
      <c r="BH541" s="44" t="str">
        <f>IF(AND(C541=Master!$H$9,B541="2012-2013",E541="",G541="NPN05"),H541,"")</f>
        <v/>
      </c>
    </row>
    <row r="542" spans="1:60" x14ac:dyDescent="0.25">
      <c r="A542" s="3">
        <v>540</v>
      </c>
      <c r="B542" s="12"/>
      <c r="C542" s="12"/>
      <c r="D542" s="31"/>
      <c r="E542" s="4"/>
      <c r="F542" s="13"/>
      <c r="G542" s="21"/>
      <c r="H542" s="35"/>
      <c r="I542" s="21"/>
      <c r="J542" s="25" t="str">
        <f>IF(NOT(I542=""),INDEX(Master!$B$1:$B$46,MATCH(I542,Master!$A$1:$A$46,0)),"")</f>
        <v/>
      </c>
      <c r="K542" s="18"/>
      <c r="L542" s="86"/>
      <c r="M542" s="13"/>
      <c r="N542" s="13"/>
      <c r="O542" s="18"/>
      <c r="P542" s="35"/>
      <c r="Q542" s="21"/>
      <c r="R542" s="21"/>
      <c r="S542" s="13"/>
      <c r="T542" s="12"/>
      <c r="U542" s="12"/>
      <c r="V542" s="12"/>
      <c r="W542" s="14"/>
      <c r="Y542" s="42" t="str">
        <f>IF(AND(C542=Master!$H$1,B542="2012-2013",E542&gt;1000,G542="PLN03"),H542,"")</f>
        <v/>
      </c>
      <c r="Z542" s="42" t="str">
        <f>IF(AND(C542=Master!$H$1,B542="2012-2013",E542="",G542="PLN03"),H542,"")</f>
        <v/>
      </c>
      <c r="AA542" s="42" t="str">
        <f>IF(AND(C542=Master!$H$2,B542="2012-2013",E542&gt;1000,G542="PLN03"),H542,"")</f>
        <v/>
      </c>
      <c r="AB542" s="42" t="str">
        <f>IF(AND(C542=Master!$H$2,B542="2012-2013",E542="",G542="PLN03"),H542,"")</f>
        <v/>
      </c>
      <c r="AC542" s="42" t="str">
        <f>IF(AND(C542=Master!$H$3,B542="2012-2013",E542&gt;1000,G542="PLN03"),H542,"")</f>
        <v/>
      </c>
      <c r="AD542" s="42" t="str">
        <f>IF(AND(C542=Master!$H$3,B542="2012-2013",E542="",G542="PLN03"),H542,"")</f>
        <v/>
      </c>
      <c r="AE542" s="42" t="str">
        <f>IF(AND(C542=Master!$H$4,B542="2012-2013",E542&gt;1000,G542="PLN03"),H542,"")</f>
        <v/>
      </c>
      <c r="AF542" s="42" t="str">
        <f>IF(AND(C542=Master!$H$4,B542="2012-2013",E542="",G542="PLN03"),H542,"")</f>
        <v/>
      </c>
      <c r="AG542" s="42" t="str">
        <f>IF(AND(C542=Master!$H$5,B542="2012-2013",E542&gt;1000,G542="PLN03"),H542,"")</f>
        <v/>
      </c>
      <c r="AH542" s="42" t="str">
        <f>IF(AND(C542=Master!$H$5,B542="2012-2013",E542="",G542="PLN03"),H542,"")</f>
        <v/>
      </c>
      <c r="AI542" s="42" t="str">
        <f>IF(AND(C542=Master!$H$6,B542="2012-2013",E542&gt;1000,G542="PLN03"),H542,"")</f>
        <v/>
      </c>
      <c r="AJ542" s="42" t="str">
        <f>IF(AND(C542=Master!$H$6,B542="2012-2013",E542="",G542="PLN03"),H542,"")</f>
        <v/>
      </c>
      <c r="AK542" s="42" t="str">
        <f>IF(AND(C542=Master!$H$7,B542="2012-2013",E542&gt;1000,G542="PLN03"),H542,"")</f>
        <v/>
      </c>
      <c r="AL542" s="42" t="str">
        <f>IF(AND(C542=Master!$H$7,B542="2012-2013",E542="",G542="PLN03"),H542,"")</f>
        <v/>
      </c>
      <c r="AM542" s="42" t="str">
        <f>IF(AND(C542=Master!$H$8,B542="2012-2013",E542&gt;1000,G542="PLN03"),H542,"")</f>
        <v/>
      </c>
      <c r="AN542" s="42" t="str">
        <f>IF(AND(C542=Master!$H$8,B542="2012-2013",E542="",G542="PLN03"),H542,"")</f>
        <v/>
      </c>
      <c r="AO542" s="42" t="str">
        <f>IF(AND(C542=Master!$H$9,B542="2012-2013",E542&gt;1000,G542="PLN03"),H542,"")</f>
        <v/>
      </c>
      <c r="AP542" s="42" t="str">
        <f>IF(AND(C542=Master!$H$9,B542="2012-2013",E542="",G542="PLN03"),H542,"")</f>
        <v/>
      </c>
      <c r="AQ542" s="44" t="str">
        <f>IF(AND(C542=Master!$H$1,B542="2012-2013",E542&gt;1000,G542="NPN05"),H542,"")</f>
        <v/>
      </c>
      <c r="AR542" s="44" t="str">
        <f>IF(AND(C542=Master!$H$1,B542="2012-2013",E542="",G542="NPN05"),H542,"")</f>
        <v/>
      </c>
      <c r="AS542" s="44" t="str">
        <f>IF(AND(C542=Master!$H$2,B542="2012-2013",E542&gt;1000,G542="NPN05"),H542,"")</f>
        <v/>
      </c>
      <c r="AT542" s="44" t="str">
        <f>IF(AND(C542=Master!$H$2,B542="2012-2013",E542="",G542="NPN05"),H542,"")</f>
        <v/>
      </c>
      <c r="AU542" s="44" t="str">
        <f>IF(AND(C542=Master!$H$3,B542="2012-2013",E542&gt;1000,G542="NPN05"),H542,"")</f>
        <v/>
      </c>
      <c r="AV542" s="44" t="str">
        <f>IF(AND(C542=Master!$H$3,B542="2012-2013",E542="",G542="NPN05"),H542,"")</f>
        <v/>
      </c>
      <c r="AW542" s="44" t="str">
        <f>IF(AND(C542=Master!$H$4,B542="2012-2013",E542&gt;1000,G542="NPN05"),H542,"")</f>
        <v/>
      </c>
      <c r="AX542" s="44" t="str">
        <f>IF(AND(C542=Master!$H$4,B542="2012-2013",E542="",G542="NPN05"),H542,"")</f>
        <v/>
      </c>
      <c r="AY542" s="44" t="str">
        <f>IF(AND(C542=Master!$H$5,B542="2012-2013",E542&gt;1000,G542="NPN05"),H542,"")</f>
        <v/>
      </c>
      <c r="AZ542" s="44" t="str">
        <f>IF(AND(C542=Master!$H$5,B542="2012-2013",E542="",G542="NPN05"),H542,"")</f>
        <v/>
      </c>
      <c r="BA542" s="44" t="str">
        <f>IF(AND(C542=Master!$H$6,B542="2012-2013",E542&gt;1000,G542="NPN05"),H542,"")</f>
        <v/>
      </c>
      <c r="BB542" s="44" t="str">
        <f>IF(AND(C542=Master!$H$6,B542="2012-2013",E542="",G542="NPN05"),H542,"")</f>
        <v/>
      </c>
      <c r="BC542" s="44" t="str">
        <f>IF(AND(C542=Master!$H$7,B542="2012-2013",E542&gt;1000,G542="NPN05"),H542,"")</f>
        <v/>
      </c>
      <c r="BD542" s="44" t="str">
        <f>IF(AND(C542=Master!$H$7,B542="2012-2013",E542="",G542="NPN05"),H542,"")</f>
        <v/>
      </c>
      <c r="BE542" s="44" t="str">
        <f>IF(AND(C542=Master!$H$8,B542="2012-2013",E542&gt;1000,G542="NPN05"),H542,"")</f>
        <v/>
      </c>
      <c r="BF542" s="44" t="str">
        <f>IF(AND(C542=Master!$H$8,B542="2012-2013",E542="",G542="NPN05"),H542,"")</f>
        <v/>
      </c>
      <c r="BG542" s="44" t="str">
        <f>IF(AND(C542=Master!$H$9,B542="2012-2013",E542&gt;1000,G542="NPN05"),H542,"")</f>
        <v/>
      </c>
      <c r="BH542" s="44" t="str">
        <f>IF(AND(C542=Master!$H$9,B542="2012-2013",E542="",G542="NPN05"),H542,"")</f>
        <v/>
      </c>
    </row>
    <row r="543" spans="1:60" x14ac:dyDescent="0.25">
      <c r="A543" s="3">
        <v>541</v>
      </c>
      <c r="B543" s="12"/>
      <c r="C543" s="12"/>
      <c r="D543" s="31"/>
      <c r="E543" s="4"/>
      <c r="F543" s="13"/>
      <c r="G543" s="21"/>
      <c r="H543" s="35"/>
      <c r="I543" s="21"/>
      <c r="J543" s="25" t="str">
        <f>IF(NOT(I543=""),INDEX(Master!$B$1:$B$46,MATCH(I543,Master!$A$1:$A$46,0)),"")</f>
        <v/>
      </c>
      <c r="K543" s="18"/>
      <c r="L543" s="86"/>
      <c r="M543" s="13"/>
      <c r="N543" s="13"/>
      <c r="O543" s="18"/>
      <c r="P543" s="35"/>
      <c r="Q543" s="21"/>
      <c r="R543" s="21"/>
      <c r="S543" s="13"/>
      <c r="T543" s="12"/>
      <c r="U543" s="12"/>
      <c r="V543" s="12"/>
      <c r="W543" s="14"/>
      <c r="Y543" s="42" t="str">
        <f>IF(AND(C543=Master!$H$1,B543="2012-2013",E543&gt;1000,G543="PLN03"),H543,"")</f>
        <v/>
      </c>
      <c r="Z543" s="42" t="str">
        <f>IF(AND(C543=Master!$H$1,B543="2012-2013",E543="",G543="PLN03"),H543,"")</f>
        <v/>
      </c>
      <c r="AA543" s="42" t="str">
        <f>IF(AND(C543=Master!$H$2,B543="2012-2013",E543&gt;1000,G543="PLN03"),H543,"")</f>
        <v/>
      </c>
      <c r="AB543" s="42" t="str">
        <f>IF(AND(C543=Master!$H$2,B543="2012-2013",E543="",G543="PLN03"),H543,"")</f>
        <v/>
      </c>
      <c r="AC543" s="42" t="str">
        <f>IF(AND(C543=Master!$H$3,B543="2012-2013",E543&gt;1000,G543="PLN03"),H543,"")</f>
        <v/>
      </c>
      <c r="AD543" s="42" t="str">
        <f>IF(AND(C543=Master!$H$3,B543="2012-2013",E543="",G543="PLN03"),H543,"")</f>
        <v/>
      </c>
      <c r="AE543" s="42" t="str">
        <f>IF(AND(C543=Master!$H$4,B543="2012-2013",E543&gt;1000,G543="PLN03"),H543,"")</f>
        <v/>
      </c>
      <c r="AF543" s="42" t="str">
        <f>IF(AND(C543=Master!$H$4,B543="2012-2013",E543="",G543="PLN03"),H543,"")</f>
        <v/>
      </c>
      <c r="AG543" s="42" t="str">
        <f>IF(AND(C543=Master!$H$5,B543="2012-2013",E543&gt;1000,G543="PLN03"),H543,"")</f>
        <v/>
      </c>
      <c r="AH543" s="42" t="str">
        <f>IF(AND(C543=Master!$H$5,B543="2012-2013",E543="",G543="PLN03"),H543,"")</f>
        <v/>
      </c>
      <c r="AI543" s="42" t="str">
        <f>IF(AND(C543=Master!$H$6,B543="2012-2013",E543&gt;1000,G543="PLN03"),H543,"")</f>
        <v/>
      </c>
      <c r="AJ543" s="42" t="str">
        <f>IF(AND(C543=Master!$H$6,B543="2012-2013",E543="",G543="PLN03"),H543,"")</f>
        <v/>
      </c>
      <c r="AK543" s="42" t="str">
        <f>IF(AND(C543=Master!$H$7,B543="2012-2013",E543&gt;1000,G543="PLN03"),H543,"")</f>
        <v/>
      </c>
      <c r="AL543" s="42" t="str">
        <f>IF(AND(C543=Master!$H$7,B543="2012-2013",E543="",G543="PLN03"),H543,"")</f>
        <v/>
      </c>
      <c r="AM543" s="42" t="str">
        <f>IF(AND(C543=Master!$H$8,B543="2012-2013",E543&gt;1000,G543="PLN03"),H543,"")</f>
        <v/>
      </c>
      <c r="AN543" s="42" t="str">
        <f>IF(AND(C543=Master!$H$8,B543="2012-2013",E543="",G543="PLN03"),H543,"")</f>
        <v/>
      </c>
      <c r="AO543" s="42" t="str">
        <f>IF(AND(C543=Master!$H$9,B543="2012-2013",E543&gt;1000,G543="PLN03"),H543,"")</f>
        <v/>
      </c>
      <c r="AP543" s="42" t="str">
        <f>IF(AND(C543=Master!$H$9,B543="2012-2013",E543="",G543="PLN03"),H543,"")</f>
        <v/>
      </c>
      <c r="AQ543" s="44" t="str">
        <f>IF(AND(C543=Master!$H$1,B543="2012-2013",E543&gt;1000,G543="NPN05"),H543,"")</f>
        <v/>
      </c>
      <c r="AR543" s="44" t="str">
        <f>IF(AND(C543=Master!$H$1,B543="2012-2013",E543="",G543="NPN05"),H543,"")</f>
        <v/>
      </c>
      <c r="AS543" s="44" t="str">
        <f>IF(AND(C543=Master!$H$2,B543="2012-2013",E543&gt;1000,G543="NPN05"),H543,"")</f>
        <v/>
      </c>
      <c r="AT543" s="44" t="str">
        <f>IF(AND(C543=Master!$H$2,B543="2012-2013",E543="",G543="NPN05"),H543,"")</f>
        <v/>
      </c>
      <c r="AU543" s="44" t="str">
        <f>IF(AND(C543=Master!$H$3,B543="2012-2013",E543&gt;1000,G543="NPN05"),H543,"")</f>
        <v/>
      </c>
      <c r="AV543" s="44" t="str">
        <f>IF(AND(C543=Master!$H$3,B543="2012-2013",E543="",G543="NPN05"),H543,"")</f>
        <v/>
      </c>
      <c r="AW543" s="44" t="str">
        <f>IF(AND(C543=Master!$H$4,B543="2012-2013",E543&gt;1000,G543="NPN05"),H543,"")</f>
        <v/>
      </c>
      <c r="AX543" s="44" t="str">
        <f>IF(AND(C543=Master!$H$4,B543="2012-2013",E543="",G543="NPN05"),H543,"")</f>
        <v/>
      </c>
      <c r="AY543" s="44" t="str">
        <f>IF(AND(C543=Master!$H$5,B543="2012-2013",E543&gt;1000,G543="NPN05"),H543,"")</f>
        <v/>
      </c>
      <c r="AZ543" s="44" t="str">
        <f>IF(AND(C543=Master!$H$5,B543="2012-2013",E543="",G543="NPN05"),H543,"")</f>
        <v/>
      </c>
      <c r="BA543" s="44" t="str">
        <f>IF(AND(C543=Master!$H$6,B543="2012-2013",E543&gt;1000,G543="NPN05"),H543,"")</f>
        <v/>
      </c>
      <c r="BB543" s="44" t="str">
        <f>IF(AND(C543=Master!$H$6,B543="2012-2013",E543="",G543="NPN05"),H543,"")</f>
        <v/>
      </c>
      <c r="BC543" s="44" t="str">
        <f>IF(AND(C543=Master!$H$7,B543="2012-2013",E543&gt;1000,G543="NPN05"),H543,"")</f>
        <v/>
      </c>
      <c r="BD543" s="44" t="str">
        <f>IF(AND(C543=Master!$H$7,B543="2012-2013",E543="",G543="NPN05"),H543,"")</f>
        <v/>
      </c>
      <c r="BE543" s="44" t="str">
        <f>IF(AND(C543=Master!$H$8,B543="2012-2013",E543&gt;1000,G543="NPN05"),H543,"")</f>
        <v/>
      </c>
      <c r="BF543" s="44" t="str">
        <f>IF(AND(C543=Master!$H$8,B543="2012-2013",E543="",G543="NPN05"),H543,"")</f>
        <v/>
      </c>
      <c r="BG543" s="44" t="str">
        <f>IF(AND(C543=Master!$H$9,B543="2012-2013",E543&gt;1000,G543="NPN05"),H543,"")</f>
        <v/>
      </c>
      <c r="BH543" s="44" t="str">
        <f>IF(AND(C543=Master!$H$9,B543="2012-2013",E543="",G543="NPN05"),H543,"")</f>
        <v/>
      </c>
    </row>
    <row r="544" spans="1:60" x14ac:dyDescent="0.25">
      <c r="A544" s="5">
        <v>542</v>
      </c>
      <c r="B544" s="12"/>
      <c r="C544" s="12"/>
      <c r="D544" s="31"/>
      <c r="E544" s="4"/>
      <c r="F544" s="13"/>
      <c r="G544" s="21"/>
      <c r="H544" s="35"/>
      <c r="I544" s="21"/>
      <c r="J544" s="25" t="str">
        <f>IF(NOT(I544=""),INDEX(Master!$B$1:$B$46,MATCH(I544,Master!$A$1:$A$46,0)),"")</f>
        <v/>
      </c>
      <c r="K544" s="18"/>
      <c r="L544" s="86"/>
      <c r="M544" s="13"/>
      <c r="N544" s="13"/>
      <c r="O544" s="18"/>
      <c r="P544" s="35"/>
      <c r="Q544" s="21"/>
      <c r="R544" s="21"/>
      <c r="S544" s="13"/>
      <c r="T544" s="12"/>
      <c r="U544" s="12"/>
      <c r="V544" s="12"/>
      <c r="W544" s="14"/>
      <c r="Y544" s="42" t="str">
        <f>IF(AND(C544=Master!$H$1,B544="2012-2013",E544&gt;1000,G544="PLN03"),H544,"")</f>
        <v/>
      </c>
      <c r="Z544" s="42" t="str">
        <f>IF(AND(C544=Master!$H$1,B544="2012-2013",E544="",G544="PLN03"),H544,"")</f>
        <v/>
      </c>
      <c r="AA544" s="42" t="str">
        <f>IF(AND(C544=Master!$H$2,B544="2012-2013",E544&gt;1000,G544="PLN03"),H544,"")</f>
        <v/>
      </c>
      <c r="AB544" s="42" t="str">
        <f>IF(AND(C544=Master!$H$2,B544="2012-2013",E544="",G544="PLN03"),H544,"")</f>
        <v/>
      </c>
      <c r="AC544" s="42" t="str">
        <f>IF(AND(C544=Master!$H$3,B544="2012-2013",E544&gt;1000,G544="PLN03"),H544,"")</f>
        <v/>
      </c>
      <c r="AD544" s="42" t="str">
        <f>IF(AND(C544=Master!$H$3,B544="2012-2013",E544="",G544="PLN03"),H544,"")</f>
        <v/>
      </c>
      <c r="AE544" s="42" t="str">
        <f>IF(AND(C544=Master!$H$4,B544="2012-2013",E544&gt;1000,G544="PLN03"),H544,"")</f>
        <v/>
      </c>
      <c r="AF544" s="42" t="str">
        <f>IF(AND(C544=Master!$H$4,B544="2012-2013",E544="",G544="PLN03"),H544,"")</f>
        <v/>
      </c>
      <c r="AG544" s="42" t="str">
        <f>IF(AND(C544=Master!$H$5,B544="2012-2013",E544&gt;1000,G544="PLN03"),H544,"")</f>
        <v/>
      </c>
      <c r="AH544" s="42" t="str">
        <f>IF(AND(C544=Master!$H$5,B544="2012-2013",E544="",G544="PLN03"),H544,"")</f>
        <v/>
      </c>
      <c r="AI544" s="42" t="str">
        <f>IF(AND(C544=Master!$H$6,B544="2012-2013",E544&gt;1000,G544="PLN03"),H544,"")</f>
        <v/>
      </c>
      <c r="AJ544" s="42" t="str">
        <f>IF(AND(C544=Master!$H$6,B544="2012-2013",E544="",G544="PLN03"),H544,"")</f>
        <v/>
      </c>
      <c r="AK544" s="42" t="str">
        <f>IF(AND(C544=Master!$H$7,B544="2012-2013",E544&gt;1000,G544="PLN03"),H544,"")</f>
        <v/>
      </c>
      <c r="AL544" s="42" t="str">
        <f>IF(AND(C544=Master!$H$7,B544="2012-2013",E544="",G544="PLN03"),H544,"")</f>
        <v/>
      </c>
      <c r="AM544" s="42" t="str">
        <f>IF(AND(C544=Master!$H$8,B544="2012-2013",E544&gt;1000,G544="PLN03"),H544,"")</f>
        <v/>
      </c>
      <c r="AN544" s="42" t="str">
        <f>IF(AND(C544=Master!$H$8,B544="2012-2013",E544="",G544="PLN03"),H544,"")</f>
        <v/>
      </c>
      <c r="AO544" s="42" t="str">
        <f>IF(AND(C544=Master!$H$9,B544="2012-2013",E544&gt;1000,G544="PLN03"),H544,"")</f>
        <v/>
      </c>
      <c r="AP544" s="42" t="str">
        <f>IF(AND(C544=Master!$H$9,B544="2012-2013",E544="",G544="PLN03"),H544,"")</f>
        <v/>
      </c>
      <c r="AQ544" s="44" t="str">
        <f>IF(AND(C544=Master!$H$1,B544="2012-2013",E544&gt;1000,G544="NPN05"),H544,"")</f>
        <v/>
      </c>
      <c r="AR544" s="44" t="str">
        <f>IF(AND(C544=Master!$H$1,B544="2012-2013",E544="",G544="NPN05"),H544,"")</f>
        <v/>
      </c>
      <c r="AS544" s="44" t="str">
        <f>IF(AND(C544=Master!$H$2,B544="2012-2013",E544&gt;1000,G544="NPN05"),H544,"")</f>
        <v/>
      </c>
      <c r="AT544" s="44" t="str">
        <f>IF(AND(C544=Master!$H$2,B544="2012-2013",E544="",G544="NPN05"),H544,"")</f>
        <v/>
      </c>
      <c r="AU544" s="44" t="str">
        <f>IF(AND(C544=Master!$H$3,B544="2012-2013",E544&gt;1000,G544="NPN05"),H544,"")</f>
        <v/>
      </c>
      <c r="AV544" s="44" t="str">
        <f>IF(AND(C544=Master!$H$3,B544="2012-2013",E544="",G544="NPN05"),H544,"")</f>
        <v/>
      </c>
      <c r="AW544" s="44" t="str">
        <f>IF(AND(C544=Master!$H$4,B544="2012-2013",E544&gt;1000,G544="NPN05"),H544,"")</f>
        <v/>
      </c>
      <c r="AX544" s="44" t="str">
        <f>IF(AND(C544=Master!$H$4,B544="2012-2013",E544="",G544="NPN05"),H544,"")</f>
        <v/>
      </c>
      <c r="AY544" s="44" t="str">
        <f>IF(AND(C544=Master!$H$5,B544="2012-2013",E544&gt;1000,G544="NPN05"),H544,"")</f>
        <v/>
      </c>
      <c r="AZ544" s="44" t="str">
        <f>IF(AND(C544=Master!$H$5,B544="2012-2013",E544="",G544="NPN05"),H544,"")</f>
        <v/>
      </c>
      <c r="BA544" s="44" t="str">
        <f>IF(AND(C544=Master!$H$6,B544="2012-2013",E544&gt;1000,G544="NPN05"),H544,"")</f>
        <v/>
      </c>
      <c r="BB544" s="44" t="str">
        <f>IF(AND(C544=Master!$H$6,B544="2012-2013",E544="",G544="NPN05"),H544,"")</f>
        <v/>
      </c>
      <c r="BC544" s="44" t="str">
        <f>IF(AND(C544=Master!$H$7,B544="2012-2013",E544&gt;1000,G544="NPN05"),H544,"")</f>
        <v/>
      </c>
      <c r="BD544" s="44" t="str">
        <f>IF(AND(C544=Master!$H$7,B544="2012-2013",E544="",G544="NPN05"),H544,"")</f>
        <v/>
      </c>
      <c r="BE544" s="44" t="str">
        <f>IF(AND(C544=Master!$H$8,B544="2012-2013",E544&gt;1000,G544="NPN05"),H544,"")</f>
        <v/>
      </c>
      <c r="BF544" s="44" t="str">
        <f>IF(AND(C544=Master!$H$8,B544="2012-2013",E544="",G544="NPN05"),H544,"")</f>
        <v/>
      </c>
      <c r="BG544" s="44" t="str">
        <f>IF(AND(C544=Master!$H$9,B544="2012-2013",E544&gt;1000,G544="NPN05"),H544,"")</f>
        <v/>
      </c>
      <c r="BH544" s="44" t="str">
        <f>IF(AND(C544=Master!$H$9,B544="2012-2013",E544="",G544="NPN05"),H544,"")</f>
        <v/>
      </c>
    </row>
    <row r="545" spans="1:60" x14ac:dyDescent="0.25">
      <c r="A545" s="3">
        <v>543</v>
      </c>
      <c r="B545" s="12"/>
      <c r="C545" s="12"/>
      <c r="D545" s="31"/>
      <c r="E545" s="4"/>
      <c r="F545" s="13"/>
      <c r="G545" s="21"/>
      <c r="H545" s="35"/>
      <c r="I545" s="21"/>
      <c r="J545" s="25" t="str">
        <f>IF(NOT(I545=""),INDEX(Master!$B$1:$B$46,MATCH(I545,Master!$A$1:$A$46,0)),"")</f>
        <v/>
      </c>
      <c r="K545" s="18"/>
      <c r="L545" s="86"/>
      <c r="M545" s="13"/>
      <c r="N545" s="13"/>
      <c r="O545" s="18"/>
      <c r="P545" s="35"/>
      <c r="Q545" s="21"/>
      <c r="R545" s="21"/>
      <c r="S545" s="13"/>
      <c r="T545" s="12"/>
      <c r="U545" s="12"/>
      <c r="V545" s="12"/>
      <c r="W545" s="14"/>
      <c r="Y545" s="42" t="str">
        <f>IF(AND(C545=Master!$H$1,B545="2012-2013",E545&gt;1000,G545="PLN03"),H545,"")</f>
        <v/>
      </c>
      <c r="Z545" s="42" t="str">
        <f>IF(AND(C545=Master!$H$1,B545="2012-2013",E545="",G545="PLN03"),H545,"")</f>
        <v/>
      </c>
      <c r="AA545" s="42" t="str">
        <f>IF(AND(C545=Master!$H$2,B545="2012-2013",E545&gt;1000,G545="PLN03"),H545,"")</f>
        <v/>
      </c>
      <c r="AB545" s="42" t="str">
        <f>IF(AND(C545=Master!$H$2,B545="2012-2013",E545="",G545="PLN03"),H545,"")</f>
        <v/>
      </c>
      <c r="AC545" s="42" t="str">
        <f>IF(AND(C545=Master!$H$3,B545="2012-2013",E545&gt;1000,G545="PLN03"),H545,"")</f>
        <v/>
      </c>
      <c r="AD545" s="42" t="str">
        <f>IF(AND(C545=Master!$H$3,B545="2012-2013",E545="",G545="PLN03"),H545,"")</f>
        <v/>
      </c>
      <c r="AE545" s="42" t="str">
        <f>IF(AND(C545=Master!$H$4,B545="2012-2013",E545&gt;1000,G545="PLN03"),H545,"")</f>
        <v/>
      </c>
      <c r="AF545" s="42" t="str">
        <f>IF(AND(C545=Master!$H$4,B545="2012-2013",E545="",G545="PLN03"),H545,"")</f>
        <v/>
      </c>
      <c r="AG545" s="42" t="str">
        <f>IF(AND(C545=Master!$H$5,B545="2012-2013",E545&gt;1000,G545="PLN03"),H545,"")</f>
        <v/>
      </c>
      <c r="AH545" s="42" t="str">
        <f>IF(AND(C545=Master!$H$5,B545="2012-2013",E545="",G545="PLN03"),H545,"")</f>
        <v/>
      </c>
      <c r="AI545" s="42" t="str">
        <f>IF(AND(C545=Master!$H$6,B545="2012-2013",E545&gt;1000,G545="PLN03"),H545,"")</f>
        <v/>
      </c>
      <c r="AJ545" s="42" t="str">
        <f>IF(AND(C545=Master!$H$6,B545="2012-2013",E545="",G545="PLN03"),H545,"")</f>
        <v/>
      </c>
      <c r="AK545" s="42" t="str">
        <f>IF(AND(C545=Master!$H$7,B545="2012-2013",E545&gt;1000,G545="PLN03"),H545,"")</f>
        <v/>
      </c>
      <c r="AL545" s="42" t="str">
        <f>IF(AND(C545=Master!$H$7,B545="2012-2013",E545="",G545="PLN03"),H545,"")</f>
        <v/>
      </c>
      <c r="AM545" s="42" t="str">
        <f>IF(AND(C545=Master!$H$8,B545="2012-2013",E545&gt;1000,G545="PLN03"),H545,"")</f>
        <v/>
      </c>
      <c r="AN545" s="42" t="str">
        <f>IF(AND(C545=Master!$H$8,B545="2012-2013",E545="",G545="PLN03"),H545,"")</f>
        <v/>
      </c>
      <c r="AO545" s="42" t="str">
        <f>IF(AND(C545=Master!$H$9,B545="2012-2013",E545&gt;1000,G545="PLN03"),H545,"")</f>
        <v/>
      </c>
      <c r="AP545" s="42" t="str">
        <f>IF(AND(C545=Master!$H$9,B545="2012-2013",E545="",G545="PLN03"),H545,"")</f>
        <v/>
      </c>
      <c r="AQ545" s="44" t="str">
        <f>IF(AND(C545=Master!$H$1,B545="2012-2013",E545&gt;1000,G545="NPN05"),H545,"")</f>
        <v/>
      </c>
      <c r="AR545" s="44" t="str">
        <f>IF(AND(C545=Master!$H$1,B545="2012-2013",E545="",G545="NPN05"),H545,"")</f>
        <v/>
      </c>
      <c r="AS545" s="44" t="str">
        <f>IF(AND(C545=Master!$H$2,B545="2012-2013",E545&gt;1000,G545="NPN05"),H545,"")</f>
        <v/>
      </c>
      <c r="AT545" s="44" t="str">
        <f>IF(AND(C545=Master!$H$2,B545="2012-2013",E545="",G545="NPN05"),H545,"")</f>
        <v/>
      </c>
      <c r="AU545" s="44" t="str">
        <f>IF(AND(C545=Master!$H$3,B545="2012-2013",E545&gt;1000,G545="NPN05"),H545,"")</f>
        <v/>
      </c>
      <c r="AV545" s="44" t="str">
        <f>IF(AND(C545=Master!$H$3,B545="2012-2013",E545="",G545="NPN05"),H545,"")</f>
        <v/>
      </c>
      <c r="AW545" s="44" t="str">
        <f>IF(AND(C545=Master!$H$4,B545="2012-2013",E545&gt;1000,G545="NPN05"),H545,"")</f>
        <v/>
      </c>
      <c r="AX545" s="44" t="str">
        <f>IF(AND(C545=Master!$H$4,B545="2012-2013",E545="",G545="NPN05"),H545,"")</f>
        <v/>
      </c>
      <c r="AY545" s="44" t="str">
        <f>IF(AND(C545=Master!$H$5,B545="2012-2013",E545&gt;1000,G545="NPN05"),H545,"")</f>
        <v/>
      </c>
      <c r="AZ545" s="44" t="str">
        <f>IF(AND(C545=Master!$H$5,B545="2012-2013",E545="",G545="NPN05"),H545,"")</f>
        <v/>
      </c>
      <c r="BA545" s="44" t="str">
        <f>IF(AND(C545=Master!$H$6,B545="2012-2013",E545&gt;1000,G545="NPN05"),H545,"")</f>
        <v/>
      </c>
      <c r="BB545" s="44" t="str">
        <f>IF(AND(C545=Master!$H$6,B545="2012-2013",E545="",G545="NPN05"),H545,"")</f>
        <v/>
      </c>
      <c r="BC545" s="44" t="str">
        <f>IF(AND(C545=Master!$H$7,B545="2012-2013",E545&gt;1000,G545="NPN05"),H545,"")</f>
        <v/>
      </c>
      <c r="BD545" s="44" t="str">
        <f>IF(AND(C545=Master!$H$7,B545="2012-2013",E545="",G545="NPN05"),H545,"")</f>
        <v/>
      </c>
      <c r="BE545" s="44" t="str">
        <f>IF(AND(C545=Master!$H$8,B545="2012-2013",E545&gt;1000,G545="NPN05"),H545,"")</f>
        <v/>
      </c>
      <c r="BF545" s="44" t="str">
        <f>IF(AND(C545=Master!$H$8,B545="2012-2013",E545="",G545="NPN05"),H545,"")</f>
        <v/>
      </c>
      <c r="BG545" s="44" t="str">
        <f>IF(AND(C545=Master!$H$9,B545="2012-2013",E545&gt;1000,G545="NPN05"),H545,"")</f>
        <v/>
      </c>
      <c r="BH545" s="44" t="str">
        <f>IF(AND(C545=Master!$H$9,B545="2012-2013",E545="",G545="NPN05"),H545,"")</f>
        <v/>
      </c>
    </row>
    <row r="546" spans="1:60" x14ac:dyDescent="0.25">
      <c r="A546" s="3">
        <v>544</v>
      </c>
      <c r="B546" s="12"/>
      <c r="C546" s="12"/>
      <c r="D546" s="31"/>
      <c r="E546" s="4"/>
      <c r="F546" s="13"/>
      <c r="G546" s="21"/>
      <c r="H546" s="35"/>
      <c r="I546" s="21"/>
      <c r="J546" s="25" t="str">
        <f>IF(NOT(I546=""),INDEX(Master!$B$1:$B$46,MATCH(I546,Master!$A$1:$A$46,0)),"")</f>
        <v/>
      </c>
      <c r="K546" s="18"/>
      <c r="L546" s="86"/>
      <c r="M546" s="13"/>
      <c r="N546" s="13"/>
      <c r="O546" s="18"/>
      <c r="P546" s="35"/>
      <c r="Q546" s="21"/>
      <c r="R546" s="21"/>
      <c r="S546" s="13"/>
      <c r="T546" s="12"/>
      <c r="U546" s="12"/>
      <c r="V546" s="12"/>
      <c r="W546" s="14"/>
      <c r="Y546" s="42" t="str">
        <f>IF(AND(C546=Master!$H$1,B546="2012-2013",E546&gt;1000,G546="PLN03"),H546,"")</f>
        <v/>
      </c>
      <c r="Z546" s="42" t="str">
        <f>IF(AND(C546=Master!$H$1,B546="2012-2013",E546="",G546="PLN03"),H546,"")</f>
        <v/>
      </c>
      <c r="AA546" s="42" t="str">
        <f>IF(AND(C546=Master!$H$2,B546="2012-2013",E546&gt;1000,G546="PLN03"),H546,"")</f>
        <v/>
      </c>
      <c r="AB546" s="42" t="str">
        <f>IF(AND(C546=Master!$H$2,B546="2012-2013",E546="",G546="PLN03"),H546,"")</f>
        <v/>
      </c>
      <c r="AC546" s="42" t="str">
        <f>IF(AND(C546=Master!$H$3,B546="2012-2013",E546&gt;1000,G546="PLN03"),H546,"")</f>
        <v/>
      </c>
      <c r="AD546" s="42" t="str">
        <f>IF(AND(C546=Master!$H$3,B546="2012-2013",E546="",G546="PLN03"),H546,"")</f>
        <v/>
      </c>
      <c r="AE546" s="42" t="str">
        <f>IF(AND(C546=Master!$H$4,B546="2012-2013",E546&gt;1000,G546="PLN03"),H546,"")</f>
        <v/>
      </c>
      <c r="AF546" s="42" t="str">
        <f>IF(AND(C546=Master!$H$4,B546="2012-2013",E546="",G546="PLN03"),H546,"")</f>
        <v/>
      </c>
      <c r="AG546" s="42" t="str">
        <f>IF(AND(C546=Master!$H$5,B546="2012-2013",E546&gt;1000,G546="PLN03"),H546,"")</f>
        <v/>
      </c>
      <c r="AH546" s="42" t="str">
        <f>IF(AND(C546=Master!$H$5,B546="2012-2013",E546="",G546="PLN03"),H546,"")</f>
        <v/>
      </c>
      <c r="AI546" s="42" t="str">
        <f>IF(AND(C546=Master!$H$6,B546="2012-2013",E546&gt;1000,G546="PLN03"),H546,"")</f>
        <v/>
      </c>
      <c r="AJ546" s="42" t="str">
        <f>IF(AND(C546=Master!$H$6,B546="2012-2013",E546="",G546="PLN03"),H546,"")</f>
        <v/>
      </c>
      <c r="AK546" s="42" t="str">
        <f>IF(AND(C546=Master!$H$7,B546="2012-2013",E546&gt;1000,G546="PLN03"),H546,"")</f>
        <v/>
      </c>
      <c r="AL546" s="42" t="str">
        <f>IF(AND(C546=Master!$H$7,B546="2012-2013",E546="",G546="PLN03"),H546,"")</f>
        <v/>
      </c>
      <c r="AM546" s="42" t="str">
        <f>IF(AND(C546=Master!$H$8,B546="2012-2013",E546&gt;1000,G546="PLN03"),H546,"")</f>
        <v/>
      </c>
      <c r="AN546" s="42" t="str">
        <f>IF(AND(C546=Master!$H$8,B546="2012-2013",E546="",G546="PLN03"),H546,"")</f>
        <v/>
      </c>
      <c r="AO546" s="42" t="str">
        <f>IF(AND(C546=Master!$H$9,B546="2012-2013",E546&gt;1000,G546="PLN03"),H546,"")</f>
        <v/>
      </c>
      <c r="AP546" s="42" t="str">
        <f>IF(AND(C546=Master!$H$9,B546="2012-2013",E546="",G546="PLN03"),H546,"")</f>
        <v/>
      </c>
      <c r="AQ546" s="44" t="str">
        <f>IF(AND(C546=Master!$H$1,B546="2012-2013",E546&gt;1000,G546="NPN05"),H546,"")</f>
        <v/>
      </c>
      <c r="AR546" s="44" t="str">
        <f>IF(AND(C546=Master!$H$1,B546="2012-2013",E546="",G546="NPN05"),H546,"")</f>
        <v/>
      </c>
      <c r="AS546" s="44" t="str">
        <f>IF(AND(C546=Master!$H$2,B546="2012-2013",E546&gt;1000,G546="NPN05"),H546,"")</f>
        <v/>
      </c>
      <c r="AT546" s="44" t="str">
        <f>IF(AND(C546=Master!$H$2,B546="2012-2013",E546="",G546="NPN05"),H546,"")</f>
        <v/>
      </c>
      <c r="AU546" s="44" t="str">
        <f>IF(AND(C546=Master!$H$3,B546="2012-2013",E546&gt;1000,G546="NPN05"),H546,"")</f>
        <v/>
      </c>
      <c r="AV546" s="44" t="str">
        <f>IF(AND(C546=Master!$H$3,B546="2012-2013",E546="",G546="NPN05"),H546,"")</f>
        <v/>
      </c>
      <c r="AW546" s="44" t="str">
        <f>IF(AND(C546=Master!$H$4,B546="2012-2013",E546&gt;1000,G546="NPN05"),H546,"")</f>
        <v/>
      </c>
      <c r="AX546" s="44" t="str">
        <f>IF(AND(C546=Master!$H$4,B546="2012-2013",E546="",G546="NPN05"),H546,"")</f>
        <v/>
      </c>
      <c r="AY546" s="44" t="str">
        <f>IF(AND(C546=Master!$H$5,B546="2012-2013",E546&gt;1000,G546="NPN05"),H546,"")</f>
        <v/>
      </c>
      <c r="AZ546" s="44" t="str">
        <f>IF(AND(C546=Master!$H$5,B546="2012-2013",E546="",G546="NPN05"),H546,"")</f>
        <v/>
      </c>
      <c r="BA546" s="44" t="str">
        <f>IF(AND(C546=Master!$H$6,B546="2012-2013",E546&gt;1000,G546="NPN05"),H546,"")</f>
        <v/>
      </c>
      <c r="BB546" s="44" t="str">
        <f>IF(AND(C546=Master!$H$6,B546="2012-2013",E546="",G546="NPN05"),H546,"")</f>
        <v/>
      </c>
      <c r="BC546" s="44" t="str">
        <f>IF(AND(C546=Master!$H$7,B546="2012-2013",E546&gt;1000,G546="NPN05"),H546,"")</f>
        <v/>
      </c>
      <c r="BD546" s="44" t="str">
        <f>IF(AND(C546=Master!$H$7,B546="2012-2013",E546="",G546="NPN05"),H546,"")</f>
        <v/>
      </c>
      <c r="BE546" s="44" t="str">
        <f>IF(AND(C546=Master!$H$8,B546="2012-2013",E546&gt;1000,G546="NPN05"),H546,"")</f>
        <v/>
      </c>
      <c r="BF546" s="44" t="str">
        <f>IF(AND(C546=Master!$H$8,B546="2012-2013",E546="",G546="NPN05"),H546,"")</f>
        <v/>
      </c>
      <c r="BG546" s="44" t="str">
        <f>IF(AND(C546=Master!$H$9,B546="2012-2013",E546&gt;1000,G546="NPN05"),H546,"")</f>
        <v/>
      </c>
      <c r="BH546" s="44" t="str">
        <f>IF(AND(C546=Master!$H$9,B546="2012-2013",E546="",G546="NPN05"),H546,"")</f>
        <v/>
      </c>
    </row>
    <row r="547" spans="1:60" x14ac:dyDescent="0.25">
      <c r="A547" s="3">
        <v>545</v>
      </c>
      <c r="B547" s="12"/>
      <c r="C547" s="12"/>
      <c r="D547" s="31"/>
      <c r="E547" s="4"/>
      <c r="F547" s="13"/>
      <c r="G547" s="21"/>
      <c r="H547" s="35"/>
      <c r="I547" s="21"/>
      <c r="J547" s="25" t="str">
        <f>IF(NOT(I547=""),INDEX(Master!$B$1:$B$46,MATCH(I547,Master!$A$1:$A$46,0)),"")</f>
        <v/>
      </c>
      <c r="K547" s="18"/>
      <c r="L547" s="86"/>
      <c r="M547" s="13"/>
      <c r="N547" s="13"/>
      <c r="O547" s="18"/>
      <c r="P547" s="35"/>
      <c r="Q547" s="21"/>
      <c r="R547" s="21"/>
      <c r="S547" s="13"/>
      <c r="T547" s="12"/>
      <c r="U547" s="12"/>
      <c r="V547" s="12"/>
      <c r="W547" s="14"/>
      <c r="Y547" s="42" t="str">
        <f>IF(AND(C547=Master!$H$1,B547="2012-2013",E547&gt;1000,G547="PLN03"),H547,"")</f>
        <v/>
      </c>
      <c r="Z547" s="42" t="str">
        <f>IF(AND(C547=Master!$H$1,B547="2012-2013",E547="",G547="PLN03"),H547,"")</f>
        <v/>
      </c>
      <c r="AA547" s="42" t="str">
        <f>IF(AND(C547=Master!$H$2,B547="2012-2013",E547&gt;1000,G547="PLN03"),H547,"")</f>
        <v/>
      </c>
      <c r="AB547" s="42" t="str">
        <f>IF(AND(C547=Master!$H$2,B547="2012-2013",E547="",G547="PLN03"),H547,"")</f>
        <v/>
      </c>
      <c r="AC547" s="42" t="str">
        <f>IF(AND(C547=Master!$H$3,B547="2012-2013",E547&gt;1000,G547="PLN03"),H547,"")</f>
        <v/>
      </c>
      <c r="AD547" s="42" t="str">
        <f>IF(AND(C547=Master!$H$3,B547="2012-2013",E547="",G547="PLN03"),H547,"")</f>
        <v/>
      </c>
      <c r="AE547" s="42" t="str">
        <f>IF(AND(C547=Master!$H$4,B547="2012-2013",E547&gt;1000,G547="PLN03"),H547,"")</f>
        <v/>
      </c>
      <c r="AF547" s="42" t="str">
        <f>IF(AND(C547=Master!$H$4,B547="2012-2013",E547="",G547="PLN03"),H547,"")</f>
        <v/>
      </c>
      <c r="AG547" s="42" t="str">
        <f>IF(AND(C547=Master!$H$5,B547="2012-2013",E547&gt;1000,G547="PLN03"),H547,"")</f>
        <v/>
      </c>
      <c r="AH547" s="42" t="str">
        <f>IF(AND(C547=Master!$H$5,B547="2012-2013",E547="",G547="PLN03"),H547,"")</f>
        <v/>
      </c>
      <c r="AI547" s="42" t="str">
        <f>IF(AND(C547=Master!$H$6,B547="2012-2013",E547&gt;1000,G547="PLN03"),H547,"")</f>
        <v/>
      </c>
      <c r="AJ547" s="42" t="str">
        <f>IF(AND(C547=Master!$H$6,B547="2012-2013",E547="",G547="PLN03"),H547,"")</f>
        <v/>
      </c>
      <c r="AK547" s="42" t="str">
        <f>IF(AND(C547=Master!$H$7,B547="2012-2013",E547&gt;1000,G547="PLN03"),H547,"")</f>
        <v/>
      </c>
      <c r="AL547" s="42" t="str">
        <f>IF(AND(C547=Master!$H$7,B547="2012-2013",E547="",G547="PLN03"),H547,"")</f>
        <v/>
      </c>
      <c r="AM547" s="42" t="str">
        <f>IF(AND(C547=Master!$H$8,B547="2012-2013",E547&gt;1000,G547="PLN03"),H547,"")</f>
        <v/>
      </c>
      <c r="AN547" s="42" t="str">
        <f>IF(AND(C547=Master!$H$8,B547="2012-2013",E547="",G547="PLN03"),H547,"")</f>
        <v/>
      </c>
      <c r="AO547" s="42" t="str">
        <f>IF(AND(C547=Master!$H$9,B547="2012-2013",E547&gt;1000,G547="PLN03"),H547,"")</f>
        <v/>
      </c>
      <c r="AP547" s="42" t="str">
        <f>IF(AND(C547=Master!$H$9,B547="2012-2013",E547="",G547="PLN03"),H547,"")</f>
        <v/>
      </c>
      <c r="AQ547" s="44" t="str">
        <f>IF(AND(C547=Master!$H$1,B547="2012-2013",E547&gt;1000,G547="NPN05"),H547,"")</f>
        <v/>
      </c>
      <c r="AR547" s="44" t="str">
        <f>IF(AND(C547=Master!$H$1,B547="2012-2013",E547="",G547="NPN05"),H547,"")</f>
        <v/>
      </c>
      <c r="AS547" s="44" t="str">
        <f>IF(AND(C547=Master!$H$2,B547="2012-2013",E547&gt;1000,G547="NPN05"),H547,"")</f>
        <v/>
      </c>
      <c r="AT547" s="44" t="str">
        <f>IF(AND(C547=Master!$H$2,B547="2012-2013",E547="",G547="NPN05"),H547,"")</f>
        <v/>
      </c>
      <c r="AU547" s="44" t="str">
        <f>IF(AND(C547=Master!$H$3,B547="2012-2013",E547&gt;1000,G547="NPN05"),H547,"")</f>
        <v/>
      </c>
      <c r="AV547" s="44" t="str">
        <f>IF(AND(C547=Master!$H$3,B547="2012-2013",E547="",G547="NPN05"),H547,"")</f>
        <v/>
      </c>
      <c r="AW547" s="44" t="str">
        <f>IF(AND(C547=Master!$H$4,B547="2012-2013",E547&gt;1000,G547="NPN05"),H547,"")</f>
        <v/>
      </c>
      <c r="AX547" s="44" t="str">
        <f>IF(AND(C547=Master!$H$4,B547="2012-2013",E547="",G547="NPN05"),H547,"")</f>
        <v/>
      </c>
      <c r="AY547" s="44" t="str">
        <f>IF(AND(C547=Master!$H$5,B547="2012-2013",E547&gt;1000,G547="NPN05"),H547,"")</f>
        <v/>
      </c>
      <c r="AZ547" s="44" t="str">
        <f>IF(AND(C547=Master!$H$5,B547="2012-2013",E547="",G547="NPN05"),H547,"")</f>
        <v/>
      </c>
      <c r="BA547" s="44" t="str">
        <f>IF(AND(C547=Master!$H$6,B547="2012-2013",E547&gt;1000,G547="NPN05"),H547,"")</f>
        <v/>
      </c>
      <c r="BB547" s="44" t="str">
        <f>IF(AND(C547=Master!$H$6,B547="2012-2013",E547="",G547="NPN05"),H547,"")</f>
        <v/>
      </c>
      <c r="BC547" s="44" t="str">
        <f>IF(AND(C547=Master!$H$7,B547="2012-2013",E547&gt;1000,G547="NPN05"),H547,"")</f>
        <v/>
      </c>
      <c r="BD547" s="44" t="str">
        <f>IF(AND(C547=Master!$H$7,B547="2012-2013",E547="",G547="NPN05"),H547,"")</f>
        <v/>
      </c>
      <c r="BE547" s="44" t="str">
        <f>IF(AND(C547=Master!$H$8,B547="2012-2013",E547&gt;1000,G547="NPN05"),H547,"")</f>
        <v/>
      </c>
      <c r="BF547" s="44" t="str">
        <f>IF(AND(C547=Master!$H$8,B547="2012-2013",E547="",G547="NPN05"),H547,"")</f>
        <v/>
      </c>
      <c r="BG547" s="44" t="str">
        <f>IF(AND(C547=Master!$H$9,B547="2012-2013",E547&gt;1000,G547="NPN05"),H547,"")</f>
        <v/>
      </c>
      <c r="BH547" s="44" t="str">
        <f>IF(AND(C547=Master!$H$9,B547="2012-2013",E547="",G547="NPN05"),H547,"")</f>
        <v/>
      </c>
    </row>
    <row r="548" spans="1:60" x14ac:dyDescent="0.25">
      <c r="A548" s="3">
        <v>546</v>
      </c>
      <c r="B548" s="12"/>
      <c r="C548" s="12"/>
      <c r="D548" s="31"/>
      <c r="E548" s="4"/>
      <c r="F548" s="13"/>
      <c r="G548" s="21"/>
      <c r="H548" s="35"/>
      <c r="I548" s="21"/>
      <c r="J548" s="25" t="str">
        <f>IF(NOT(I548=""),INDEX(Master!$B$1:$B$46,MATCH(I548,Master!$A$1:$A$46,0)),"")</f>
        <v/>
      </c>
      <c r="K548" s="18"/>
      <c r="L548" s="86"/>
      <c r="M548" s="13"/>
      <c r="N548" s="13"/>
      <c r="O548" s="18"/>
      <c r="P548" s="35"/>
      <c r="Q548" s="21"/>
      <c r="R548" s="21"/>
      <c r="S548" s="13"/>
      <c r="T548" s="12"/>
      <c r="U548" s="12"/>
      <c r="V548" s="12"/>
      <c r="W548" s="14"/>
      <c r="Y548" s="42" t="str">
        <f>IF(AND(C548=Master!$H$1,B548="2012-2013",E548&gt;1000,G548="PLN03"),H548,"")</f>
        <v/>
      </c>
      <c r="Z548" s="42" t="str">
        <f>IF(AND(C548=Master!$H$1,B548="2012-2013",E548="",G548="PLN03"),H548,"")</f>
        <v/>
      </c>
      <c r="AA548" s="42" t="str">
        <f>IF(AND(C548=Master!$H$2,B548="2012-2013",E548&gt;1000,G548="PLN03"),H548,"")</f>
        <v/>
      </c>
      <c r="AB548" s="42" t="str">
        <f>IF(AND(C548=Master!$H$2,B548="2012-2013",E548="",G548="PLN03"),H548,"")</f>
        <v/>
      </c>
      <c r="AC548" s="42" t="str">
        <f>IF(AND(C548=Master!$H$3,B548="2012-2013",E548&gt;1000,G548="PLN03"),H548,"")</f>
        <v/>
      </c>
      <c r="AD548" s="42" t="str">
        <f>IF(AND(C548=Master!$H$3,B548="2012-2013",E548="",G548="PLN03"),H548,"")</f>
        <v/>
      </c>
      <c r="AE548" s="42" t="str">
        <f>IF(AND(C548=Master!$H$4,B548="2012-2013",E548&gt;1000,G548="PLN03"),H548,"")</f>
        <v/>
      </c>
      <c r="AF548" s="42" t="str">
        <f>IF(AND(C548=Master!$H$4,B548="2012-2013",E548="",G548="PLN03"),H548,"")</f>
        <v/>
      </c>
      <c r="AG548" s="42" t="str">
        <f>IF(AND(C548=Master!$H$5,B548="2012-2013",E548&gt;1000,G548="PLN03"),H548,"")</f>
        <v/>
      </c>
      <c r="AH548" s="42" t="str">
        <f>IF(AND(C548=Master!$H$5,B548="2012-2013",E548="",G548="PLN03"),H548,"")</f>
        <v/>
      </c>
      <c r="AI548" s="42" t="str">
        <f>IF(AND(C548=Master!$H$6,B548="2012-2013",E548&gt;1000,G548="PLN03"),H548,"")</f>
        <v/>
      </c>
      <c r="AJ548" s="42" t="str">
        <f>IF(AND(C548=Master!$H$6,B548="2012-2013",E548="",G548="PLN03"),H548,"")</f>
        <v/>
      </c>
      <c r="AK548" s="42" t="str">
        <f>IF(AND(C548=Master!$H$7,B548="2012-2013",E548&gt;1000,G548="PLN03"),H548,"")</f>
        <v/>
      </c>
      <c r="AL548" s="42" t="str">
        <f>IF(AND(C548=Master!$H$7,B548="2012-2013",E548="",G548="PLN03"),H548,"")</f>
        <v/>
      </c>
      <c r="AM548" s="42" t="str">
        <f>IF(AND(C548=Master!$H$8,B548="2012-2013",E548&gt;1000,G548="PLN03"),H548,"")</f>
        <v/>
      </c>
      <c r="AN548" s="42" t="str">
        <f>IF(AND(C548=Master!$H$8,B548="2012-2013",E548="",G548="PLN03"),H548,"")</f>
        <v/>
      </c>
      <c r="AO548" s="42" t="str">
        <f>IF(AND(C548=Master!$H$9,B548="2012-2013",E548&gt;1000,G548="PLN03"),H548,"")</f>
        <v/>
      </c>
      <c r="AP548" s="42" t="str">
        <f>IF(AND(C548=Master!$H$9,B548="2012-2013",E548="",G548="PLN03"),H548,"")</f>
        <v/>
      </c>
      <c r="AQ548" s="44" t="str">
        <f>IF(AND(C548=Master!$H$1,B548="2012-2013",E548&gt;1000,G548="NPN05"),H548,"")</f>
        <v/>
      </c>
      <c r="AR548" s="44" t="str">
        <f>IF(AND(C548=Master!$H$1,B548="2012-2013",E548="",G548="NPN05"),H548,"")</f>
        <v/>
      </c>
      <c r="AS548" s="44" t="str">
        <f>IF(AND(C548=Master!$H$2,B548="2012-2013",E548&gt;1000,G548="NPN05"),H548,"")</f>
        <v/>
      </c>
      <c r="AT548" s="44" t="str">
        <f>IF(AND(C548=Master!$H$2,B548="2012-2013",E548="",G548="NPN05"),H548,"")</f>
        <v/>
      </c>
      <c r="AU548" s="44" t="str">
        <f>IF(AND(C548=Master!$H$3,B548="2012-2013",E548&gt;1000,G548="NPN05"),H548,"")</f>
        <v/>
      </c>
      <c r="AV548" s="44" t="str">
        <f>IF(AND(C548=Master!$H$3,B548="2012-2013",E548="",G548="NPN05"),H548,"")</f>
        <v/>
      </c>
      <c r="AW548" s="44" t="str">
        <f>IF(AND(C548=Master!$H$4,B548="2012-2013",E548&gt;1000,G548="NPN05"),H548,"")</f>
        <v/>
      </c>
      <c r="AX548" s="44" t="str">
        <f>IF(AND(C548=Master!$H$4,B548="2012-2013",E548="",G548="NPN05"),H548,"")</f>
        <v/>
      </c>
      <c r="AY548" s="44" t="str">
        <f>IF(AND(C548=Master!$H$5,B548="2012-2013",E548&gt;1000,G548="NPN05"),H548,"")</f>
        <v/>
      </c>
      <c r="AZ548" s="44" t="str">
        <f>IF(AND(C548=Master!$H$5,B548="2012-2013",E548="",G548="NPN05"),H548,"")</f>
        <v/>
      </c>
      <c r="BA548" s="44" t="str">
        <f>IF(AND(C548=Master!$H$6,B548="2012-2013",E548&gt;1000,G548="NPN05"),H548,"")</f>
        <v/>
      </c>
      <c r="BB548" s="44" t="str">
        <f>IF(AND(C548=Master!$H$6,B548="2012-2013",E548="",G548="NPN05"),H548,"")</f>
        <v/>
      </c>
      <c r="BC548" s="44" t="str">
        <f>IF(AND(C548=Master!$H$7,B548="2012-2013",E548&gt;1000,G548="NPN05"),H548,"")</f>
        <v/>
      </c>
      <c r="BD548" s="44" t="str">
        <f>IF(AND(C548=Master!$H$7,B548="2012-2013",E548="",G548="NPN05"),H548,"")</f>
        <v/>
      </c>
      <c r="BE548" s="44" t="str">
        <f>IF(AND(C548=Master!$H$8,B548="2012-2013",E548&gt;1000,G548="NPN05"),H548,"")</f>
        <v/>
      </c>
      <c r="BF548" s="44" t="str">
        <f>IF(AND(C548=Master!$H$8,B548="2012-2013",E548="",G548="NPN05"),H548,"")</f>
        <v/>
      </c>
      <c r="BG548" s="44" t="str">
        <f>IF(AND(C548=Master!$H$9,B548="2012-2013",E548&gt;1000,G548="NPN05"),H548,"")</f>
        <v/>
      </c>
      <c r="BH548" s="44" t="str">
        <f>IF(AND(C548=Master!$H$9,B548="2012-2013",E548="",G548="NPN05"),H548,"")</f>
        <v/>
      </c>
    </row>
    <row r="549" spans="1:60" x14ac:dyDescent="0.25">
      <c r="A549" s="3">
        <v>547</v>
      </c>
      <c r="B549" s="12"/>
      <c r="C549" s="12"/>
      <c r="D549" s="31"/>
      <c r="E549" s="4"/>
      <c r="F549" s="13"/>
      <c r="G549" s="21"/>
      <c r="H549" s="35"/>
      <c r="I549" s="21"/>
      <c r="J549" s="25" t="str">
        <f>IF(NOT(I549=""),INDEX(Master!$B$1:$B$46,MATCH(I549,Master!$A$1:$A$46,0)),"")</f>
        <v/>
      </c>
      <c r="K549" s="18"/>
      <c r="L549" s="86"/>
      <c r="M549" s="13"/>
      <c r="N549" s="13"/>
      <c r="O549" s="18"/>
      <c r="P549" s="35"/>
      <c r="Q549" s="21"/>
      <c r="R549" s="21"/>
      <c r="S549" s="13"/>
      <c r="T549" s="12"/>
      <c r="U549" s="12"/>
      <c r="V549" s="12"/>
      <c r="W549" s="14"/>
      <c r="Y549" s="42" t="str">
        <f>IF(AND(C549=Master!$H$1,B549="2012-2013",E549&gt;1000,G549="PLN03"),H549,"")</f>
        <v/>
      </c>
      <c r="Z549" s="42" t="str">
        <f>IF(AND(C549=Master!$H$1,B549="2012-2013",E549="",G549="PLN03"),H549,"")</f>
        <v/>
      </c>
      <c r="AA549" s="42" t="str">
        <f>IF(AND(C549=Master!$H$2,B549="2012-2013",E549&gt;1000,G549="PLN03"),H549,"")</f>
        <v/>
      </c>
      <c r="AB549" s="42" t="str">
        <f>IF(AND(C549=Master!$H$2,B549="2012-2013",E549="",G549="PLN03"),H549,"")</f>
        <v/>
      </c>
      <c r="AC549" s="42" t="str">
        <f>IF(AND(C549=Master!$H$3,B549="2012-2013",E549&gt;1000,G549="PLN03"),H549,"")</f>
        <v/>
      </c>
      <c r="AD549" s="42" t="str">
        <f>IF(AND(C549=Master!$H$3,B549="2012-2013",E549="",G549="PLN03"),H549,"")</f>
        <v/>
      </c>
      <c r="AE549" s="42" t="str">
        <f>IF(AND(C549=Master!$H$4,B549="2012-2013",E549&gt;1000,G549="PLN03"),H549,"")</f>
        <v/>
      </c>
      <c r="AF549" s="42" t="str">
        <f>IF(AND(C549=Master!$H$4,B549="2012-2013",E549="",G549="PLN03"),H549,"")</f>
        <v/>
      </c>
      <c r="AG549" s="42" t="str">
        <f>IF(AND(C549=Master!$H$5,B549="2012-2013",E549&gt;1000,G549="PLN03"),H549,"")</f>
        <v/>
      </c>
      <c r="AH549" s="42" t="str">
        <f>IF(AND(C549=Master!$H$5,B549="2012-2013",E549="",G549="PLN03"),H549,"")</f>
        <v/>
      </c>
      <c r="AI549" s="42" t="str">
        <f>IF(AND(C549=Master!$H$6,B549="2012-2013",E549&gt;1000,G549="PLN03"),H549,"")</f>
        <v/>
      </c>
      <c r="AJ549" s="42" t="str">
        <f>IF(AND(C549=Master!$H$6,B549="2012-2013",E549="",G549="PLN03"),H549,"")</f>
        <v/>
      </c>
      <c r="AK549" s="42" t="str">
        <f>IF(AND(C549=Master!$H$7,B549="2012-2013",E549&gt;1000,G549="PLN03"),H549,"")</f>
        <v/>
      </c>
      <c r="AL549" s="42" t="str">
        <f>IF(AND(C549=Master!$H$7,B549="2012-2013",E549="",G549="PLN03"),H549,"")</f>
        <v/>
      </c>
      <c r="AM549" s="42" t="str">
        <f>IF(AND(C549=Master!$H$8,B549="2012-2013",E549&gt;1000,G549="PLN03"),H549,"")</f>
        <v/>
      </c>
      <c r="AN549" s="42" t="str">
        <f>IF(AND(C549=Master!$H$8,B549="2012-2013",E549="",G549="PLN03"),H549,"")</f>
        <v/>
      </c>
      <c r="AO549" s="42" t="str">
        <f>IF(AND(C549=Master!$H$9,B549="2012-2013",E549&gt;1000,G549="PLN03"),H549,"")</f>
        <v/>
      </c>
      <c r="AP549" s="42" t="str">
        <f>IF(AND(C549=Master!$H$9,B549="2012-2013",E549="",G549="PLN03"),H549,"")</f>
        <v/>
      </c>
      <c r="AQ549" s="44" t="str">
        <f>IF(AND(C549=Master!$H$1,B549="2012-2013",E549&gt;1000,G549="NPN05"),H549,"")</f>
        <v/>
      </c>
      <c r="AR549" s="44" t="str">
        <f>IF(AND(C549=Master!$H$1,B549="2012-2013",E549="",G549="NPN05"),H549,"")</f>
        <v/>
      </c>
      <c r="AS549" s="44" t="str">
        <f>IF(AND(C549=Master!$H$2,B549="2012-2013",E549&gt;1000,G549="NPN05"),H549,"")</f>
        <v/>
      </c>
      <c r="AT549" s="44" t="str">
        <f>IF(AND(C549=Master!$H$2,B549="2012-2013",E549="",G549="NPN05"),H549,"")</f>
        <v/>
      </c>
      <c r="AU549" s="44" t="str">
        <f>IF(AND(C549=Master!$H$3,B549="2012-2013",E549&gt;1000,G549="NPN05"),H549,"")</f>
        <v/>
      </c>
      <c r="AV549" s="44" t="str">
        <f>IF(AND(C549=Master!$H$3,B549="2012-2013",E549="",G549="NPN05"),H549,"")</f>
        <v/>
      </c>
      <c r="AW549" s="44" t="str">
        <f>IF(AND(C549=Master!$H$4,B549="2012-2013",E549&gt;1000,G549="NPN05"),H549,"")</f>
        <v/>
      </c>
      <c r="AX549" s="44" t="str">
        <f>IF(AND(C549=Master!$H$4,B549="2012-2013",E549="",G549="NPN05"),H549,"")</f>
        <v/>
      </c>
      <c r="AY549" s="44" t="str">
        <f>IF(AND(C549=Master!$H$5,B549="2012-2013",E549&gt;1000,G549="NPN05"),H549,"")</f>
        <v/>
      </c>
      <c r="AZ549" s="44" t="str">
        <f>IF(AND(C549=Master!$H$5,B549="2012-2013",E549="",G549="NPN05"),H549,"")</f>
        <v/>
      </c>
      <c r="BA549" s="44" t="str">
        <f>IF(AND(C549=Master!$H$6,B549="2012-2013",E549&gt;1000,G549="NPN05"),H549,"")</f>
        <v/>
      </c>
      <c r="BB549" s="44" t="str">
        <f>IF(AND(C549=Master!$H$6,B549="2012-2013",E549="",G549="NPN05"),H549,"")</f>
        <v/>
      </c>
      <c r="BC549" s="44" t="str">
        <f>IF(AND(C549=Master!$H$7,B549="2012-2013",E549&gt;1000,G549="NPN05"),H549,"")</f>
        <v/>
      </c>
      <c r="BD549" s="44" t="str">
        <f>IF(AND(C549=Master!$H$7,B549="2012-2013",E549="",G549="NPN05"),H549,"")</f>
        <v/>
      </c>
      <c r="BE549" s="44" t="str">
        <f>IF(AND(C549=Master!$H$8,B549="2012-2013",E549&gt;1000,G549="NPN05"),H549,"")</f>
        <v/>
      </c>
      <c r="BF549" s="44" t="str">
        <f>IF(AND(C549=Master!$H$8,B549="2012-2013",E549="",G549="NPN05"),H549,"")</f>
        <v/>
      </c>
      <c r="BG549" s="44" t="str">
        <f>IF(AND(C549=Master!$H$9,B549="2012-2013",E549&gt;1000,G549="NPN05"),H549,"")</f>
        <v/>
      </c>
      <c r="BH549" s="44" t="str">
        <f>IF(AND(C549=Master!$H$9,B549="2012-2013",E549="",G549="NPN05"),H549,"")</f>
        <v/>
      </c>
    </row>
    <row r="550" spans="1:60" x14ac:dyDescent="0.25">
      <c r="A550" s="3">
        <v>548</v>
      </c>
      <c r="B550" s="12"/>
      <c r="C550" s="12"/>
      <c r="D550" s="31"/>
      <c r="E550" s="4"/>
      <c r="F550" s="13"/>
      <c r="G550" s="21"/>
      <c r="H550" s="35"/>
      <c r="I550" s="21"/>
      <c r="J550" s="25" t="str">
        <f>IF(NOT(I550=""),INDEX(Master!$B$1:$B$46,MATCH(I550,Master!$A$1:$A$46,0)),"")</f>
        <v/>
      </c>
      <c r="K550" s="18"/>
      <c r="L550" s="86"/>
      <c r="M550" s="13"/>
      <c r="N550" s="13"/>
      <c r="O550" s="18"/>
      <c r="P550" s="35"/>
      <c r="Q550" s="21"/>
      <c r="R550" s="21"/>
      <c r="S550" s="13"/>
      <c r="T550" s="12"/>
      <c r="U550" s="12"/>
      <c r="V550" s="12"/>
      <c r="W550" s="14"/>
      <c r="Y550" s="42" t="str">
        <f>IF(AND(C550=Master!$H$1,B550="2012-2013",E550&gt;1000,G550="PLN03"),H550,"")</f>
        <v/>
      </c>
      <c r="Z550" s="42" t="str">
        <f>IF(AND(C550=Master!$H$1,B550="2012-2013",E550="",G550="PLN03"),H550,"")</f>
        <v/>
      </c>
      <c r="AA550" s="42" t="str">
        <f>IF(AND(C550=Master!$H$2,B550="2012-2013",E550&gt;1000,G550="PLN03"),H550,"")</f>
        <v/>
      </c>
      <c r="AB550" s="42" t="str">
        <f>IF(AND(C550=Master!$H$2,B550="2012-2013",E550="",G550="PLN03"),H550,"")</f>
        <v/>
      </c>
      <c r="AC550" s="42" t="str">
        <f>IF(AND(C550=Master!$H$3,B550="2012-2013",E550&gt;1000,G550="PLN03"),H550,"")</f>
        <v/>
      </c>
      <c r="AD550" s="42" t="str">
        <f>IF(AND(C550=Master!$H$3,B550="2012-2013",E550="",G550="PLN03"),H550,"")</f>
        <v/>
      </c>
      <c r="AE550" s="42" t="str">
        <f>IF(AND(C550=Master!$H$4,B550="2012-2013",E550&gt;1000,G550="PLN03"),H550,"")</f>
        <v/>
      </c>
      <c r="AF550" s="42" t="str">
        <f>IF(AND(C550=Master!$H$4,B550="2012-2013",E550="",G550="PLN03"),H550,"")</f>
        <v/>
      </c>
      <c r="AG550" s="42" t="str">
        <f>IF(AND(C550=Master!$H$5,B550="2012-2013",E550&gt;1000,G550="PLN03"),H550,"")</f>
        <v/>
      </c>
      <c r="AH550" s="42" t="str">
        <f>IF(AND(C550=Master!$H$5,B550="2012-2013",E550="",G550="PLN03"),H550,"")</f>
        <v/>
      </c>
      <c r="AI550" s="42" t="str">
        <f>IF(AND(C550=Master!$H$6,B550="2012-2013",E550&gt;1000,G550="PLN03"),H550,"")</f>
        <v/>
      </c>
      <c r="AJ550" s="42" t="str">
        <f>IF(AND(C550=Master!$H$6,B550="2012-2013",E550="",G550="PLN03"),H550,"")</f>
        <v/>
      </c>
      <c r="AK550" s="42" t="str">
        <f>IF(AND(C550=Master!$H$7,B550="2012-2013",E550&gt;1000,G550="PLN03"),H550,"")</f>
        <v/>
      </c>
      <c r="AL550" s="42" t="str">
        <f>IF(AND(C550=Master!$H$7,B550="2012-2013",E550="",G550="PLN03"),H550,"")</f>
        <v/>
      </c>
      <c r="AM550" s="42" t="str">
        <f>IF(AND(C550=Master!$H$8,B550="2012-2013",E550&gt;1000,G550="PLN03"),H550,"")</f>
        <v/>
      </c>
      <c r="AN550" s="42" t="str">
        <f>IF(AND(C550=Master!$H$8,B550="2012-2013",E550="",G550="PLN03"),H550,"")</f>
        <v/>
      </c>
      <c r="AO550" s="42" t="str">
        <f>IF(AND(C550=Master!$H$9,B550="2012-2013",E550&gt;1000,G550="PLN03"),H550,"")</f>
        <v/>
      </c>
      <c r="AP550" s="42" t="str">
        <f>IF(AND(C550=Master!$H$9,B550="2012-2013",E550="",G550="PLN03"),H550,"")</f>
        <v/>
      </c>
      <c r="AQ550" s="44" t="str">
        <f>IF(AND(C550=Master!$H$1,B550="2012-2013",E550&gt;1000,G550="NPN05"),H550,"")</f>
        <v/>
      </c>
      <c r="AR550" s="44" t="str">
        <f>IF(AND(C550=Master!$H$1,B550="2012-2013",E550="",G550="NPN05"),H550,"")</f>
        <v/>
      </c>
      <c r="AS550" s="44" t="str">
        <f>IF(AND(C550=Master!$H$2,B550="2012-2013",E550&gt;1000,G550="NPN05"),H550,"")</f>
        <v/>
      </c>
      <c r="AT550" s="44" t="str">
        <f>IF(AND(C550=Master!$H$2,B550="2012-2013",E550="",G550="NPN05"),H550,"")</f>
        <v/>
      </c>
      <c r="AU550" s="44" t="str">
        <f>IF(AND(C550=Master!$H$3,B550="2012-2013",E550&gt;1000,G550="NPN05"),H550,"")</f>
        <v/>
      </c>
      <c r="AV550" s="44" t="str">
        <f>IF(AND(C550=Master!$H$3,B550="2012-2013",E550="",G550="NPN05"),H550,"")</f>
        <v/>
      </c>
      <c r="AW550" s="44" t="str">
        <f>IF(AND(C550=Master!$H$4,B550="2012-2013",E550&gt;1000,G550="NPN05"),H550,"")</f>
        <v/>
      </c>
      <c r="AX550" s="44" t="str">
        <f>IF(AND(C550=Master!$H$4,B550="2012-2013",E550="",G550="NPN05"),H550,"")</f>
        <v/>
      </c>
      <c r="AY550" s="44" t="str">
        <f>IF(AND(C550=Master!$H$5,B550="2012-2013",E550&gt;1000,G550="NPN05"),H550,"")</f>
        <v/>
      </c>
      <c r="AZ550" s="44" t="str">
        <f>IF(AND(C550=Master!$H$5,B550="2012-2013",E550="",G550="NPN05"),H550,"")</f>
        <v/>
      </c>
      <c r="BA550" s="44" t="str">
        <f>IF(AND(C550=Master!$H$6,B550="2012-2013",E550&gt;1000,G550="NPN05"),H550,"")</f>
        <v/>
      </c>
      <c r="BB550" s="44" t="str">
        <f>IF(AND(C550=Master!$H$6,B550="2012-2013",E550="",G550="NPN05"),H550,"")</f>
        <v/>
      </c>
      <c r="BC550" s="44" t="str">
        <f>IF(AND(C550=Master!$H$7,B550="2012-2013",E550&gt;1000,G550="NPN05"),H550,"")</f>
        <v/>
      </c>
      <c r="BD550" s="44" t="str">
        <f>IF(AND(C550=Master!$H$7,B550="2012-2013",E550="",G550="NPN05"),H550,"")</f>
        <v/>
      </c>
      <c r="BE550" s="44" t="str">
        <f>IF(AND(C550=Master!$H$8,B550="2012-2013",E550&gt;1000,G550="NPN05"),H550,"")</f>
        <v/>
      </c>
      <c r="BF550" s="44" t="str">
        <f>IF(AND(C550=Master!$H$8,B550="2012-2013",E550="",G550="NPN05"),H550,"")</f>
        <v/>
      </c>
      <c r="BG550" s="44" t="str">
        <f>IF(AND(C550=Master!$H$9,B550="2012-2013",E550&gt;1000,G550="NPN05"),H550,"")</f>
        <v/>
      </c>
      <c r="BH550" s="44" t="str">
        <f>IF(AND(C550=Master!$H$9,B550="2012-2013",E550="",G550="NPN05"),H550,"")</f>
        <v/>
      </c>
    </row>
    <row r="551" spans="1:60" x14ac:dyDescent="0.25">
      <c r="A551" s="3">
        <v>549</v>
      </c>
      <c r="B551" s="12"/>
      <c r="C551" s="12"/>
      <c r="D551" s="31"/>
      <c r="E551" s="4"/>
      <c r="F551" s="13"/>
      <c r="G551" s="21"/>
      <c r="H551" s="35"/>
      <c r="I551" s="21"/>
      <c r="J551" s="25" t="str">
        <f>IF(NOT(I551=""),INDEX(Master!$B$1:$B$46,MATCH(I551,Master!$A$1:$A$46,0)),"")</f>
        <v/>
      </c>
      <c r="K551" s="18"/>
      <c r="L551" s="86"/>
      <c r="M551" s="13"/>
      <c r="N551" s="13"/>
      <c r="O551" s="18"/>
      <c r="P551" s="35"/>
      <c r="Q551" s="21"/>
      <c r="R551" s="21"/>
      <c r="S551" s="13"/>
      <c r="T551" s="12"/>
      <c r="U551" s="12"/>
      <c r="V551" s="12"/>
      <c r="W551" s="14"/>
      <c r="Y551" s="42" t="str">
        <f>IF(AND(C551=Master!$H$1,B551="2012-2013",E551&gt;1000,G551="PLN03"),H551,"")</f>
        <v/>
      </c>
      <c r="Z551" s="42" t="str">
        <f>IF(AND(C551=Master!$H$1,B551="2012-2013",E551="",G551="PLN03"),H551,"")</f>
        <v/>
      </c>
      <c r="AA551" s="42" t="str">
        <f>IF(AND(C551=Master!$H$2,B551="2012-2013",E551&gt;1000,G551="PLN03"),H551,"")</f>
        <v/>
      </c>
      <c r="AB551" s="42" t="str">
        <f>IF(AND(C551=Master!$H$2,B551="2012-2013",E551="",G551="PLN03"),H551,"")</f>
        <v/>
      </c>
      <c r="AC551" s="42" t="str">
        <f>IF(AND(C551=Master!$H$3,B551="2012-2013",E551&gt;1000,G551="PLN03"),H551,"")</f>
        <v/>
      </c>
      <c r="AD551" s="42" t="str">
        <f>IF(AND(C551=Master!$H$3,B551="2012-2013",E551="",G551="PLN03"),H551,"")</f>
        <v/>
      </c>
      <c r="AE551" s="42" t="str">
        <f>IF(AND(C551=Master!$H$4,B551="2012-2013",E551&gt;1000,G551="PLN03"),H551,"")</f>
        <v/>
      </c>
      <c r="AF551" s="42" t="str">
        <f>IF(AND(C551=Master!$H$4,B551="2012-2013",E551="",G551="PLN03"),H551,"")</f>
        <v/>
      </c>
      <c r="AG551" s="42" t="str">
        <f>IF(AND(C551=Master!$H$5,B551="2012-2013",E551&gt;1000,G551="PLN03"),H551,"")</f>
        <v/>
      </c>
      <c r="AH551" s="42" t="str">
        <f>IF(AND(C551=Master!$H$5,B551="2012-2013",E551="",G551="PLN03"),H551,"")</f>
        <v/>
      </c>
      <c r="AI551" s="42" t="str">
        <f>IF(AND(C551=Master!$H$6,B551="2012-2013",E551&gt;1000,G551="PLN03"),H551,"")</f>
        <v/>
      </c>
      <c r="AJ551" s="42" t="str">
        <f>IF(AND(C551=Master!$H$6,B551="2012-2013",E551="",G551="PLN03"),H551,"")</f>
        <v/>
      </c>
      <c r="AK551" s="42" t="str">
        <f>IF(AND(C551=Master!$H$7,B551="2012-2013",E551&gt;1000,G551="PLN03"),H551,"")</f>
        <v/>
      </c>
      <c r="AL551" s="42" t="str">
        <f>IF(AND(C551=Master!$H$7,B551="2012-2013",E551="",G551="PLN03"),H551,"")</f>
        <v/>
      </c>
      <c r="AM551" s="42" t="str">
        <f>IF(AND(C551=Master!$H$8,B551="2012-2013",E551&gt;1000,G551="PLN03"),H551,"")</f>
        <v/>
      </c>
      <c r="AN551" s="42" t="str">
        <f>IF(AND(C551=Master!$H$8,B551="2012-2013",E551="",G551="PLN03"),H551,"")</f>
        <v/>
      </c>
      <c r="AO551" s="42" t="str">
        <f>IF(AND(C551=Master!$H$9,B551="2012-2013",E551&gt;1000,G551="PLN03"),H551,"")</f>
        <v/>
      </c>
      <c r="AP551" s="42" t="str">
        <f>IF(AND(C551=Master!$H$9,B551="2012-2013",E551="",G551="PLN03"),H551,"")</f>
        <v/>
      </c>
      <c r="AQ551" s="44" t="str">
        <f>IF(AND(C551=Master!$H$1,B551="2012-2013",E551&gt;1000,G551="NPN05"),H551,"")</f>
        <v/>
      </c>
      <c r="AR551" s="44" t="str">
        <f>IF(AND(C551=Master!$H$1,B551="2012-2013",E551="",G551="NPN05"),H551,"")</f>
        <v/>
      </c>
      <c r="AS551" s="44" t="str">
        <f>IF(AND(C551=Master!$H$2,B551="2012-2013",E551&gt;1000,G551="NPN05"),H551,"")</f>
        <v/>
      </c>
      <c r="AT551" s="44" t="str">
        <f>IF(AND(C551=Master!$H$2,B551="2012-2013",E551="",G551="NPN05"),H551,"")</f>
        <v/>
      </c>
      <c r="AU551" s="44" t="str">
        <f>IF(AND(C551=Master!$H$3,B551="2012-2013",E551&gt;1000,G551="NPN05"),H551,"")</f>
        <v/>
      </c>
      <c r="AV551" s="44" t="str">
        <f>IF(AND(C551=Master!$H$3,B551="2012-2013",E551="",G551="NPN05"),H551,"")</f>
        <v/>
      </c>
      <c r="AW551" s="44" t="str">
        <f>IF(AND(C551=Master!$H$4,B551="2012-2013",E551&gt;1000,G551="NPN05"),H551,"")</f>
        <v/>
      </c>
      <c r="AX551" s="44" t="str">
        <f>IF(AND(C551=Master!$H$4,B551="2012-2013",E551="",G551="NPN05"),H551,"")</f>
        <v/>
      </c>
      <c r="AY551" s="44" t="str">
        <f>IF(AND(C551=Master!$H$5,B551="2012-2013",E551&gt;1000,G551="NPN05"),H551,"")</f>
        <v/>
      </c>
      <c r="AZ551" s="44" t="str">
        <f>IF(AND(C551=Master!$H$5,B551="2012-2013",E551="",G551="NPN05"),H551,"")</f>
        <v/>
      </c>
      <c r="BA551" s="44" t="str">
        <f>IF(AND(C551=Master!$H$6,B551="2012-2013",E551&gt;1000,G551="NPN05"),H551,"")</f>
        <v/>
      </c>
      <c r="BB551" s="44" t="str">
        <f>IF(AND(C551=Master!$H$6,B551="2012-2013",E551="",G551="NPN05"),H551,"")</f>
        <v/>
      </c>
      <c r="BC551" s="44" t="str">
        <f>IF(AND(C551=Master!$H$7,B551="2012-2013",E551&gt;1000,G551="NPN05"),H551,"")</f>
        <v/>
      </c>
      <c r="BD551" s="44" t="str">
        <f>IF(AND(C551=Master!$H$7,B551="2012-2013",E551="",G551="NPN05"),H551,"")</f>
        <v/>
      </c>
      <c r="BE551" s="44" t="str">
        <f>IF(AND(C551=Master!$H$8,B551="2012-2013",E551&gt;1000,G551="NPN05"),H551,"")</f>
        <v/>
      </c>
      <c r="BF551" s="44" t="str">
        <f>IF(AND(C551=Master!$H$8,B551="2012-2013",E551="",G551="NPN05"),H551,"")</f>
        <v/>
      </c>
      <c r="BG551" s="44" t="str">
        <f>IF(AND(C551=Master!$H$9,B551="2012-2013",E551&gt;1000,G551="NPN05"),H551,"")</f>
        <v/>
      </c>
      <c r="BH551" s="44" t="str">
        <f>IF(AND(C551=Master!$H$9,B551="2012-2013",E551="",G551="NPN05"),H551,"")</f>
        <v/>
      </c>
    </row>
    <row r="552" spans="1:60" x14ac:dyDescent="0.25">
      <c r="A552" s="3">
        <v>550</v>
      </c>
      <c r="B552" s="12"/>
      <c r="C552" s="12"/>
      <c r="D552" s="31"/>
      <c r="E552" s="4"/>
      <c r="F552" s="13"/>
      <c r="G552" s="21"/>
      <c r="H552" s="35"/>
      <c r="I552" s="21"/>
      <c r="J552" s="25" t="str">
        <f>IF(NOT(I552=""),INDEX(Master!$B$1:$B$46,MATCH(I552,Master!$A$1:$A$46,0)),"")</f>
        <v/>
      </c>
      <c r="K552" s="18"/>
      <c r="L552" s="86"/>
      <c r="M552" s="13"/>
      <c r="N552" s="13"/>
      <c r="O552" s="18"/>
      <c r="P552" s="35"/>
      <c r="Q552" s="21"/>
      <c r="R552" s="21"/>
      <c r="S552" s="13"/>
      <c r="T552" s="12"/>
      <c r="U552" s="12"/>
      <c r="V552" s="12"/>
      <c r="W552" s="14"/>
      <c r="Y552" s="42" t="str">
        <f>IF(AND(C552=Master!$H$1,B552="2012-2013",E552&gt;1000,G552="PLN03"),H552,"")</f>
        <v/>
      </c>
      <c r="Z552" s="42" t="str">
        <f>IF(AND(C552=Master!$H$1,B552="2012-2013",E552="",G552="PLN03"),H552,"")</f>
        <v/>
      </c>
      <c r="AA552" s="42" t="str">
        <f>IF(AND(C552=Master!$H$2,B552="2012-2013",E552&gt;1000,G552="PLN03"),H552,"")</f>
        <v/>
      </c>
      <c r="AB552" s="42" t="str">
        <f>IF(AND(C552=Master!$H$2,B552="2012-2013",E552="",G552="PLN03"),H552,"")</f>
        <v/>
      </c>
      <c r="AC552" s="42" t="str">
        <f>IF(AND(C552=Master!$H$3,B552="2012-2013",E552&gt;1000,G552="PLN03"),H552,"")</f>
        <v/>
      </c>
      <c r="AD552" s="42" t="str">
        <f>IF(AND(C552=Master!$H$3,B552="2012-2013",E552="",G552="PLN03"),H552,"")</f>
        <v/>
      </c>
      <c r="AE552" s="42" t="str">
        <f>IF(AND(C552=Master!$H$4,B552="2012-2013",E552&gt;1000,G552="PLN03"),H552,"")</f>
        <v/>
      </c>
      <c r="AF552" s="42" t="str">
        <f>IF(AND(C552=Master!$H$4,B552="2012-2013",E552="",G552="PLN03"),H552,"")</f>
        <v/>
      </c>
      <c r="AG552" s="42" t="str">
        <f>IF(AND(C552=Master!$H$5,B552="2012-2013",E552&gt;1000,G552="PLN03"),H552,"")</f>
        <v/>
      </c>
      <c r="AH552" s="42" t="str">
        <f>IF(AND(C552=Master!$H$5,B552="2012-2013",E552="",G552="PLN03"),H552,"")</f>
        <v/>
      </c>
      <c r="AI552" s="42" t="str">
        <f>IF(AND(C552=Master!$H$6,B552="2012-2013",E552&gt;1000,G552="PLN03"),H552,"")</f>
        <v/>
      </c>
      <c r="AJ552" s="42" t="str">
        <f>IF(AND(C552=Master!$H$6,B552="2012-2013",E552="",G552="PLN03"),H552,"")</f>
        <v/>
      </c>
      <c r="AK552" s="42" t="str">
        <f>IF(AND(C552=Master!$H$7,B552="2012-2013",E552&gt;1000,G552="PLN03"),H552,"")</f>
        <v/>
      </c>
      <c r="AL552" s="42" t="str">
        <f>IF(AND(C552=Master!$H$7,B552="2012-2013",E552="",G552="PLN03"),H552,"")</f>
        <v/>
      </c>
      <c r="AM552" s="42" t="str">
        <f>IF(AND(C552=Master!$H$8,B552="2012-2013",E552&gt;1000,G552="PLN03"),H552,"")</f>
        <v/>
      </c>
      <c r="AN552" s="42" t="str">
        <f>IF(AND(C552=Master!$H$8,B552="2012-2013",E552="",G552="PLN03"),H552,"")</f>
        <v/>
      </c>
      <c r="AO552" s="42" t="str">
        <f>IF(AND(C552=Master!$H$9,B552="2012-2013",E552&gt;1000,G552="PLN03"),H552,"")</f>
        <v/>
      </c>
      <c r="AP552" s="42" t="str">
        <f>IF(AND(C552=Master!$H$9,B552="2012-2013",E552="",G552="PLN03"),H552,"")</f>
        <v/>
      </c>
      <c r="AQ552" s="44" t="str">
        <f>IF(AND(C552=Master!$H$1,B552="2012-2013",E552&gt;1000,G552="NPN05"),H552,"")</f>
        <v/>
      </c>
      <c r="AR552" s="44" t="str">
        <f>IF(AND(C552=Master!$H$1,B552="2012-2013",E552="",G552="NPN05"),H552,"")</f>
        <v/>
      </c>
      <c r="AS552" s="44" t="str">
        <f>IF(AND(C552=Master!$H$2,B552="2012-2013",E552&gt;1000,G552="NPN05"),H552,"")</f>
        <v/>
      </c>
      <c r="AT552" s="44" t="str">
        <f>IF(AND(C552=Master!$H$2,B552="2012-2013",E552="",G552="NPN05"),H552,"")</f>
        <v/>
      </c>
      <c r="AU552" s="44" t="str">
        <f>IF(AND(C552=Master!$H$3,B552="2012-2013",E552&gt;1000,G552="NPN05"),H552,"")</f>
        <v/>
      </c>
      <c r="AV552" s="44" t="str">
        <f>IF(AND(C552=Master!$H$3,B552="2012-2013",E552="",G552="NPN05"),H552,"")</f>
        <v/>
      </c>
      <c r="AW552" s="44" t="str">
        <f>IF(AND(C552=Master!$H$4,B552="2012-2013",E552&gt;1000,G552="NPN05"),H552,"")</f>
        <v/>
      </c>
      <c r="AX552" s="44" t="str">
        <f>IF(AND(C552=Master!$H$4,B552="2012-2013",E552="",G552="NPN05"),H552,"")</f>
        <v/>
      </c>
      <c r="AY552" s="44" t="str">
        <f>IF(AND(C552=Master!$H$5,B552="2012-2013",E552&gt;1000,G552="NPN05"),H552,"")</f>
        <v/>
      </c>
      <c r="AZ552" s="44" t="str">
        <f>IF(AND(C552=Master!$H$5,B552="2012-2013",E552="",G552="NPN05"),H552,"")</f>
        <v/>
      </c>
      <c r="BA552" s="44" t="str">
        <f>IF(AND(C552=Master!$H$6,B552="2012-2013",E552&gt;1000,G552="NPN05"),H552,"")</f>
        <v/>
      </c>
      <c r="BB552" s="44" t="str">
        <f>IF(AND(C552=Master!$H$6,B552="2012-2013",E552="",G552="NPN05"),H552,"")</f>
        <v/>
      </c>
      <c r="BC552" s="44" t="str">
        <f>IF(AND(C552=Master!$H$7,B552="2012-2013",E552&gt;1000,G552="NPN05"),H552,"")</f>
        <v/>
      </c>
      <c r="BD552" s="44" t="str">
        <f>IF(AND(C552=Master!$H$7,B552="2012-2013",E552="",G552="NPN05"),H552,"")</f>
        <v/>
      </c>
      <c r="BE552" s="44" t="str">
        <f>IF(AND(C552=Master!$H$8,B552="2012-2013",E552&gt;1000,G552="NPN05"),H552,"")</f>
        <v/>
      </c>
      <c r="BF552" s="44" t="str">
        <f>IF(AND(C552=Master!$H$8,B552="2012-2013",E552="",G552="NPN05"),H552,"")</f>
        <v/>
      </c>
      <c r="BG552" s="44" t="str">
        <f>IF(AND(C552=Master!$H$9,B552="2012-2013",E552&gt;1000,G552="NPN05"),H552,"")</f>
        <v/>
      </c>
      <c r="BH552" s="44" t="str">
        <f>IF(AND(C552=Master!$H$9,B552="2012-2013",E552="",G552="NPN05"),H552,"")</f>
        <v/>
      </c>
    </row>
    <row r="553" spans="1:60" x14ac:dyDescent="0.25">
      <c r="A553" s="5">
        <v>551</v>
      </c>
      <c r="B553" s="12"/>
      <c r="C553" s="12"/>
      <c r="D553" s="31"/>
      <c r="E553" s="4"/>
      <c r="F553" s="13"/>
      <c r="G553" s="21"/>
      <c r="H553" s="35"/>
      <c r="I553" s="21"/>
      <c r="J553" s="25" t="str">
        <f>IF(NOT(I553=""),INDEX(Master!$B$1:$B$46,MATCH(I553,Master!$A$1:$A$46,0)),"")</f>
        <v/>
      </c>
      <c r="K553" s="18"/>
      <c r="L553" s="86"/>
      <c r="M553" s="13"/>
      <c r="N553" s="13"/>
      <c r="O553" s="18"/>
      <c r="P553" s="35"/>
      <c r="Q553" s="21"/>
      <c r="R553" s="21"/>
      <c r="S553" s="13"/>
      <c r="T553" s="12"/>
      <c r="U553" s="12"/>
      <c r="V553" s="12"/>
      <c r="W553" s="14"/>
      <c r="Y553" s="42" t="str">
        <f>IF(AND(C553=Master!$H$1,B553="2012-2013",E553&gt;1000,G553="PLN03"),H553,"")</f>
        <v/>
      </c>
      <c r="Z553" s="42" t="str">
        <f>IF(AND(C553=Master!$H$1,B553="2012-2013",E553="",G553="PLN03"),H553,"")</f>
        <v/>
      </c>
      <c r="AA553" s="42" t="str">
        <f>IF(AND(C553=Master!$H$2,B553="2012-2013",E553&gt;1000,G553="PLN03"),H553,"")</f>
        <v/>
      </c>
      <c r="AB553" s="42" t="str">
        <f>IF(AND(C553=Master!$H$2,B553="2012-2013",E553="",G553="PLN03"),H553,"")</f>
        <v/>
      </c>
      <c r="AC553" s="42" t="str">
        <f>IF(AND(C553=Master!$H$3,B553="2012-2013",E553&gt;1000,G553="PLN03"),H553,"")</f>
        <v/>
      </c>
      <c r="AD553" s="42" t="str">
        <f>IF(AND(C553=Master!$H$3,B553="2012-2013",E553="",G553="PLN03"),H553,"")</f>
        <v/>
      </c>
      <c r="AE553" s="42" t="str">
        <f>IF(AND(C553=Master!$H$4,B553="2012-2013",E553&gt;1000,G553="PLN03"),H553,"")</f>
        <v/>
      </c>
      <c r="AF553" s="42" t="str">
        <f>IF(AND(C553=Master!$H$4,B553="2012-2013",E553="",G553="PLN03"),H553,"")</f>
        <v/>
      </c>
      <c r="AG553" s="42" t="str">
        <f>IF(AND(C553=Master!$H$5,B553="2012-2013",E553&gt;1000,G553="PLN03"),H553,"")</f>
        <v/>
      </c>
      <c r="AH553" s="42" t="str">
        <f>IF(AND(C553=Master!$H$5,B553="2012-2013",E553="",G553="PLN03"),H553,"")</f>
        <v/>
      </c>
      <c r="AI553" s="42" t="str">
        <f>IF(AND(C553=Master!$H$6,B553="2012-2013",E553&gt;1000,G553="PLN03"),H553,"")</f>
        <v/>
      </c>
      <c r="AJ553" s="42" t="str">
        <f>IF(AND(C553=Master!$H$6,B553="2012-2013",E553="",G553="PLN03"),H553,"")</f>
        <v/>
      </c>
      <c r="AK553" s="42" t="str">
        <f>IF(AND(C553=Master!$H$7,B553="2012-2013",E553&gt;1000,G553="PLN03"),H553,"")</f>
        <v/>
      </c>
      <c r="AL553" s="42" t="str">
        <f>IF(AND(C553=Master!$H$7,B553="2012-2013",E553="",G553="PLN03"),H553,"")</f>
        <v/>
      </c>
      <c r="AM553" s="42" t="str">
        <f>IF(AND(C553=Master!$H$8,B553="2012-2013",E553&gt;1000,G553="PLN03"),H553,"")</f>
        <v/>
      </c>
      <c r="AN553" s="42" t="str">
        <f>IF(AND(C553=Master!$H$8,B553="2012-2013",E553="",G553="PLN03"),H553,"")</f>
        <v/>
      </c>
      <c r="AO553" s="42" t="str">
        <f>IF(AND(C553=Master!$H$9,B553="2012-2013",E553&gt;1000,G553="PLN03"),H553,"")</f>
        <v/>
      </c>
      <c r="AP553" s="42" t="str">
        <f>IF(AND(C553=Master!$H$9,B553="2012-2013",E553="",G553="PLN03"),H553,"")</f>
        <v/>
      </c>
      <c r="AQ553" s="44" t="str">
        <f>IF(AND(C553=Master!$H$1,B553="2012-2013",E553&gt;1000,G553="NPN05"),H553,"")</f>
        <v/>
      </c>
      <c r="AR553" s="44" t="str">
        <f>IF(AND(C553=Master!$H$1,B553="2012-2013",E553="",G553="NPN05"),H553,"")</f>
        <v/>
      </c>
      <c r="AS553" s="44" t="str">
        <f>IF(AND(C553=Master!$H$2,B553="2012-2013",E553&gt;1000,G553="NPN05"),H553,"")</f>
        <v/>
      </c>
      <c r="AT553" s="44" t="str">
        <f>IF(AND(C553=Master!$H$2,B553="2012-2013",E553="",G553="NPN05"),H553,"")</f>
        <v/>
      </c>
      <c r="AU553" s="44" t="str">
        <f>IF(AND(C553=Master!$H$3,B553="2012-2013",E553&gt;1000,G553="NPN05"),H553,"")</f>
        <v/>
      </c>
      <c r="AV553" s="44" t="str">
        <f>IF(AND(C553=Master!$H$3,B553="2012-2013",E553="",G553="NPN05"),H553,"")</f>
        <v/>
      </c>
      <c r="AW553" s="44" t="str">
        <f>IF(AND(C553=Master!$H$4,B553="2012-2013",E553&gt;1000,G553="NPN05"),H553,"")</f>
        <v/>
      </c>
      <c r="AX553" s="44" t="str">
        <f>IF(AND(C553=Master!$H$4,B553="2012-2013",E553="",G553="NPN05"),H553,"")</f>
        <v/>
      </c>
      <c r="AY553" s="44" t="str">
        <f>IF(AND(C553=Master!$H$5,B553="2012-2013",E553&gt;1000,G553="NPN05"),H553,"")</f>
        <v/>
      </c>
      <c r="AZ553" s="44" t="str">
        <f>IF(AND(C553=Master!$H$5,B553="2012-2013",E553="",G553="NPN05"),H553,"")</f>
        <v/>
      </c>
      <c r="BA553" s="44" t="str">
        <f>IF(AND(C553=Master!$H$6,B553="2012-2013",E553&gt;1000,G553="NPN05"),H553,"")</f>
        <v/>
      </c>
      <c r="BB553" s="44" t="str">
        <f>IF(AND(C553=Master!$H$6,B553="2012-2013",E553="",G553="NPN05"),H553,"")</f>
        <v/>
      </c>
      <c r="BC553" s="44" t="str">
        <f>IF(AND(C553=Master!$H$7,B553="2012-2013",E553&gt;1000,G553="NPN05"),H553,"")</f>
        <v/>
      </c>
      <c r="BD553" s="44" t="str">
        <f>IF(AND(C553=Master!$H$7,B553="2012-2013",E553="",G553="NPN05"),H553,"")</f>
        <v/>
      </c>
      <c r="BE553" s="44" t="str">
        <f>IF(AND(C553=Master!$H$8,B553="2012-2013",E553&gt;1000,G553="NPN05"),H553,"")</f>
        <v/>
      </c>
      <c r="BF553" s="44" t="str">
        <f>IF(AND(C553=Master!$H$8,B553="2012-2013",E553="",G553="NPN05"),H553,"")</f>
        <v/>
      </c>
      <c r="BG553" s="44" t="str">
        <f>IF(AND(C553=Master!$H$9,B553="2012-2013",E553&gt;1000,G553="NPN05"),H553,"")</f>
        <v/>
      </c>
      <c r="BH553" s="44" t="str">
        <f>IF(AND(C553=Master!$H$9,B553="2012-2013",E553="",G553="NPN05"),H553,"")</f>
        <v/>
      </c>
    </row>
    <row r="554" spans="1:60" x14ac:dyDescent="0.25">
      <c r="A554" s="3">
        <v>552</v>
      </c>
      <c r="B554" s="12"/>
      <c r="C554" s="12"/>
      <c r="D554" s="31"/>
      <c r="E554" s="4"/>
      <c r="F554" s="13"/>
      <c r="G554" s="21"/>
      <c r="H554" s="35"/>
      <c r="I554" s="21"/>
      <c r="J554" s="25" t="str">
        <f>IF(NOT(I554=""),INDEX(Master!$B$1:$B$46,MATCH(I554,Master!$A$1:$A$46,0)),"")</f>
        <v/>
      </c>
      <c r="K554" s="18"/>
      <c r="L554" s="86"/>
      <c r="M554" s="13"/>
      <c r="N554" s="13"/>
      <c r="O554" s="18"/>
      <c r="P554" s="35"/>
      <c r="Q554" s="21"/>
      <c r="R554" s="21"/>
      <c r="S554" s="13"/>
      <c r="T554" s="12"/>
      <c r="U554" s="12"/>
      <c r="V554" s="12"/>
      <c r="W554" s="14"/>
      <c r="Y554" s="42" t="str">
        <f>IF(AND(C554=Master!$H$1,B554="2012-2013",E554&gt;1000,G554="PLN03"),H554,"")</f>
        <v/>
      </c>
      <c r="Z554" s="42" t="str">
        <f>IF(AND(C554=Master!$H$1,B554="2012-2013",E554="",G554="PLN03"),H554,"")</f>
        <v/>
      </c>
      <c r="AA554" s="42" t="str">
        <f>IF(AND(C554=Master!$H$2,B554="2012-2013",E554&gt;1000,G554="PLN03"),H554,"")</f>
        <v/>
      </c>
      <c r="AB554" s="42" t="str">
        <f>IF(AND(C554=Master!$H$2,B554="2012-2013",E554="",G554="PLN03"),H554,"")</f>
        <v/>
      </c>
      <c r="AC554" s="42" t="str">
        <f>IF(AND(C554=Master!$H$3,B554="2012-2013",E554&gt;1000,G554="PLN03"),H554,"")</f>
        <v/>
      </c>
      <c r="AD554" s="42" t="str">
        <f>IF(AND(C554=Master!$H$3,B554="2012-2013",E554="",G554="PLN03"),H554,"")</f>
        <v/>
      </c>
      <c r="AE554" s="42" t="str">
        <f>IF(AND(C554=Master!$H$4,B554="2012-2013",E554&gt;1000,G554="PLN03"),H554,"")</f>
        <v/>
      </c>
      <c r="AF554" s="42" t="str">
        <f>IF(AND(C554=Master!$H$4,B554="2012-2013",E554="",G554="PLN03"),H554,"")</f>
        <v/>
      </c>
      <c r="AG554" s="42" t="str">
        <f>IF(AND(C554=Master!$H$5,B554="2012-2013",E554&gt;1000,G554="PLN03"),H554,"")</f>
        <v/>
      </c>
      <c r="AH554" s="42" t="str">
        <f>IF(AND(C554=Master!$H$5,B554="2012-2013",E554="",G554="PLN03"),H554,"")</f>
        <v/>
      </c>
      <c r="AI554" s="42" t="str">
        <f>IF(AND(C554=Master!$H$6,B554="2012-2013",E554&gt;1000,G554="PLN03"),H554,"")</f>
        <v/>
      </c>
      <c r="AJ554" s="42" t="str">
        <f>IF(AND(C554=Master!$H$6,B554="2012-2013",E554="",G554="PLN03"),H554,"")</f>
        <v/>
      </c>
      <c r="AK554" s="42" t="str">
        <f>IF(AND(C554=Master!$H$7,B554="2012-2013",E554&gt;1000,G554="PLN03"),H554,"")</f>
        <v/>
      </c>
      <c r="AL554" s="42" t="str">
        <f>IF(AND(C554=Master!$H$7,B554="2012-2013",E554="",G554="PLN03"),H554,"")</f>
        <v/>
      </c>
      <c r="AM554" s="42" t="str">
        <f>IF(AND(C554=Master!$H$8,B554="2012-2013",E554&gt;1000,G554="PLN03"),H554,"")</f>
        <v/>
      </c>
      <c r="AN554" s="42" t="str">
        <f>IF(AND(C554=Master!$H$8,B554="2012-2013",E554="",G554="PLN03"),H554,"")</f>
        <v/>
      </c>
      <c r="AO554" s="42" t="str">
        <f>IF(AND(C554=Master!$H$9,B554="2012-2013",E554&gt;1000,G554="PLN03"),H554,"")</f>
        <v/>
      </c>
      <c r="AP554" s="42" t="str">
        <f>IF(AND(C554=Master!$H$9,B554="2012-2013",E554="",G554="PLN03"),H554,"")</f>
        <v/>
      </c>
      <c r="AQ554" s="44" t="str">
        <f>IF(AND(C554=Master!$H$1,B554="2012-2013",E554&gt;1000,G554="NPN05"),H554,"")</f>
        <v/>
      </c>
      <c r="AR554" s="44" t="str">
        <f>IF(AND(C554=Master!$H$1,B554="2012-2013",E554="",G554="NPN05"),H554,"")</f>
        <v/>
      </c>
      <c r="AS554" s="44" t="str">
        <f>IF(AND(C554=Master!$H$2,B554="2012-2013",E554&gt;1000,G554="NPN05"),H554,"")</f>
        <v/>
      </c>
      <c r="AT554" s="44" t="str">
        <f>IF(AND(C554=Master!$H$2,B554="2012-2013",E554="",G554="NPN05"),H554,"")</f>
        <v/>
      </c>
      <c r="AU554" s="44" t="str">
        <f>IF(AND(C554=Master!$H$3,B554="2012-2013",E554&gt;1000,G554="NPN05"),H554,"")</f>
        <v/>
      </c>
      <c r="AV554" s="44" t="str">
        <f>IF(AND(C554=Master!$H$3,B554="2012-2013",E554="",G554="NPN05"),H554,"")</f>
        <v/>
      </c>
      <c r="AW554" s="44" t="str">
        <f>IF(AND(C554=Master!$H$4,B554="2012-2013",E554&gt;1000,G554="NPN05"),H554,"")</f>
        <v/>
      </c>
      <c r="AX554" s="44" t="str">
        <f>IF(AND(C554=Master!$H$4,B554="2012-2013",E554="",G554="NPN05"),H554,"")</f>
        <v/>
      </c>
      <c r="AY554" s="44" t="str">
        <f>IF(AND(C554=Master!$H$5,B554="2012-2013",E554&gt;1000,G554="NPN05"),H554,"")</f>
        <v/>
      </c>
      <c r="AZ554" s="44" t="str">
        <f>IF(AND(C554=Master!$H$5,B554="2012-2013",E554="",G554="NPN05"),H554,"")</f>
        <v/>
      </c>
      <c r="BA554" s="44" t="str">
        <f>IF(AND(C554=Master!$H$6,B554="2012-2013",E554&gt;1000,G554="NPN05"),H554,"")</f>
        <v/>
      </c>
      <c r="BB554" s="44" t="str">
        <f>IF(AND(C554=Master!$H$6,B554="2012-2013",E554="",G554="NPN05"),H554,"")</f>
        <v/>
      </c>
      <c r="BC554" s="44" t="str">
        <f>IF(AND(C554=Master!$H$7,B554="2012-2013",E554&gt;1000,G554="NPN05"),H554,"")</f>
        <v/>
      </c>
      <c r="BD554" s="44" t="str">
        <f>IF(AND(C554=Master!$H$7,B554="2012-2013",E554="",G554="NPN05"),H554,"")</f>
        <v/>
      </c>
      <c r="BE554" s="44" t="str">
        <f>IF(AND(C554=Master!$H$8,B554="2012-2013",E554&gt;1000,G554="NPN05"),H554,"")</f>
        <v/>
      </c>
      <c r="BF554" s="44" t="str">
        <f>IF(AND(C554=Master!$H$8,B554="2012-2013",E554="",G554="NPN05"),H554,"")</f>
        <v/>
      </c>
      <c r="BG554" s="44" t="str">
        <f>IF(AND(C554=Master!$H$9,B554="2012-2013",E554&gt;1000,G554="NPN05"),H554,"")</f>
        <v/>
      </c>
      <c r="BH554" s="44" t="str">
        <f>IF(AND(C554=Master!$H$9,B554="2012-2013",E554="",G554="NPN05"),H554,"")</f>
        <v/>
      </c>
    </row>
    <row r="555" spans="1:60" x14ac:dyDescent="0.25">
      <c r="A555" s="3">
        <v>553</v>
      </c>
      <c r="B555" s="12"/>
      <c r="C555" s="12"/>
      <c r="D555" s="31"/>
      <c r="E555" s="4"/>
      <c r="F555" s="13"/>
      <c r="G555" s="21"/>
      <c r="H555" s="35"/>
      <c r="I555" s="21"/>
      <c r="J555" s="25" t="str">
        <f>IF(NOT(I555=""),INDEX(Master!$B$1:$B$46,MATCH(I555,Master!$A$1:$A$46,0)),"")</f>
        <v/>
      </c>
      <c r="K555" s="18"/>
      <c r="L555" s="86"/>
      <c r="M555" s="13"/>
      <c r="N555" s="13"/>
      <c r="O555" s="18"/>
      <c r="P555" s="35"/>
      <c r="Q555" s="21"/>
      <c r="R555" s="21"/>
      <c r="S555" s="13"/>
      <c r="T555" s="12"/>
      <c r="U555" s="12"/>
      <c r="V555" s="12"/>
      <c r="W555" s="14"/>
      <c r="Y555" s="42" t="str">
        <f>IF(AND(C555=Master!$H$1,B555="2012-2013",E555&gt;1000,G555="PLN03"),H555,"")</f>
        <v/>
      </c>
      <c r="Z555" s="42" t="str">
        <f>IF(AND(C555=Master!$H$1,B555="2012-2013",E555="",G555="PLN03"),H555,"")</f>
        <v/>
      </c>
      <c r="AA555" s="42" t="str">
        <f>IF(AND(C555=Master!$H$2,B555="2012-2013",E555&gt;1000,G555="PLN03"),H555,"")</f>
        <v/>
      </c>
      <c r="AB555" s="42" t="str">
        <f>IF(AND(C555=Master!$H$2,B555="2012-2013",E555="",G555="PLN03"),H555,"")</f>
        <v/>
      </c>
      <c r="AC555" s="42" t="str">
        <f>IF(AND(C555=Master!$H$3,B555="2012-2013",E555&gt;1000,G555="PLN03"),H555,"")</f>
        <v/>
      </c>
      <c r="AD555" s="42" t="str">
        <f>IF(AND(C555=Master!$H$3,B555="2012-2013",E555="",G555="PLN03"),H555,"")</f>
        <v/>
      </c>
      <c r="AE555" s="42" t="str">
        <f>IF(AND(C555=Master!$H$4,B555="2012-2013",E555&gt;1000,G555="PLN03"),H555,"")</f>
        <v/>
      </c>
      <c r="AF555" s="42" t="str">
        <f>IF(AND(C555=Master!$H$4,B555="2012-2013",E555="",G555="PLN03"),H555,"")</f>
        <v/>
      </c>
      <c r="AG555" s="42" t="str">
        <f>IF(AND(C555=Master!$H$5,B555="2012-2013",E555&gt;1000,G555="PLN03"),H555,"")</f>
        <v/>
      </c>
      <c r="AH555" s="42" t="str">
        <f>IF(AND(C555=Master!$H$5,B555="2012-2013",E555="",G555="PLN03"),H555,"")</f>
        <v/>
      </c>
      <c r="AI555" s="42" t="str">
        <f>IF(AND(C555=Master!$H$6,B555="2012-2013",E555&gt;1000,G555="PLN03"),H555,"")</f>
        <v/>
      </c>
      <c r="AJ555" s="42" t="str">
        <f>IF(AND(C555=Master!$H$6,B555="2012-2013",E555="",G555="PLN03"),H555,"")</f>
        <v/>
      </c>
      <c r="AK555" s="42" t="str">
        <f>IF(AND(C555=Master!$H$7,B555="2012-2013",E555&gt;1000,G555="PLN03"),H555,"")</f>
        <v/>
      </c>
      <c r="AL555" s="42" t="str">
        <f>IF(AND(C555=Master!$H$7,B555="2012-2013",E555="",G555="PLN03"),H555,"")</f>
        <v/>
      </c>
      <c r="AM555" s="42" t="str">
        <f>IF(AND(C555=Master!$H$8,B555="2012-2013",E555&gt;1000,G555="PLN03"),H555,"")</f>
        <v/>
      </c>
      <c r="AN555" s="42" t="str">
        <f>IF(AND(C555=Master!$H$8,B555="2012-2013",E555="",G555="PLN03"),H555,"")</f>
        <v/>
      </c>
      <c r="AO555" s="42" t="str">
        <f>IF(AND(C555=Master!$H$9,B555="2012-2013",E555&gt;1000,G555="PLN03"),H555,"")</f>
        <v/>
      </c>
      <c r="AP555" s="42" t="str">
        <f>IF(AND(C555=Master!$H$9,B555="2012-2013",E555="",G555="PLN03"),H555,"")</f>
        <v/>
      </c>
      <c r="AQ555" s="44" t="str">
        <f>IF(AND(C555=Master!$H$1,B555="2012-2013",E555&gt;1000,G555="NPN05"),H555,"")</f>
        <v/>
      </c>
      <c r="AR555" s="44" t="str">
        <f>IF(AND(C555=Master!$H$1,B555="2012-2013",E555="",G555="NPN05"),H555,"")</f>
        <v/>
      </c>
      <c r="AS555" s="44" t="str">
        <f>IF(AND(C555=Master!$H$2,B555="2012-2013",E555&gt;1000,G555="NPN05"),H555,"")</f>
        <v/>
      </c>
      <c r="AT555" s="44" t="str">
        <f>IF(AND(C555=Master!$H$2,B555="2012-2013",E555="",G555="NPN05"),H555,"")</f>
        <v/>
      </c>
      <c r="AU555" s="44" t="str">
        <f>IF(AND(C555=Master!$H$3,B555="2012-2013",E555&gt;1000,G555="NPN05"),H555,"")</f>
        <v/>
      </c>
      <c r="AV555" s="44" t="str">
        <f>IF(AND(C555=Master!$H$3,B555="2012-2013",E555="",G555="NPN05"),H555,"")</f>
        <v/>
      </c>
      <c r="AW555" s="44" t="str">
        <f>IF(AND(C555=Master!$H$4,B555="2012-2013",E555&gt;1000,G555="NPN05"),H555,"")</f>
        <v/>
      </c>
      <c r="AX555" s="44" t="str">
        <f>IF(AND(C555=Master!$H$4,B555="2012-2013",E555="",G555="NPN05"),H555,"")</f>
        <v/>
      </c>
      <c r="AY555" s="44" t="str">
        <f>IF(AND(C555=Master!$H$5,B555="2012-2013",E555&gt;1000,G555="NPN05"),H555,"")</f>
        <v/>
      </c>
      <c r="AZ555" s="44" t="str">
        <f>IF(AND(C555=Master!$H$5,B555="2012-2013",E555="",G555="NPN05"),H555,"")</f>
        <v/>
      </c>
      <c r="BA555" s="44" t="str">
        <f>IF(AND(C555=Master!$H$6,B555="2012-2013",E555&gt;1000,G555="NPN05"),H555,"")</f>
        <v/>
      </c>
      <c r="BB555" s="44" t="str">
        <f>IF(AND(C555=Master!$H$6,B555="2012-2013",E555="",G555="NPN05"),H555,"")</f>
        <v/>
      </c>
      <c r="BC555" s="44" t="str">
        <f>IF(AND(C555=Master!$H$7,B555="2012-2013",E555&gt;1000,G555="NPN05"),H555,"")</f>
        <v/>
      </c>
      <c r="BD555" s="44" t="str">
        <f>IF(AND(C555=Master!$H$7,B555="2012-2013",E555="",G555="NPN05"),H555,"")</f>
        <v/>
      </c>
      <c r="BE555" s="44" t="str">
        <f>IF(AND(C555=Master!$H$8,B555="2012-2013",E555&gt;1000,G555="NPN05"),H555,"")</f>
        <v/>
      </c>
      <c r="BF555" s="44" t="str">
        <f>IF(AND(C555=Master!$H$8,B555="2012-2013",E555="",G555="NPN05"),H555,"")</f>
        <v/>
      </c>
      <c r="BG555" s="44" t="str">
        <f>IF(AND(C555=Master!$H$9,B555="2012-2013",E555&gt;1000,G555="NPN05"),H555,"")</f>
        <v/>
      </c>
      <c r="BH555" s="44" t="str">
        <f>IF(AND(C555=Master!$H$9,B555="2012-2013",E555="",G555="NPN05"),H555,"")</f>
        <v/>
      </c>
    </row>
    <row r="556" spans="1:60" x14ac:dyDescent="0.25">
      <c r="A556" s="3">
        <v>554</v>
      </c>
      <c r="B556" s="12"/>
      <c r="C556" s="12"/>
      <c r="D556" s="31"/>
      <c r="E556" s="4"/>
      <c r="F556" s="13"/>
      <c r="G556" s="21"/>
      <c r="H556" s="35"/>
      <c r="I556" s="21"/>
      <c r="J556" s="25" t="str">
        <f>IF(NOT(I556=""),INDEX(Master!$B$1:$B$46,MATCH(I556,Master!$A$1:$A$46,0)),"")</f>
        <v/>
      </c>
      <c r="K556" s="18"/>
      <c r="L556" s="86"/>
      <c r="M556" s="13"/>
      <c r="N556" s="13"/>
      <c r="O556" s="18"/>
      <c r="P556" s="35"/>
      <c r="Q556" s="21"/>
      <c r="R556" s="21"/>
      <c r="S556" s="13"/>
      <c r="T556" s="12"/>
      <c r="U556" s="12"/>
      <c r="V556" s="12"/>
      <c r="W556" s="14"/>
      <c r="Y556" s="42" t="str">
        <f>IF(AND(C556=Master!$H$1,B556="2012-2013",E556&gt;1000,G556="PLN03"),H556,"")</f>
        <v/>
      </c>
      <c r="Z556" s="42" t="str">
        <f>IF(AND(C556=Master!$H$1,B556="2012-2013",E556="",G556="PLN03"),H556,"")</f>
        <v/>
      </c>
      <c r="AA556" s="42" t="str">
        <f>IF(AND(C556=Master!$H$2,B556="2012-2013",E556&gt;1000,G556="PLN03"),H556,"")</f>
        <v/>
      </c>
      <c r="AB556" s="42" t="str">
        <f>IF(AND(C556=Master!$H$2,B556="2012-2013",E556="",G556="PLN03"),H556,"")</f>
        <v/>
      </c>
      <c r="AC556" s="42" t="str">
        <f>IF(AND(C556=Master!$H$3,B556="2012-2013",E556&gt;1000,G556="PLN03"),H556,"")</f>
        <v/>
      </c>
      <c r="AD556" s="42" t="str">
        <f>IF(AND(C556=Master!$H$3,B556="2012-2013",E556="",G556="PLN03"),H556,"")</f>
        <v/>
      </c>
      <c r="AE556" s="42" t="str">
        <f>IF(AND(C556=Master!$H$4,B556="2012-2013",E556&gt;1000,G556="PLN03"),H556,"")</f>
        <v/>
      </c>
      <c r="AF556" s="42" t="str">
        <f>IF(AND(C556=Master!$H$4,B556="2012-2013",E556="",G556="PLN03"),H556,"")</f>
        <v/>
      </c>
      <c r="AG556" s="42" t="str">
        <f>IF(AND(C556=Master!$H$5,B556="2012-2013",E556&gt;1000,G556="PLN03"),H556,"")</f>
        <v/>
      </c>
      <c r="AH556" s="42" t="str">
        <f>IF(AND(C556=Master!$H$5,B556="2012-2013",E556="",G556="PLN03"),H556,"")</f>
        <v/>
      </c>
      <c r="AI556" s="42" t="str">
        <f>IF(AND(C556=Master!$H$6,B556="2012-2013",E556&gt;1000,G556="PLN03"),H556,"")</f>
        <v/>
      </c>
      <c r="AJ556" s="42" t="str">
        <f>IF(AND(C556=Master!$H$6,B556="2012-2013",E556="",G556="PLN03"),H556,"")</f>
        <v/>
      </c>
      <c r="AK556" s="42" t="str">
        <f>IF(AND(C556=Master!$H$7,B556="2012-2013",E556&gt;1000,G556="PLN03"),H556,"")</f>
        <v/>
      </c>
      <c r="AL556" s="42" t="str">
        <f>IF(AND(C556=Master!$H$7,B556="2012-2013",E556="",G556="PLN03"),H556,"")</f>
        <v/>
      </c>
      <c r="AM556" s="42" t="str">
        <f>IF(AND(C556=Master!$H$8,B556="2012-2013",E556&gt;1000,G556="PLN03"),H556,"")</f>
        <v/>
      </c>
      <c r="AN556" s="42" t="str">
        <f>IF(AND(C556=Master!$H$8,B556="2012-2013",E556="",G556="PLN03"),H556,"")</f>
        <v/>
      </c>
      <c r="AO556" s="42" t="str">
        <f>IF(AND(C556=Master!$H$9,B556="2012-2013",E556&gt;1000,G556="PLN03"),H556,"")</f>
        <v/>
      </c>
      <c r="AP556" s="42" t="str">
        <f>IF(AND(C556=Master!$H$9,B556="2012-2013",E556="",G556="PLN03"),H556,"")</f>
        <v/>
      </c>
      <c r="AQ556" s="44" t="str">
        <f>IF(AND(C556=Master!$H$1,B556="2012-2013",E556&gt;1000,G556="NPN05"),H556,"")</f>
        <v/>
      </c>
      <c r="AR556" s="44" t="str">
        <f>IF(AND(C556=Master!$H$1,B556="2012-2013",E556="",G556="NPN05"),H556,"")</f>
        <v/>
      </c>
      <c r="AS556" s="44" t="str">
        <f>IF(AND(C556=Master!$H$2,B556="2012-2013",E556&gt;1000,G556="NPN05"),H556,"")</f>
        <v/>
      </c>
      <c r="AT556" s="44" t="str">
        <f>IF(AND(C556=Master!$H$2,B556="2012-2013",E556="",G556="NPN05"),H556,"")</f>
        <v/>
      </c>
      <c r="AU556" s="44" t="str">
        <f>IF(AND(C556=Master!$H$3,B556="2012-2013",E556&gt;1000,G556="NPN05"),H556,"")</f>
        <v/>
      </c>
      <c r="AV556" s="44" t="str">
        <f>IF(AND(C556=Master!$H$3,B556="2012-2013",E556="",G556="NPN05"),H556,"")</f>
        <v/>
      </c>
      <c r="AW556" s="44" t="str">
        <f>IF(AND(C556=Master!$H$4,B556="2012-2013",E556&gt;1000,G556="NPN05"),H556,"")</f>
        <v/>
      </c>
      <c r="AX556" s="44" t="str">
        <f>IF(AND(C556=Master!$H$4,B556="2012-2013",E556="",G556="NPN05"),H556,"")</f>
        <v/>
      </c>
      <c r="AY556" s="44" t="str">
        <f>IF(AND(C556=Master!$H$5,B556="2012-2013",E556&gt;1000,G556="NPN05"),H556,"")</f>
        <v/>
      </c>
      <c r="AZ556" s="44" t="str">
        <f>IF(AND(C556=Master!$H$5,B556="2012-2013",E556="",G556="NPN05"),H556,"")</f>
        <v/>
      </c>
      <c r="BA556" s="44" t="str">
        <f>IF(AND(C556=Master!$H$6,B556="2012-2013",E556&gt;1000,G556="NPN05"),H556,"")</f>
        <v/>
      </c>
      <c r="BB556" s="44" t="str">
        <f>IF(AND(C556=Master!$H$6,B556="2012-2013",E556="",G556="NPN05"),H556,"")</f>
        <v/>
      </c>
      <c r="BC556" s="44" t="str">
        <f>IF(AND(C556=Master!$H$7,B556="2012-2013",E556&gt;1000,G556="NPN05"),H556,"")</f>
        <v/>
      </c>
      <c r="BD556" s="44" t="str">
        <f>IF(AND(C556=Master!$H$7,B556="2012-2013",E556="",G556="NPN05"),H556,"")</f>
        <v/>
      </c>
      <c r="BE556" s="44" t="str">
        <f>IF(AND(C556=Master!$H$8,B556="2012-2013",E556&gt;1000,G556="NPN05"),H556,"")</f>
        <v/>
      </c>
      <c r="BF556" s="44" t="str">
        <f>IF(AND(C556=Master!$H$8,B556="2012-2013",E556="",G556="NPN05"),H556,"")</f>
        <v/>
      </c>
      <c r="BG556" s="44" t="str">
        <f>IF(AND(C556=Master!$H$9,B556="2012-2013",E556&gt;1000,G556="NPN05"),H556,"")</f>
        <v/>
      </c>
      <c r="BH556" s="44" t="str">
        <f>IF(AND(C556=Master!$H$9,B556="2012-2013",E556="",G556="NPN05"),H556,"")</f>
        <v/>
      </c>
    </row>
    <row r="557" spans="1:60" x14ac:dyDescent="0.25">
      <c r="A557" s="3">
        <v>555</v>
      </c>
      <c r="B557" s="12"/>
      <c r="C557" s="12"/>
      <c r="D557" s="31"/>
      <c r="E557" s="4"/>
      <c r="F557" s="13"/>
      <c r="G557" s="21"/>
      <c r="H557" s="35"/>
      <c r="I557" s="21"/>
      <c r="J557" s="25" t="str">
        <f>IF(NOT(I557=""),INDEX(Master!$B$1:$B$46,MATCH(I557,Master!$A$1:$A$46,0)),"")</f>
        <v/>
      </c>
      <c r="K557" s="18"/>
      <c r="L557" s="86"/>
      <c r="M557" s="13"/>
      <c r="N557" s="13"/>
      <c r="O557" s="18"/>
      <c r="P557" s="35"/>
      <c r="Q557" s="21"/>
      <c r="R557" s="21"/>
      <c r="S557" s="13"/>
      <c r="T557" s="12"/>
      <c r="U557" s="12"/>
      <c r="V557" s="12"/>
      <c r="W557" s="14"/>
      <c r="Y557" s="42" t="str">
        <f>IF(AND(C557=Master!$H$1,B557="2012-2013",E557&gt;1000,G557="PLN03"),H557,"")</f>
        <v/>
      </c>
      <c r="Z557" s="42" t="str">
        <f>IF(AND(C557=Master!$H$1,B557="2012-2013",E557="",G557="PLN03"),H557,"")</f>
        <v/>
      </c>
      <c r="AA557" s="42" t="str">
        <f>IF(AND(C557=Master!$H$2,B557="2012-2013",E557&gt;1000,G557="PLN03"),H557,"")</f>
        <v/>
      </c>
      <c r="AB557" s="42" t="str">
        <f>IF(AND(C557=Master!$H$2,B557="2012-2013",E557="",G557="PLN03"),H557,"")</f>
        <v/>
      </c>
      <c r="AC557" s="42" t="str">
        <f>IF(AND(C557=Master!$H$3,B557="2012-2013",E557&gt;1000,G557="PLN03"),H557,"")</f>
        <v/>
      </c>
      <c r="AD557" s="42" t="str">
        <f>IF(AND(C557=Master!$H$3,B557="2012-2013",E557="",G557="PLN03"),H557,"")</f>
        <v/>
      </c>
      <c r="AE557" s="42" t="str">
        <f>IF(AND(C557=Master!$H$4,B557="2012-2013",E557&gt;1000,G557="PLN03"),H557,"")</f>
        <v/>
      </c>
      <c r="AF557" s="42" t="str">
        <f>IF(AND(C557=Master!$H$4,B557="2012-2013",E557="",G557="PLN03"),H557,"")</f>
        <v/>
      </c>
      <c r="AG557" s="42" t="str">
        <f>IF(AND(C557=Master!$H$5,B557="2012-2013",E557&gt;1000,G557="PLN03"),H557,"")</f>
        <v/>
      </c>
      <c r="AH557" s="42" t="str">
        <f>IF(AND(C557=Master!$H$5,B557="2012-2013",E557="",G557="PLN03"),H557,"")</f>
        <v/>
      </c>
      <c r="AI557" s="42" t="str">
        <f>IF(AND(C557=Master!$H$6,B557="2012-2013",E557&gt;1000,G557="PLN03"),H557,"")</f>
        <v/>
      </c>
      <c r="AJ557" s="42" t="str">
        <f>IF(AND(C557=Master!$H$6,B557="2012-2013",E557="",G557="PLN03"),H557,"")</f>
        <v/>
      </c>
      <c r="AK557" s="42" t="str">
        <f>IF(AND(C557=Master!$H$7,B557="2012-2013",E557&gt;1000,G557="PLN03"),H557,"")</f>
        <v/>
      </c>
      <c r="AL557" s="42" t="str">
        <f>IF(AND(C557=Master!$H$7,B557="2012-2013",E557="",G557="PLN03"),H557,"")</f>
        <v/>
      </c>
      <c r="AM557" s="42" t="str">
        <f>IF(AND(C557=Master!$H$8,B557="2012-2013",E557&gt;1000,G557="PLN03"),H557,"")</f>
        <v/>
      </c>
      <c r="AN557" s="42" t="str">
        <f>IF(AND(C557=Master!$H$8,B557="2012-2013",E557="",G557="PLN03"),H557,"")</f>
        <v/>
      </c>
      <c r="AO557" s="42" t="str">
        <f>IF(AND(C557=Master!$H$9,B557="2012-2013",E557&gt;1000,G557="PLN03"),H557,"")</f>
        <v/>
      </c>
      <c r="AP557" s="42" t="str">
        <f>IF(AND(C557=Master!$H$9,B557="2012-2013",E557="",G557="PLN03"),H557,"")</f>
        <v/>
      </c>
      <c r="AQ557" s="44" t="str">
        <f>IF(AND(C557=Master!$H$1,B557="2012-2013",E557&gt;1000,G557="NPN05"),H557,"")</f>
        <v/>
      </c>
      <c r="AR557" s="44" t="str">
        <f>IF(AND(C557=Master!$H$1,B557="2012-2013",E557="",G557="NPN05"),H557,"")</f>
        <v/>
      </c>
      <c r="AS557" s="44" t="str">
        <f>IF(AND(C557=Master!$H$2,B557="2012-2013",E557&gt;1000,G557="NPN05"),H557,"")</f>
        <v/>
      </c>
      <c r="AT557" s="44" t="str">
        <f>IF(AND(C557=Master!$H$2,B557="2012-2013",E557="",G557="NPN05"),H557,"")</f>
        <v/>
      </c>
      <c r="AU557" s="44" t="str">
        <f>IF(AND(C557=Master!$H$3,B557="2012-2013",E557&gt;1000,G557="NPN05"),H557,"")</f>
        <v/>
      </c>
      <c r="AV557" s="44" t="str">
        <f>IF(AND(C557=Master!$H$3,B557="2012-2013",E557="",G557="NPN05"),H557,"")</f>
        <v/>
      </c>
      <c r="AW557" s="44" t="str">
        <f>IF(AND(C557=Master!$H$4,B557="2012-2013",E557&gt;1000,G557="NPN05"),H557,"")</f>
        <v/>
      </c>
      <c r="AX557" s="44" t="str">
        <f>IF(AND(C557=Master!$H$4,B557="2012-2013",E557="",G557="NPN05"),H557,"")</f>
        <v/>
      </c>
      <c r="AY557" s="44" t="str">
        <f>IF(AND(C557=Master!$H$5,B557="2012-2013",E557&gt;1000,G557="NPN05"),H557,"")</f>
        <v/>
      </c>
      <c r="AZ557" s="44" t="str">
        <f>IF(AND(C557=Master!$H$5,B557="2012-2013",E557="",G557="NPN05"),H557,"")</f>
        <v/>
      </c>
      <c r="BA557" s="44" t="str">
        <f>IF(AND(C557=Master!$H$6,B557="2012-2013",E557&gt;1000,G557="NPN05"),H557,"")</f>
        <v/>
      </c>
      <c r="BB557" s="44" t="str">
        <f>IF(AND(C557=Master!$H$6,B557="2012-2013",E557="",G557="NPN05"),H557,"")</f>
        <v/>
      </c>
      <c r="BC557" s="44" t="str">
        <f>IF(AND(C557=Master!$H$7,B557="2012-2013",E557&gt;1000,G557="NPN05"),H557,"")</f>
        <v/>
      </c>
      <c r="BD557" s="44" t="str">
        <f>IF(AND(C557=Master!$H$7,B557="2012-2013",E557="",G557="NPN05"),H557,"")</f>
        <v/>
      </c>
      <c r="BE557" s="44" t="str">
        <f>IF(AND(C557=Master!$H$8,B557="2012-2013",E557&gt;1000,G557="NPN05"),H557,"")</f>
        <v/>
      </c>
      <c r="BF557" s="44" t="str">
        <f>IF(AND(C557=Master!$H$8,B557="2012-2013",E557="",G557="NPN05"),H557,"")</f>
        <v/>
      </c>
      <c r="BG557" s="44" t="str">
        <f>IF(AND(C557=Master!$H$9,B557="2012-2013",E557&gt;1000,G557="NPN05"),H557,"")</f>
        <v/>
      </c>
      <c r="BH557" s="44" t="str">
        <f>IF(AND(C557=Master!$H$9,B557="2012-2013",E557="",G557="NPN05"),H557,"")</f>
        <v/>
      </c>
    </row>
    <row r="558" spans="1:60" x14ac:dyDescent="0.25">
      <c r="A558" s="3">
        <v>556</v>
      </c>
      <c r="B558" s="12"/>
      <c r="C558" s="12"/>
      <c r="D558" s="31"/>
      <c r="E558" s="4"/>
      <c r="F558" s="13"/>
      <c r="G558" s="21"/>
      <c r="H558" s="35"/>
      <c r="I558" s="21"/>
      <c r="J558" s="25" t="str">
        <f>IF(NOT(I558=""),INDEX(Master!$B$1:$B$46,MATCH(I558,Master!$A$1:$A$46,0)),"")</f>
        <v/>
      </c>
      <c r="K558" s="18"/>
      <c r="L558" s="86"/>
      <c r="M558" s="13"/>
      <c r="N558" s="13"/>
      <c r="O558" s="18"/>
      <c r="P558" s="35"/>
      <c r="Q558" s="21"/>
      <c r="R558" s="21"/>
      <c r="S558" s="13"/>
      <c r="T558" s="12"/>
      <c r="U558" s="12"/>
      <c r="V558" s="12"/>
      <c r="W558" s="14"/>
      <c r="Y558" s="42" t="str">
        <f>IF(AND(C558=Master!$H$1,B558="2012-2013",E558&gt;1000,G558="PLN03"),H558,"")</f>
        <v/>
      </c>
      <c r="Z558" s="42" t="str">
        <f>IF(AND(C558=Master!$H$1,B558="2012-2013",E558="",G558="PLN03"),H558,"")</f>
        <v/>
      </c>
      <c r="AA558" s="42" t="str">
        <f>IF(AND(C558=Master!$H$2,B558="2012-2013",E558&gt;1000,G558="PLN03"),H558,"")</f>
        <v/>
      </c>
      <c r="AB558" s="42" t="str">
        <f>IF(AND(C558=Master!$H$2,B558="2012-2013",E558="",G558="PLN03"),H558,"")</f>
        <v/>
      </c>
      <c r="AC558" s="42" t="str">
        <f>IF(AND(C558=Master!$H$3,B558="2012-2013",E558&gt;1000,G558="PLN03"),H558,"")</f>
        <v/>
      </c>
      <c r="AD558" s="42" t="str">
        <f>IF(AND(C558=Master!$H$3,B558="2012-2013",E558="",G558="PLN03"),H558,"")</f>
        <v/>
      </c>
      <c r="AE558" s="42" t="str">
        <f>IF(AND(C558=Master!$H$4,B558="2012-2013",E558&gt;1000,G558="PLN03"),H558,"")</f>
        <v/>
      </c>
      <c r="AF558" s="42" t="str">
        <f>IF(AND(C558=Master!$H$4,B558="2012-2013",E558="",G558="PLN03"),H558,"")</f>
        <v/>
      </c>
      <c r="AG558" s="42" t="str">
        <f>IF(AND(C558=Master!$H$5,B558="2012-2013",E558&gt;1000,G558="PLN03"),H558,"")</f>
        <v/>
      </c>
      <c r="AH558" s="42" t="str">
        <f>IF(AND(C558=Master!$H$5,B558="2012-2013",E558="",G558="PLN03"),H558,"")</f>
        <v/>
      </c>
      <c r="AI558" s="42" t="str">
        <f>IF(AND(C558=Master!$H$6,B558="2012-2013",E558&gt;1000,G558="PLN03"),H558,"")</f>
        <v/>
      </c>
      <c r="AJ558" s="42" t="str">
        <f>IF(AND(C558=Master!$H$6,B558="2012-2013",E558="",G558="PLN03"),H558,"")</f>
        <v/>
      </c>
      <c r="AK558" s="42" t="str">
        <f>IF(AND(C558=Master!$H$7,B558="2012-2013",E558&gt;1000,G558="PLN03"),H558,"")</f>
        <v/>
      </c>
      <c r="AL558" s="42" t="str">
        <f>IF(AND(C558=Master!$H$7,B558="2012-2013",E558="",G558="PLN03"),H558,"")</f>
        <v/>
      </c>
      <c r="AM558" s="42" t="str">
        <f>IF(AND(C558=Master!$H$8,B558="2012-2013",E558&gt;1000,G558="PLN03"),H558,"")</f>
        <v/>
      </c>
      <c r="AN558" s="42" t="str">
        <f>IF(AND(C558=Master!$H$8,B558="2012-2013",E558="",G558="PLN03"),H558,"")</f>
        <v/>
      </c>
      <c r="AO558" s="42" t="str">
        <f>IF(AND(C558=Master!$H$9,B558="2012-2013",E558&gt;1000,G558="PLN03"),H558,"")</f>
        <v/>
      </c>
      <c r="AP558" s="42" t="str">
        <f>IF(AND(C558=Master!$H$9,B558="2012-2013",E558="",G558="PLN03"),H558,"")</f>
        <v/>
      </c>
      <c r="AQ558" s="44" t="str">
        <f>IF(AND(C558=Master!$H$1,B558="2012-2013",E558&gt;1000,G558="NPN05"),H558,"")</f>
        <v/>
      </c>
      <c r="AR558" s="44" t="str">
        <f>IF(AND(C558=Master!$H$1,B558="2012-2013",E558="",G558="NPN05"),H558,"")</f>
        <v/>
      </c>
      <c r="AS558" s="44" t="str">
        <f>IF(AND(C558=Master!$H$2,B558="2012-2013",E558&gt;1000,G558="NPN05"),H558,"")</f>
        <v/>
      </c>
      <c r="AT558" s="44" t="str">
        <f>IF(AND(C558=Master!$H$2,B558="2012-2013",E558="",G558="NPN05"),H558,"")</f>
        <v/>
      </c>
      <c r="AU558" s="44" t="str">
        <f>IF(AND(C558=Master!$H$3,B558="2012-2013",E558&gt;1000,G558="NPN05"),H558,"")</f>
        <v/>
      </c>
      <c r="AV558" s="44" t="str">
        <f>IF(AND(C558=Master!$H$3,B558="2012-2013",E558="",G558="NPN05"),H558,"")</f>
        <v/>
      </c>
      <c r="AW558" s="44" t="str">
        <f>IF(AND(C558=Master!$H$4,B558="2012-2013",E558&gt;1000,G558="NPN05"),H558,"")</f>
        <v/>
      </c>
      <c r="AX558" s="44" t="str">
        <f>IF(AND(C558=Master!$H$4,B558="2012-2013",E558="",G558="NPN05"),H558,"")</f>
        <v/>
      </c>
      <c r="AY558" s="44" t="str">
        <f>IF(AND(C558=Master!$H$5,B558="2012-2013",E558&gt;1000,G558="NPN05"),H558,"")</f>
        <v/>
      </c>
      <c r="AZ558" s="44" t="str">
        <f>IF(AND(C558=Master!$H$5,B558="2012-2013",E558="",G558="NPN05"),H558,"")</f>
        <v/>
      </c>
      <c r="BA558" s="44" t="str">
        <f>IF(AND(C558=Master!$H$6,B558="2012-2013",E558&gt;1000,G558="NPN05"),H558,"")</f>
        <v/>
      </c>
      <c r="BB558" s="44" t="str">
        <f>IF(AND(C558=Master!$H$6,B558="2012-2013",E558="",G558="NPN05"),H558,"")</f>
        <v/>
      </c>
      <c r="BC558" s="44" t="str">
        <f>IF(AND(C558=Master!$H$7,B558="2012-2013",E558&gt;1000,G558="NPN05"),H558,"")</f>
        <v/>
      </c>
      <c r="BD558" s="44" t="str">
        <f>IF(AND(C558=Master!$H$7,B558="2012-2013",E558="",G558="NPN05"),H558,"")</f>
        <v/>
      </c>
      <c r="BE558" s="44" t="str">
        <f>IF(AND(C558=Master!$H$8,B558="2012-2013",E558&gt;1000,G558="NPN05"),H558,"")</f>
        <v/>
      </c>
      <c r="BF558" s="44" t="str">
        <f>IF(AND(C558=Master!$H$8,B558="2012-2013",E558="",G558="NPN05"),H558,"")</f>
        <v/>
      </c>
      <c r="BG558" s="44" t="str">
        <f>IF(AND(C558=Master!$H$9,B558="2012-2013",E558&gt;1000,G558="NPN05"),H558,"")</f>
        <v/>
      </c>
      <c r="BH558" s="44" t="str">
        <f>IF(AND(C558=Master!$H$9,B558="2012-2013",E558="",G558="NPN05"),H558,"")</f>
        <v/>
      </c>
    </row>
    <row r="559" spans="1:60" x14ac:dyDescent="0.25">
      <c r="A559" s="3">
        <v>557</v>
      </c>
      <c r="B559" s="12"/>
      <c r="C559" s="12"/>
      <c r="D559" s="31"/>
      <c r="E559" s="4"/>
      <c r="F559" s="13"/>
      <c r="G559" s="21"/>
      <c r="H559" s="35"/>
      <c r="I559" s="21"/>
      <c r="J559" s="25" t="str">
        <f>IF(NOT(I559=""),INDEX(Master!$B$1:$B$46,MATCH(I559,Master!$A$1:$A$46,0)),"")</f>
        <v/>
      </c>
      <c r="K559" s="18"/>
      <c r="L559" s="86"/>
      <c r="M559" s="13"/>
      <c r="N559" s="13"/>
      <c r="O559" s="18"/>
      <c r="P559" s="35"/>
      <c r="Q559" s="21"/>
      <c r="R559" s="21"/>
      <c r="S559" s="13"/>
      <c r="T559" s="12"/>
      <c r="U559" s="12"/>
      <c r="V559" s="12"/>
      <c r="W559" s="14"/>
      <c r="Y559" s="42" t="str">
        <f>IF(AND(C559=Master!$H$1,B559="2012-2013",E559&gt;1000,G559="PLN03"),H559,"")</f>
        <v/>
      </c>
      <c r="Z559" s="42" t="str">
        <f>IF(AND(C559=Master!$H$1,B559="2012-2013",E559="",G559="PLN03"),H559,"")</f>
        <v/>
      </c>
      <c r="AA559" s="42" t="str">
        <f>IF(AND(C559=Master!$H$2,B559="2012-2013",E559&gt;1000,G559="PLN03"),H559,"")</f>
        <v/>
      </c>
      <c r="AB559" s="42" t="str">
        <f>IF(AND(C559=Master!$H$2,B559="2012-2013",E559="",G559="PLN03"),H559,"")</f>
        <v/>
      </c>
      <c r="AC559" s="42" t="str">
        <f>IF(AND(C559=Master!$H$3,B559="2012-2013",E559&gt;1000,G559="PLN03"),H559,"")</f>
        <v/>
      </c>
      <c r="AD559" s="42" t="str">
        <f>IF(AND(C559=Master!$H$3,B559="2012-2013",E559="",G559="PLN03"),H559,"")</f>
        <v/>
      </c>
      <c r="AE559" s="42" t="str">
        <f>IF(AND(C559=Master!$H$4,B559="2012-2013",E559&gt;1000,G559="PLN03"),H559,"")</f>
        <v/>
      </c>
      <c r="AF559" s="42" t="str">
        <f>IF(AND(C559=Master!$H$4,B559="2012-2013",E559="",G559="PLN03"),H559,"")</f>
        <v/>
      </c>
      <c r="AG559" s="42" t="str">
        <f>IF(AND(C559=Master!$H$5,B559="2012-2013",E559&gt;1000,G559="PLN03"),H559,"")</f>
        <v/>
      </c>
      <c r="AH559" s="42" t="str">
        <f>IF(AND(C559=Master!$H$5,B559="2012-2013",E559="",G559="PLN03"),H559,"")</f>
        <v/>
      </c>
      <c r="AI559" s="42" t="str">
        <f>IF(AND(C559=Master!$H$6,B559="2012-2013",E559&gt;1000,G559="PLN03"),H559,"")</f>
        <v/>
      </c>
      <c r="AJ559" s="42" t="str">
        <f>IF(AND(C559=Master!$H$6,B559="2012-2013",E559="",G559="PLN03"),H559,"")</f>
        <v/>
      </c>
      <c r="AK559" s="42" t="str">
        <f>IF(AND(C559=Master!$H$7,B559="2012-2013",E559&gt;1000,G559="PLN03"),H559,"")</f>
        <v/>
      </c>
      <c r="AL559" s="42" t="str">
        <f>IF(AND(C559=Master!$H$7,B559="2012-2013",E559="",G559="PLN03"),H559,"")</f>
        <v/>
      </c>
      <c r="AM559" s="42" t="str">
        <f>IF(AND(C559=Master!$H$8,B559="2012-2013",E559&gt;1000,G559="PLN03"),H559,"")</f>
        <v/>
      </c>
      <c r="AN559" s="42" t="str">
        <f>IF(AND(C559=Master!$H$8,B559="2012-2013",E559="",G559="PLN03"),H559,"")</f>
        <v/>
      </c>
      <c r="AO559" s="42" t="str">
        <f>IF(AND(C559=Master!$H$9,B559="2012-2013",E559&gt;1000,G559="PLN03"),H559,"")</f>
        <v/>
      </c>
      <c r="AP559" s="42" t="str">
        <f>IF(AND(C559=Master!$H$9,B559="2012-2013",E559="",G559="PLN03"),H559,"")</f>
        <v/>
      </c>
      <c r="AQ559" s="44" t="str">
        <f>IF(AND(C559=Master!$H$1,B559="2012-2013",E559&gt;1000,G559="NPN05"),H559,"")</f>
        <v/>
      </c>
      <c r="AR559" s="44" t="str">
        <f>IF(AND(C559=Master!$H$1,B559="2012-2013",E559="",G559="NPN05"),H559,"")</f>
        <v/>
      </c>
      <c r="AS559" s="44" t="str">
        <f>IF(AND(C559=Master!$H$2,B559="2012-2013",E559&gt;1000,G559="NPN05"),H559,"")</f>
        <v/>
      </c>
      <c r="AT559" s="44" t="str">
        <f>IF(AND(C559=Master!$H$2,B559="2012-2013",E559="",G559="NPN05"),H559,"")</f>
        <v/>
      </c>
      <c r="AU559" s="44" t="str">
        <f>IF(AND(C559=Master!$H$3,B559="2012-2013",E559&gt;1000,G559="NPN05"),H559,"")</f>
        <v/>
      </c>
      <c r="AV559" s="44" t="str">
        <f>IF(AND(C559=Master!$H$3,B559="2012-2013",E559="",G559="NPN05"),H559,"")</f>
        <v/>
      </c>
      <c r="AW559" s="44" t="str">
        <f>IF(AND(C559=Master!$H$4,B559="2012-2013",E559&gt;1000,G559="NPN05"),H559,"")</f>
        <v/>
      </c>
      <c r="AX559" s="44" t="str">
        <f>IF(AND(C559=Master!$H$4,B559="2012-2013",E559="",G559="NPN05"),H559,"")</f>
        <v/>
      </c>
      <c r="AY559" s="44" t="str">
        <f>IF(AND(C559=Master!$H$5,B559="2012-2013",E559&gt;1000,G559="NPN05"),H559,"")</f>
        <v/>
      </c>
      <c r="AZ559" s="44" t="str">
        <f>IF(AND(C559=Master!$H$5,B559="2012-2013",E559="",G559="NPN05"),H559,"")</f>
        <v/>
      </c>
      <c r="BA559" s="44" t="str">
        <f>IF(AND(C559=Master!$H$6,B559="2012-2013",E559&gt;1000,G559="NPN05"),H559,"")</f>
        <v/>
      </c>
      <c r="BB559" s="44" t="str">
        <f>IF(AND(C559=Master!$H$6,B559="2012-2013",E559="",G559="NPN05"),H559,"")</f>
        <v/>
      </c>
      <c r="BC559" s="44" t="str">
        <f>IF(AND(C559=Master!$H$7,B559="2012-2013",E559&gt;1000,G559="NPN05"),H559,"")</f>
        <v/>
      </c>
      <c r="BD559" s="44" t="str">
        <f>IF(AND(C559=Master!$H$7,B559="2012-2013",E559="",G559="NPN05"),H559,"")</f>
        <v/>
      </c>
      <c r="BE559" s="44" t="str">
        <f>IF(AND(C559=Master!$H$8,B559="2012-2013",E559&gt;1000,G559="NPN05"),H559,"")</f>
        <v/>
      </c>
      <c r="BF559" s="44" t="str">
        <f>IF(AND(C559=Master!$H$8,B559="2012-2013",E559="",G559="NPN05"),H559,"")</f>
        <v/>
      </c>
      <c r="BG559" s="44" t="str">
        <f>IF(AND(C559=Master!$H$9,B559="2012-2013",E559&gt;1000,G559="NPN05"),H559,"")</f>
        <v/>
      </c>
      <c r="BH559" s="44" t="str">
        <f>IF(AND(C559=Master!$H$9,B559="2012-2013",E559="",G559="NPN05"),H559,"")</f>
        <v/>
      </c>
    </row>
    <row r="560" spans="1:60" x14ac:dyDescent="0.25">
      <c r="A560" s="3">
        <v>558</v>
      </c>
      <c r="B560" s="12"/>
      <c r="C560" s="12"/>
      <c r="D560" s="31"/>
      <c r="E560" s="4"/>
      <c r="F560" s="13"/>
      <c r="G560" s="21"/>
      <c r="H560" s="35"/>
      <c r="I560" s="21"/>
      <c r="J560" s="25" t="str">
        <f>IF(NOT(I560=""),INDEX(Master!$B$1:$B$46,MATCH(I560,Master!$A$1:$A$46,0)),"")</f>
        <v/>
      </c>
      <c r="K560" s="18"/>
      <c r="L560" s="86"/>
      <c r="M560" s="13"/>
      <c r="N560" s="13"/>
      <c r="O560" s="18"/>
      <c r="P560" s="35"/>
      <c r="Q560" s="21"/>
      <c r="R560" s="21"/>
      <c r="S560" s="13"/>
      <c r="T560" s="12"/>
      <c r="U560" s="12"/>
      <c r="V560" s="12"/>
      <c r="W560" s="14"/>
      <c r="Y560" s="42" t="str">
        <f>IF(AND(C560=Master!$H$1,B560="2012-2013",E560&gt;1000,G560="PLN03"),H560,"")</f>
        <v/>
      </c>
      <c r="Z560" s="42" t="str">
        <f>IF(AND(C560=Master!$H$1,B560="2012-2013",E560="",G560="PLN03"),H560,"")</f>
        <v/>
      </c>
      <c r="AA560" s="42" t="str">
        <f>IF(AND(C560=Master!$H$2,B560="2012-2013",E560&gt;1000,G560="PLN03"),H560,"")</f>
        <v/>
      </c>
      <c r="AB560" s="42" t="str">
        <f>IF(AND(C560=Master!$H$2,B560="2012-2013",E560="",G560="PLN03"),H560,"")</f>
        <v/>
      </c>
      <c r="AC560" s="42" t="str">
        <f>IF(AND(C560=Master!$H$3,B560="2012-2013",E560&gt;1000,G560="PLN03"),H560,"")</f>
        <v/>
      </c>
      <c r="AD560" s="42" t="str">
        <f>IF(AND(C560=Master!$H$3,B560="2012-2013",E560="",G560="PLN03"),H560,"")</f>
        <v/>
      </c>
      <c r="AE560" s="42" t="str">
        <f>IF(AND(C560=Master!$H$4,B560="2012-2013",E560&gt;1000,G560="PLN03"),H560,"")</f>
        <v/>
      </c>
      <c r="AF560" s="42" t="str">
        <f>IF(AND(C560=Master!$H$4,B560="2012-2013",E560="",G560="PLN03"),H560,"")</f>
        <v/>
      </c>
      <c r="AG560" s="42" t="str">
        <f>IF(AND(C560=Master!$H$5,B560="2012-2013",E560&gt;1000,G560="PLN03"),H560,"")</f>
        <v/>
      </c>
      <c r="AH560" s="42" t="str">
        <f>IF(AND(C560=Master!$H$5,B560="2012-2013",E560="",G560="PLN03"),H560,"")</f>
        <v/>
      </c>
      <c r="AI560" s="42" t="str">
        <f>IF(AND(C560=Master!$H$6,B560="2012-2013",E560&gt;1000,G560="PLN03"),H560,"")</f>
        <v/>
      </c>
      <c r="AJ560" s="42" t="str">
        <f>IF(AND(C560=Master!$H$6,B560="2012-2013",E560="",G560="PLN03"),H560,"")</f>
        <v/>
      </c>
      <c r="AK560" s="42" t="str">
        <f>IF(AND(C560=Master!$H$7,B560="2012-2013",E560&gt;1000,G560="PLN03"),H560,"")</f>
        <v/>
      </c>
      <c r="AL560" s="42" t="str">
        <f>IF(AND(C560=Master!$H$7,B560="2012-2013",E560="",G560="PLN03"),H560,"")</f>
        <v/>
      </c>
      <c r="AM560" s="42" t="str">
        <f>IF(AND(C560=Master!$H$8,B560="2012-2013",E560&gt;1000,G560="PLN03"),H560,"")</f>
        <v/>
      </c>
      <c r="AN560" s="42" t="str">
        <f>IF(AND(C560=Master!$H$8,B560="2012-2013",E560="",G560="PLN03"),H560,"")</f>
        <v/>
      </c>
      <c r="AO560" s="42" t="str">
        <f>IF(AND(C560=Master!$H$9,B560="2012-2013",E560&gt;1000,G560="PLN03"),H560,"")</f>
        <v/>
      </c>
      <c r="AP560" s="42" t="str">
        <f>IF(AND(C560=Master!$H$9,B560="2012-2013",E560="",G560="PLN03"),H560,"")</f>
        <v/>
      </c>
      <c r="AQ560" s="44" t="str">
        <f>IF(AND(C560=Master!$H$1,B560="2012-2013",E560&gt;1000,G560="NPN05"),H560,"")</f>
        <v/>
      </c>
      <c r="AR560" s="44" t="str">
        <f>IF(AND(C560=Master!$H$1,B560="2012-2013",E560="",G560="NPN05"),H560,"")</f>
        <v/>
      </c>
      <c r="AS560" s="44" t="str">
        <f>IF(AND(C560=Master!$H$2,B560="2012-2013",E560&gt;1000,G560="NPN05"),H560,"")</f>
        <v/>
      </c>
      <c r="AT560" s="44" t="str">
        <f>IF(AND(C560=Master!$H$2,B560="2012-2013",E560="",G560="NPN05"),H560,"")</f>
        <v/>
      </c>
      <c r="AU560" s="44" t="str">
        <f>IF(AND(C560=Master!$H$3,B560="2012-2013",E560&gt;1000,G560="NPN05"),H560,"")</f>
        <v/>
      </c>
      <c r="AV560" s="44" t="str">
        <f>IF(AND(C560=Master!$H$3,B560="2012-2013",E560="",G560="NPN05"),H560,"")</f>
        <v/>
      </c>
      <c r="AW560" s="44" t="str">
        <f>IF(AND(C560=Master!$H$4,B560="2012-2013",E560&gt;1000,G560="NPN05"),H560,"")</f>
        <v/>
      </c>
      <c r="AX560" s="44" t="str">
        <f>IF(AND(C560=Master!$H$4,B560="2012-2013",E560="",G560="NPN05"),H560,"")</f>
        <v/>
      </c>
      <c r="AY560" s="44" t="str">
        <f>IF(AND(C560=Master!$H$5,B560="2012-2013",E560&gt;1000,G560="NPN05"),H560,"")</f>
        <v/>
      </c>
      <c r="AZ560" s="44" t="str">
        <f>IF(AND(C560=Master!$H$5,B560="2012-2013",E560="",G560="NPN05"),H560,"")</f>
        <v/>
      </c>
      <c r="BA560" s="44" t="str">
        <f>IF(AND(C560=Master!$H$6,B560="2012-2013",E560&gt;1000,G560="NPN05"),H560,"")</f>
        <v/>
      </c>
      <c r="BB560" s="44" t="str">
        <f>IF(AND(C560=Master!$H$6,B560="2012-2013",E560="",G560="NPN05"),H560,"")</f>
        <v/>
      </c>
      <c r="BC560" s="44" t="str">
        <f>IF(AND(C560=Master!$H$7,B560="2012-2013",E560&gt;1000,G560="NPN05"),H560,"")</f>
        <v/>
      </c>
      <c r="BD560" s="44" t="str">
        <f>IF(AND(C560=Master!$H$7,B560="2012-2013",E560="",G560="NPN05"),H560,"")</f>
        <v/>
      </c>
      <c r="BE560" s="44" t="str">
        <f>IF(AND(C560=Master!$H$8,B560="2012-2013",E560&gt;1000,G560="NPN05"),H560,"")</f>
        <v/>
      </c>
      <c r="BF560" s="44" t="str">
        <f>IF(AND(C560=Master!$H$8,B560="2012-2013",E560="",G560="NPN05"),H560,"")</f>
        <v/>
      </c>
      <c r="BG560" s="44" t="str">
        <f>IF(AND(C560=Master!$H$9,B560="2012-2013",E560&gt;1000,G560="NPN05"),H560,"")</f>
        <v/>
      </c>
      <c r="BH560" s="44" t="str">
        <f>IF(AND(C560=Master!$H$9,B560="2012-2013",E560="",G560="NPN05"),H560,"")</f>
        <v/>
      </c>
    </row>
    <row r="561" spans="1:60" x14ac:dyDescent="0.25">
      <c r="A561" s="3">
        <v>559</v>
      </c>
      <c r="B561" s="12"/>
      <c r="C561" s="12"/>
      <c r="D561" s="31"/>
      <c r="E561" s="4"/>
      <c r="F561" s="13"/>
      <c r="G561" s="21"/>
      <c r="H561" s="35"/>
      <c r="I561" s="21"/>
      <c r="J561" s="25" t="str">
        <f>IF(NOT(I561=""),INDEX(Master!$B$1:$B$46,MATCH(I561,Master!$A$1:$A$46,0)),"")</f>
        <v/>
      </c>
      <c r="K561" s="18"/>
      <c r="L561" s="86"/>
      <c r="M561" s="13"/>
      <c r="N561" s="13"/>
      <c r="O561" s="18"/>
      <c r="P561" s="35"/>
      <c r="Q561" s="21"/>
      <c r="R561" s="21"/>
      <c r="S561" s="13"/>
      <c r="T561" s="12"/>
      <c r="U561" s="12"/>
      <c r="V561" s="12"/>
      <c r="W561" s="14"/>
      <c r="Y561" s="42" t="str">
        <f>IF(AND(C561=Master!$H$1,B561="2012-2013",E561&gt;1000,G561="PLN03"),H561,"")</f>
        <v/>
      </c>
      <c r="Z561" s="42" t="str">
        <f>IF(AND(C561=Master!$H$1,B561="2012-2013",E561="",G561="PLN03"),H561,"")</f>
        <v/>
      </c>
      <c r="AA561" s="42" t="str">
        <f>IF(AND(C561=Master!$H$2,B561="2012-2013",E561&gt;1000,G561="PLN03"),H561,"")</f>
        <v/>
      </c>
      <c r="AB561" s="42" t="str">
        <f>IF(AND(C561=Master!$H$2,B561="2012-2013",E561="",G561="PLN03"),H561,"")</f>
        <v/>
      </c>
      <c r="AC561" s="42" t="str">
        <f>IF(AND(C561=Master!$H$3,B561="2012-2013",E561&gt;1000,G561="PLN03"),H561,"")</f>
        <v/>
      </c>
      <c r="AD561" s="42" t="str">
        <f>IF(AND(C561=Master!$H$3,B561="2012-2013",E561="",G561="PLN03"),H561,"")</f>
        <v/>
      </c>
      <c r="AE561" s="42" t="str">
        <f>IF(AND(C561=Master!$H$4,B561="2012-2013",E561&gt;1000,G561="PLN03"),H561,"")</f>
        <v/>
      </c>
      <c r="AF561" s="42" t="str">
        <f>IF(AND(C561=Master!$H$4,B561="2012-2013",E561="",G561="PLN03"),H561,"")</f>
        <v/>
      </c>
      <c r="AG561" s="42" t="str">
        <f>IF(AND(C561=Master!$H$5,B561="2012-2013",E561&gt;1000,G561="PLN03"),H561,"")</f>
        <v/>
      </c>
      <c r="AH561" s="42" t="str">
        <f>IF(AND(C561=Master!$H$5,B561="2012-2013",E561="",G561="PLN03"),H561,"")</f>
        <v/>
      </c>
      <c r="AI561" s="42" t="str">
        <f>IF(AND(C561=Master!$H$6,B561="2012-2013",E561&gt;1000,G561="PLN03"),H561,"")</f>
        <v/>
      </c>
      <c r="AJ561" s="42" t="str">
        <f>IF(AND(C561=Master!$H$6,B561="2012-2013",E561="",G561="PLN03"),H561,"")</f>
        <v/>
      </c>
      <c r="AK561" s="42" t="str">
        <f>IF(AND(C561=Master!$H$7,B561="2012-2013",E561&gt;1000,G561="PLN03"),H561,"")</f>
        <v/>
      </c>
      <c r="AL561" s="42" t="str">
        <f>IF(AND(C561=Master!$H$7,B561="2012-2013",E561="",G561="PLN03"),H561,"")</f>
        <v/>
      </c>
      <c r="AM561" s="42" t="str">
        <f>IF(AND(C561=Master!$H$8,B561="2012-2013",E561&gt;1000,G561="PLN03"),H561,"")</f>
        <v/>
      </c>
      <c r="AN561" s="42" t="str">
        <f>IF(AND(C561=Master!$H$8,B561="2012-2013",E561="",G561="PLN03"),H561,"")</f>
        <v/>
      </c>
      <c r="AO561" s="42" t="str">
        <f>IF(AND(C561=Master!$H$9,B561="2012-2013",E561&gt;1000,G561="PLN03"),H561,"")</f>
        <v/>
      </c>
      <c r="AP561" s="42" t="str">
        <f>IF(AND(C561=Master!$H$9,B561="2012-2013",E561="",G561="PLN03"),H561,"")</f>
        <v/>
      </c>
      <c r="AQ561" s="44" t="str">
        <f>IF(AND(C561=Master!$H$1,B561="2012-2013",E561&gt;1000,G561="NPN05"),H561,"")</f>
        <v/>
      </c>
      <c r="AR561" s="44" t="str">
        <f>IF(AND(C561=Master!$H$1,B561="2012-2013",E561="",G561="NPN05"),H561,"")</f>
        <v/>
      </c>
      <c r="AS561" s="44" t="str">
        <f>IF(AND(C561=Master!$H$2,B561="2012-2013",E561&gt;1000,G561="NPN05"),H561,"")</f>
        <v/>
      </c>
      <c r="AT561" s="44" t="str">
        <f>IF(AND(C561=Master!$H$2,B561="2012-2013",E561="",G561="NPN05"),H561,"")</f>
        <v/>
      </c>
      <c r="AU561" s="44" t="str">
        <f>IF(AND(C561=Master!$H$3,B561="2012-2013",E561&gt;1000,G561="NPN05"),H561,"")</f>
        <v/>
      </c>
      <c r="AV561" s="44" t="str">
        <f>IF(AND(C561=Master!$H$3,B561="2012-2013",E561="",G561="NPN05"),H561,"")</f>
        <v/>
      </c>
      <c r="AW561" s="44" t="str">
        <f>IF(AND(C561=Master!$H$4,B561="2012-2013",E561&gt;1000,G561="NPN05"),H561,"")</f>
        <v/>
      </c>
      <c r="AX561" s="44" t="str">
        <f>IF(AND(C561=Master!$H$4,B561="2012-2013",E561="",G561="NPN05"),H561,"")</f>
        <v/>
      </c>
      <c r="AY561" s="44" t="str">
        <f>IF(AND(C561=Master!$H$5,B561="2012-2013",E561&gt;1000,G561="NPN05"),H561,"")</f>
        <v/>
      </c>
      <c r="AZ561" s="44" t="str">
        <f>IF(AND(C561=Master!$H$5,B561="2012-2013",E561="",G561="NPN05"),H561,"")</f>
        <v/>
      </c>
      <c r="BA561" s="44" t="str">
        <f>IF(AND(C561=Master!$H$6,B561="2012-2013",E561&gt;1000,G561="NPN05"),H561,"")</f>
        <v/>
      </c>
      <c r="BB561" s="44" t="str">
        <f>IF(AND(C561=Master!$H$6,B561="2012-2013",E561="",G561="NPN05"),H561,"")</f>
        <v/>
      </c>
      <c r="BC561" s="44" t="str">
        <f>IF(AND(C561=Master!$H$7,B561="2012-2013",E561&gt;1000,G561="NPN05"),H561,"")</f>
        <v/>
      </c>
      <c r="BD561" s="44" t="str">
        <f>IF(AND(C561=Master!$H$7,B561="2012-2013",E561="",G561="NPN05"),H561,"")</f>
        <v/>
      </c>
      <c r="BE561" s="44" t="str">
        <f>IF(AND(C561=Master!$H$8,B561="2012-2013",E561&gt;1000,G561="NPN05"),H561,"")</f>
        <v/>
      </c>
      <c r="BF561" s="44" t="str">
        <f>IF(AND(C561=Master!$H$8,B561="2012-2013",E561="",G561="NPN05"),H561,"")</f>
        <v/>
      </c>
      <c r="BG561" s="44" t="str">
        <f>IF(AND(C561=Master!$H$9,B561="2012-2013",E561&gt;1000,G561="NPN05"),H561,"")</f>
        <v/>
      </c>
      <c r="BH561" s="44" t="str">
        <f>IF(AND(C561=Master!$H$9,B561="2012-2013",E561="",G561="NPN05"),H561,"")</f>
        <v/>
      </c>
    </row>
    <row r="562" spans="1:60" x14ac:dyDescent="0.25">
      <c r="A562" s="5">
        <v>560</v>
      </c>
      <c r="B562" s="12"/>
      <c r="C562" s="12"/>
      <c r="D562" s="31"/>
      <c r="E562" s="4"/>
      <c r="F562" s="13"/>
      <c r="G562" s="21"/>
      <c r="H562" s="35"/>
      <c r="I562" s="21"/>
      <c r="J562" s="25" t="str">
        <f>IF(NOT(I562=""),INDEX(Master!$B$1:$B$46,MATCH(I562,Master!$A$1:$A$46,0)),"")</f>
        <v/>
      </c>
      <c r="K562" s="18"/>
      <c r="L562" s="86"/>
      <c r="M562" s="13"/>
      <c r="N562" s="13"/>
      <c r="O562" s="18"/>
      <c r="P562" s="35"/>
      <c r="Q562" s="21"/>
      <c r="R562" s="21"/>
      <c r="S562" s="13"/>
      <c r="T562" s="12"/>
      <c r="U562" s="12"/>
      <c r="V562" s="12"/>
      <c r="W562" s="14"/>
      <c r="Y562" s="42" t="str">
        <f>IF(AND(C562=Master!$H$1,B562="2012-2013",E562&gt;1000,G562="PLN03"),H562,"")</f>
        <v/>
      </c>
      <c r="Z562" s="42" t="str">
        <f>IF(AND(C562=Master!$H$1,B562="2012-2013",E562="",G562="PLN03"),H562,"")</f>
        <v/>
      </c>
      <c r="AA562" s="42" t="str">
        <f>IF(AND(C562=Master!$H$2,B562="2012-2013",E562&gt;1000,G562="PLN03"),H562,"")</f>
        <v/>
      </c>
      <c r="AB562" s="42" t="str">
        <f>IF(AND(C562=Master!$H$2,B562="2012-2013",E562="",G562="PLN03"),H562,"")</f>
        <v/>
      </c>
      <c r="AC562" s="42" t="str">
        <f>IF(AND(C562=Master!$H$3,B562="2012-2013",E562&gt;1000,G562="PLN03"),H562,"")</f>
        <v/>
      </c>
      <c r="AD562" s="42" t="str">
        <f>IF(AND(C562=Master!$H$3,B562="2012-2013",E562="",G562="PLN03"),H562,"")</f>
        <v/>
      </c>
      <c r="AE562" s="42" t="str">
        <f>IF(AND(C562=Master!$H$4,B562="2012-2013",E562&gt;1000,G562="PLN03"),H562,"")</f>
        <v/>
      </c>
      <c r="AF562" s="42" t="str">
        <f>IF(AND(C562=Master!$H$4,B562="2012-2013",E562="",G562="PLN03"),H562,"")</f>
        <v/>
      </c>
      <c r="AG562" s="42" t="str">
        <f>IF(AND(C562=Master!$H$5,B562="2012-2013",E562&gt;1000,G562="PLN03"),H562,"")</f>
        <v/>
      </c>
      <c r="AH562" s="42" t="str">
        <f>IF(AND(C562=Master!$H$5,B562="2012-2013",E562="",G562="PLN03"),H562,"")</f>
        <v/>
      </c>
      <c r="AI562" s="42" t="str">
        <f>IF(AND(C562=Master!$H$6,B562="2012-2013",E562&gt;1000,G562="PLN03"),H562,"")</f>
        <v/>
      </c>
      <c r="AJ562" s="42" t="str">
        <f>IF(AND(C562=Master!$H$6,B562="2012-2013",E562="",G562="PLN03"),H562,"")</f>
        <v/>
      </c>
      <c r="AK562" s="42" t="str">
        <f>IF(AND(C562=Master!$H$7,B562="2012-2013",E562&gt;1000,G562="PLN03"),H562,"")</f>
        <v/>
      </c>
      <c r="AL562" s="42" t="str">
        <f>IF(AND(C562=Master!$H$7,B562="2012-2013",E562="",G562="PLN03"),H562,"")</f>
        <v/>
      </c>
      <c r="AM562" s="42" t="str">
        <f>IF(AND(C562=Master!$H$8,B562="2012-2013",E562&gt;1000,G562="PLN03"),H562,"")</f>
        <v/>
      </c>
      <c r="AN562" s="42" t="str">
        <f>IF(AND(C562=Master!$H$8,B562="2012-2013",E562="",G562="PLN03"),H562,"")</f>
        <v/>
      </c>
      <c r="AO562" s="42" t="str">
        <f>IF(AND(C562=Master!$H$9,B562="2012-2013",E562&gt;1000,G562="PLN03"),H562,"")</f>
        <v/>
      </c>
      <c r="AP562" s="42" t="str">
        <f>IF(AND(C562=Master!$H$9,B562="2012-2013",E562="",G562="PLN03"),H562,"")</f>
        <v/>
      </c>
      <c r="AQ562" s="44" t="str">
        <f>IF(AND(C562=Master!$H$1,B562="2012-2013",E562&gt;1000,G562="NPN05"),H562,"")</f>
        <v/>
      </c>
      <c r="AR562" s="44" t="str">
        <f>IF(AND(C562=Master!$H$1,B562="2012-2013",E562="",G562="NPN05"),H562,"")</f>
        <v/>
      </c>
      <c r="AS562" s="44" t="str">
        <f>IF(AND(C562=Master!$H$2,B562="2012-2013",E562&gt;1000,G562="NPN05"),H562,"")</f>
        <v/>
      </c>
      <c r="AT562" s="44" t="str">
        <f>IF(AND(C562=Master!$H$2,B562="2012-2013",E562="",G562="NPN05"),H562,"")</f>
        <v/>
      </c>
      <c r="AU562" s="44" t="str">
        <f>IF(AND(C562=Master!$H$3,B562="2012-2013",E562&gt;1000,G562="NPN05"),H562,"")</f>
        <v/>
      </c>
      <c r="AV562" s="44" t="str">
        <f>IF(AND(C562=Master!$H$3,B562="2012-2013",E562="",G562="NPN05"),H562,"")</f>
        <v/>
      </c>
      <c r="AW562" s="44" t="str">
        <f>IF(AND(C562=Master!$H$4,B562="2012-2013",E562&gt;1000,G562="NPN05"),H562,"")</f>
        <v/>
      </c>
      <c r="AX562" s="44" t="str">
        <f>IF(AND(C562=Master!$H$4,B562="2012-2013",E562="",G562="NPN05"),H562,"")</f>
        <v/>
      </c>
      <c r="AY562" s="44" t="str">
        <f>IF(AND(C562=Master!$H$5,B562="2012-2013",E562&gt;1000,G562="NPN05"),H562,"")</f>
        <v/>
      </c>
      <c r="AZ562" s="44" t="str">
        <f>IF(AND(C562=Master!$H$5,B562="2012-2013",E562="",G562="NPN05"),H562,"")</f>
        <v/>
      </c>
      <c r="BA562" s="44" t="str">
        <f>IF(AND(C562=Master!$H$6,B562="2012-2013",E562&gt;1000,G562="NPN05"),H562,"")</f>
        <v/>
      </c>
      <c r="BB562" s="44" t="str">
        <f>IF(AND(C562=Master!$H$6,B562="2012-2013",E562="",G562="NPN05"),H562,"")</f>
        <v/>
      </c>
      <c r="BC562" s="44" t="str">
        <f>IF(AND(C562=Master!$H$7,B562="2012-2013",E562&gt;1000,G562="NPN05"),H562,"")</f>
        <v/>
      </c>
      <c r="BD562" s="44" t="str">
        <f>IF(AND(C562=Master!$H$7,B562="2012-2013",E562="",G562="NPN05"),H562,"")</f>
        <v/>
      </c>
      <c r="BE562" s="44" t="str">
        <f>IF(AND(C562=Master!$H$8,B562="2012-2013",E562&gt;1000,G562="NPN05"),H562,"")</f>
        <v/>
      </c>
      <c r="BF562" s="44" t="str">
        <f>IF(AND(C562=Master!$H$8,B562="2012-2013",E562="",G562="NPN05"),H562,"")</f>
        <v/>
      </c>
      <c r="BG562" s="44" t="str">
        <f>IF(AND(C562=Master!$H$9,B562="2012-2013",E562&gt;1000,G562="NPN05"),H562,"")</f>
        <v/>
      </c>
      <c r="BH562" s="44" t="str">
        <f>IF(AND(C562=Master!$H$9,B562="2012-2013",E562="",G562="NPN05"),H562,"")</f>
        <v/>
      </c>
    </row>
    <row r="563" spans="1:60" x14ac:dyDescent="0.25">
      <c r="A563" s="3">
        <v>561</v>
      </c>
      <c r="B563" s="12"/>
      <c r="C563" s="12"/>
      <c r="D563" s="31"/>
      <c r="E563" s="4"/>
      <c r="F563" s="13"/>
      <c r="G563" s="21"/>
      <c r="H563" s="35"/>
      <c r="I563" s="21"/>
      <c r="J563" s="25" t="str">
        <f>IF(NOT(I563=""),INDEX(Master!$B$1:$B$46,MATCH(I563,Master!$A$1:$A$46,0)),"")</f>
        <v/>
      </c>
      <c r="K563" s="18"/>
      <c r="L563" s="86"/>
      <c r="M563" s="13"/>
      <c r="N563" s="13"/>
      <c r="O563" s="18"/>
      <c r="P563" s="35"/>
      <c r="Q563" s="21"/>
      <c r="R563" s="21"/>
      <c r="S563" s="13"/>
      <c r="T563" s="12"/>
      <c r="U563" s="12"/>
      <c r="V563" s="12"/>
      <c r="W563" s="14"/>
      <c r="Y563" s="42" t="str">
        <f>IF(AND(C563=Master!$H$1,B563="2012-2013",E563&gt;1000,G563="PLN03"),H563,"")</f>
        <v/>
      </c>
      <c r="Z563" s="42" t="str">
        <f>IF(AND(C563=Master!$H$1,B563="2012-2013",E563="",G563="PLN03"),H563,"")</f>
        <v/>
      </c>
      <c r="AA563" s="42" t="str">
        <f>IF(AND(C563=Master!$H$2,B563="2012-2013",E563&gt;1000,G563="PLN03"),H563,"")</f>
        <v/>
      </c>
      <c r="AB563" s="42" t="str">
        <f>IF(AND(C563=Master!$H$2,B563="2012-2013",E563="",G563="PLN03"),H563,"")</f>
        <v/>
      </c>
      <c r="AC563" s="42" t="str">
        <f>IF(AND(C563=Master!$H$3,B563="2012-2013",E563&gt;1000,G563="PLN03"),H563,"")</f>
        <v/>
      </c>
      <c r="AD563" s="42" t="str">
        <f>IF(AND(C563=Master!$H$3,B563="2012-2013",E563="",G563="PLN03"),H563,"")</f>
        <v/>
      </c>
      <c r="AE563" s="42" t="str">
        <f>IF(AND(C563=Master!$H$4,B563="2012-2013",E563&gt;1000,G563="PLN03"),H563,"")</f>
        <v/>
      </c>
      <c r="AF563" s="42" t="str">
        <f>IF(AND(C563=Master!$H$4,B563="2012-2013",E563="",G563="PLN03"),H563,"")</f>
        <v/>
      </c>
      <c r="AG563" s="42" t="str">
        <f>IF(AND(C563=Master!$H$5,B563="2012-2013",E563&gt;1000,G563="PLN03"),H563,"")</f>
        <v/>
      </c>
      <c r="AH563" s="42" t="str">
        <f>IF(AND(C563=Master!$H$5,B563="2012-2013",E563="",G563="PLN03"),H563,"")</f>
        <v/>
      </c>
      <c r="AI563" s="42" t="str">
        <f>IF(AND(C563=Master!$H$6,B563="2012-2013",E563&gt;1000,G563="PLN03"),H563,"")</f>
        <v/>
      </c>
      <c r="AJ563" s="42" t="str">
        <f>IF(AND(C563=Master!$H$6,B563="2012-2013",E563="",G563="PLN03"),H563,"")</f>
        <v/>
      </c>
      <c r="AK563" s="42" t="str">
        <f>IF(AND(C563=Master!$H$7,B563="2012-2013",E563&gt;1000,G563="PLN03"),H563,"")</f>
        <v/>
      </c>
      <c r="AL563" s="42" t="str">
        <f>IF(AND(C563=Master!$H$7,B563="2012-2013",E563="",G563="PLN03"),H563,"")</f>
        <v/>
      </c>
      <c r="AM563" s="42" t="str">
        <f>IF(AND(C563=Master!$H$8,B563="2012-2013",E563&gt;1000,G563="PLN03"),H563,"")</f>
        <v/>
      </c>
      <c r="AN563" s="42" t="str">
        <f>IF(AND(C563=Master!$H$8,B563="2012-2013",E563="",G563="PLN03"),H563,"")</f>
        <v/>
      </c>
      <c r="AO563" s="42" t="str">
        <f>IF(AND(C563=Master!$H$9,B563="2012-2013",E563&gt;1000,G563="PLN03"),H563,"")</f>
        <v/>
      </c>
      <c r="AP563" s="42" t="str">
        <f>IF(AND(C563=Master!$H$9,B563="2012-2013",E563="",G563="PLN03"),H563,"")</f>
        <v/>
      </c>
      <c r="AQ563" s="44" t="str">
        <f>IF(AND(C563=Master!$H$1,B563="2012-2013",E563&gt;1000,G563="NPN05"),H563,"")</f>
        <v/>
      </c>
      <c r="AR563" s="44" t="str">
        <f>IF(AND(C563=Master!$H$1,B563="2012-2013",E563="",G563="NPN05"),H563,"")</f>
        <v/>
      </c>
      <c r="AS563" s="44" t="str">
        <f>IF(AND(C563=Master!$H$2,B563="2012-2013",E563&gt;1000,G563="NPN05"),H563,"")</f>
        <v/>
      </c>
      <c r="AT563" s="44" t="str">
        <f>IF(AND(C563=Master!$H$2,B563="2012-2013",E563="",G563="NPN05"),H563,"")</f>
        <v/>
      </c>
      <c r="AU563" s="44" t="str">
        <f>IF(AND(C563=Master!$H$3,B563="2012-2013",E563&gt;1000,G563="NPN05"),H563,"")</f>
        <v/>
      </c>
      <c r="AV563" s="44" t="str">
        <f>IF(AND(C563=Master!$H$3,B563="2012-2013",E563="",G563="NPN05"),H563,"")</f>
        <v/>
      </c>
      <c r="AW563" s="44" t="str">
        <f>IF(AND(C563=Master!$H$4,B563="2012-2013",E563&gt;1000,G563="NPN05"),H563,"")</f>
        <v/>
      </c>
      <c r="AX563" s="44" t="str">
        <f>IF(AND(C563=Master!$H$4,B563="2012-2013",E563="",G563="NPN05"),H563,"")</f>
        <v/>
      </c>
      <c r="AY563" s="44" t="str">
        <f>IF(AND(C563=Master!$H$5,B563="2012-2013",E563&gt;1000,G563="NPN05"),H563,"")</f>
        <v/>
      </c>
      <c r="AZ563" s="44" t="str">
        <f>IF(AND(C563=Master!$H$5,B563="2012-2013",E563="",G563="NPN05"),H563,"")</f>
        <v/>
      </c>
      <c r="BA563" s="44" t="str">
        <f>IF(AND(C563=Master!$H$6,B563="2012-2013",E563&gt;1000,G563="NPN05"),H563,"")</f>
        <v/>
      </c>
      <c r="BB563" s="44" t="str">
        <f>IF(AND(C563=Master!$H$6,B563="2012-2013",E563="",G563="NPN05"),H563,"")</f>
        <v/>
      </c>
      <c r="BC563" s="44" t="str">
        <f>IF(AND(C563=Master!$H$7,B563="2012-2013",E563&gt;1000,G563="NPN05"),H563,"")</f>
        <v/>
      </c>
      <c r="BD563" s="44" t="str">
        <f>IF(AND(C563=Master!$H$7,B563="2012-2013",E563="",G563="NPN05"),H563,"")</f>
        <v/>
      </c>
      <c r="BE563" s="44" t="str">
        <f>IF(AND(C563=Master!$H$8,B563="2012-2013",E563&gt;1000,G563="NPN05"),H563,"")</f>
        <v/>
      </c>
      <c r="BF563" s="44" t="str">
        <f>IF(AND(C563=Master!$H$8,B563="2012-2013",E563="",G563="NPN05"),H563,"")</f>
        <v/>
      </c>
      <c r="BG563" s="44" t="str">
        <f>IF(AND(C563=Master!$H$9,B563="2012-2013",E563&gt;1000,G563="NPN05"),H563,"")</f>
        <v/>
      </c>
      <c r="BH563" s="44" t="str">
        <f>IF(AND(C563=Master!$H$9,B563="2012-2013",E563="",G563="NPN05"),H563,"")</f>
        <v/>
      </c>
    </row>
    <row r="564" spans="1:60" x14ac:dyDescent="0.25">
      <c r="A564" s="3">
        <v>562</v>
      </c>
      <c r="B564" s="12"/>
      <c r="C564" s="12"/>
      <c r="D564" s="31"/>
      <c r="E564" s="4"/>
      <c r="F564" s="13"/>
      <c r="G564" s="21"/>
      <c r="H564" s="35"/>
      <c r="I564" s="21"/>
      <c r="J564" s="25" t="str">
        <f>IF(NOT(I564=""),INDEX(Master!$B$1:$B$46,MATCH(I564,Master!$A$1:$A$46,0)),"")</f>
        <v/>
      </c>
      <c r="K564" s="18"/>
      <c r="L564" s="86"/>
      <c r="M564" s="13"/>
      <c r="N564" s="13"/>
      <c r="O564" s="18"/>
      <c r="P564" s="35"/>
      <c r="Q564" s="21"/>
      <c r="R564" s="21"/>
      <c r="S564" s="13"/>
      <c r="T564" s="12"/>
      <c r="U564" s="12"/>
      <c r="V564" s="12"/>
      <c r="W564" s="14"/>
      <c r="Y564" s="42" t="str">
        <f>IF(AND(C564=Master!$H$1,B564="2012-2013",E564&gt;1000,G564="PLN03"),H564,"")</f>
        <v/>
      </c>
      <c r="Z564" s="42" t="str">
        <f>IF(AND(C564=Master!$H$1,B564="2012-2013",E564="",G564="PLN03"),H564,"")</f>
        <v/>
      </c>
      <c r="AA564" s="42" t="str">
        <f>IF(AND(C564=Master!$H$2,B564="2012-2013",E564&gt;1000,G564="PLN03"),H564,"")</f>
        <v/>
      </c>
      <c r="AB564" s="42" t="str">
        <f>IF(AND(C564=Master!$H$2,B564="2012-2013",E564="",G564="PLN03"),H564,"")</f>
        <v/>
      </c>
      <c r="AC564" s="42" t="str">
        <f>IF(AND(C564=Master!$H$3,B564="2012-2013",E564&gt;1000,G564="PLN03"),H564,"")</f>
        <v/>
      </c>
      <c r="AD564" s="42" t="str">
        <f>IF(AND(C564=Master!$H$3,B564="2012-2013",E564="",G564="PLN03"),H564,"")</f>
        <v/>
      </c>
      <c r="AE564" s="42" t="str">
        <f>IF(AND(C564=Master!$H$4,B564="2012-2013",E564&gt;1000,G564="PLN03"),H564,"")</f>
        <v/>
      </c>
      <c r="AF564" s="42" t="str">
        <f>IF(AND(C564=Master!$H$4,B564="2012-2013",E564="",G564="PLN03"),H564,"")</f>
        <v/>
      </c>
      <c r="AG564" s="42" t="str">
        <f>IF(AND(C564=Master!$H$5,B564="2012-2013",E564&gt;1000,G564="PLN03"),H564,"")</f>
        <v/>
      </c>
      <c r="AH564" s="42" t="str">
        <f>IF(AND(C564=Master!$H$5,B564="2012-2013",E564="",G564="PLN03"),H564,"")</f>
        <v/>
      </c>
      <c r="AI564" s="42" t="str">
        <f>IF(AND(C564=Master!$H$6,B564="2012-2013",E564&gt;1000,G564="PLN03"),H564,"")</f>
        <v/>
      </c>
      <c r="AJ564" s="42" t="str">
        <f>IF(AND(C564=Master!$H$6,B564="2012-2013",E564="",G564="PLN03"),H564,"")</f>
        <v/>
      </c>
      <c r="AK564" s="42" t="str">
        <f>IF(AND(C564=Master!$H$7,B564="2012-2013",E564&gt;1000,G564="PLN03"),H564,"")</f>
        <v/>
      </c>
      <c r="AL564" s="42" t="str">
        <f>IF(AND(C564=Master!$H$7,B564="2012-2013",E564="",G564="PLN03"),H564,"")</f>
        <v/>
      </c>
      <c r="AM564" s="42" t="str">
        <f>IF(AND(C564=Master!$H$8,B564="2012-2013",E564&gt;1000,G564="PLN03"),H564,"")</f>
        <v/>
      </c>
      <c r="AN564" s="42" t="str">
        <f>IF(AND(C564=Master!$H$8,B564="2012-2013",E564="",G564="PLN03"),H564,"")</f>
        <v/>
      </c>
      <c r="AO564" s="42" t="str">
        <f>IF(AND(C564=Master!$H$9,B564="2012-2013",E564&gt;1000,G564="PLN03"),H564,"")</f>
        <v/>
      </c>
      <c r="AP564" s="42" t="str">
        <f>IF(AND(C564=Master!$H$9,B564="2012-2013",E564="",G564="PLN03"),H564,"")</f>
        <v/>
      </c>
      <c r="AQ564" s="44" t="str">
        <f>IF(AND(C564=Master!$H$1,B564="2012-2013",E564&gt;1000,G564="NPN05"),H564,"")</f>
        <v/>
      </c>
      <c r="AR564" s="44" t="str">
        <f>IF(AND(C564=Master!$H$1,B564="2012-2013",E564="",G564="NPN05"),H564,"")</f>
        <v/>
      </c>
      <c r="AS564" s="44" t="str">
        <f>IF(AND(C564=Master!$H$2,B564="2012-2013",E564&gt;1000,G564="NPN05"),H564,"")</f>
        <v/>
      </c>
      <c r="AT564" s="44" t="str">
        <f>IF(AND(C564=Master!$H$2,B564="2012-2013",E564="",G564="NPN05"),H564,"")</f>
        <v/>
      </c>
      <c r="AU564" s="44" t="str">
        <f>IF(AND(C564=Master!$H$3,B564="2012-2013",E564&gt;1000,G564="NPN05"),H564,"")</f>
        <v/>
      </c>
      <c r="AV564" s="44" t="str">
        <f>IF(AND(C564=Master!$H$3,B564="2012-2013",E564="",G564="NPN05"),H564,"")</f>
        <v/>
      </c>
      <c r="AW564" s="44" t="str">
        <f>IF(AND(C564=Master!$H$4,B564="2012-2013",E564&gt;1000,G564="NPN05"),H564,"")</f>
        <v/>
      </c>
      <c r="AX564" s="44" t="str">
        <f>IF(AND(C564=Master!$H$4,B564="2012-2013",E564="",G564="NPN05"),H564,"")</f>
        <v/>
      </c>
      <c r="AY564" s="44" t="str">
        <f>IF(AND(C564=Master!$H$5,B564="2012-2013",E564&gt;1000,G564="NPN05"),H564,"")</f>
        <v/>
      </c>
      <c r="AZ564" s="44" t="str">
        <f>IF(AND(C564=Master!$H$5,B564="2012-2013",E564="",G564="NPN05"),H564,"")</f>
        <v/>
      </c>
      <c r="BA564" s="44" t="str">
        <f>IF(AND(C564=Master!$H$6,B564="2012-2013",E564&gt;1000,G564="NPN05"),H564,"")</f>
        <v/>
      </c>
      <c r="BB564" s="44" t="str">
        <f>IF(AND(C564=Master!$H$6,B564="2012-2013",E564="",G564="NPN05"),H564,"")</f>
        <v/>
      </c>
      <c r="BC564" s="44" t="str">
        <f>IF(AND(C564=Master!$H$7,B564="2012-2013",E564&gt;1000,G564="NPN05"),H564,"")</f>
        <v/>
      </c>
      <c r="BD564" s="44" t="str">
        <f>IF(AND(C564=Master!$H$7,B564="2012-2013",E564="",G564="NPN05"),H564,"")</f>
        <v/>
      </c>
      <c r="BE564" s="44" t="str">
        <f>IF(AND(C564=Master!$H$8,B564="2012-2013",E564&gt;1000,G564="NPN05"),H564,"")</f>
        <v/>
      </c>
      <c r="BF564" s="44" t="str">
        <f>IF(AND(C564=Master!$H$8,B564="2012-2013",E564="",G564="NPN05"),H564,"")</f>
        <v/>
      </c>
      <c r="BG564" s="44" t="str">
        <f>IF(AND(C564=Master!$H$9,B564="2012-2013",E564&gt;1000,G564="NPN05"),H564,"")</f>
        <v/>
      </c>
      <c r="BH564" s="44" t="str">
        <f>IF(AND(C564=Master!$H$9,B564="2012-2013",E564="",G564="NPN05"),H564,"")</f>
        <v/>
      </c>
    </row>
    <row r="565" spans="1:60" x14ac:dyDescent="0.25">
      <c r="A565" s="3">
        <v>563</v>
      </c>
      <c r="B565" s="12"/>
      <c r="C565" s="12"/>
      <c r="D565" s="31"/>
      <c r="E565" s="4"/>
      <c r="F565" s="13"/>
      <c r="G565" s="21"/>
      <c r="H565" s="35"/>
      <c r="I565" s="21"/>
      <c r="J565" s="25" t="str">
        <f>IF(NOT(I565=""),INDEX(Master!$B$1:$B$46,MATCH(I565,Master!$A$1:$A$46,0)),"")</f>
        <v/>
      </c>
      <c r="K565" s="18"/>
      <c r="L565" s="86"/>
      <c r="M565" s="13"/>
      <c r="N565" s="13"/>
      <c r="O565" s="18"/>
      <c r="P565" s="35"/>
      <c r="Q565" s="21"/>
      <c r="R565" s="21"/>
      <c r="S565" s="13"/>
      <c r="T565" s="12"/>
      <c r="U565" s="12"/>
      <c r="V565" s="12"/>
      <c r="W565" s="14"/>
      <c r="Y565" s="42" t="str">
        <f>IF(AND(C565=Master!$H$1,B565="2012-2013",E565&gt;1000,G565="PLN03"),H565,"")</f>
        <v/>
      </c>
      <c r="Z565" s="42" t="str">
        <f>IF(AND(C565=Master!$H$1,B565="2012-2013",E565="",G565="PLN03"),H565,"")</f>
        <v/>
      </c>
      <c r="AA565" s="42" t="str">
        <f>IF(AND(C565=Master!$H$2,B565="2012-2013",E565&gt;1000,G565="PLN03"),H565,"")</f>
        <v/>
      </c>
      <c r="AB565" s="42" t="str">
        <f>IF(AND(C565=Master!$H$2,B565="2012-2013",E565="",G565="PLN03"),H565,"")</f>
        <v/>
      </c>
      <c r="AC565" s="42" t="str">
        <f>IF(AND(C565=Master!$H$3,B565="2012-2013",E565&gt;1000,G565="PLN03"),H565,"")</f>
        <v/>
      </c>
      <c r="AD565" s="42" t="str">
        <f>IF(AND(C565=Master!$H$3,B565="2012-2013",E565="",G565="PLN03"),H565,"")</f>
        <v/>
      </c>
      <c r="AE565" s="42" t="str">
        <f>IF(AND(C565=Master!$H$4,B565="2012-2013",E565&gt;1000,G565="PLN03"),H565,"")</f>
        <v/>
      </c>
      <c r="AF565" s="42" t="str">
        <f>IF(AND(C565=Master!$H$4,B565="2012-2013",E565="",G565="PLN03"),H565,"")</f>
        <v/>
      </c>
      <c r="AG565" s="42" t="str">
        <f>IF(AND(C565=Master!$H$5,B565="2012-2013",E565&gt;1000,G565="PLN03"),H565,"")</f>
        <v/>
      </c>
      <c r="AH565" s="42" t="str">
        <f>IF(AND(C565=Master!$H$5,B565="2012-2013",E565="",G565="PLN03"),H565,"")</f>
        <v/>
      </c>
      <c r="AI565" s="42" t="str">
        <f>IF(AND(C565=Master!$H$6,B565="2012-2013",E565&gt;1000,G565="PLN03"),H565,"")</f>
        <v/>
      </c>
      <c r="AJ565" s="42" t="str">
        <f>IF(AND(C565=Master!$H$6,B565="2012-2013",E565="",G565="PLN03"),H565,"")</f>
        <v/>
      </c>
      <c r="AK565" s="42" t="str">
        <f>IF(AND(C565=Master!$H$7,B565="2012-2013",E565&gt;1000,G565="PLN03"),H565,"")</f>
        <v/>
      </c>
      <c r="AL565" s="42" t="str">
        <f>IF(AND(C565=Master!$H$7,B565="2012-2013",E565="",G565="PLN03"),H565,"")</f>
        <v/>
      </c>
      <c r="AM565" s="42" t="str">
        <f>IF(AND(C565=Master!$H$8,B565="2012-2013",E565&gt;1000,G565="PLN03"),H565,"")</f>
        <v/>
      </c>
      <c r="AN565" s="42" t="str">
        <f>IF(AND(C565=Master!$H$8,B565="2012-2013",E565="",G565="PLN03"),H565,"")</f>
        <v/>
      </c>
      <c r="AO565" s="42" t="str">
        <f>IF(AND(C565=Master!$H$9,B565="2012-2013",E565&gt;1000,G565="PLN03"),H565,"")</f>
        <v/>
      </c>
      <c r="AP565" s="42" t="str">
        <f>IF(AND(C565=Master!$H$9,B565="2012-2013",E565="",G565="PLN03"),H565,"")</f>
        <v/>
      </c>
      <c r="AQ565" s="44" t="str">
        <f>IF(AND(C565=Master!$H$1,B565="2012-2013",E565&gt;1000,G565="NPN05"),H565,"")</f>
        <v/>
      </c>
      <c r="AR565" s="44" t="str">
        <f>IF(AND(C565=Master!$H$1,B565="2012-2013",E565="",G565="NPN05"),H565,"")</f>
        <v/>
      </c>
      <c r="AS565" s="44" t="str">
        <f>IF(AND(C565=Master!$H$2,B565="2012-2013",E565&gt;1000,G565="NPN05"),H565,"")</f>
        <v/>
      </c>
      <c r="AT565" s="44" t="str">
        <f>IF(AND(C565=Master!$H$2,B565="2012-2013",E565="",G565="NPN05"),H565,"")</f>
        <v/>
      </c>
      <c r="AU565" s="44" t="str">
        <f>IF(AND(C565=Master!$H$3,B565="2012-2013",E565&gt;1000,G565="NPN05"),H565,"")</f>
        <v/>
      </c>
      <c r="AV565" s="44" t="str">
        <f>IF(AND(C565=Master!$H$3,B565="2012-2013",E565="",G565="NPN05"),H565,"")</f>
        <v/>
      </c>
      <c r="AW565" s="44" t="str">
        <f>IF(AND(C565=Master!$H$4,B565="2012-2013",E565&gt;1000,G565="NPN05"),H565,"")</f>
        <v/>
      </c>
      <c r="AX565" s="44" t="str">
        <f>IF(AND(C565=Master!$H$4,B565="2012-2013",E565="",G565="NPN05"),H565,"")</f>
        <v/>
      </c>
      <c r="AY565" s="44" t="str">
        <f>IF(AND(C565=Master!$H$5,B565="2012-2013",E565&gt;1000,G565="NPN05"),H565,"")</f>
        <v/>
      </c>
      <c r="AZ565" s="44" t="str">
        <f>IF(AND(C565=Master!$H$5,B565="2012-2013",E565="",G565="NPN05"),H565,"")</f>
        <v/>
      </c>
      <c r="BA565" s="44" t="str">
        <f>IF(AND(C565=Master!$H$6,B565="2012-2013",E565&gt;1000,G565="NPN05"),H565,"")</f>
        <v/>
      </c>
      <c r="BB565" s="44" t="str">
        <f>IF(AND(C565=Master!$H$6,B565="2012-2013",E565="",G565="NPN05"),H565,"")</f>
        <v/>
      </c>
      <c r="BC565" s="44" t="str">
        <f>IF(AND(C565=Master!$H$7,B565="2012-2013",E565&gt;1000,G565="NPN05"),H565,"")</f>
        <v/>
      </c>
      <c r="BD565" s="44" t="str">
        <f>IF(AND(C565=Master!$H$7,B565="2012-2013",E565="",G565="NPN05"),H565,"")</f>
        <v/>
      </c>
      <c r="BE565" s="44" t="str">
        <f>IF(AND(C565=Master!$H$8,B565="2012-2013",E565&gt;1000,G565="NPN05"),H565,"")</f>
        <v/>
      </c>
      <c r="BF565" s="44" t="str">
        <f>IF(AND(C565=Master!$H$8,B565="2012-2013",E565="",G565="NPN05"),H565,"")</f>
        <v/>
      </c>
      <c r="BG565" s="44" t="str">
        <f>IF(AND(C565=Master!$H$9,B565="2012-2013",E565&gt;1000,G565="NPN05"),H565,"")</f>
        <v/>
      </c>
      <c r="BH565" s="44" t="str">
        <f>IF(AND(C565=Master!$H$9,B565="2012-2013",E565="",G565="NPN05"),H565,"")</f>
        <v/>
      </c>
    </row>
    <row r="566" spans="1:60" x14ac:dyDescent="0.25">
      <c r="A566" s="3">
        <v>564</v>
      </c>
      <c r="B566" s="12"/>
      <c r="C566" s="12"/>
      <c r="D566" s="31"/>
      <c r="E566" s="4"/>
      <c r="F566" s="13"/>
      <c r="G566" s="21"/>
      <c r="H566" s="35"/>
      <c r="I566" s="21"/>
      <c r="J566" s="25" t="str">
        <f>IF(NOT(I566=""),INDEX(Master!$B$1:$B$46,MATCH(I566,Master!$A$1:$A$46,0)),"")</f>
        <v/>
      </c>
      <c r="K566" s="18"/>
      <c r="L566" s="86"/>
      <c r="M566" s="13"/>
      <c r="N566" s="13"/>
      <c r="O566" s="18"/>
      <c r="P566" s="35"/>
      <c r="Q566" s="21"/>
      <c r="R566" s="21"/>
      <c r="S566" s="13"/>
      <c r="T566" s="12"/>
      <c r="U566" s="12"/>
      <c r="V566" s="12"/>
      <c r="W566" s="14"/>
      <c r="Y566" s="42" t="str">
        <f>IF(AND(C566=Master!$H$1,B566="2012-2013",E566&gt;1000,G566="PLN03"),H566,"")</f>
        <v/>
      </c>
      <c r="Z566" s="42" t="str">
        <f>IF(AND(C566=Master!$H$1,B566="2012-2013",E566="",G566="PLN03"),H566,"")</f>
        <v/>
      </c>
      <c r="AA566" s="42" t="str">
        <f>IF(AND(C566=Master!$H$2,B566="2012-2013",E566&gt;1000,G566="PLN03"),H566,"")</f>
        <v/>
      </c>
      <c r="AB566" s="42" t="str">
        <f>IF(AND(C566=Master!$H$2,B566="2012-2013",E566="",G566="PLN03"),H566,"")</f>
        <v/>
      </c>
      <c r="AC566" s="42" t="str">
        <f>IF(AND(C566=Master!$H$3,B566="2012-2013",E566&gt;1000,G566="PLN03"),H566,"")</f>
        <v/>
      </c>
      <c r="AD566" s="42" t="str">
        <f>IF(AND(C566=Master!$H$3,B566="2012-2013",E566="",G566="PLN03"),H566,"")</f>
        <v/>
      </c>
      <c r="AE566" s="42" t="str">
        <f>IF(AND(C566=Master!$H$4,B566="2012-2013",E566&gt;1000,G566="PLN03"),H566,"")</f>
        <v/>
      </c>
      <c r="AF566" s="42" t="str">
        <f>IF(AND(C566=Master!$H$4,B566="2012-2013",E566="",G566="PLN03"),H566,"")</f>
        <v/>
      </c>
      <c r="AG566" s="42" t="str">
        <f>IF(AND(C566=Master!$H$5,B566="2012-2013",E566&gt;1000,G566="PLN03"),H566,"")</f>
        <v/>
      </c>
      <c r="AH566" s="42" t="str">
        <f>IF(AND(C566=Master!$H$5,B566="2012-2013",E566="",G566="PLN03"),H566,"")</f>
        <v/>
      </c>
      <c r="AI566" s="42" t="str">
        <f>IF(AND(C566=Master!$H$6,B566="2012-2013",E566&gt;1000,G566="PLN03"),H566,"")</f>
        <v/>
      </c>
      <c r="AJ566" s="42" t="str">
        <f>IF(AND(C566=Master!$H$6,B566="2012-2013",E566="",G566="PLN03"),H566,"")</f>
        <v/>
      </c>
      <c r="AK566" s="42" t="str">
        <f>IF(AND(C566=Master!$H$7,B566="2012-2013",E566&gt;1000,G566="PLN03"),H566,"")</f>
        <v/>
      </c>
      <c r="AL566" s="42" t="str">
        <f>IF(AND(C566=Master!$H$7,B566="2012-2013",E566="",G566="PLN03"),H566,"")</f>
        <v/>
      </c>
      <c r="AM566" s="42" t="str">
        <f>IF(AND(C566=Master!$H$8,B566="2012-2013",E566&gt;1000,G566="PLN03"),H566,"")</f>
        <v/>
      </c>
      <c r="AN566" s="42" t="str">
        <f>IF(AND(C566=Master!$H$8,B566="2012-2013",E566="",G566="PLN03"),H566,"")</f>
        <v/>
      </c>
      <c r="AO566" s="42" t="str">
        <f>IF(AND(C566=Master!$H$9,B566="2012-2013",E566&gt;1000,G566="PLN03"),H566,"")</f>
        <v/>
      </c>
      <c r="AP566" s="42" t="str">
        <f>IF(AND(C566=Master!$H$9,B566="2012-2013",E566="",G566="PLN03"),H566,"")</f>
        <v/>
      </c>
      <c r="AQ566" s="44" t="str">
        <f>IF(AND(C566=Master!$H$1,B566="2012-2013",E566&gt;1000,G566="NPN05"),H566,"")</f>
        <v/>
      </c>
      <c r="AR566" s="44" t="str">
        <f>IF(AND(C566=Master!$H$1,B566="2012-2013",E566="",G566="NPN05"),H566,"")</f>
        <v/>
      </c>
      <c r="AS566" s="44" t="str">
        <f>IF(AND(C566=Master!$H$2,B566="2012-2013",E566&gt;1000,G566="NPN05"),H566,"")</f>
        <v/>
      </c>
      <c r="AT566" s="44" t="str">
        <f>IF(AND(C566=Master!$H$2,B566="2012-2013",E566="",G566="NPN05"),H566,"")</f>
        <v/>
      </c>
      <c r="AU566" s="44" t="str">
        <f>IF(AND(C566=Master!$H$3,B566="2012-2013",E566&gt;1000,G566="NPN05"),H566,"")</f>
        <v/>
      </c>
      <c r="AV566" s="44" t="str">
        <f>IF(AND(C566=Master!$H$3,B566="2012-2013",E566="",G566="NPN05"),H566,"")</f>
        <v/>
      </c>
      <c r="AW566" s="44" t="str">
        <f>IF(AND(C566=Master!$H$4,B566="2012-2013",E566&gt;1000,G566="NPN05"),H566,"")</f>
        <v/>
      </c>
      <c r="AX566" s="44" t="str">
        <f>IF(AND(C566=Master!$H$4,B566="2012-2013",E566="",G566="NPN05"),H566,"")</f>
        <v/>
      </c>
      <c r="AY566" s="44" t="str">
        <f>IF(AND(C566=Master!$H$5,B566="2012-2013",E566&gt;1000,G566="NPN05"),H566,"")</f>
        <v/>
      </c>
      <c r="AZ566" s="44" t="str">
        <f>IF(AND(C566=Master!$H$5,B566="2012-2013",E566="",G566="NPN05"),H566,"")</f>
        <v/>
      </c>
      <c r="BA566" s="44" t="str">
        <f>IF(AND(C566=Master!$H$6,B566="2012-2013",E566&gt;1000,G566="NPN05"),H566,"")</f>
        <v/>
      </c>
      <c r="BB566" s="44" t="str">
        <f>IF(AND(C566=Master!$H$6,B566="2012-2013",E566="",G566="NPN05"),H566,"")</f>
        <v/>
      </c>
      <c r="BC566" s="44" t="str">
        <f>IF(AND(C566=Master!$H$7,B566="2012-2013",E566&gt;1000,G566="NPN05"),H566,"")</f>
        <v/>
      </c>
      <c r="BD566" s="44" t="str">
        <f>IF(AND(C566=Master!$H$7,B566="2012-2013",E566="",G566="NPN05"),H566,"")</f>
        <v/>
      </c>
      <c r="BE566" s="44" t="str">
        <f>IF(AND(C566=Master!$H$8,B566="2012-2013",E566&gt;1000,G566="NPN05"),H566,"")</f>
        <v/>
      </c>
      <c r="BF566" s="44" t="str">
        <f>IF(AND(C566=Master!$H$8,B566="2012-2013",E566="",G566="NPN05"),H566,"")</f>
        <v/>
      </c>
      <c r="BG566" s="44" t="str">
        <f>IF(AND(C566=Master!$H$9,B566="2012-2013",E566&gt;1000,G566="NPN05"),H566,"")</f>
        <v/>
      </c>
      <c r="BH566" s="44" t="str">
        <f>IF(AND(C566=Master!$H$9,B566="2012-2013",E566="",G566="NPN05"),H566,"")</f>
        <v/>
      </c>
    </row>
    <row r="567" spans="1:60" x14ac:dyDescent="0.25">
      <c r="A567" s="3">
        <v>565</v>
      </c>
      <c r="B567" s="12"/>
      <c r="C567" s="12"/>
      <c r="D567" s="31"/>
      <c r="E567" s="4"/>
      <c r="F567" s="13"/>
      <c r="G567" s="21"/>
      <c r="H567" s="35"/>
      <c r="I567" s="21"/>
      <c r="J567" s="25" t="str">
        <f>IF(NOT(I567=""),INDEX(Master!$B$1:$B$46,MATCH(I567,Master!$A$1:$A$46,0)),"")</f>
        <v/>
      </c>
      <c r="K567" s="18"/>
      <c r="L567" s="86"/>
      <c r="M567" s="13"/>
      <c r="N567" s="13"/>
      <c r="O567" s="18"/>
      <c r="P567" s="35"/>
      <c r="Q567" s="21"/>
      <c r="R567" s="21"/>
      <c r="S567" s="13"/>
      <c r="T567" s="12"/>
      <c r="U567" s="12"/>
      <c r="V567" s="12"/>
      <c r="W567" s="14"/>
      <c r="Y567" s="42" t="str">
        <f>IF(AND(C567=Master!$H$1,B567="2012-2013",E567&gt;1000,G567="PLN03"),H567,"")</f>
        <v/>
      </c>
      <c r="Z567" s="42" t="str">
        <f>IF(AND(C567=Master!$H$1,B567="2012-2013",E567="",G567="PLN03"),H567,"")</f>
        <v/>
      </c>
      <c r="AA567" s="42" t="str">
        <f>IF(AND(C567=Master!$H$2,B567="2012-2013",E567&gt;1000,G567="PLN03"),H567,"")</f>
        <v/>
      </c>
      <c r="AB567" s="42" t="str">
        <f>IF(AND(C567=Master!$H$2,B567="2012-2013",E567="",G567="PLN03"),H567,"")</f>
        <v/>
      </c>
      <c r="AC567" s="42" t="str">
        <f>IF(AND(C567=Master!$H$3,B567="2012-2013",E567&gt;1000,G567="PLN03"),H567,"")</f>
        <v/>
      </c>
      <c r="AD567" s="42" t="str">
        <f>IF(AND(C567=Master!$H$3,B567="2012-2013",E567="",G567="PLN03"),H567,"")</f>
        <v/>
      </c>
      <c r="AE567" s="42" t="str">
        <f>IF(AND(C567=Master!$H$4,B567="2012-2013",E567&gt;1000,G567="PLN03"),H567,"")</f>
        <v/>
      </c>
      <c r="AF567" s="42" t="str">
        <f>IF(AND(C567=Master!$H$4,B567="2012-2013",E567="",G567="PLN03"),H567,"")</f>
        <v/>
      </c>
      <c r="AG567" s="42" t="str">
        <f>IF(AND(C567=Master!$H$5,B567="2012-2013",E567&gt;1000,G567="PLN03"),H567,"")</f>
        <v/>
      </c>
      <c r="AH567" s="42" t="str">
        <f>IF(AND(C567=Master!$H$5,B567="2012-2013",E567="",G567="PLN03"),H567,"")</f>
        <v/>
      </c>
      <c r="AI567" s="42" t="str">
        <f>IF(AND(C567=Master!$H$6,B567="2012-2013",E567&gt;1000,G567="PLN03"),H567,"")</f>
        <v/>
      </c>
      <c r="AJ567" s="42" t="str">
        <f>IF(AND(C567=Master!$H$6,B567="2012-2013",E567="",G567="PLN03"),H567,"")</f>
        <v/>
      </c>
      <c r="AK567" s="42" t="str">
        <f>IF(AND(C567=Master!$H$7,B567="2012-2013",E567&gt;1000,G567="PLN03"),H567,"")</f>
        <v/>
      </c>
      <c r="AL567" s="42" t="str">
        <f>IF(AND(C567=Master!$H$7,B567="2012-2013",E567="",G567="PLN03"),H567,"")</f>
        <v/>
      </c>
      <c r="AM567" s="42" t="str">
        <f>IF(AND(C567=Master!$H$8,B567="2012-2013",E567&gt;1000,G567="PLN03"),H567,"")</f>
        <v/>
      </c>
      <c r="AN567" s="42" t="str">
        <f>IF(AND(C567=Master!$H$8,B567="2012-2013",E567="",G567="PLN03"),H567,"")</f>
        <v/>
      </c>
      <c r="AO567" s="42" t="str">
        <f>IF(AND(C567=Master!$H$9,B567="2012-2013",E567&gt;1000,G567="PLN03"),H567,"")</f>
        <v/>
      </c>
      <c r="AP567" s="42" t="str">
        <f>IF(AND(C567=Master!$H$9,B567="2012-2013",E567="",G567="PLN03"),H567,"")</f>
        <v/>
      </c>
      <c r="AQ567" s="44" t="str">
        <f>IF(AND(C567=Master!$H$1,B567="2012-2013",E567&gt;1000,G567="NPN05"),H567,"")</f>
        <v/>
      </c>
      <c r="AR567" s="44" t="str">
        <f>IF(AND(C567=Master!$H$1,B567="2012-2013",E567="",G567="NPN05"),H567,"")</f>
        <v/>
      </c>
      <c r="AS567" s="44" t="str">
        <f>IF(AND(C567=Master!$H$2,B567="2012-2013",E567&gt;1000,G567="NPN05"),H567,"")</f>
        <v/>
      </c>
      <c r="AT567" s="44" t="str">
        <f>IF(AND(C567=Master!$H$2,B567="2012-2013",E567="",G567="NPN05"),H567,"")</f>
        <v/>
      </c>
      <c r="AU567" s="44" t="str">
        <f>IF(AND(C567=Master!$H$3,B567="2012-2013",E567&gt;1000,G567="NPN05"),H567,"")</f>
        <v/>
      </c>
      <c r="AV567" s="44" t="str">
        <f>IF(AND(C567=Master!$H$3,B567="2012-2013",E567="",G567="NPN05"),H567,"")</f>
        <v/>
      </c>
      <c r="AW567" s="44" t="str">
        <f>IF(AND(C567=Master!$H$4,B567="2012-2013",E567&gt;1000,G567="NPN05"),H567,"")</f>
        <v/>
      </c>
      <c r="AX567" s="44" t="str">
        <f>IF(AND(C567=Master!$H$4,B567="2012-2013",E567="",G567="NPN05"),H567,"")</f>
        <v/>
      </c>
      <c r="AY567" s="44" t="str">
        <f>IF(AND(C567=Master!$H$5,B567="2012-2013",E567&gt;1000,G567="NPN05"),H567,"")</f>
        <v/>
      </c>
      <c r="AZ567" s="44" t="str">
        <f>IF(AND(C567=Master!$H$5,B567="2012-2013",E567="",G567="NPN05"),H567,"")</f>
        <v/>
      </c>
      <c r="BA567" s="44" t="str">
        <f>IF(AND(C567=Master!$H$6,B567="2012-2013",E567&gt;1000,G567="NPN05"),H567,"")</f>
        <v/>
      </c>
      <c r="BB567" s="44" t="str">
        <f>IF(AND(C567=Master!$H$6,B567="2012-2013",E567="",G567="NPN05"),H567,"")</f>
        <v/>
      </c>
      <c r="BC567" s="44" t="str">
        <f>IF(AND(C567=Master!$H$7,B567="2012-2013",E567&gt;1000,G567="NPN05"),H567,"")</f>
        <v/>
      </c>
      <c r="BD567" s="44" t="str">
        <f>IF(AND(C567=Master!$H$7,B567="2012-2013",E567="",G567="NPN05"),H567,"")</f>
        <v/>
      </c>
      <c r="BE567" s="44" t="str">
        <f>IF(AND(C567=Master!$H$8,B567="2012-2013",E567&gt;1000,G567="NPN05"),H567,"")</f>
        <v/>
      </c>
      <c r="BF567" s="44" t="str">
        <f>IF(AND(C567=Master!$H$8,B567="2012-2013",E567="",G567="NPN05"),H567,"")</f>
        <v/>
      </c>
      <c r="BG567" s="44" t="str">
        <f>IF(AND(C567=Master!$H$9,B567="2012-2013",E567&gt;1000,G567="NPN05"),H567,"")</f>
        <v/>
      </c>
      <c r="BH567" s="44" t="str">
        <f>IF(AND(C567=Master!$H$9,B567="2012-2013",E567="",G567="NPN05"),H567,"")</f>
        <v/>
      </c>
    </row>
    <row r="568" spans="1:60" x14ac:dyDescent="0.25">
      <c r="A568" s="3">
        <v>566</v>
      </c>
      <c r="B568" s="12"/>
      <c r="C568" s="12"/>
      <c r="D568" s="31"/>
      <c r="E568" s="4"/>
      <c r="F568" s="13"/>
      <c r="G568" s="21"/>
      <c r="H568" s="35"/>
      <c r="I568" s="21"/>
      <c r="J568" s="25" t="str">
        <f>IF(NOT(I568=""),INDEX(Master!$B$1:$B$46,MATCH(I568,Master!$A$1:$A$46,0)),"")</f>
        <v/>
      </c>
      <c r="K568" s="18"/>
      <c r="L568" s="86"/>
      <c r="M568" s="13"/>
      <c r="N568" s="13"/>
      <c r="O568" s="18"/>
      <c r="P568" s="35"/>
      <c r="Q568" s="21"/>
      <c r="R568" s="21"/>
      <c r="S568" s="13"/>
      <c r="T568" s="12"/>
      <c r="U568" s="12"/>
      <c r="V568" s="12"/>
      <c r="W568" s="14"/>
      <c r="Y568" s="42" t="str">
        <f>IF(AND(C568=Master!$H$1,B568="2012-2013",E568&gt;1000,G568="PLN03"),H568,"")</f>
        <v/>
      </c>
      <c r="Z568" s="42" t="str">
        <f>IF(AND(C568=Master!$H$1,B568="2012-2013",E568="",G568="PLN03"),H568,"")</f>
        <v/>
      </c>
      <c r="AA568" s="42" t="str">
        <f>IF(AND(C568=Master!$H$2,B568="2012-2013",E568&gt;1000,G568="PLN03"),H568,"")</f>
        <v/>
      </c>
      <c r="AB568" s="42" t="str">
        <f>IF(AND(C568=Master!$H$2,B568="2012-2013",E568="",G568="PLN03"),H568,"")</f>
        <v/>
      </c>
      <c r="AC568" s="42" t="str">
        <f>IF(AND(C568=Master!$H$3,B568="2012-2013",E568&gt;1000,G568="PLN03"),H568,"")</f>
        <v/>
      </c>
      <c r="AD568" s="42" t="str">
        <f>IF(AND(C568=Master!$H$3,B568="2012-2013",E568="",G568="PLN03"),H568,"")</f>
        <v/>
      </c>
      <c r="AE568" s="42" t="str">
        <f>IF(AND(C568=Master!$H$4,B568="2012-2013",E568&gt;1000,G568="PLN03"),H568,"")</f>
        <v/>
      </c>
      <c r="AF568" s="42" t="str">
        <f>IF(AND(C568=Master!$H$4,B568="2012-2013",E568="",G568="PLN03"),H568,"")</f>
        <v/>
      </c>
      <c r="AG568" s="42" t="str">
        <f>IF(AND(C568=Master!$H$5,B568="2012-2013",E568&gt;1000,G568="PLN03"),H568,"")</f>
        <v/>
      </c>
      <c r="AH568" s="42" t="str">
        <f>IF(AND(C568=Master!$H$5,B568="2012-2013",E568="",G568="PLN03"),H568,"")</f>
        <v/>
      </c>
      <c r="AI568" s="42" t="str">
        <f>IF(AND(C568=Master!$H$6,B568="2012-2013",E568&gt;1000,G568="PLN03"),H568,"")</f>
        <v/>
      </c>
      <c r="AJ568" s="42" t="str">
        <f>IF(AND(C568=Master!$H$6,B568="2012-2013",E568="",G568="PLN03"),H568,"")</f>
        <v/>
      </c>
      <c r="AK568" s="42" t="str">
        <f>IF(AND(C568=Master!$H$7,B568="2012-2013",E568&gt;1000,G568="PLN03"),H568,"")</f>
        <v/>
      </c>
      <c r="AL568" s="42" t="str">
        <f>IF(AND(C568=Master!$H$7,B568="2012-2013",E568="",G568="PLN03"),H568,"")</f>
        <v/>
      </c>
      <c r="AM568" s="42" t="str">
        <f>IF(AND(C568=Master!$H$8,B568="2012-2013",E568&gt;1000,G568="PLN03"),H568,"")</f>
        <v/>
      </c>
      <c r="AN568" s="42" t="str">
        <f>IF(AND(C568=Master!$H$8,B568="2012-2013",E568="",G568="PLN03"),H568,"")</f>
        <v/>
      </c>
      <c r="AO568" s="42" t="str">
        <f>IF(AND(C568=Master!$H$9,B568="2012-2013",E568&gt;1000,G568="PLN03"),H568,"")</f>
        <v/>
      </c>
      <c r="AP568" s="42" t="str">
        <f>IF(AND(C568=Master!$H$9,B568="2012-2013",E568="",G568="PLN03"),H568,"")</f>
        <v/>
      </c>
      <c r="AQ568" s="44" t="str">
        <f>IF(AND(C568=Master!$H$1,B568="2012-2013",E568&gt;1000,G568="NPN05"),H568,"")</f>
        <v/>
      </c>
      <c r="AR568" s="44" t="str">
        <f>IF(AND(C568=Master!$H$1,B568="2012-2013",E568="",G568="NPN05"),H568,"")</f>
        <v/>
      </c>
      <c r="AS568" s="44" t="str">
        <f>IF(AND(C568=Master!$H$2,B568="2012-2013",E568&gt;1000,G568="NPN05"),H568,"")</f>
        <v/>
      </c>
      <c r="AT568" s="44" t="str">
        <f>IF(AND(C568=Master!$H$2,B568="2012-2013",E568="",G568="NPN05"),H568,"")</f>
        <v/>
      </c>
      <c r="AU568" s="44" t="str">
        <f>IF(AND(C568=Master!$H$3,B568="2012-2013",E568&gt;1000,G568="NPN05"),H568,"")</f>
        <v/>
      </c>
      <c r="AV568" s="44" t="str">
        <f>IF(AND(C568=Master!$H$3,B568="2012-2013",E568="",G568="NPN05"),H568,"")</f>
        <v/>
      </c>
      <c r="AW568" s="44" t="str">
        <f>IF(AND(C568=Master!$H$4,B568="2012-2013",E568&gt;1000,G568="NPN05"),H568,"")</f>
        <v/>
      </c>
      <c r="AX568" s="44" t="str">
        <f>IF(AND(C568=Master!$H$4,B568="2012-2013",E568="",G568="NPN05"),H568,"")</f>
        <v/>
      </c>
      <c r="AY568" s="44" t="str">
        <f>IF(AND(C568=Master!$H$5,B568="2012-2013",E568&gt;1000,G568="NPN05"),H568,"")</f>
        <v/>
      </c>
      <c r="AZ568" s="44" t="str">
        <f>IF(AND(C568=Master!$H$5,B568="2012-2013",E568="",G568="NPN05"),H568,"")</f>
        <v/>
      </c>
      <c r="BA568" s="44" t="str">
        <f>IF(AND(C568=Master!$H$6,B568="2012-2013",E568&gt;1000,G568="NPN05"),H568,"")</f>
        <v/>
      </c>
      <c r="BB568" s="44" t="str">
        <f>IF(AND(C568=Master!$H$6,B568="2012-2013",E568="",G568="NPN05"),H568,"")</f>
        <v/>
      </c>
      <c r="BC568" s="44" t="str">
        <f>IF(AND(C568=Master!$H$7,B568="2012-2013",E568&gt;1000,G568="NPN05"),H568,"")</f>
        <v/>
      </c>
      <c r="BD568" s="44" t="str">
        <f>IF(AND(C568=Master!$H$7,B568="2012-2013",E568="",G568="NPN05"),H568,"")</f>
        <v/>
      </c>
      <c r="BE568" s="44" t="str">
        <f>IF(AND(C568=Master!$H$8,B568="2012-2013",E568&gt;1000,G568="NPN05"),H568,"")</f>
        <v/>
      </c>
      <c r="BF568" s="44" t="str">
        <f>IF(AND(C568=Master!$H$8,B568="2012-2013",E568="",G568="NPN05"),H568,"")</f>
        <v/>
      </c>
      <c r="BG568" s="44" t="str">
        <f>IF(AND(C568=Master!$H$9,B568="2012-2013",E568&gt;1000,G568="NPN05"),H568,"")</f>
        <v/>
      </c>
      <c r="BH568" s="44" t="str">
        <f>IF(AND(C568=Master!$H$9,B568="2012-2013",E568="",G568="NPN05"),H568,"")</f>
        <v/>
      </c>
    </row>
    <row r="569" spans="1:60" x14ac:dyDescent="0.25">
      <c r="A569" s="3">
        <v>567</v>
      </c>
      <c r="B569" s="12"/>
      <c r="C569" s="12"/>
      <c r="D569" s="31"/>
      <c r="E569" s="4"/>
      <c r="F569" s="13"/>
      <c r="G569" s="21"/>
      <c r="H569" s="35"/>
      <c r="I569" s="21"/>
      <c r="J569" s="25" t="str">
        <f>IF(NOT(I569=""),INDEX(Master!$B$1:$B$46,MATCH(I569,Master!$A$1:$A$46,0)),"")</f>
        <v/>
      </c>
      <c r="K569" s="18"/>
      <c r="L569" s="86"/>
      <c r="M569" s="13"/>
      <c r="N569" s="13"/>
      <c r="O569" s="18"/>
      <c r="P569" s="35"/>
      <c r="Q569" s="21"/>
      <c r="R569" s="21"/>
      <c r="S569" s="13"/>
      <c r="T569" s="12"/>
      <c r="U569" s="12"/>
      <c r="V569" s="12"/>
      <c r="W569" s="14"/>
      <c r="Y569" s="42" t="str">
        <f>IF(AND(C569=Master!$H$1,B569="2012-2013",E569&gt;1000,G569="PLN03"),H569,"")</f>
        <v/>
      </c>
      <c r="Z569" s="42" t="str">
        <f>IF(AND(C569=Master!$H$1,B569="2012-2013",E569="",G569="PLN03"),H569,"")</f>
        <v/>
      </c>
      <c r="AA569" s="42" t="str">
        <f>IF(AND(C569=Master!$H$2,B569="2012-2013",E569&gt;1000,G569="PLN03"),H569,"")</f>
        <v/>
      </c>
      <c r="AB569" s="42" t="str">
        <f>IF(AND(C569=Master!$H$2,B569="2012-2013",E569="",G569="PLN03"),H569,"")</f>
        <v/>
      </c>
      <c r="AC569" s="42" t="str">
        <f>IF(AND(C569=Master!$H$3,B569="2012-2013",E569&gt;1000,G569="PLN03"),H569,"")</f>
        <v/>
      </c>
      <c r="AD569" s="42" t="str">
        <f>IF(AND(C569=Master!$H$3,B569="2012-2013",E569="",G569="PLN03"),H569,"")</f>
        <v/>
      </c>
      <c r="AE569" s="42" t="str">
        <f>IF(AND(C569=Master!$H$4,B569="2012-2013",E569&gt;1000,G569="PLN03"),H569,"")</f>
        <v/>
      </c>
      <c r="AF569" s="42" t="str">
        <f>IF(AND(C569=Master!$H$4,B569="2012-2013",E569="",G569="PLN03"),H569,"")</f>
        <v/>
      </c>
      <c r="AG569" s="42" t="str">
        <f>IF(AND(C569=Master!$H$5,B569="2012-2013",E569&gt;1000,G569="PLN03"),H569,"")</f>
        <v/>
      </c>
      <c r="AH569" s="42" t="str">
        <f>IF(AND(C569=Master!$H$5,B569="2012-2013",E569="",G569="PLN03"),H569,"")</f>
        <v/>
      </c>
      <c r="AI569" s="42" t="str">
        <f>IF(AND(C569=Master!$H$6,B569="2012-2013",E569&gt;1000,G569="PLN03"),H569,"")</f>
        <v/>
      </c>
      <c r="AJ569" s="42" t="str">
        <f>IF(AND(C569=Master!$H$6,B569="2012-2013",E569="",G569="PLN03"),H569,"")</f>
        <v/>
      </c>
      <c r="AK569" s="42" t="str">
        <f>IF(AND(C569=Master!$H$7,B569="2012-2013",E569&gt;1000,G569="PLN03"),H569,"")</f>
        <v/>
      </c>
      <c r="AL569" s="42" t="str">
        <f>IF(AND(C569=Master!$H$7,B569="2012-2013",E569="",G569="PLN03"),H569,"")</f>
        <v/>
      </c>
      <c r="AM569" s="42" t="str">
        <f>IF(AND(C569=Master!$H$8,B569="2012-2013",E569&gt;1000,G569="PLN03"),H569,"")</f>
        <v/>
      </c>
      <c r="AN569" s="42" t="str">
        <f>IF(AND(C569=Master!$H$8,B569="2012-2013",E569="",G569="PLN03"),H569,"")</f>
        <v/>
      </c>
      <c r="AO569" s="42" t="str">
        <f>IF(AND(C569=Master!$H$9,B569="2012-2013",E569&gt;1000,G569="PLN03"),H569,"")</f>
        <v/>
      </c>
      <c r="AP569" s="42" t="str">
        <f>IF(AND(C569=Master!$H$9,B569="2012-2013",E569="",G569="PLN03"),H569,"")</f>
        <v/>
      </c>
      <c r="AQ569" s="44" t="str">
        <f>IF(AND(C569=Master!$H$1,B569="2012-2013",E569&gt;1000,G569="NPN05"),H569,"")</f>
        <v/>
      </c>
      <c r="AR569" s="44" t="str">
        <f>IF(AND(C569=Master!$H$1,B569="2012-2013",E569="",G569="NPN05"),H569,"")</f>
        <v/>
      </c>
      <c r="AS569" s="44" t="str">
        <f>IF(AND(C569=Master!$H$2,B569="2012-2013",E569&gt;1000,G569="NPN05"),H569,"")</f>
        <v/>
      </c>
      <c r="AT569" s="44" t="str">
        <f>IF(AND(C569=Master!$H$2,B569="2012-2013",E569="",G569="NPN05"),H569,"")</f>
        <v/>
      </c>
      <c r="AU569" s="44" t="str">
        <f>IF(AND(C569=Master!$H$3,B569="2012-2013",E569&gt;1000,G569="NPN05"),H569,"")</f>
        <v/>
      </c>
      <c r="AV569" s="44" t="str">
        <f>IF(AND(C569=Master!$H$3,B569="2012-2013",E569="",G569="NPN05"),H569,"")</f>
        <v/>
      </c>
      <c r="AW569" s="44" t="str">
        <f>IF(AND(C569=Master!$H$4,B569="2012-2013",E569&gt;1000,G569="NPN05"),H569,"")</f>
        <v/>
      </c>
      <c r="AX569" s="44" t="str">
        <f>IF(AND(C569=Master!$H$4,B569="2012-2013",E569="",G569="NPN05"),H569,"")</f>
        <v/>
      </c>
      <c r="AY569" s="44" t="str">
        <f>IF(AND(C569=Master!$H$5,B569="2012-2013",E569&gt;1000,G569="NPN05"),H569,"")</f>
        <v/>
      </c>
      <c r="AZ569" s="44" t="str">
        <f>IF(AND(C569=Master!$H$5,B569="2012-2013",E569="",G569="NPN05"),H569,"")</f>
        <v/>
      </c>
      <c r="BA569" s="44" t="str">
        <f>IF(AND(C569=Master!$H$6,B569="2012-2013",E569&gt;1000,G569="NPN05"),H569,"")</f>
        <v/>
      </c>
      <c r="BB569" s="44" t="str">
        <f>IF(AND(C569=Master!$H$6,B569="2012-2013",E569="",G569="NPN05"),H569,"")</f>
        <v/>
      </c>
      <c r="BC569" s="44" t="str">
        <f>IF(AND(C569=Master!$H$7,B569="2012-2013",E569&gt;1000,G569="NPN05"),H569,"")</f>
        <v/>
      </c>
      <c r="BD569" s="44" t="str">
        <f>IF(AND(C569=Master!$H$7,B569="2012-2013",E569="",G569="NPN05"),H569,"")</f>
        <v/>
      </c>
      <c r="BE569" s="44" t="str">
        <f>IF(AND(C569=Master!$H$8,B569="2012-2013",E569&gt;1000,G569="NPN05"),H569,"")</f>
        <v/>
      </c>
      <c r="BF569" s="44" t="str">
        <f>IF(AND(C569=Master!$H$8,B569="2012-2013",E569="",G569="NPN05"),H569,"")</f>
        <v/>
      </c>
      <c r="BG569" s="44" t="str">
        <f>IF(AND(C569=Master!$H$9,B569="2012-2013",E569&gt;1000,G569="NPN05"),H569,"")</f>
        <v/>
      </c>
      <c r="BH569" s="44" t="str">
        <f>IF(AND(C569=Master!$H$9,B569="2012-2013",E569="",G569="NPN05"),H569,"")</f>
        <v/>
      </c>
    </row>
    <row r="570" spans="1:60" x14ac:dyDescent="0.25">
      <c r="A570" s="3">
        <v>568</v>
      </c>
      <c r="B570" s="12"/>
      <c r="C570" s="12"/>
      <c r="D570" s="31"/>
      <c r="E570" s="4"/>
      <c r="F570" s="13"/>
      <c r="G570" s="21"/>
      <c r="H570" s="35"/>
      <c r="I570" s="21"/>
      <c r="J570" s="25" t="str">
        <f>IF(NOT(I570=""),INDEX(Master!$B$1:$B$46,MATCH(I570,Master!$A$1:$A$46,0)),"")</f>
        <v/>
      </c>
      <c r="K570" s="18"/>
      <c r="L570" s="86"/>
      <c r="M570" s="13"/>
      <c r="N570" s="13"/>
      <c r="O570" s="18"/>
      <c r="P570" s="35"/>
      <c r="Q570" s="21"/>
      <c r="R570" s="21"/>
      <c r="S570" s="13"/>
      <c r="T570" s="12"/>
      <c r="U570" s="12"/>
      <c r="V570" s="12"/>
      <c r="W570" s="14"/>
      <c r="Y570" s="42" t="str">
        <f>IF(AND(C570=Master!$H$1,B570="2012-2013",E570&gt;1000,G570="PLN03"),H570,"")</f>
        <v/>
      </c>
      <c r="Z570" s="42" t="str">
        <f>IF(AND(C570=Master!$H$1,B570="2012-2013",E570="",G570="PLN03"),H570,"")</f>
        <v/>
      </c>
      <c r="AA570" s="42" t="str">
        <f>IF(AND(C570=Master!$H$2,B570="2012-2013",E570&gt;1000,G570="PLN03"),H570,"")</f>
        <v/>
      </c>
      <c r="AB570" s="42" t="str">
        <f>IF(AND(C570=Master!$H$2,B570="2012-2013",E570="",G570="PLN03"),H570,"")</f>
        <v/>
      </c>
      <c r="AC570" s="42" t="str">
        <f>IF(AND(C570=Master!$H$3,B570="2012-2013",E570&gt;1000,G570="PLN03"),H570,"")</f>
        <v/>
      </c>
      <c r="AD570" s="42" t="str">
        <f>IF(AND(C570=Master!$H$3,B570="2012-2013",E570="",G570="PLN03"),H570,"")</f>
        <v/>
      </c>
      <c r="AE570" s="42" t="str">
        <f>IF(AND(C570=Master!$H$4,B570="2012-2013",E570&gt;1000,G570="PLN03"),H570,"")</f>
        <v/>
      </c>
      <c r="AF570" s="42" t="str">
        <f>IF(AND(C570=Master!$H$4,B570="2012-2013",E570="",G570="PLN03"),H570,"")</f>
        <v/>
      </c>
      <c r="AG570" s="42" t="str">
        <f>IF(AND(C570=Master!$H$5,B570="2012-2013",E570&gt;1000,G570="PLN03"),H570,"")</f>
        <v/>
      </c>
      <c r="AH570" s="42" t="str">
        <f>IF(AND(C570=Master!$H$5,B570="2012-2013",E570="",G570="PLN03"),H570,"")</f>
        <v/>
      </c>
      <c r="AI570" s="42" t="str">
        <f>IF(AND(C570=Master!$H$6,B570="2012-2013",E570&gt;1000,G570="PLN03"),H570,"")</f>
        <v/>
      </c>
      <c r="AJ570" s="42" t="str">
        <f>IF(AND(C570=Master!$H$6,B570="2012-2013",E570="",G570="PLN03"),H570,"")</f>
        <v/>
      </c>
      <c r="AK570" s="42" t="str">
        <f>IF(AND(C570=Master!$H$7,B570="2012-2013",E570&gt;1000,G570="PLN03"),H570,"")</f>
        <v/>
      </c>
      <c r="AL570" s="42" t="str">
        <f>IF(AND(C570=Master!$H$7,B570="2012-2013",E570="",G570="PLN03"),H570,"")</f>
        <v/>
      </c>
      <c r="AM570" s="42" t="str">
        <f>IF(AND(C570=Master!$H$8,B570="2012-2013",E570&gt;1000,G570="PLN03"),H570,"")</f>
        <v/>
      </c>
      <c r="AN570" s="42" t="str">
        <f>IF(AND(C570=Master!$H$8,B570="2012-2013",E570="",G570="PLN03"),H570,"")</f>
        <v/>
      </c>
      <c r="AO570" s="42" t="str">
        <f>IF(AND(C570=Master!$H$9,B570="2012-2013",E570&gt;1000,G570="PLN03"),H570,"")</f>
        <v/>
      </c>
      <c r="AP570" s="42" t="str">
        <f>IF(AND(C570=Master!$H$9,B570="2012-2013",E570="",G570="PLN03"),H570,"")</f>
        <v/>
      </c>
      <c r="AQ570" s="44" t="str">
        <f>IF(AND(C570=Master!$H$1,B570="2012-2013",E570&gt;1000,G570="NPN05"),H570,"")</f>
        <v/>
      </c>
      <c r="AR570" s="44" t="str">
        <f>IF(AND(C570=Master!$H$1,B570="2012-2013",E570="",G570="NPN05"),H570,"")</f>
        <v/>
      </c>
      <c r="AS570" s="44" t="str">
        <f>IF(AND(C570=Master!$H$2,B570="2012-2013",E570&gt;1000,G570="NPN05"),H570,"")</f>
        <v/>
      </c>
      <c r="AT570" s="44" t="str">
        <f>IF(AND(C570=Master!$H$2,B570="2012-2013",E570="",G570="NPN05"),H570,"")</f>
        <v/>
      </c>
      <c r="AU570" s="44" t="str">
        <f>IF(AND(C570=Master!$H$3,B570="2012-2013",E570&gt;1000,G570="NPN05"),H570,"")</f>
        <v/>
      </c>
      <c r="AV570" s="44" t="str">
        <f>IF(AND(C570=Master!$H$3,B570="2012-2013",E570="",G570="NPN05"),H570,"")</f>
        <v/>
      </c>
      <c r="AW570" s="44" t="str">
        <f>IF(AND(C570=Master!$H$4,B570="2012-2013",E570&gt;1000,G570="NPN05"),H570,"")</f>
        <v/>
      </c>
      <c r="AX570" s="44" t="str">
        <f>IF(AND(C570=Master!$H$4,B570="2012-2013",E570="",G570="NPN05"),H570,"")</f>
        <v/>
      </c>
      <c r="AY570" s="44" t="str">
        <f>IF(AND(C570=Master!$H$5,B570="2012-2013",E570&gt;1000,G570="NPN05"),H570,"")</f>
        <v/>
      </c>
      <c r="AZ570" s="44" t="str">
        <f>IF(AND(C570=Master!$H$5,B570="2012-2013",E570="",G570="NPN05"),H570,"")</f>
        <v/>
      </c>
      <c r="BA570" s="44" t="str">
        <f>IF(AND(C570=Master!$H$6,B570="2012-2013",E570&gt;1000,G570="NPN05"),H570,"")</f>
        <v/>
      </c>
      <c r="BB570" s="44" t="str">
        <f>IF(AND(C570=Master!$H$6,B570="2012-2013",E570="",G570="NPN05"),H570,"")</f>
        <v/>
      </c>
      <c r="BC570" s="44" t="str">
        <f>IF(AND(C570=Master!$H$7,B570="2012-2013",E570&gt;1000,G570="NPN05"),H570,"")</f>
        <v/>
      </c>
      <c r="BD570" s="44" t="str">
        <f>IF(AND(C570=Master!$H$7,B570="2012-2013",E570="",G570="NPN05"),H570,"")</f>
        <v/>
      </c>
      <c r="BE570" s="44" t="str">
        <f>IF(AND(C570=Master!$H$8,B570="2012-2013",E570&gt;1000,G570="NPN05"),H570,"")</f>
        <v/>
      </c>
      <c r="BF570" s="44" t="str">
        <f>IF(AND(C570=Master!$H$8,B570="2012-2013",E570="",G570="NPN05"),H570,"")</f>
        <v/>
      </c>
      <c r="BG570" s="44" t="str">
        <f>IF(AND(C570=Master!$H$9,B570="2012-2013",E570&gt;1000,G570="NPN05"),H570,"")</f>
        <v/>
      </c>
      <c r="BH570" s="44" t="str">
        <f>IF(AND(C570=Master!$H$9,B570="2012-2013",E570="",G570="NPN05"),H570,"")</f>
        <v/>
      </c>
    </row>
    <row r="571" spans="1:60" x14ac:dyDescent="0.25">
      <c r="A571" s="5">
        <v>569</v>
      </c>
      <c r="B571" s="12"/>
      <c r="C571" s="12"/>
      <c r="D571" s="31"/>
      <c r="E571" s="4"/>
      <c r="F571" s="13"/>
      <c r="G571" s="21"/>
      <c r="H571" s="35"/>
      <c r="I571" s="21"/>
      <c r="J571" s="25" t="str">
        <f>IF(NOT(I571=""),INDEX(Master!$B$1:$B$46,MATCH(I571,Master!$A$1:$A$46,0)),"")</f>
        <v/>
      </c>
      <c r="K571" s="18"/>
      <c r="L571" s="86"/>
      <c r="M571" s="13"/>
      <c r="N571" s="13"/>
      <c r="O571" s="18"/>
      <c r="P571" s="35"/>
      <c r="Q571" s="21"/>
      <c r="R571" s="21"/>
      <c r="S571" s="13"/>
      <c r="T571" s="12"/>
      <c r="U571" s="12"/>
      <c r="V571" s="12"/>
      <c r="W571" s="14"/>
      <c r="Y571" s="42" t="str">
        <f>IF(AND(C571=Master!$H$1,B571="2012-2013",E571&gt;1000,G571="PLN03"),H571,"")</f>
        <v/>
      </c>
      <c r="Z571" s="42" t="str">
        <f>IF(AND(C571=Master!$H$1,B571="2012-2013",E571="",G571="PLN03"),H571,"")</f>
        <v/>
      </c>
      <c r="AA571" s="42" t="str">
        <f>IF(AND(C571=Master!$H$2,B571="2012-2013",E571&gt;1000,G571="PLN03"),H571,"")</f>
        <v/>
      </c>
      <c r="AB571" s="42" t="str">
        <f>IF(AND(C571=Master!$H$2,B571="2012-2013",E571="",G571="PLN03"),H571,"")</f>
        <v/>
      </c>
      <c r="AC571" s="42" t="str">
        <f>IF(AND(C571=Master!$H$3,B571="2012-2013",E571&gt;1000,G571="PLN03"),H571,"")</f>
        <v/>
      </c>
      <c r="AD571" s="42" t="str">
        <f>IF(AND(C571=Master!$H$3,B571="2012-2013",E571="",G571="PLN03"),H571,"")</f>
        <v/>
      </c>
      <c r="AE571" s="42" t="str">
        <f>IF(AND(C571=Master!$H$4,B571="2012-2013",E571&gt;1000,G571="PLN03"),H571,"")</f>
        <v/>
      </c>
      <c r="AF571" s="42" t="str">
        <f>IF(AND(C571=Master!$H$4,B571="2012-2013",E571="",G571="PLN03"),H571,"")</f>
        <v/>
      </c>
      <c r="AG571" s="42" t="str">
        <f>IF(AND(C571=Master!$H$5,B571="2012-2013",E571&gt;1000,G571="PLN03"),H571,"")</f>
        <v/>
      </c>
      <c r="AH571" s="42" t="str">
        <f>IF(AND(C571=Master!$H$5,B571="2012-2013",E571="",G571="PLN03"),H571,"")</f>
        <v/>
      </c>
      <c r="AI571" s="42" t="str">
        <f>IF(AND(C571=Master!$H$6,B571="2012-2013",E571&gt;1000,G571="PLN03"),H571,"")</f>
        <v/>
      </c>
      <c r="AJ571" s="42" t="str">
        <f>IF(AND(C571=Master!$H$6,B571="2012-2013",E571="",G571="PLN03"),H571,"")</f>
        <v/>
      </c>
      <c r="AK571" s="42" t="str">
        <f>IF(AND(C571=Master!$H$7,B571="2012-2013",E571&gt;1000,G571="PLN03"),H571,"")</f>
        <v/>
      </c>
      <c r="AL571" s="42" t="str">
        <f>IF(AND(C571=Master!$H$7,B571="2012-2013",E571="",G571="PLN03"),H571,"")</f>
        <v/>
      </c>
      <c r="AM571" s="42" t="str">
        <f>IF(AND(C571=Master!$H$8,B571="2012-2013",E571&gt;1000,G571="PLN03"),H571,"")</f>
        <v/>
      </c>
      <c r="AN571" s="42" t="str">
        <f>IF(AND(C571=Master!$H$8,B571="2012-2013",E571="",G571="PLN03"),H571,"")</f>
        <v/>
      </c>
      <c r="AO571" s="42" t="str">
        <f>IF(AND(C571=Master!$H$9,B571="2012-2013",E571&gt;1000,G571="PLN03"),H571,"")</f>
        <v/>
      </c>
      <c r="AP571" s="42" t="str">
        <f>IF(AND(C571=Master!$H$9,B571="2012-2013",E571="",G571="PLN03"),H571,"")</f>
        <v/>
      </c>
      <c r="AQ571" s="44" t="str">
        <f>IF(AND(C571=Master!$H$1,B571="2012-2013",E571&gt;1000,G571="NPN05"),H571,"")</f>
        <v/>
      </c>
      <c r="AR571" s="44" t="str">
        <f>IF(AND(C571=Master!$H$1,B571="2012-2013",E571="",G571="NPN05"),H571,"")</f>
        <v/>
      </c>
      <c r="AS571" s="44" t="str">
        <f>IF(AND(C571=Master!$H$2,B571="2012-2013",E571&gt;1000,G571="NPN05"),H571,"")</f>
        <v/>
      </c>
      <c r="AT571" s="44" t="str">
        <f>IF(AND(C571=Master!$H$2,B571="2012-2013",E571="",G571="NPN05"),H571,"")</f>
        <v/>
      </c>
      <c r="AU571" s="44" t="str">
        <f>IF(AND(C571=Master!$H$3,B571="2012-2013",E571&gt;1000,G571="NPN05"),H571,"")</f>
        <v/>
      </c>
      <c r="AV571" s="44" t="str">
        <f>IF(AND(C571=Master!$H$3,B571="2012-2013",E571="",G571="NPN05"),H571,"")</f>
        <v/>
      </c>
      <c r="AW571" s="44" t="str">
        <f>IF(AND(C571=Master!$H$4,B571="2012-2013",E571&gt;1000,G571="NPN05"),H571,"")</f>
        <v/>
      </c>
      <c r="AX571" s="44" t="str">
        <f>IF(AND(C571=Master!$H$4,B571="2012-2013",E571="",G571="NPN05"),H571,"")</f>
        <v/>
      </c>
      <c r="AY571" s="44" t="str">
        <f>IF(AND(C571=Master!$H$5,B571="2012-2013",E571&gt;1000,G571="NPN05"),H571,"")</f>
        <v/>
      </c>
      <c r="AZ571" s="44" t="str">
        <f>IF(AND(C571=Master!$H$5,B571="2012-2013",E571="",G571="NPN05"),H571,"")</f>
        <v/>
      </c>
      <c r="BA571" s="44" t="str">
        <f>IF(AND(C571=Master!$H$6,B571="2012-2013",E571&gt;1000,G571="NPN05"),H571,"")</f>
        <v/>
      </c>
      <c r="BB571" s="44" t="str">
        <f>IF(AND(C571=Master!$H$6,B571="2012-2013",E571="",G571="NPN05"),H571,"")</f>
        <v/>
      </c>
      <c r="BC571" s="44" t="str">
        <f>IF(AND(C571=Master!$H$7,B571="2012-2013",E571&gt;1000,G571="NPN05"),H571,"")</f>
        <v/>
      </c>
      <c r="BD571" s="44" t="str">
        <f>IF(AND(C571=Master!$H$7,B571="2012-2013",E571="",G571="NPN05"),H571,"")</f>
        <v/>
      </c>
      <c r="BE571" s="44" t="str">
        <f>IF(AND(C571=Master!$H$8,B571="2012-2013",E571&gt;1000,G571="NPN05"),H571,"")</f>
        <v/>
      </c>
      <c r="BF571" s="44" t="str">
        <f>IF(AND(C571=Master!$H$8,B571="2012-2013",E571="",G571="NPN05"),H571,"")</f>
        <v/>
      </c>
      <c r="BG571" s="44" t="str">
        <f>IF(AND(C571=Master!$H$9,B571="2012-2013",E571&gt;1000,G571="NPN05"),H571,"")</f>
        <v/>
      </c>
      <c r="BH571" s="44" t="str">
        <f>IF(AND(C571=Master!$H$9,B571="2012-2013",E571="",G571="NPN05"),H571,"")</f>
        <v/>
      </c>
    </row>
    <row r="572" spans="1:60" x14ac:dyDescent="0.25">
      <c r="A572" s="3">
        <v>570</v>
      </c>
      <c r="B572" s="12"/>
      <c r="C572" s="12"/>
      <c r="D572" s="31"/>
      <c r="E572" s="4"/>
      <c r="F572" s="13"/>
      <c r="G572" s="21"/>
      <c r="H572" s="35"/>
      <c r="I572" s="21"/>
      <c r="J572" s="25" t="str">
        <f>IF(NOT(I572=""),INDEX(Master!$B$1:$B$46,MATCH(I572,Master!$A$1:$A$46,0)),"")</f>
        <v/>
      </c>
      <c r="K572" s="18"/>
      <c r="L572" s="86"/>
      <c r="M572" s="13"/>
      <c r="N572" s="13"/>
      <c r="O572" s="18"/>
      <c r="P572" s="35"/>
      <c r="Q572" s="21"/>
      <c r="R572" s="21"/>
      <c r="S572" s="13"/>
      <c r="T572" s="12"/>
      <c r="U572" s="12"/>
      <c r="V572" s="12"/>
      <c r="W572" s="14"/>
      <c r="Y572" s="42" t="str">
        <f>IF(AND(C572=Master!$H$1,B572="2012-2013",E572&gt;1000,G572="PLN03"),H572,"")</f>
        <v/>
      </c>
      <c r="Z572" s="42" t="str">
        <f>IF(AND(C572=Master!$H$1,B572="2012-2013",E572="",G572="PLN03"),H572,"")</f>
        <v/>
      </c>
      <c r="AA572" s="42" t="str">
        <f>IF(AND(C572=Master!$H$2,B572="2012-2013",E572&gt;1000,G572="PLN03"),H572,"")</f>
        <v/>
      </c>
      <c r="AB572" s="42" t="str">
        <f>IF(AND(C572=Master!$H$2,B572="2012-2013",E572="",G572="PLN03"),H572,"")</f>
        <v/>
      </c>
      <c r="AC572" s="42" t="str">
        <f>IF(AND(C572=Master!$H$3,B572="2012-2013",E572&gt;1000,G572="PLN03"),H572,"")</f>
        <v/>
      </c>
      <c r="AD572" s="42" t="str">
        <f>IF(AND(C572=Master!$H$3,B572="2012-2013",E572="",G572="PLN03"),H572,"")</f>
        <v/>
      </c>
      <c r="AE572" s="42" t="str">
        <f>IF(AND(C572=Master!$H$4,B572="2012-2013",E572&gt;1000,G572="PLN03"),H572,"")</f>
        <v/>
      </c>
      <c r="AF572" s="42" t="str">
        <f>IF(AND(C572=Master!$H$4,B572="2012-2013",E572="",G572="PLN03"),H572,"")</f>
        <v/>
      </c>
      <c r="AG572" s="42" t="str">
        <f>IF(AND(C572=Master!$H$5,B572="2012-2013",E572&gt;1000,G572="PLN03"),H572,"")</f>
        <v/>
      </c>
      <c r="AH572" s="42" t="str">
        <f>IF(AND(C572=Master!$H$5,B572="2012-2013",E572="",G572="PLN03"),H572,"")</f>
        <v/>
      </c>
      <c r="AI572" s="42" t="str">
        <f>IF(AND(C572=Master!$H$6,B572="2012-2013",E572&gt;1000,G572="PLN03"),H572,"")</f>
        <v/>
      </c>
      <c r="AJ572" s="42" t="str">
        <f>IF(AND(C572=Master!$H$6,B572="2012-2013",E572="",G572="PLN03"),H572,"")</f>
        <v/>
      </c>
      <c r="AK572" s="42" t="str">
        <f>IF(AND(C572=Master!$H$7,B572="2012-2013",E572&gt;1000,G572="PLN03"),H572,"")</f>
        <v/>
      </c>
      <c r="AL572" s="42" t="str">
        <f>IF(AND(C572=Master!$H$7,B572="2012-2013",E572="",G572="PLN03"),H572,"")</f>
        <v/>
      </c>
      <c r="AM572" s="42" t="str">
        <f>IF(AND(C572=Master!$H$8,B572="2012-2013",E572&gt;1000,G572="PLN03"),H572,"")</f>
        <v/>
      </c>
      <c r="AN572" s="42" t="str">
        <f>IF(AND(C572=Master!$H$8,B572="2012-2013",E572="",G572="PLN03"),H572,"")</f>
        <v/>
      </c>
      <c r="AO572" s="42" t="str">
        <f>IF(AND(C572=Master!$H$9,B572="2012-2013",E572&gt;1000,G572="PLN03"),H572,"")</f>
        <v/>
      </c>
      <c r="AP572" s="42" t="str">
        <f>IF(AND(C572=Master!$H$9,B572="2012-2013",E572="",G572="PLN03"),H572,"")</f>
        <v/>
      </c>
      <c r="AQ572" s="44" t="str">
        <f>IF(AND(C572=Master!$H$1,B572="2012-2013",E572&gt;1000,G572="NPN05"),H572,"")</f>
        <v/>
      </c>
      <c r="AR572" s="44" t="str">
        <f>IF(AND(C572=Master!$H$1,B572="2012-2013",E572="",G572="NPN05"),H572,"")</f>
        <v/>
      </c>
      <c r="AS572" s="44" t="str">
        <f>IF(AND(C572=Master!$H$2,B572="2012-2013",E572&gt;1000,G572="NPN05"),H572,"")</f>
        <v/>
      </c>
      <c r="AT572" s="44" t="str">
        <f>IF(AND(C572=Master!$H$2,B572="2012-2013",E572="",G572="NPN05"),H572,"")</f>
        <v/>
      </c>
      <c r="AU572" s="44" t="str">
        <f>IF(AND(C572=Master!$H$3,B572="2012-2013",E572&gt;1000,G572="NPN05"),H572,"")</f>
        <v/>
      </c>
      <c r="AV572" s="44" t="str">
        <f>IF(AND(C572=Master!$H$3,B572="2012-2013",E572="",G572="NPN05"),H572,"")</f>
        <v/>
      </c>
      <c r="AW572" s="44" t="str">
        <f>IF(AND(C572=Master!$H$4,B572="2012-2013",E572&gt;1000,G572="NPN05"),H572,"")</f>
        <v/>
      </c>
      <c r="AX572" s="44" t="str">
        <f>IF(AND(C572=Master!$H$4,B572="2012-2013",E572="",G572="NPN05"),H572,"")</f>
        <v/>
      </c>
      <c r="AY572" s="44" t="str">
        <f>IF(AND(C572=Master!$H$5,B572="2012-2013",E572&gt;1000,G572="NPN05"),H572,"")</f>
        <v/>
      </c>
      <c r="AZ572" s="44" t="str">
        <f>IF(AND(C572=Master!$H$5,B572="2012-2013",E572="",G572="NPN05"),H572,"")</f>
        <v/>
      </c>
      <c r="BA572" s="44" t="str">
        <f>IF(AND(C572=Master!$H$6,B572="2012-2013",E572&gt;1000,G572="NPN05"),H572,"")</f>
        <v/>
      </c>
      <c r="BB572" s="44" t="str">
        <f>IF(AND(C572=Master!$H$6,B572="2012-2013",E572="",G572="NPN05"),H572,"")</f>
        <v/>
      </c>
      <c r="BC572" s="44" t="str">
        <f>IF(AND(C572=Master!$H$7,B572="2012-2013",E572&gt;1000,G572="NPN05"),H572,"")</f>
        <v/>
      </c>
      <c r="BD572" s="44" t="str">
        <f>IF(AND(C572=Master!$H$7,B572="2012-2013",E572="",G572="NPN05"),H572,"")</f>
        <v/>
      </c>
      <c r="BE572" s="44" t="str">
        <f>IF(AND(C572=Master!$H$8,B572="2012-2013",E572&gt;1000,G572="NPN05"),H572,"")</f>
        <v/>
      </c>
      <c r="BF572" s="44" t="str">
        <f>IF(AND(C572=Master!$H$8,B572="2012-2013",E572="",G572="NPN05"),H572,"")</f>
        <v/>
      </c>
      <c r="BG572" s="44" t="str">
        <f>IF(AND(C572=Master!$H$9,B572="2012-2013",E572&gt;1000,G572="NPN05"),H572,"")</f>
        <v/>
      </c>
      <c r="BH572" s="44" t="str">
        <f>IF(AND(C572=Master!$H$9,B572="2012-2013",E572="",G572="NPN05"),H572,"")</f>
        <v/>
      </c>
    </row>
    <row r="573" spans="1:60" x14ac:dyDescent="0.25">
      <c r="A573" s="3">
        <v>571</v>
      </c>
      <c r="B573" s="12"/>
      <c r="C573" s="12"/>
      <c r="D573" s="31"/>
      <c r="E573" s="4"/>
      <c r="F573" s="13"/>
      <c r="G573" s="21"/>
      <c r="H573" s="35"/>
      <c r="I573" s="21"/>
      <c r="J573" s="25" t="str">
        <f>IF(NOT(I573=""),INDEX(Master!$B$1:$B$46,MATCH(I573,Master!$A$1:$A$46,0)),"")</f>
        <v/>
      </c>
      <c r="K573" s="18"/>
      <c r="L573" s="86"/>
      <c r="M573" s="13"/>
      <c r="N573" s="13"/>
      <c r="O573" s="18"/>
      <c r="P573" s="35"/>
      <c r="Q573" s="21"/>
      <c r="R573" s="21"/>
      <c r="S573" s="13"/>
      <c r="T573" s="12"/>
      <c r="U573" s="12"/>
      <c r="V573" s="12"/>
      <c r="W573" s="14"/>
      <c r="Y573" s="42" t="str">
        <f>IF(AND(C573=Master!$H$1,B573="2012-2013",E573&gt;1000,G573="PLN03"),H573,"")</f>
        <v/>
      </c>
      <c r="Z573" s="42" t="str">
        <f>IF(AND(C573=Master!$H$1,B573="2012-2013",E573="",G573="PLN03"),H573,"")</f>
        <v/>
      </c>
      <c r="AA573" s="42" t="str">
        <f>IF(AND(C573=Master!$H$2,B573="2012-2013",E573&gt;1000,G573="PLN03"),H573,"")</f>
        <v/>
      </c>
      <c r="AB573" s="42" t="str">
        <f>IF(AND(C573=Master!$H$2,B573="2012-2013",E573="",G573="PLN03"),H573,"")</f>
        <v/>
      </c>
      <c r="AC573" s="42" t="str">
        <f>IF(AND(C573=Master!$H$3,B573="2012-2013",E573&gt;1000,G573="PLN03"),H573,"")</f>
        <v/>
      </c>
      <c r="AD573" s="42" t="str">
        <f>IF(AND(C573=Master!$H$3,B573="2012-2013",E573="",G573="PLN03"),H573,"")</f>
        <v/>
      </c>
      <c r="AE573" s="42" t="str">
        <f>IF(AND(C573=Master!$H$4,B573="2012-2013",E573&gt;1000,G573="PLN03"),H573,"")</f>
        <v/>
      </c>
      <c r="AF573" s="42" t="str">
        <f>IF(AND(C573=Master!$H$4,B573="2012-2013",E573="",G573="PLN03"),H573,"")</f>
        <v/>
      </c>
      <c r="AG573" s="42" t="str">
        <f>IF(AND(C573=Master!$H$5,B573="2012-2013",E573&gt;1000,G573="PLN03"),H573,"")</f>
        <v/>
      </c>
      <c r="AH573" s="42" t="str">
        <f>IF(AND(C573=Master!$H$5,B573="2012-2013",E573="",G573="PLN03"),H573,"")</f>
        <v/>
      </c>
      <c r="AI573" s="42" t="str">
        <f>IF(AND(C573=Master!$H$6,B573="2012-2013",E573&gt;1000,G573="PLN03"),H573,"")</f>
        <v/>
      </c>
      <c r="AJ573" s="42" t="str">
        <f>IF(AND(C573=Master!$H$6,B573="2012-2013",E573="",G573="PLN03"),H573,"")</f>
        <v/>
      </c>
      <c r="AK573" s="42" t="str">
        <f>IF(AND(C573=Master!$H$7,B573="2012-2013",E573&gt;1000,G573="PLN03"),H573,"")</f>
        <v/>
      </c>
      <c r="AL573" s="42" t="str">
        <f>IF(AND(C573=Master!$H$7,B573="2012-2013",E573="",G573="PLN03"),H573,"")</f>
        <v/>
      </c>
      <c r="AM573" s="42" t="str">
        <f>IF(AND(C573=Master!$H$8,B573="2012-2013",E573&gt;1000,G573="PLN03"),H573,"")</f>
        <v/>
      </c>
      <c r="AN573" s="42" t="str">
        <f>IF(AND(C573=Master!$H$8,B573="2012-2013",E573="",G573="PLN03"),H573,"")</f>
        <v/>
      </c>
      <c r="AO573" s="42" t="str">
        <f>IF(AND(C573=Master!$H$9,B573="2012-2013",E573&gt;1000,G573="PLN03"),H573,"")</f>
        <v/>
      </c>
      <c r="AP573" s="42" t="str">
        <f>IF(AND(C573=Master!$H$9,B573="2012-2013",E573="",G573="PLN03"),H573,"")</f>
        <v/>
      </c>
      <c r="AQ573" s="44" t="str">
        <f>IF(AND(C573=Master!$H$1,B573="2012-2013",E573&gt;1000,G573="NPN05"),H573,"")</f>
        <v/>
      </c>
      <c r="AR573" s="44" t="str">
        <f>IF(AND(C573=Master!$H$1,B573="2012-2013",E573="",G573="NPN05"),H573,"")</f>
        <v/>
      </c>
      <c r="AS573" s="44" t="str">
        <f>IF(AND(C573=Master!$H$2,B573="2012-2013",E573&gt;1000,G573="NPN05"),H573,"")</f>
        <v/>
      </c>
      <c r="AT573" s="44" t="str">
        <f>IF(AND(C573=Master!$H$2,B573="2012-2013",E573="",G573="NPN05"),H573,"")</f>
        <v/>
      </c>
      <c r="AU573" s="44" t="str">
        <f>IF(AND(C573=Master!$H$3,B573="2012-2013",E573&gt;1000,G573="NPN05"),H573,"")</f>
        <v/>
      </c>
      <c r="AV573" s="44" t="str">
        <f>IF(AND(C573=Master!$H$3,B573="2012-2013",E573="",G573="NPN05"),H573,"")</f>
        <v/>
      </c>
      <c r="AW573" s="44" t="str">
        <f>IF(AND(C573=Master!$H$4,B573="2012-2013",E573&gt;1000,G573="NPN05"),H573,"")</f>
        <v/>
      </c>
      <c r="AX573" s="44" t="str">
        <f>IF(AND(C573=Master!$H$4,B573="2012-2013",E573="",G573="NPN05"),H573,"")</f>
        <v/>
      </c>
      <c r="AY573" s="44" t="str">
        <f>IF(AND(C573=Master!$H$5,B573="2012-2013",E573&gt;1000,G573="NPN05"),H573,"")</f>
        <v/>
      </c>
      <c r="AZ573" s="44" t="str">
        <f>IF(AND(C573=Master!$H$5,B573="2012-2013",E573="",G573="NPN05"),H573,"")</f>
        <v/>
      </c>
      <c r="BA573" s="44" t="str">
        <f>IF(AND(C573=Master!$H$6,B573="2012-2013",E573&gt;1000,G573="NPN05"),H573,"")</f>
        <v/>
      </c>
      <c r="BB573" s="44" t="str">
        <f>IF(AND(C573=Master!$H$6,B573="2012-2013",E573="",G573="NPN05"),H573,"")</f>
        <v/>
      </c>
      <c r="BC573" s="44" t="str">
        <f>IF(AND(C573=Master!$H$7,B573="2012-2013",E573&gt;1000,G573="NPN05"),H573,"")</f>
        <v/>
      </c>
      <c r="BD573" s="44" t="str">
        <f>IF(AND(C573=Master!$H$7,B573="2012-2013",E573="",G573="NPN05"),H573,"")</f>
        <v/>
      </c>
      <c r="BE573" s="44" t="str">
        <f>IF(AND(C573=Master!$H$8,B573="2012-2013",E573&gt;1000,G573="NPN05"),H573,"")</f>
        <v/>
      </c>
      <c r="BF573" s="44" t="str">
        <f>IF(AND(C573=Master!$H$8,B573="2012-2013",E573="",G573="NPN05"),H573,"")</f>
        <v/>
      </c>
      <c r="BG573" s="44" t="str">
        <f>IF(AND(C573=Master!$H$9,B573="2012-2013",E573&gt;1000,G573="NPN05"),H573,"")</f>
        <v/>
      </c>
      <c r="BH573" s="44" t="str">
        <f>IF(AND(C573=Master!$H$9,B573="2012-2013",E573="",G573="NPN05"),H573,"")</f>
        <v/>
      </c>
    </row>
    <row r="574" spans="1:60" x14ac:dyDescent="0.25">
      <c r="A574" s="3">
        <v>572</v>
      </c>
      <c r="B574" s="12"/>
      <c r="C574" s="12"/>
      <c r="D574" s="31"/>
      <c r="E574" s="4"/>
      <c r="F574" s="13"/>
      <c r="G574" s="21"/>
      <c r="H574" s="35"/>
      <c r="I574" s="21"/>
      <c r="J574" s="25" t="str">
        <f>IF(NOT(I574=""),INDEX(Master!$B$1:$B$46,MATCH(I574,Master!$A$1:$A$46,0)),"")</f>
        <v/>
      </c>
      <c r="K574" s="18"/>
      <c r="L574" s="86"/>
      <c r="M574" s="13"/>
      <c r="N574" s="13"/>
      <c r="O574" s="18"/>
      <c r="P574" s="35"/>
      <c r="Q574" s="21"/>
      <c r="R574" s="21"/>
      <c r="S574" s="13"/>
      <c r="T574" s="12"/>
      <c r="U574" s="12"/>
      <c r="V574" s="12"/>
      <c r="W574" s="14"/>
      <c r="Y574" s="42" t="str">
        <f>IF(AND(C574=Master!$H$1,B574="2012-2013",E574&gt;1000,G574="PLN03"),H574,"")</f>
        <v/>
      </c>
      <c r="Z574" s="42" t="str">
        <f>IF(AND(C574=Master!$H$1,B574="2012-2013",E574="",G574="PLN03"),H574,"")</f>
        <v/>
      </c>
      <c r="AA574" s="42" t="str">
        <f>IF(AND(C574=Master!$H$2,B574="2012-2013",E574&gt;1000,G574="PLN03"),H574,"")</f>
        <v/>
      </c>
      <c r="AB574" s="42" t="str">
        <f>IF(AND(C574=Master!$H$2,B574="2012-2013",E574="",G574="PLN03"),H574,"")</f>
        <v/>
      </c>
      <c r="AC574" s="42" t="str">
        <f>IF(AND(C574=Master!$H$3,B574="2012-2013",E574&gt;1000,G574="PLN03"),H574,"")</f>
        <v/>
      </c>
      <c r="AD574" s="42" t="str">
        <f>IF(AND(C574=Master!$H$3,B574="2012-2013",E574="",G574="PLN03"),H574,"")</f>
        <v/>
      </c>
      <c r="AE574" s="42" t="str">
        <f>IF(AND(C574=Master!$H$4,B574="2012-2013",E574&gt;1000,G574="PLN03"),H574,"")</f>
        <v/>
      </c>
      <c r="AF574" s="42" t="str">
        <f>IF(AND(C574=Master!$H$4,B574="2012-2013",E574="",G574="PLN03"),H574,"")</f>
        <v/>
      </c>
      <c r="AG574" s="42" t="str">
        <f>IF(AND(C574=Master!$H$5,B574="2012-2013",E574&gt;1000,G574="PLN03"),H574,"")</f>
        <v/>
      </c>
      <c r="AH574" s="42" t="str">
        <f>IF(AND(C574=Master!$H$5,B574="2012-2013",E574="",G574="PLN03"),H574,"")</f>
        <v/>
      </c>
      <c r="AI574" s="42" t="str">
        <f>IF(AND(C574=Master!$H$6,B574="2012-2013",E574&gt;1000,G574="PLN03"),H574,"")</f>
        <v/>
      </c>
      <c r="AJ574" s="42" t="str">
        <f>IF(AND(C574=Master!$H$6,B574="2012-2013",E574="",G574="PLN03"),H574,"")</f>
        <v/>
      </c>
      <c r="AK574" s="42" t="str">
        <f>IF(AND(C574=Master!$H$7,B574="2012-2013",E574&gt;1000,G574="PLN03"),H574,"")</f>
        <v/>
      </c>
      <c r="AL574" s="42" t="str">
        <f>IF(AND(C574=Master!$H$7,B574="2012-2013",E574="",G574="PLN03"),H574,"")</f>
        <v/>
      </c>
      <c r="AM574" s="42" t="str">
        <f>IF(AND(C574=Master!$H$8,B574="2012-2013",E574&gt;1000,G574="PLN03"),H574,"")</f>
        <v/>
      </c>
      <c r="AN574" s="42" t="str">
        <f>IF(AND(C574=Master!$H$8,B574="2012-2013",E574="",G574="PLN03"),H574,"")</f>
        <v/>
      </c>
      <c r="AO574" s="42" t="str">
        <f>IF(AND(C574=Master!$H$9,B574="2012-2013",E574&gt;1000,G574="PLN03"),H574,"")</f>
        <v/>
      </c>
      <c r="AP574" s="42" t="str">
        <f>IF(AND(C574=Master!$H$9,B574="2012-2013",E574="",G574="PLN03"),H574,"")</f>
        <v/>
      </c>
      <c r="AQ574" s="44" t="str">
        <f>IF(AND(C574=Master!$H$1,B574="2012-2013",E574&gt;1000,G574="NPN05"),H574,"")</f>
        <v/>
      </c>
      <c r="AR574" s="44" t="str">
        <f>IF(AND(C574=Master!$H$1,B574="2012-2013",E574="",G574="NPN05"),H574,"")</f>
        <v/>
      </c>
      <c r="AS574" s="44" t="str">
        <f>IF(AND(C574=Master!$H$2,B574="2012-2013",E574&gt;1000,G574="NPN05"),H574,"")</f>
        <v/>
      </c>
      <c r="AT574" s="44" t="str">
        <f>IF(AND(C574=Master!$H$2,B574="2012-2013",E574="",G574="NPN05"),H574,"")</f>
        <v/>
      </c>
      <c r="AU574" s="44" t="str">
        <f>IF(AND(C574=Master!$H$3,B574="2012-2013",E574&gt;1000,G574="NPN05"),H574,"")</f>
        <v/>
      </c>
      <c r="AV574" s="44" t="str">
        <f>IF(AND(C574=Master!$H$3,B574="2012-2013",E574="",G574="NPN05"),H574,"")</f>
        <v/>
      </c>
      <c r="AW574" s="44" t="str">
        <f>IF(AND(C574=Master!$H$4,B574="2012-2013",E574&gt;1000,G574="NPN05"),H574,"")</f>
        <v/>
      </c>
      <c r="AX574" s="44" t="str">
        <f>IF(AND(C574=Master!$H$4,B574="2012-2013",E574="",G574="NPN05"),H574,"")</f>
        <v/>
      </c>
      <c r="AY574" s="44" t="str">
        <f>IF(AND(C574=Master!$H$5,B574="2012-2013",E574&gt;1000,G574="NPN05"),H574,"")</f>
        <v/>
      </c>
      <c r="AZ574" s="44" t="str">
        <f>IF(AND(C574=Master!$H$5,B574="2012-2013",E574="",G574="NPN05"),H574,"")</f>
        <v/>
      </c>
      <c r="BA574" s="44" t="str">
        <f>IF(AND(C574=Master!$H$6,B574="2012-2013",E574&gt;1000,G574="NPN05"),H574,"")</f>
        <v/>
      </c>
      <c r="BB574" s="44" t="str">
        <f>IF(AND(C574=Master!$H$6,B574="2012-2013",E574="",G574="NPN05"),H574,"")</f>
        <v/>
      </c>
      <c r="BC574" s="44" t="str">
        <f>IF(AND(C574=Master!$H$7,B574="2012-2013",E574&gt;1000,G574="NPN05"),H574,"")</f>
        <v/>
      </c>
      <c r="BD574" s="44" t="str">
        <f>IF(AND(C574=Master!$H$7,B574="2012-2013",E574="",G574="NPN05"),H574,"")</f>
        <v/>
      </c>
      <c r="BE574" s="44" t="str">
        <f>IF(AND(C574=Master!$H$8,B574="2012-2013",E574&gt;1000,G574="NPN05"),H574,"")</f>
        <v/>
      </c>
      <c r="BF574" s="44" t="str">
        <f>IF(AND(C574=Master!$H$8,B574="2012-2013",E574="",G574="NPN05"),H574,"")</f>
        <v/>
      </c>
      <c r="BG574" s="44" t="str">
        <f>IF(AND(C574=Master!$H$9,B574="2012-2013",E574&gt;1000,G574="NPN05"),H574,"")</f>
        <v/>
      </c>
      <c r="BH574" s="44" t="str">
        <f>IF(AND(C574=Master!$H$9,B574="2012-2013",E574="",G574="NPN05"),H574,"")</f>
        <v/>
      </c>
    </row>
    <row r="575" spans="1:60" x14ac:dyDescent="0.25">
      <c r="A575" s="3">
        <v>573</v>
      </c>
      <c r="B575" s="12"/>
      <c r="C575" s="12"/>
      <c r="D575" s="31"/>
      <c r="E575" s="4"/>
      <c r="F575" s="13"/>
      <c r="G575" s="21"/>
      <c r="H575" s="35"/>
      <c r="I575" s="21"/>
      <c r="J575" s="25" t="str">
        <f>IF(NOT(I575=""),INDEX(Master!$B$1:$B$46,MATCH(I575,Master!$A$1:$A$46,0)),"")</f>
        <v/>
      </c>
      <c r="K575" s="18"/>
      <c r="L575" s="86"/>
      <c r="M575" s="13"/>
      <c r="N575" s="13"/>
      <c r="O575" s="18"/>
      <c r="P575" s="35"/>
      <c r="Q575" s="21"/>
      <c r="R575" s="21"/>
      <c r="S575" s="13"/>
      <c r="T575" s="12"/>
      <c r="U575" s="12"/>
      <c r="V575" s="12"/>
      <c r="W575" s="14"/>
      <c r="Y575" s="42" t="str">
        <f>IF(AND(C575=Master!$H$1,B575="2012-2013",E575&gt;1000,G575="PLN03"),H575,"")</f>
        <v/>
      </c>
      <c r="Z575" s="42" t="str">
        <f>IF(AND(C575=Master!$H$1,B575="2012-2013",E575="",G575="PLN03"),H575,"")</f>
        <v/>
      </c>
      <c r="AA575" s="42" t="str">
        <f>IF(AND(C575=Master!$H$2,B575="2012-2013",E575&gt;1000,G575="PLN03"),H575,"")</f>
        <v/>
      </c>
      <c r="AB575" s="42" t="str">
        <f>IF(AND(C575=Master!$H$2,B575="2012-2013",E575="",G575="PLN03"),H575,"")</f>
        <v/>
      </c>
      <c r="AC575" s="42" t="str">
        <f>IF(AND(C575=Master!$H$3,B575="2012-2013",E575&gt;1000,G575="PLN03"),H575,"")</f>
        <v/>
      </c>
      <c r="AD575" s="42" t="str">
        <f>IF(AND(C575=Master!$H$3,B575="2012-2013",E575="",G575="PLN03"),H575,"")</f>
        <v/>
      </c>
      <c r="AE575" s="42" t="str">
        <f>IF(AND(C575=Master!$H$4,B575="2012-2013",E575&gt;1000,G575="PLN03"),H575,"")</f>
        <v/>
      </c>
      <c r="AF575" s="42" t="str">
        <f>IF(AND(C575=Master!$H$4,B575="2012-2013",E575="",G575="PLN03"),H575,"")</f>
        <v/>
      </c>
      <c r="AG575" s="42" t="str">
        <f>IF(AND(C575=Master!$H$5,B575="2012-2013",E575&gt;1000,G575="PLN03"),H575,"")</f>
        <v/>
      </c>
      <c r="AH575" s="42" t="str">
        <f>IF(AND(C575=Master!$H$5,B575="2012-2013",E575="",G575="PLN03"),H575,"")</f>
        <v/>
      </c>
      <c r="AI575" s="42" t="str">
        <f>IF(AND(C575=Master!$H$6,B575="2012-2013",E575&gt;1000,G575="PLN03"),H575,"")</f>
        <v/>
      </c>
      <c r="AJ575" s="42" t="str">
        <f>IF(AND(C575=Master!$H$6,B575="2012-2013",E575="",G575="PLN03"),H575,"")</f>
        <v/>
      </c>
      <c r="AK575" s="42" t="str">
        <f>IF(AND(C575=Master!$H$7,B575="2012-2013",E575&gt;1000,G575="PLN03"),H575,"")</f>
        <v/>
      </c>
      <c r="AL575" s="42" t="str">
        <f>IF(AND(C575=Master!$H$7,B575="2012-2013",E575="",G575="PLN03"),H575,"")</f>
        <v/>
      </c>
      <c r="AM575" s="42" t="str">
        <f>IF(AND(C575=Master!$H$8,B575="2012-2013",E575&gt;1000,G575="PLN03"),H575,"")</f>
        <v/>
      </c>
      <c r="AN575" s="42" t="str">
        <f>IF(AND(C575=Master!$H$8,B575="2012-2013",E575="",G575="PLN03"),H575,"")</f>
        <v/>
      </c>
      <c r="AO575" s="42" t="str">
        <f>IF(AND(C575=Master!$H$9,B575="2012-2013",E575&gt;1000,G575="PLN03"),H575,"")</f>
        <v/>
      </c>
      <c r="AP575" s="42" t="str">
        <f>IF(AND(C575=Master!$H$9,B575="2012-2013",E575="",G575="PLN03"),H575,"")</f>
        <v/>
      </c>
      <c r="AQ575" s="44" t="str">
        <f>IF(AND(C575=Master!$H$1,B575="2012-2013",E575&gt;1000,G575="NPN05"),H575,"")</f>
        <v/>
      </c>
      <c r="AR575" s="44" t="str">
        <f>IF(AND(C575=Master!$H$1,B575="2012-2013",E575="",G575="NPN05"),H575,"")</f>
        <v/>
      </c>
      <c r="AS575" s="44" t="str">
        <f>IF(AND(C575=Master!$H$2,B575="2012-2013",E575&gt;1000,G575="NPN05"),H575,"")</f>
        <v/>
      </c>
      <c r="AT575" s="44" t="str">
        <f>IF(AND(C575=Master!$H$2,B575="2012-2013",E575="",G575="NPN05"),H575,"")</f>
        <v/>
      </c>
      <c r="AU575" s="44" t="str">
        <f>IF(AND(C575=Master!$H$3,B575="2012-2013",E575&gt;1000,G575="NPN05"),H575,"")</f>
        <v/>
      </c>
      <c r="AV575" s="44" t="str">
        <f>IF(AND(C575=Master!$H$3,B575="2012-2013",E575="",G575="NPN05"),H575,"")</f>
        <v/>
      </c>
      <c r="AW575" s="44" t="str">
        <f>IF(AND(C575=Master!$H$4,B575="2012-2013",E575&gt;1000,G575="NPN05"),H575,"")</f>
        <v/>
      </c>
      <c r="AX575" s="44" t="str">
        <f>IF(AND(C575=Master!$H$4,B575="2012-2013",E575="",G575="NPN05"),H575,"")</f>
        <v/>
      </c>
      <c r="AY575" s="44" t="str">
        <f>IF(AND(C575=Master!$H$5,B575="2012-2013",E575&gt;1000,G575="NPN05"),H575,"")</f>
        <v/>
      </c>
      <c r="AZ575" s="44" t="str">
        <f>IF(AND(C575=Master!$H$5,B575="2012-2013",E575="",G575="NPN05"),H575,"")</f>
        <v/>
      </c>
      <c r="BA575" s="44" t="str">
        <f>IF(AND(C575=Master!$H$6,B575="2012-2013",E575&gt;1000,G575="NPN05"),H575,"")</f>
        <v/>
      </c>
      <c r="BB575" s="44" t="str">
        <f>IF(AND(C575=Master!$H$6,B575="2012-2013",E575="",G575="NPN05"),H575,"")</f>
        <v/>
      </c>
      <c r="BC575" s="44" t="str">
        <f>IF(AND(C575=Master!$H$7,B575="2012-2013",E575&gt;1000,G575="NPN05"),H575,"")</f>
        <v/>
      </c>
      <c r="BD575" s="44" t="str">
        <f>IF(AND(C575=Master!$H$7,B575="2012-2013",E575="",G575="NPN05"),H575,"")</f>
        <v/>
      </c>
      <c r="BE575" s="44" t="str">
        <f>IF(AND(C575=Master!$H$8,B575="2012-2013",E575&gt;1000,G575="NPN05"),H575,"")</f>
        <v/>
      </c>
      <c r="BF575" s="44" t="str">
        <f>IF(AND(C575=Master!$H$8,B575="2012-2013",E575="",G575="NPN05"),H575,"")</f>
        <v/>
      </c>
      <c r="BG575" s="44" t="str">
        <f>IF(AND(C575=Master!$H$9,B575="2012-2013",E575&gt;1000,G575="NPN05"),H575,"")</f>
        <v/>
      </c>
      <c r="BH575" s="44" t="str">
        <f>IF(AND(C575=Master!$H$9,B575="2012-2013",E575="",G575="NPN05"),H575,"")</f>
        <v/>
      </c>
    </row>
    <row r="576" spans="1:60" x14ac:dyDescent="0.25">
      <c r="A576" s="3">
        <v>574</v>
      </c>
      <c r="B576" s="12"/>
      <c r="C576" s="12"/>
      <c r="D576" s="31"/>
      <c r="E576" s="4"/>
      <c r="F576" s="13"/>
      <c r="G576" s="21"/>
      <c r="H576" s="35"/>
      <c r="I576" s="21"/>
      <c r="J576" s="25" t="str">
        <f>IF(NOT(I576=""),INDEX(Master!$B$1:$B$46,MATCH(I576,Master!$A$1:$A$46,0)),"")</f>
        <v/>
      </c>
      <c r="K576" s="18"/>
      <c r="L576" s="86"/>
      <c r="M576" s="13"/>
      <c r="N576" s="13"/>
      <c r="O576" s="18"/>
      <c r="P576" s="35"/>
      <c r="Q576" s="21"/>
      <c r="R576" s="21"/>
      <c r="S576" s="13"/>
      <c r="T576" s="12"/>
      <c r="U576" s="12"/>
      <c r="V576" s="12"/>
      <c r="W576" s="14"/>
      <c r="Y576" s="42" t="str">
        <f>IF(AND(C576=Master!$H$1,B576="2012-2013",E576&gt;1000,G576="PLN03"),H576,"")</f>
        <v/>
      </c>
      <c r="Z576" s="42" t="str">
        <f>IF(AND(C576=Master!$H$1,B576="2012-2013",E576="",G576="PLN03"),H576,"")</f>
        <v/>
      </c>
      <c r="AA576" s="42" t="str">
        <f>IF(AND(C576=Master!$H$2,B576="2012-2013",E576&gt;1000,G576="PLN03"),H576,"")</f>
        <v/>
      </c>
      <c r="AB576" s="42" t="str">
        <f>IF(AND(C576=Master!$H$2,B576="2012-2013",E576="",G576="PLN03"),H576,"")</f>
        <v/>
      </c>
      <c r="AC576" s="42" t="str">
        <f>IF(AND(C576=Master!$H$3,B576="2012-2013",E576&gt;1000,G576="PLN03"),H576,"")</f>
        <v/>
      </c>
      <c r="AD576" s="42" t="str">
        <f>IF(AND(C576=Master!$H$3,B576="2012-2013",E576="",G576="PLN03"),H576,"")</f>
        <v/>
      </c>
      <c r="AE576" s="42" t="str">
        <f>IF(AND(C576=Master!$H$4,B576="2012-2013",E576&gt;1000,G576="PLN03"),H576,"")</f>
        <v/>
      </c>
      <c r="AF576" s="42" t="str">
        <f>IF(AND(C576=Master!$H$4,B576="2012-2013",E576="",G576="PLN03"),H576,"")</f>
        <v/>
      </c>
      <c r="AG576" s="42" t="str">
        <f>IF(AND(C576=Master!$H$5,B576="2012-2013",E576&gt;1000,G576="PLN03"),H576,"")</f>
        <v/>
      </c>
      <c r="AH576" s="42" t="str">
        <f>IF(AND(C576=Master!$H$5,B576="2012-2013",E576="",G576="PLN03"),H576,"")</f>
        <v/>
      </c>
      <c r="AI576" s="42" t="str">
        <f>IF(AND(C576=Master!$H$6,B576="2012-2013",E576&gt;1000,G576="PLN03"),H576,"")</f>
        <v/>
      </c>
      <c r="AJ576" s="42" t="str">
        <f>IF(AND(C576=Master!$H$6,B576="2012-2013",E576="",G576="PLN03"),H576,"")</f>
        <v/>
      </c>
      <c r="AK576" s="42" t="str">
        <f>IF(AND(C576=Master!$H$7,B576="2012-2013",E576&gt;1000,G576="PLN03"),H576,"")</f>
        <v/>
      </c>
      <c r="AL576" s="42" t="str">
        <f>IF(AND(C576=Master!$H$7,B576="2012-2013",E576="",G576="PLN03"),H576,"")</f>
        <v/>
      </c>
      <c r="AM576" s="42" t="str">
        <f>IF(AND(C576=Master!$H$8,B576="2012-2013",E576&gt;1000,G576="PLN03"),H576,"")</f>
        <v/>
      </c>
      <c r="AN576" s="42" t="str">
        <f>IF(AND(C576=Master!$H$8,B576="2012-2013",E576="",G576="PLN03"),H576,"")</f>
        <v/>
      </c>
      <c r="AO576" s="42" t="str">
        <f>IF(AND(C576=Master!$H$9,B576="2012-2013",E576&gt;1000,G576="PLN03"),H576,"")</f>
        <v/>
      </c>
      <c r="AP576" s="42" t="str">
        <f>IF(AND(C576=Master!$H$9,B576="2012-2013",E576="",G576="PLN03"),H576,"")</f>
        <v/>
      </c>
      <c r="AQ576" s="44" t="str">
        <f>IF(AND(C576=Master!$H$1,B576="2012-2013",E576&gt;1000,G576="NPN05"),H576,"")</f>
        <v/>
      </c>
      <c r="AR576" s="44" t="str">
        <f>IF(AND(C576=Master!$H$1,B576="2012-2013",E576="",G576="NPN05"),H576,"")</f>
        <v/>
      </c>
      <c r="AS576" s="44" t="str">
        <f>IF(AND(C576=Master!$H$2,B576="2012-2013",E576&gt;1000,G576="NPN05"),H576,"")</f>
        <v/>
      </c>
      <c r="AT576" s="44" t="str">
        <f>IF(AND(C576=Master!$H$2,B576="2012-2013",E576="",G576="NPN05"),H576,"")</f>
        <v/>
      </c>
      <c r="AU576" s="44" t="str">
        <f>IF(AND(C576=Master!$H$3,B576="2012-2013",E576&gt;1000,G576="NPN05"),H576,"")</f>
        <v/>
      </c>
      <c r="AV576" s="44" t="str">
        <f>IF(AND(C576=Master!$H$3,B576="2012-2013",E576="",G576="NPN05"),H576,"")</f>
        <v/>
      </c>
      <c r="AW576" s="44" t="str">
        <f>IF(AND(C576=Master!$H$4,B576="2012-2013",E576&gt;1000,G576="NPN05"),H576,"")</f>
        <v/>
      </c>
      <c r="AX576" s="44" t="str">
        <f>IF(AND(C576=Master!$H$4,B576="2012-2013",E576="",G576="NPN05"),H576,"")</f>
        <v/>
      </c>
      <c r="AY576" s="44" t="str">
        <f>IF(AND(C576=Master!$H$5,B576="2012-2013",E576&gt;1000,G576="NPN05"),H576,"")</f>
        <v/>
      </c>
      <c r="AZ576" s="44" t="str">
        <f>IF(AND(C576=Master!$H$5,B576="2012-2013",E576="",G576="NPN05"),H576,"")</f>
        <v/>
      </c>
      <c r="BA576" s="44" t="str">
        <f>IF(AND(C576=Master!$H$6,B576="2012-2013",E576&gt;1000,G576="NPN05"),H576,"")</f>
        <v/>
      </c>
      <c r="BB576" s="44" t="str">
        <f>IF(AND(C576=Master!$H$6,B576="2012-2013",E576="",G576="NPN05"),H576,"")</f>
        <v/>
      </c>
      <c r="BC576" s="44" t="str">
        <f>IF(AND(C576=Master!$H$7,B576="2012-2013",E576&gt;1000,G576="NPN05"),H576,"")</f>
        <v/>
      </c>
      <c r="BD576" s="44" t="str">
        <f>IF(AND(C576=Master!$H$7,B576="2012-2013",E576="",G576="NPN05"),H576,"")</f>
        <v/>
      </c>
      <c r="BE576" s="44" t="str">
        <f>IF(AND(C576=Master!$H$8,B576="2012-2013",E576&gt;1000,G576="NPN05"),H576,"")</f>
        <v/>
      </c>
      <c r="BF576" s="44" t="str">
        <f>IF(AND(C576=Master!$H$8,B576="2012-2013",E576="",G576="NPN05"),H576,"")</f>
        <v/>
      </c>
      <c r="BG576" s="44" t="str">
        <f>IF(AND(C576=Master!$H$9,B576="2012-2013",E576&gt;1000,G576="NPN05"),H576,"")</f>
        <v/>
      </c>
      <c r="BH576" s="44" t="str">
        <f>IF(AND(C576=Master!$H$9,B576="2012-2013",E576="",G576="NPN05"),H576,"")</f>
        <v/>
      </c>
    </row>
    <row r="577" spans="1:60" x14ac:dyDescent="0.25">
      <c r="A577" s="3">
        <v>575</v>
      </c>
      <c r="B577" s="12"/>
      <c r="C577" s="12"/>
      <c r="D577" s="31"/>
      <c r="E577" s="4"/>
      <c r="F577" s="13"/>
      <c r="G577" s="21"/>
      <c r="H577" s="35"/>
      <c r="I577" s="21"/>
      <c r="J577" s="25" t="str">
        <f>IF(NOT(I577=""),INDEX(Master!$B$1:$B$46,MATCH(I577,Master!$A$1:$A$46,0)),"")</f>
        <v/>
      </c>
      <c r="K577" s="18"/>
      <c r="L577" s="86"/>
      <c r="M577" s="13"/>
      <c r="N577" s="13"/>
      <c r="O577" s="18"/>
      <c r="P577" s="35"/>
      <c r="Q577" s="21"/>
      <c r="R577" s="21"/>
      <c r="S577" s="13"/>
      <c r="T577" s="12"/>
      <c r="U577" s="12"/>
      <c r="V577" s="12"/>
      <c r="W577" s="14"/>
      <c r="Y577" s="42" t="str">
        <f>IF(AND(C577=Master!$H$1,B577="2012-2013",E577&gt;1000,G577="PLN03"),H577,"")</f>
        <v/>
      </c>
      <c r="Z577" s="42" t="str">
        <f>IF(AND(C577=Master!$H$1,B577="2012-2013",E577="",G577="PLN03"),H577,"")</f>
        <v/>
      </c>
      <c r="AA577" s="42" t="str">
        <f>IF(AND(C577=Master!$H$2,B577="2012-2013",E577&gt;1000,G577="PLN03"),H577,"")</f>
        <v/>
      </c>
      <c r="AB577" s="42" t="str">
        <f>IF(AND(C577=Master!$H$2,B577="2012-2013",E577="",G577="PLN03"),H577,"")</f>
        <v/>
      </c>
      <c r="AC577" s="42" t="str">
        <f>IF(AND(C577=Master!$H$3,B577="2012-2013",E577&gt;1000,G577="PLN03"),H577,"")</f>
        <v/>
      </c>
      <c r="AD577" s="42" t="str">
        <f>IF(AND(C577=Master!$H$3,B577="2012-2013",E577="",G577="PLN03"),H577,"")</f>
        <v/>
      </c>
      <c r="AE577" s="42" t="str">
        <f>IF(AND(C577=Master!$H$4,B577="2012-2013",E577&gt;1000,G577="PLN03"),H577,"")</f>
        <v/>
      </c>
      <c r="AF577" s="42" t="str">
        <f>IF(AND(C577=Master!$H$4,B577="2012-2013",E577="",G577="PLN03"),H577,"")</f>
        <v/>
      </c>
      <c r="AG577" s="42" t="str">
        <f>IF(AND(C577=Master!$H$5,B577="2012-2013",E577&gt;1000,G577="PLN03"),H577,"")</f>
        <v/>
      </c>
      <c r="AH577" s="42" t="str">
        <f>IF(AND(C577=Master!$H$5,B577="2012-2013",E577="",G577="PLN03"),H577,"")</f>
        <v/>
      </c>
      <c r="AI577" s="42" t="str">
        <f>IF(AND(C577=Master!$H$6,B577="2012-2013",E577&gt;1000,G577="PLN03"),H577,"")</f>
        <v/>
      </c>
      <c r="AJ577" s="42" t="str">
        <f>IF(AND(C577=Master!$H$6,B577="2012-2013",E577="",G577="PLN03"),H577,"")</f>
        <v/>
      </c>
      <c r="AK577" s="42" t="str">
        <f>IF(AND(C577=Master!$H$7,B577="2012-2013",E577&gt;1000,G577="PLN03"),H577,"")</f>
        <v/>
      </c>
      <c r="AL577" s="42" t="str">
        <f>IF(AND(C577=Master!$H$7,B577="2012-2013",E577="",G577="PLN03"),H577,"")</f>
        <v/>
      </c>
      <c r="AM577" s="42" t="str">
        <f>IF(AND(C577=Master!$H$8,B577="2012-2013",E577&gt;1000,G577="PLN03"),H577,"")</f>
        <v/>
      </c>
      <c r="AN577" s="42" t="str">
        <f>IF(AND(C577=Master!$H$8,B577="2012-2013",E577="",G577="PLN03"),H577,"")</f>
        <v/>
      </c>
      <c r="AO577" s="42" t="str">
        <f>IF(AND(C577=Master!$H$9,B577="2012-2013",E577&gt;1000,G577="PLN03"),H577,"")</f>
        <v/>
      </c>
      <c r="AP577" s="42" t="str">
        <f>IF(AND(C577=Master!$H$9,B577="2012-2013",E577="",G577="PLN03"),H577,"")</f>
        <v/>
      </c>
      <c r="AQ577" s="44" t="str">
        <f>IF(AND(C577=Master!$H$1,B577="2012-2013",E577&gt;1000,G577="NPN05"),H577,"")</f>
        <v/>
      </c>
      <c r="AR577" s="44" t="str">
        <f>IF(AND(C577=Master!$H$1,B577="2012-2013",E577="",G577="NPN05"),H577,"")</f>
        <v/>
      </c>
      <c r="AS577" s="44" t="str">
        <f>IF(AND(C577=Master!$H$2,B577="2012-2013",E577&gt;1000,G577="NPN05"),H577,"")</f>
        <v/>
      </c>
      <c r="AT577" s="44" t="str">
        <f>IF(AND(C577=Master!$H$2,B577="2012-2013",E577="",G577="NPN05"),H577,"")</f>
        <v/>
      </c>
      <c r="AU577" s="44" t="str">
        <f>IF(AND(C577=Master!$H$3,B577="2012-2013",E577&gt;1000,G577="NPN05"),H577,"")</f>
        <v/>
      </c>
      <c r="AV577" s="44" t="str">
        <f>IF(AND(C577=Master!$H$3,B577="2012-2013",E577="",G577="NPN05"),H577,"")</f>
        <v/>
      </c>
      <c r="AW577" s="44" t="str">
        <f>IF(AND(C577=Master!$H$4,B577="2012-2013",E577&gt;1000,G577="NPN05"),H577,"")</f>
        <v/>
      </c>
      <c r="AX577" s="44" t="str">
        <f>IF(AND(C577=Master!$H$4,B577="2012-2013",E577="",G577="NPN05"),H577,"")</f>
        <v/>
      </c>
      <c r="AY577" s="44" t="str">
        <f>IF(AND(C577=Master!$H$5,B577="2012-2013",E577&gt;1000,G577="NPN05"),H577,"")</f>
        <v/>
      </c>
      <c r="AZ577" s="44" t="str">
        <f>IF(AND(C577=Master!$H$5,B577="2012-2013",E577="",G577="NPN05"),H577,"")</f>
        <v/>
      </c>
      <c r="BA577" s="44" t="str">
        <f>IF(AND(C577=Master!$H$6,B577="2012-2013",E577&gt;1000,G577="NPN05"),H577,"")</f>
        <v/>
      </c>
      <c r="BB577" s="44" t="str">
        <f>IF(AND(C577=Master!$H$6,B577="2012-2013",E577="",G577="NPN05"),H577,"")</f>
        <v/>
      </c>
      <c r="BC577" s="44" t="str">
        <f>IF(AND(C577=Master!$H$7,B577="2012-2013",E577&gt;1000,G577="NPN05"),H577,"")</f>
        <v/>
      </c>
      <c r="BD577" s="44" t="str">
        <f>IF(AND(C577=Master!$H$7,B577="2012-2013",E577="",G577="NPN05"),H577,"")</f>
        <v/>
      </c>
      <c r="BE577" s="44" t="str">
        <f>IF(AND(C577=Master!$H$8,B577="2012-2013",E577&gt;1000,G577="NPN05"),H577,"")</f>
        <v/>
      </c>
      <c r="BF577" s="44" t="str">
        <f>IF(AND(C577=Master!$H$8,B577="2012-2013",E577="",G577="NPN05"),H577,"")</f>
        <v/>
      </c>
      <c r="BG577" s="44" t="str">
        <f>IF(AND(C577=Master!$H$9,B577="2012-2013",E577&gt;1000,G577="NPN05"),H577,"")</f>
        <v/>
      </c>
      <c r="BH577" s="44" t="str">
        <f>IF(AND(C577=Master!$H$9,B577="2012-2013",E577="",G577="NPN05"),H577,"")</f>
        <v/>
      </c>
    </row>
    <row r="578" spans="1:60" x14ac:dyDescent="0.25">
      <c r="A578" s="3">
        <v>576</v>
      </c>
      <c r="B578" s="12"/>
      <c r="C578" s="12"/>
      <c r="D578" s="31"/>
      <c r="E578" s="4"/>
      <c r="F578" s="13"/>
      <c r="G578" s="21"/>
      <c r="H578" s="35"/>
      <c r="I578" s="21"/>
      <c r="J578" s="25" t="str">
        <f>IF(NOT(I578=""),INDEX(Master!$B$1:$B$46,MATCH(I578,Master!$A$1:$A$46,0)),"")</f>
        <v/>
      </c>
      <c r="K578" s="18"/>
      <c r="L578" s="86"/>
      <c r="M578" s="13"/>
      <c r="N578" s="13"/>
      <c r="O578" s="18"/>
      <c r="P578" s="35"/>
      <c r="Q578" s="21"/>
      <c r="R578" s="21"/>
      <c r="S578" s="13"/>
      <c r="T578" s="12"/>
      <c r="U578" s="12"/>
      <c r="V578" s="12"/>
      <c r="W578" s="14"/>
      <c r="Y578" s="42" t="str">
        <f>IF(AND(C578=Master!$H$1,B578="2012-2013",E578&gt;1000,G578="PLN03"),H578,"")</f>
        <v/>
      </c>
      <c r="Z578" s="42" t="str">
        <f>IF(AND(C578=Master!$H$1,B578="2012-2013",E578="",G578="PLN03"),H578,"")</f>
        <v/>
      </c>
      <c r="AA578" s="42" t="str">
        <f>IF(AND(C578=Master!$H$2,B578="2012-2013",E578&gt;1000,G578="PLN03"),H578,"")</f>
        <v/>
      </c>
      <c r="AB578" s="42" t="str">
        <f>IF(AND(C578=Master!$H$2,B578="2012-2013",E578="",G578="PLN03"),H578,"")</f>
        <v/>
      </c>
      <c r="AC578" s="42" t="str">
        <f>IF(AND(C578=Master!$H$3,B578="2012-2013",E578&gt;1000,G578="PLN03"),H578,"")</f>
        <v/>
      </c>
      <c r="AD578" s="42" t="str">
        <f>IF(AND(C578=Master!$H$3,B578="2012-2013",E578="",G578="PLN03"),H578,"")</f>
        <v/>
      </c>
      <c r="AE578" s="42" t="str">
        <f>IF(AND(C578=Master!$H$4,B578="2012-2013",E578&gt;1000,G578="PLN03"),H578,"")</f>
        <v/>
      </c>
      <c r="AF578" s="42" t="str">
        <f>IF(AND(C578=Master!$H$4,B578="2012-2013",E578="",G578="PLN03"),H578,"")</f>
        <v/>
      </c>
      <c r="AG578" s="42" t="str">
        <f>IF(AND(C578=Master!$H$5,B578="2012-2013",E578&gt;1000,G578="PLN03"),H578,"")</f>
        <v/>
      </c>
      <c r="AH578" s="42" t="str">
        <f>IF(AND(C578=Master!$H$5,B578="2012-2013",E578="",G578="PLN03"),H578,"")</f>
        <v/>
      </c>
      <c r="AI578" s="42" t="str">
        <f>IF(AND(C578=Master!$H$6,B578="2012-2013",E578&gt;1000,G578="PLN03"),H578,"")</f>
        <v/>
      </c>
      <c r="AJ578" s="42" t="str">
        <f>IF(AND(C578=Master!$H$6,B578="2012-2013",E578="",G578="PLN03"),H578,"")</f>
        <v/>
      </c>
      <c r="AK578" s="42" t="str">
        <f>IF(AND(C578=Master!$H$7,B578="2012-2013",E578&gt;1000,G578="PLN03"),H578,"")</f>
        <v/>
      </c>
      <c r="AL578" s="42" t="str">
        <f>IF(AND(C578=Master!$H$7,B578="2012-2013",E578="",G578="PLN03"),H578,"")</f>
        <v/>
      </c>
      <c r="AM578" s="42" t="str">
        <f>IF(AND(C578=Master!$H$8,B578="2012-2013",E578&gt;1000,G578="PLN03"),H578,"")</f>
        <v/>
      </c>
      <c r="AN578" s="42" t="str">
        <f>IF(AND(C578=Master!$H$8,B578="2012-2013",E578="",G578="PLN03"),H578,"")</f>
        <v/>
      </c>
      <c r="AO578" s="42" t="str">
        <f>IF(AND(C578=Master!$H$9,B578="2012-2013",E578&gt;1000,G578="PLN03"),H578,"")</f>
        <v/>
      </c>
      <c r="AP578" s="42" t="str">
        <f>IF(AND(C578=Master!$H$9,B578="2012-2013",E578="",G578="PLN03"),H578,"")</f>
        <v/>
      </c>
      <c r="AQ578" s="44" t="str">
        <f>IF(AND(C578=Master!$H$1,B578="2012-2013",E578&gt;1000,G578="NPN05"),H578,"")</f>
        <v/>
      </c>
      <c r="AR578" s="44" t="str">
        <f>IF(AND(C578=Master!$H$1,B578="2012-2013",E578="",G578="NPN05"),H578,"")</f>
        <v/>
      </c>
      <c r="AS578" s="44" t="str">
        <f>IF(AND(C578=Master!$H$2,B578="2012-2013",E578&gt;1000,G578="NPN05"),H578,"")</f>
        <v/>
      </c>
      <c r="AT578" s="44" t="str">
        <f>IF(AND(C578=Master!$H$2,B578="2012-2013",E578="",G578="NPN05"),H578,"")</f>
        <v/>
      </c>
      <c r="AU578" s="44" t="str">
        <f>IF(AND(C578=Master!$H$3,B578="2012-2013",E578&gt;1000,G578="NPN05"),H578,"")</f>
        <v/>
      </c>
      <c r="AV578" s="44" t="str">
        <f>IF(AND(C578=Master!$H$3,B578="2012-2013",E578="",G578="NPN05"),H578,"")</f>
        <v/>
      </c>
      <c r="AW578" s="44" t="str">
        <f>IF(AND(C578=Master!$H$4,B578="2012-2013",E578&gt;1000,G578="NPN05"),H578,"")</f>
        <v/>
      </c>
      <c r="AX578" s="44" t="str">
        <f>IF(AND(C578=Master!$H$4,B578="2012-2013",E578="",G578="NPN05"),H578,"")</f>
        <v/>
      </c>
      <c r="AY578" s="44" t="str">
        <f>IF(AND(C578=Master!$H$5,B578="2012-2013",E578&gt;1000,G578="NPN05"),H578,"")</f>
        <v/>
      </c>
      <c r="AZ578" s="44" t="str">
        <f>IF(AND(C578=Master!$H$5,B578="2012-2013",E578="",G578="NPN05"),H578,"")</f>
        <v/>
      </c>
      <c r="BA578" s="44" t="str">
        <f>IF(AND(C578=Master!$H$6,B578="2012-2013",E578&gt;1000,G578="NPN05"),H578,"")</f>
        <v/>
      </c>
      <c r="BB578" s="44" t="str">
        <f>IF(AND(C578=Master!$H$6,B578="2012-2013",E578="",G578="NPN05"),H578,"")</f>
        <v/>
      </c>
      <c r="BC578" s="44" t="str">
        <f>IF(AND(C578=Master!$H$7,B578="2012-2013",E578&gt;1000,G578="NPN05"),H578,"")</f>
        <v/>
      </c>
      <c r="BD578" s="44" t="str">
        <f>IF(AND(C578=Master!$H$7,B578="2012-2013",E578="",G578="NPN05"),H578,"")</f>
        <v/>
      </c>
      <c r="BE578" s="44" t="str">
        <f>IF(AND(C578=Master!$H$8,B578="2012-2013",E578&gt;1000,G578="NPN05"),H578,"")</f>
        <v/>
      </c>
      <c r="BF578" s="44" t="str">
        <f>IF(AND(C578=Master!$H$8,B578="2012-2013",E578="",G578="NPN05"),H578,"")</f>
        <v/>
      </c>
      <c r="BG578" s="44" t="str">
        <f>IF(AND(C578=Master!$H$9,B578="2012-2013",E578&gt;1000,G578="NPN05"),H578,"")</f>
        <v/>
      </c>
      <c r="BH578" s="44" t="str">
        <f>IF(AND(C578=Master!$H$9,B578="2012-2013",E578="",G578="NPN05"),H578,"")</f>
        <v/>
      </c>
    </row>
    <row r="579" spans="1:60" x14ac:dyDescent="0.25">
      <c r="A579" s="3">
        <v>577</v>
      </c>
      <c r="B579" s="12"/>
      <c r="C579" s="12"/>
      <c r="D579" s="31"/>
      <c r="E579" s="4"/>
      <c r="F579" s="13"/>
      <c r="G579" s="21"/>
      <c r="H579" s="35"/>
      <c r="I579" s="21"/>
      <c r="J579" s="25" t="str">
        <f>IF(NOT(I579=""),INDEX(Master!$B$1:$B$46,MATCH(I579,Master!$A$1:$A$46,0)),"")</f>
        <v/>
      </c>
      <c r="K579" s="18"/>
      <c r="L579" s="86"/>
      <c r="M579" s="13"/>
      <c r="N579" s="13"/>
      <c r="O579" s="18"/>
      <c r="P579" s="35"/>
      <c r="Q579" s="21"/>
      <c r="R579" s="21"/>
      <c r="S579" s="13"/>
      <c r="T579" s="12"/>
      <c r="U579" s="12"/>
      <c r="V579" s="12"/>
      <c r="W579" s="14"/>
      <c r="Y579" s="42" t="str">
        <f>IF(AND(C579=Master!$H$1,B579="2012-2013",E579&gt;1000,G579="PLN03"),H579,"")</f>
        <v/>
      </c>
      <c r="Z579" s="42" t="str">
        <f>IF(AND(C579=Master!$H$1,B579="2012-2013",E579="",G579="PLN03"),H579,"")</f>
        <v/>
      </c>
      <c r="AA579" s="42" t="str">
        <f>IF(AND(C579=Master!$H$2,B579="2012-2013",E579&gt;1000,G579="PLN03"),H579,"")</f>
        <v/>
      </c>
      <c r="AB579" s="42" t="str">
        <f>IF(AND(C579=Master!$H$2,B579="2012-2013",E579="",G579="PLN03"),H579,"")</f>
        <v/>
      </c>
      <c r="AC579" s="42" t="str">
        <f>IF(AND(C579=Master!$H$3,B579="2012-2013",E579&gt;1000,G579="PLN03"),H579,"")</f>
        <v/>
      </c>
      <c r="AD579" s="42" t="str">
        <f>IF(AND(C579=Master!$H$3,B579="2012-2013",E579="",G579="PLN03"),H579,"")</f>
        <v/>
      </c>
      <c r="AE579" s="42" t="str">
        <f>IF(AND(C579=Master!$H$4,B579="2012-2013",E579&gt;1000,G579="PLN03"),H579,"")</f>
        <v/>
      </c>
      <c r="AF579" s="42" t="str">
        <f>IF(AND(C579=Master!$H$4,B579="2012-2013",E579="",G579="PLN03"),H579,"")</f>
        <v/>
      </c>
      <c r="AG579" s="42" t="str">
        <f>IF(AND(C579=Master!$H$5,B579="2012-2013",E579&gt;1000,G579="PLN03"),H579,"")</f>
        <v/>
      </c>
      <c r="AH579" s="42" t="str">
        <f>IF(AND(C579=Master!$H$5,B579="2012-2013",E579="",G579="PLN03"),H579,"")</f>
        <v/>
      </c>
      <c r="AI579" s="42" t="str">
        <f>IF(AND(C579=Master!$H$6,B579="2012-2013",E579&gt;1000,G579="PLN03"),H579,"")</f>
        <v/>
      </c>
      <c r="AJ579" s="42" t="str">
        <f>IF(AND(C579=Master!$H$6,B579="2012-2013",E579="",G579="PLN03"),H579,"")</f>
        <v/>
      </c>
      <c r="AK579" s="42" t="str">
        <f>IF(AND(C579=Master!$H$7,B579="2012-2013",E579&gt;1000,G579="PLN03"),H579,"")</f>
        <v/>
      </c>
      <c r="AL579" s="42" t="str">
        <f>IF(AND(C579=Master!$H$7,B579="2012-2013",E579="",G579="PLN03"),H579,"")</f>
        <v/>
      </c>
      <c r="AM579" s="42" t="str">
        <f>IF(AND(C579=Master!$H$8,B579="2012-2013",E579&gt;1000,G579="PLN03"),H579,"")</f>
        <v/>
      </c>
      <c r="AN579" s="42" t="str">
        <f>IF(AND(C579=Master!$H$8,B579="2012-2013",E579="",G579="PLN03"),H579,"")</f>
        <v/>
      </c>
      <c r="AO579" s="42" t="str">
        <f>IF(AND(C579=Master!$H$9,B579="2012-2013",E579&gt;1000,G579="PLN03"),H579,"")</f>
        <v/>
      </c>
      <c r="AP579" s="42" t="str">
        <f>IF(AND(C579=Master!$H$9,B579="2012-2013",E579="",G579="PLN03"),H579,"")</f>
        <v/>
      </c>
      <c r="AQ579" s="44" t="str">
        <f>IF(AND(C579=Master!$H$1,B579="2012-2013",E579&gt;1000,G579="NPN05"),H579,"")</f>
        <v/>
      </c>
      <c r="AR579" s="44" t="str">
        <f>IF(AND(C579=Master!$H$1,B579="2012-2013",E579="",G579="NPN05"),H579,"")</f>
        <v/>
      </c>
      <c r="AS579" s="44" t="str">
        <f>IF(AND(C579=Master!$H$2,B579="2012-2013",E579&gt;1000,G579="NPN05"),H579,"")</f>
        <v/>
      </c>
      <c r="AT579" s="44" t="str">
        <f>IF(AND(C579=Master!$H$2,B579="2012-2013",E579="",G579="NPN05"),H579,"")</f>
        <v/>
      </c>
      <c r="AU579" s="44" t="str">
        <f>IF(AND(C579=Master!$H$3,B579="2012-2013",E579&gt;1000,G579="NPN05"),H579,"")</f>
        <v/>
      </c>
      <c r="AV579" s="44" t="str">
        <f>IF(AND(C579=Master!$H$3,B579="2012-2013",E579="",G579="NPN05"),H579,"")</f>
        <v/>
      </c>
      <c r="AW579" s="44" t="str">
        <f>IF(AND(C579=Master!$H$4,B579="2012-2013",E579&gt;1000,G579="NPN05"),H579,"")</f>
        <v/>
      </c>
      <c r="AX579" s="44" t="str">
        <f>IF(AND(C579=Master!$H$4,B579="2012-2013",E579="",G579="NPN05"),H579,"")</f>
        <v/>
      </c>
      <c r="AY579" s="44" t="str">
        <f>IF(AND(C579=Master!$H$5,B579="2012-2013",E579&gt;1000,G579="NPN05"),H579,"")</f>
        <v/>
      </c>
      <c r="AZ579" s="44" t="str">
        <f>IF(AND(C579=Master!$H$5,B579="2012-2013",E579="",G579="NPN05"),H579,"")</f>
        <v/>
      </c>
      <c r="BA579" s="44" t="str">
        <f>IF(AND(C579=Master!$H$6,B579="2012-2013",E579&gt;1000,G579="NPN05"),H579,"")</f>
        <v/>
      </c>
      <c r="BB579" s="44" t="str">
        <f>IF(AND(C579=Master!$H$6,B579="2012-2013",E579="",G579="NPN05"),H579,"")</f>
        <v/>
      </c>
      <c r="BC579" s="44" t="str">
        <f>IF(AND(C579=Master!$H$7,B579="2012-2013",E579&gt;1000,G579="NPN05"),H579,"")</f>
        <v/>
      </c>
      <c r="BD579" s="44" t="str">
        <f>IF(AND(C579=Master!$H$7,B579="2012-2013",E579="",G579="NPN05"),H579,"")</f>
        <v/>
      </c>
      <c r="BE579" s="44" t="str">
        <f>IF(AND(C579=Master!$H$8,B579="2012-2013",E579&gt;1000,G579="NPN05"),H579,"")</f>
        <v/>
      </c>
      <c r="BF579" s="44" t="str">
        <f>IF(AND(C579=Master!$H$8,B579="2012-2013",E579="",G579="NPN05"),H579,"")</f>
        <v/>
      </c>
      <c r="BG579" s="44" t="str">
        <f>IF(AND(C579=Master!$H$9,B579="2012-2013",E579&gt;1000,G579="NPN05"),H579,"")</f>
        <v/>
      </c>
      <c r="BH579" s="44" t="str">
        <f>IF(AND(C579=Master!$H$9,B579="2012-2013",E579="",G579="NPN05"),H579,"")</f>
        <v/>
      </c>
    </row>
    <row r="580" spans="1:60" x14ac:dyDescent="0.25">
      <c r="A580" s="5">
        <v>578</v>
      </c>
      <c r="B580" s="12"/>
      <c r="C580" s="12"/>
      <c r="D580" s="31"/>
      <c r="E580" s="4"/>
      <c r="F580" s="13"/>
      <c r="G580" s="21"/>
      <c r="H580" s="35"/>
      <c r="I580" s="21"/>
      <c r="J580" s="25" t="str">
        <f>IF(NOT(I580=""),INDEX(Master!$B$1:$B$46,MATCH(I580,Master!$A$1:$A$46,0)),"")</f>
        <v/>
      </c>
      <c r="K580" s="18"/>
      <c r="L580" s="86"/>
      <c r="M580" s="13"/>
      <c r="N580" s="13"/>
      <c r="O580" s="18"/>
      <c r="P580" s="35"/>
      <c r="Q580" s="21"/>
      <c r="R580" s="21"/>
      <c r="S580" s="13"/>
      <c r="T580" s="12"/>
      <c r="U580" s="12"/>
      <c r="V580" s="12"/>
      <c r="W580" s="14"/>
      <c r="Y580" s="42" t="str">
        <f>IF(AND(C580=Master!$H$1,B580="2012-2013",E580&gt;1000,G580="PLN03"),H580,"")</f>
        <v/>
      </c>
      <c r="Z580" s="42" t="str">
        <f>IF(AND(C580=Master!$H$1,B580="2012-2013",E580="",G580="PLN03"),H580,"")</f>
        <v/>
      </c>
      <c r="AA580" s="42" t="str">
        <f>IF(AND(C580=Master!$H$2,B580="2012-2013",E580&gt;1000,G580="PLN03"),H580,"")</f>
        <v/>
      </c>
      <c r="AB580" s="42" t="str">
        <f>IF(AND(C580=Master!$H$2,B580="2012-2013",E580="",G580="PLN03"),H580,"")</f>
        <v/>
      </c>
      <c r="AC580" s="42" t="str">
        <f>IF(AND(C580=Master!$H$3,B580="2012-2013",E580&gt;1000,G580="PLN03"),H580,"")</f>
        <v/>
      </c>
      <c r="AD580" s="42" t="str">
        <f>IF(AND(C580=Master!$H$3,B580="2012-2013",E580="",G580="PLN03"),H580,"")</f>
        <v/>
      </c>
      <c r="AE580" s="42" t="str">
        <f>IF(AND(C580=Master!$H$4,B580="2012-2013",E580&gt;1000,G580="PLN03"),H580,"")</f>
        <v/>
      </c>
      <c r="AF580" s="42" t="str">
        <f>IF(AND(C580=Master!$H$4,B580="2012-2013",E580="",G580="PLN03"),H580,"")</f>
        <v/>
      </c>
      <c r="AG580" s="42" t="str">
        <f>IF(AND(C580=Master!$H$5,B580="2012-2013",E580&gt;1000,G580="PLN03"),H580,"")</f>
        <v/>
      </c>
      <c r="AH580" s="42" t="str">
        <f>IF(AND(C580=Master!$H$5,B580="2012-2013",E580="",G580="PLN03"),H580,"")</f>
        <v/>
      </c>
      <c r="AI580" s="42" t="str">
        <f>IF(AND(C580=Master!$H$6,B580="2012-2013",E580&gt;1000,G580="PLN03"),H580,"")</f>
        <v/>
      </c>
      <c r="AJ580" s="42" t="str">
        <f>IF(AND(C580=Master!$H$6,B580="2012-2013",E580="",G580="PLN03"),H580,"")</f>
        <v/>
      </c>
      <c r="AK580" s="42" t="str">
        <f>IF(AND(C580=Master!$H$7,B580="2012-2013",E580&gt;1000,G580="PLN03"),H580,"")</f>
        <v/>
      </c>
      <c r="AL580" s="42" t="str">
        <f>IF(AND(C580=Master!$H$7,B580="2012-2013",E580="",G580="PLN03"),H580,"")</f>
        <v/>
      </c>
      <c r="AM580" s="42" t="str">
        <f>IF(AND(C580=Master!$H$8,B580="2012-2013",E580&gt;1000,G580="PLN03"),H580,"")</f>
        <v/>
      </c>
      <c r="AN580" s="42" t="str">
        <f>IF(AND(C580=Master!$H$8,B580="2012-2013",E580="",G580="PLN03"),H580,"")</f>
        <v/>
      </c>
      <c r="AO580" s="42" t="str">
        <f>IF(AND(C580=Master!$H$9,B580="2012-2013",E580&gt;1000,G580="PLN03"),H580,"")</f>
        <v/>
      </c>
      <c r="AP580" s="42" t="str">
        <f>IF(AND(C580=Master!$H$9,B580="2012-2013",E580="",G580="PLN03"),H580,"")</f>
        <v/>
      </c>
      <c r="AQ580" s="44" t="str">
        <f>IF(AND(C580=Master!$H$1,B580="2012-2013",E580&gt;1000,G580="NPN05"),H580,"")</f>
        <v/>
      </c>
      <c r="AR580" s="44" t="str">
        <f>IF(AND(C580=Master!$H$1,B580="2012-2013",E580="",G580="NPN05"),H580,"")</f>
        <v/>
      </c>
      <c r="AS580" s="44" t="str">
        <f>IF(AND(C580=Master!$H$2,B580="2012-2013",E580&gt;1000,G580="NPN05"),H580,"")</f>
        <v/>
      </c>
      <c r="AT580" s="44" t="str">
        <f>IF(AND(C580=Master!$H$2,B580="2012-2013",E580="",G580="NPN05"),H580,"")</f>
        <v/>
      </c>
      <c r="AU580" s="44" t="str">
        <f>IF(AND(C580=Master!$H$3,B580="2012-2013",E580&gt;1000,G580="NPN05"),H580,"")</f>
        <v/>
      </c>
      <c r="AV580" s="44" t="str">
        <f>IF(AND(C580=Master!$H$3,B580="2012-2013",E580="",G580="NPN05"),H580,"")</f>
        <v/>
      </c>
      <c r="AW580" s="44" t="str">
        <f>IF(AND(C580=Master!$H$4,B580="2012-2013",E580&gt;1000,G580="NPN05"),H580,"")</f>
        <v/>
      </c>
      <c r="AX580" s="44" t="str">
        <f>IF(AND(C580=Master!$H$4,B580="2012-2013",E580="",G580="NPN05"),H580,"")</f>
        <v/>
      </c>
      <c r="AY580" s="44" t="str">
        <f>IF(AND(C580=Master!$H$5,B580="2012-2013",E580&gt;1000,G580="NPN05"),H580,"")</f>
        <v/>
      </c>
      <c r="AZ580" s="44" t="str">
        <f>IF(AND(C580=Master!$H$5,B580="2012-2013",E580="",G580="NPN05"),H580,"")</f>
        <v/>
      </c>
      <c r="BA580" s="44" t="str">
        <f>IF(AND(C580=Master!$H$6,B580="2012-2013",E580&gt;1000,G580="NPN05"),H580,"")</f>
        <v/>
      </c>
      <c r="BB580" s="44" t="str">
        <f>IF(AND(C580=Master!$H$6,B580="2012-2013",E580="",G580="NPN05"),H580,"")</f>
        <v/>
      </c>
      <c r="BC580" s="44" t="str">
        <f>IF(AND(C580=Master!$H$7,B580="2012-2013",E580&gt;1000,G580="NPN05"),H580,"")</f>
        <v/>
      </c>
      <c r="BD580" s="44" t="str">
        <f>IF(AND(C580=Master!$H$7,B580="2012-2013",E580="",G580="NPN05"),H580,"")</f>
        <v/>
      </c>
      <c r="BE580" s="44" t="str">
        <f>IF(AND(C580=Master!$H$8,B580="2012-2013",E580&gt;1000,G580="NPN05"),H580,"")</f>
        <v/>
      </c>
      <c r="BF580" s="44" t="str">
        <f>IF(AND(C580=Master!$H$8,B580="2012-2013",E580="",G580="NPN05"),H580,"")</f>
        <v/>
      </c>
      <c r="BG580" s="44" t="str">
        <f>IF(AND(C580=Master!$H$9,B580="2012-2013",E580&gt;1000,G580="NPN05"),H580,"")</f>
        <v/>
      </c>
      <c r="BH580" s="44" t="str">
        <f>IF(AND(C580=Master!$H$9,B580="2012-2013",E580="",G580="NPN05"),H580,"")</f>
        <v/>
      </c>
    </row>
    <row r="581" spans="1:60" x14ac:dyDescent="0.25">
      <c r="A581" s="3">
        <v>579</v>
      </c>
      <c r="B581" s="12"/>
      <c r="C581" s="12"/>
      <c r="D581" s="31"/>
      <c r="E581" s="4"/>
      <c r="F581" s="13"/>
      <c r="G581" s="21"/>
      <c r="H581" s="35"/>
      <c r="I581" s="21"/>
      <c r="J581" s="25" t="str">
        <f>IF(NOT(I581=""),INDEX(Master!$B$1:$B$46,MATCH(I581,Master!$A$1:$A$46,0)),"")</f>
        <v/>
      </c>
      <c r="K581" s="18"/>
      <c r="L581" s="86"/>
      <c r="M581" s="13"/>
      <c r="N581" s="13"/>
      <c r="O581" s="18"/>
      <c r="P581" s="35"/>
      <c r="Q581" s="21"/>
      <c r="R581" s="21"/>
      <c r="S581" s="13"/>
      <c r="T581" s="12"/>
      <c r="U581" s="12"/>
      <c r="V581" s="12"/>
      <c r="W581" s="14"/>
      <c r="Y581" s="42" t="str">
        <f>IF(AND(C581=Master!$H$1,B581="2012-2013",E581&gt;1000,G581="PLN03"),H581,"")</f>
        <v/>
      </c>
      <c r="Z581" s="42" t="str">
        <f>IF(AND(C581=Master!$H$1,B581="2012-2013",E581="",G581="PLN03"),H581,"")</f>
        <v/>
      </c>
      <c r="AA581" s="42" t="str">
        <f>IF(AND(C581=Master!$H$2,B581="2012-2013",E581&gt;1000,G581="PLN03"),H581,"")</f>
        <v/>
      </c>
      <c r="AB581" s="42" t="str">
        <f>IF(AND(C581=Master!$H$2,B581="2012-2013",E581="",G581="PLN03"),H581,"")</f>
        <v/>
      </c>
      <c r="AC581" s="42" t="str">
        <f>IF(AND(C581=Master!$H$3,B581="2012-2013",E581&gt;1000,G581="PLN03"),H581,"")</f>
        <v/>
      </c>
      <c r="AD581" s="42" t="str">
        <f>IF(AND(C581=Master!$H$3,B581="2012-2013",E581="",G581="PLN03"),H581,"")</f>
        <v/>
      </c>
      <c r="AE581" s="42" t="str">
        <f>IF(AND(C581=Master!$H$4,B581="2012-2013",E581&gt;1000,G581="PLN03"),H581,"")</f>
        <v/>
      </c>
      <c r="AF581" s="42" t="str">
        <f>IF(AND(C581=Master!$H$4,B581="2012-2013",E581="",G581="PLN03"),H581,"")</f>
        <v/>
      </c>
      <c r="AG581" s="42" t="str">
        <f>IF(AND(C581=Master!$H$5,B581="2012-2013",E581&gt;1000,G581="PLN03"),H581,"")</f>
        <v/>
      </c>
      <c r="AH581" s="42" t="str">
        <f>IF(AND(C581=Master!$H$5,B581="2012-2013",E581="",G581="PLN03"),H581,"")</f>
        <v/>
      </c>
      <c r="AI581" s="42" t="str">
        <f>IF(AND(C581=Master!$H$6,B581="2012-2013",E581&gt;1000,G581="PLN03"),H581,"")</f>
        <v/>
      </c>
      <c r="AJ581" s="42" t="str">
        <f>IF(AND(C581=Master!$H$6,B581="2012-2013",E581="",G581="PLN03"),H581,"")</f>
        <v/>
      </c>
      <c r="AK581" s="42" t="str">
        <f>IF(AND(C581=Master!$H$7,B581="2012-2013",E581&gt;1000,G581="PLN03"),H581,"")</f>
        <v/>
      </c>
      <c r="AL581" s="42" t="str">
        <f>IF(AND(C581=Master!$H$7,B581="2012-2013",E581="",G581="PLN03"),H581,"")</f>
        <v/>
      </c>
      <c r="AM581" s="42" t="str">
        <f>IF(AND(C581=Master!$H$8,B581="2012-2013",E581&gt;1000,G581="PLN03"),H581,"")</f>
        <v/>
      </c>
      <c r="AN581" s="42" t="str">
        <f>IF(AND(C581=Master!$H$8,B581="2012-2013",E581="",G581="PLN03"),H581,"")</f>
        <v/>
      </c>
      <c r="AO581" s="42" t="str">
        <f>IF(AND(C581=Master!$H$9,B581="2012-2013",E581&gt;1000,G581="PLN03"),H581,"")</f>
        <v/>
      </c>
      <c r="AP581" s="42" t="str">
        <f>IF(AND(C581=Master!$H$9,B581="2012-2013",E581="",G581="PLN03"),H581,"")</f>
        <v/>
      </c>
      <c r="AQ581" s="44" t="str">
        <f>IF(AND(C581=Master!$H$1,B581="2012-2013",E581&gt;1000,G581="NPN05"),H581,"")</f>
        <v/>
      </c>
      <c r="AR581" s="44" t="str">
        <f>IF(AND(C581=Master!$H$1,B581="2012-2013",E581="",G581="NPN05"),H581,"")</f>
        <v/>
      </c>
      <c r="AS581" s="44" t="str">
        <f>IF(AND(C581=Master!$H$2,B581="2012-2013",E581&gt;1000,G581="NPN05"),H581,"")</f>
        <v/>
      </c>
      <c r="AT581" s="44" t="str">
        <f>IF(AND(C581=Master!$H$2,B581="2012-2013",E581="",G581="NPN05"),H581,"")</f>
        <v/>
      </c>
      <c r="AU581" s="44" t="str">
        <f>IF(AND(C581=Master!$H$3,B581="2012-2013",E581&gt;1000,G581="NPN05"),H581,"")</f>
        <v/>
      </c>
      <c r="AV581" s="44" t="str">
        <f>IF(AND(C581=Master!$H$3,B581="2012-2013",E581="",G581="NPN05"),H581,"")</f>
        <v/>
      </c>
      <c r="AW581" s="44" t="str">
        <f>IF(AND(C581=Master!$H$4,B581="2012-2013",E581&gt;1000,G581="NPN05"),H581,"")</f>
        <v/>
      </c>
      <c r="AX581" s="44" t="str">
        <f>IF(AND(C581=Master!$H$4,B581="2012-2013",E581="",G581="NPN05"),H581,"")</f>
        <v/>
      </c>
      <c r="AY581" s="44" t="str">
        <f>IF(AND(C581=Master!$H$5,B581="2012-2013",E581&gt;1000,G581="NPN05"),H581,"")</f>
        <v/>
      </c>
      <c r="AZ581" s="44" t="str">
        <f>IF(AND(C581=Master!$H$5,B581="2012-2013",E581="",G581="NPN05"),H581,"")</f>
        <v/>
      </c>
      <c r="BA581" s="44" t="str">
        <f>IF(AND(C581=Master!$H$6,B581="2012-2013",E581&gt;1000,G581="NPN05"),H581,"")</f>
        <v/>
      </c>
      <c r="BB581" s="44" t="str">
        <f>IF(AND(C581=Master!$H$6,B581="2012-2013",E581="",G581="NPN05"),H581,"")</f>
        <v/>
      </c>
      <c r="BC581" s="44" t="str">
        <f>IF(AND(C581=Master!$H$7,B581="2012-2013",E581&gt;1000,G581="NPN05"),H581,"")</f>
        <v/>
      </c>
      <c r="BD581" s="44" t="str">
        <f>IF(AND(C581=Master!$H$7,B581="2012-2013",E581="",G581="NPN05"),H581,"")</f>
        <v/>
      </c>
      <c r="BE581" s="44" t="str">
        <f>IF(AND(C581=Master!$H$8,B581="2012-2013",E581&gt;1000,G581="NPN05"),H581,"")</f>
        <v/>
      </c>
      <c r="BF581" s="44" t="str">
        <f>IF(AND(C581=Master!$H$8,B581="2012-2013",E581="",G581="NPN05"),H581,"")</f>
        <v/>
      </c>
      <c r="BG581" s="44" t="str">
        <f>IF(AND(C581=Master!$H$9,B581="2012-2013",E581&gt;1000,G581="NPN05"),H581,"")</f>
        <v/>
      </c>
      <c r="BH581" s="44" t="str">
        <f>IF(AND(C581=Master!$H$9,B581="2012-2013",E581="",G581="NPN05"),H581,"")</f>
        <v/>
      </c>
    </row>
    <row r="582" spans="1:60" x14ac:dyDescent="0.25">
      <c r="A582" s="3">
        <v>580</v>
      </c>
      <c r="B582" s="12"/>
      <c r="C582" s="12"/>
      <c r="D582" s="31"/>
      <c r="E582" s="4"/>
      <c r="F582" s="13"/>
      <c r="G582" s="21"/>
      <c r="H582" s="35"/>
      <c r="I582" s="21"/>
      <c r="J582" s="25" t="str">
        <f>IF(NOT(I582=""),INDEX(Master!$B$1:$B$46,MATCH(I582,Master!$A$1:$A$46,0)),"")</f>
        <v/>
      </c>
      <c r="K582" s="18"/>
      <c r="L582" s="86"/>
      <c r="M582" s="13"/>
      <c r="N582" s="13"/>
      <c r="O582" s="18"/>
      <c r="P582" s="35"/>
      <c r="Q582" s="21"/>
      <c r="R582" s="21"/>
      <c r="S582" s="13"/>
      <c r="T582" s="12"/>
      <c r="U582" s="12"/>
      <c r="V582" s="12"/>
      <c r="W582" s="14"/>
      <c r="Y582" s="42" t="str">
        <f>IF(AND(C582=Master!$H$1,B582="2012-2013",E582&gt;1000,G582="PLN03"),H582,"")</f>
        <v/>
      </c>
      <c r="Z582" s="42" t="str">
        <f>IF(AND(C582=Master!$H$1,B582="2012-2013",E582="",G582="PLN03"),H582,"")</f>
        <v/>
      </c>
      <c r="AA582" s="42" t="str">
        <f>IF(AND(C582=Master!$H$2,B582="2012-2013",E582&gt;1000,G582="PLN03"),H582,"")</f>
        <v/>
      </c>
      <c r="AB582" s="42" t="str">
        <f>IF(AND(C582=Master!$H$2,B582="2012-2013",E582="",G582="PLN03"),H582,"")</f>
        <v/>
      </c>
      <c r="AC582" s="42" t="str">
        <f>IF(AND(C582=Master!$H$3,B582="2012-2013",E582&gt;1000,G582="PLN03"),H582,"")</f>
        <v/>
      </c>
      <c r="AD582" s="42" t="str">
        <f>IF(AND(C582=Master!$H$3,B582="2012-2013",E582="",G582="PLN03"),H582,"")</f>
        <v/>
      </c>
      <c r="AE582" s="42" t="str">
        <f>IF(AND(C582=Master!$H$4,B582="2012-2013",E582&gt;1000,G582="PLN03"),H582,"")</f>
        <v/>
      </c>
      <c r="AF582" s="42" t="str">
        <f>IF(AND(C582=Master!$H$4,B582="2012-2013",E582="",G582="PLN03"),H582,"")</f>
        <v/>
      </c>
      <c r="AG582" s="42" t="str">
        <f>IF(AND(C582=Master!$H$5,B582="2012-2013",E582&gt;1000,G582="PLN03"),H582,"")</f>
        <v/>
      </c>
      <c r="AH582" s="42" t="str">
        <f>IF(AND(C582=Master!$H$5,B582="2012-2013",E582="",G582="PLN03"),H582,"")</f>
        <v/>
      </c>
      <c r="AI582" s="42" t="str">
        <f>IF(AND(C582=Master!$H$6,B582="2012-2013",E582&gt;1000,G582="PLN03"),H582,"")</f>
        <v/>
      </c>
      <c r="AJ582" s="42" t="str">
        <f>IF(AND(C582=Master!$H$6,B582="2012-2013",E582="",G582="PLN03"),H582,"")</f>
        <v/>
      </c>
      <c r="AK582" s="42" t="str">
        <f>IF(AND(C582=Master!$H$7,B582="2012-2013",E582&gt;1000,G582="PLN03"),H582,"")</f>
        <v/>
      </c>
      <c r="AL582" s="42" t="str">
        <f>IF(AND(C582=Master!$H$7,B582="2012-2013",E582="",G582="PLN03"),H582,"")</f>
        <v/>
      </c>
      <c r="AM582" s="42" t="str">
        <f>IF(AND(C582=Master!$H$8,B582="2012-2013",E582&gt;1000,G582="PLN03"),H582,"")</f>
        <v/>
      </c>
      <c r="AN582" s="42" t="str">
        <f>IF(AND(C582=Master!$H$8,B582="2012-2013",E582="",G582="PLN03"),H582,"")</f>
        <v/>
      </c>
      <c r="AO582" s="42" t="str">
        <f>IF(AND(C582=Master!$H$9,B582="2012-2013",E582&gt;1000,G582="PLN03"),H582,"")</f>
        <v/>
      </c>
      <c r="AP582" s="42" t="str">
        <f>IF(AND(C582=Master!$H$9,B582="2012-2013",E582="",G582="PLN03"),H582,"")</f>
        <v/>
      </c>
      <c r="AQ582" s="44" t="str">
        <f>IF(AND(C582=Master!$H$1,B582="2012-2013",E582&gt;1000,G582="NPN05"),H582,"")</f>
        <v/>
      </c>
      <c r="AR582" s="44" t="str">
        <f>IF(AND(C582=Master!$H$1,B582="2012-2013",E582="",G582="NPN05"),H582,"")</f>
        <v/>
      </c>
      <c r="AS582" s="44" t="str">
        <f>IF(AND(C582=Master!$H$2,B582="2012-2013",E582&gt;1000,G582="NPN05"),H582,"")</f>
        <v/>
      </c>
      <c r="AT582" s="44" t="str">
        <f>IF(AND(C582=Master!$H$2,B582="2012-2013",E582="",G582="NPN05"),H582,"")</f>
        <v/>
      </c>
      <c r="AU582" s="44" t="str">
        <f>IF(AND(C582=Master!$H$3,B582="2012-2013",E582&gt;1000,G582="NPN05"),H582,"")</f>
        <v/>
      </c>
      <c r="AV582" s="44" t="str">
        <f>IF(AND(C582=Master!$H$3,B582="2012-2013",E582="",G582="NPN05"),H582,"")</f>
        <v/>
      </c>
      <c r="AW582" s="44" t="str">
        <f>IF(AND(C582=Master!$H$4,B582="2012-2013",E582&gt;1000,G582="NPN05"),H582,"")</f>
        <v/>
      </c>
      <c r="AX582" s="44" t="str">
        <f>IF(AND(C582=Master!$H$4,B582="2012-2013",E582="",G582="NPN05"),H582,"")</f>
        <v/>
      </c>
      <c r="AY582" s="44" t="str">
        <f>IF(AND(C582=Master!$H$5,B582="2012-2013",E582&gt;1000,G582="NPN05"),H582,"")</f>
        <v/>
      </c>
      <c r="AZ582" s="44" t="str">
        <f>IF(AND(C582=Master!$H$5,B582="2012-2013",E582="",G582="NPN05"),H582,"")</f>
        <v/>
      </c>
      <c r="BA582" s="44" t="str">
        <f>IF(AND(C582=Master!$H$6,B582="2012-2013",E582&gt;1000,G582="NPN05"),H582,"")</f>
        <v/>
      </c>
      <c r="BB582" s="44" t="str">
        <f>IF(AND(C582=Master!$H$6,B582="2012-2013",E582="",G582="NPN05"),H582,"")</f>
        <v/>
      </c>
      <c r="BC582" s="44" t="str">
        <f>IF(AND(C582=Master!$H$7,B582="2012-2013",E582&gt;1000,G582="NPN05"),H582,"")</f>
        <v/>
      </c>
      <c r="BD582" s="44" t="str">
        <f>IF(AND(C582=Master!$H$7,B582="2012-2013",E582="",G582="NPN05"),H582,"")</f>
        <v/>
      </c>
      <c r="BE582" s="44" t="str">
        <f>IF(AND(C582=Master!$H$8,B582="2012-2013",E582&gt;1000,G582="NPN05"),H582,"")</f>
        <v/>
      </c>
      <c r="BF582" s="44" t="str">
        <f>IF(AND(C582=Master!$H$8,B582="2012-2013",E582="",G582="NPN05"),H582,"")</f>
        <v/>
      </c>
      <c r="BG582" s="44" t="str">
        <f>IF(AND(C582=Master!$H$9,B582="2012-2013",E582&gt;1000,G582="NPN05"),H582,"")</f>
        <v/>
      </c>
      <c r="BH582" s="44" t="str">
        <f>IF(AND(C582=Master!$H$9,B582="2012-2013",E582="",G582="NPN05"),H582,"")</f>
        <v/>
      </c>
    </row>
    <row r="583" spans="1:60" x14ac:dyDescent="0.25">
      <c r="A583" s="3">
        <v>581</v>
      </c>
      <c r="B583" s="12"/>
      <c r="C583" s="12"/>
      <c r="D583" s="31"/>
      <c r="E583" s="4"/>
      <c r="F583" s="13"/>
      <c r="G583" s="21"/>
      <c r="H583" s="35"/>
      <c r="I583" s="21"/>
      <c r="J583" s="25" t="str">
        <f>IF(NOT(I583=""),INDEX(Master!$B$1:$B$46,MATCH(I583,Master!$A$1:$A$46,0)),"")</f>
        <v/>
      </c>
      <c r="K583" s="18"/>
      <c r="L583" s="86"/>
      <c r="M583" s="13"/>
      <c r="N583" s="13"/>
      <c r="O583" s="18"/>
      <c r="P583" s="35"/>
      <c r="Q583" s="21"/>
      <c r="R583" s="21"/>
      <c r="S583" s="13"/>
      <c r="T583" s="12"/>
      <c r="U583" s="12"/>
      <c r="V583" s="12"/>
      <c r="W583" s="14"/>
      <c r="Y583" s="42" t="str">
        <f>IF(AND(C583=Master!$H$1,B583="2012-2013",E583&gt;1000,G583="PLN03"),H583,"")</f>
        <v/>
      </c>
      <c r="Z583" s="42" t="str">
        <f>IF(AND(C583=Master!$H$1,B583="2012-2013",E583="",G583="PLN03"),H583,"")</f>
        <v/>
      </c>
      <c r="AA583" s="42" t="str">
        <f>IF(AND(C583=Master!$H$2,B583="2012-2013",E583&gt;1000,G583="PLN03"),H583,"")</f>
        <v/>
      </c>
      <c r="AB583" s="42" t="str">
        <f>IF(AND(C583=Master!$H$2,B583="2012-2013",E583="",G583="PLN03"),H583,"")</f>
        <v/>
      </c>
      <c r="AC583" s="42" t="str">
        <f>IF(AND(C583=Master!$H$3,B583="2012-2013",E583&gt;1000,G583="PLN03"),H583,"")</f>
        <v/>
      </c>
      <c r="AD583" s="42" t="str">
        <f>IF(AND(C583=Master!$H$3,B583="2012-2013",E583="",G583="PLN03"),H583,"")</f>
        <v/>
      </c>
      <c r="AE583" s="42" t="str">
        <f>IF(AND(C583=Master!$H$4,B583="2012-2013",E583&gt;1000,G583="PLN03"),H583,"")</f>
        <v/>
      </c>
      <c r="AF583" s="42" t="str">
        <f>IF(AND(C583=Master!$H$4,B583="2012-2013",E583="",G583="PLN03"),H583,"")</f>
        <v/>
      </c>
      <c r="AG583" s="42" t="str">
        <f>IF(AND(C583=Master!$H$5,B583="2012-2013",E583&gt;1000,G583="PLN03"),H583,"")</f>
        <v/>
      </c>
      <c r="AH583" s="42" t="str">
        <f>IF(AND(C583=Master!$H$5,B583="2012-2013",E583="",G583="PLN03"),H583,"")</f>
        <v/>
      </c>
      <c r="AI583" s="42" t="str">
        <f>IF(AND(C583=Master!$H$6,B583="2012-2013",E583&gt;1000,G583="PLN03"),H583,"")</f>
        <v/>
      </c>
      <c r="AJ583" s="42" t="str">
        <f>IF(AND(C583=Master!$H$6,B583="2012-2013",E583="",G583="PLN03"),H583,"")</f>
        <v/>
      </c>
      <c r="AK583" s="42" t="str">
        <f>IF(AND(C583=Master!$H$7,B583="2012-2013",E583&gt;1000,G583="PLN03"),H583,"")</f>
        <v/>
      </c>
      <c r="AL583" s="42" t="str">
        <f>IF(AND(C583=Master!$H$7,B583="2012-2013",E583="",G583="PLN03"),H583,"")</f>
        <v/>
      </c>
      <c r="AM583" s="42" t="str">
        <f>IF(AND(C583=Master!$H$8,B583="2012-2013",E583&gt;1000,G583="PLN03"),H583,"")</f>
        <v/>
      </c>
      <c r="AN583" s="42" t="str">
        <f>IF(AND(C583=Master!$H$8,B583="2012-2013",E583="",G583="PLN03"),H583,"")</f>
        <v/>
      </c>
      <c r="AO583" s="42" t="str">
        <f>IF(AND(C583=Master!$H$9,B583="2012-2013",E583&gt;1000,G583="PLN03"),H583,"")</f>
        <v/>
      </c>
      <c r="AP583" s="42" t="str">
        <f>IF(AND(C583=Master!$H$9,B583="2012-2013",E583="",G583="PLN03"),H583,"")</f>
        <v/>
      </c>
      <c r="AQ583" s="44" t="str">
        <f>IF(AND(C583=Master!$H$1,B583="2012-2013",E583&gt;1000,G583="NPN05"),H583,"")</f>
        <v/>
      </c>
      <c r="AR583" s="44" t="str">
        <f>IF(AND(C583=Master!$H$1,B583="2012-2013",E583="",G583="NPN05"),H583,"")</f>
        <v/>
      </c>
      <c r="AS583" s="44" t="str">
        <f>IF(AND(C583=Master!$H$2,B583="2012-2013",E583&gt;1000,G583="NPN05"),H583,"")</f>
        <v/>
      </c>
      <c r="AT583" s="44" t="str">
        <f>IF(AND(C583=Master!$H$2,B583="2012-2013",E583="",G583="NPN05"),H583,"")</f>
        <v/>
      </c>
      <c r="AU583" s="44" t="str">
        <f>IF(AND(C583=Master!$H$3,B583="2012-2013",E583&gt;1000,G583="NPN05"),H583,"")</f>
        <v/>
      </c>
      <c r="AV583" s="44" t="str">
        <f>IF(AND(C583=Master!$H$3,B583="2012-2013",E583="",G583="NPN05"),H583,"")</f>
        <v/>
      </c>
      <c r="AW583" s="44" t="str">
        <f>IF(AND(C583=Master!$H$4,B583="2012-2013",E583&gt;1000,G583="NPN05"),H583,"")</f>
        <v/>
      </c>
      <c r="AX583" s="44" t="str">
        <f>IF(AND(C583=Master!$H$4,B583="2012-2013",E583="",G583="NPN05"),H583,"")</f>
        <v/>
      </c>
      <c r="AY583" s="44" t="str">
        <f>IF(AND(C583=Master!$H$5,B583="2012-2013",E583&gt;1000,G583="NPN05"),H583,"")</f>
        <v/>
      </c>
      <c r="AZ583" s="44" t="str">
        <f>IF(AND(C583=Master!$H$5,B583="2012-2013",E583="",G583="NPN05"),H583,"")</f>
        <v/>
      </c>
      <c r="BA583" s="44" t="str">
        <f>IF(AND(C583=Master!$H$6,B583="2012-2013",E583&gt;1000,G583="NPN05"),H583,"")</f>
        <v/>
      </c>
      <c r="BB583" s="44" t="str">
        <f>IF(AND(C583=Master!$H$6,B583="2012-2013",E583="",G583="NPN05"),H583,"")</f>
        <v/>
      </c>
      <c r="BC583" s="44" t="str">
        <f>IF(AND(C583=Master!$H$7,B583="2012-2013",E583&gt;1000,G583="NPN05"),H583,"")</f>
        <v/>
      </c>
      <c r="BD583" s="44" t="str">
        <f>IF(AND(C583=Master!$H$7,B583="2012-2013",E583="",G583="NPN05"),H583,"")</f>
        <v/>
      </c>
      <c r="BE583" s="44" t="str">
        <f>IF(AND(C583=Master!$H$8,B583="2012-2013",E583&gt;1000,G583="NPN05"),H583,"")</f>
        <v/>
      </c>
      <c r="BF583" s="44" t="str">
        <f>IF(AND(C583=Master!$H$8,B583="2012-2013",E583="",G583="NPN05"),H583,"")</f>
        <v/>
      </c>
      <c r="BG583" s="44" t="str">
        <f>IF(AND(C583=Master!$H$9,B583="2012-2013",E583&gt;1000,G583="NPN05"),H583,"")</f>
        <v/>
      </c>
      <c r="BH583" s="44" t="str">
        <f>IF(AND(C583=Master!$H$9,B583="2012-2013",E583="",G583="NPN05"),H583,"")</f>
        <v/>
      </c>
    </row>
    <row r="584" spans="1:60" x14ac:dyDescent="0.25">
      <c r="A584" s="3">
        <v>582</v>
      </c>
      <c r="B584" s="12"/>
      <c r="C584" s="12"/>
      <c r="D584" s="31"/>
      <c r="E584" s="4"/>
      <c r="F584" s="13"/>
      <c r="G584" s="21"/>
      <c r="H584" s="35"/>
      <c r="I584" s="21"/>
      <c r="J584" s="25" t="str">
        <f>IF(NOT(I584=""),INDEX(Master!$B$1:$B$46,MATCH(I584,Master!$A$1:$A$46,0)),"")</f>
        <v/>
      </c>
      <c r="K584" s="18"/>
      <c r="L584" s="86"/>
      <c r="M584" s="13"/>
      <c r="N584" s="13"/>
      <c r="O584" s="18"/>
      <c r="P584" s="35"/>
      <c r="Q584" s="21"/>
      <c r="R584" s="21"/>
      <c r="S584" s="13"/>
      <c r="T584" s="12"/>
      <c r="U584" s="12"/>
      <c r="V584" s="12"/>
      <c r="W584" s="14"/>
      <c r="Y584" s="42" t="str">
        <f>IF(AND(C584=Master!$H$1,B584="2012-2013",E584&gt;1000,G584="PLN03"),H584,"")</f>
        <v/>
      </c>
      <c r="Z584" s="42" t="str">
        <f>IF(AND(C584=Master!$H$1,B584="2012-2013",E584="",G584="PLN03"),H584,"")</f>
        <v/>
      </c>
      <c r="AA584" s="42" t="str">
        <f>IF(AND(C584=Master!$H$2,B584="2012-2013",E584&gt;1000,G584="PLN03"),H584,"")</f>
        <v/>
      </c>
      <c r="AB584" s="42" t="str">
        <f>IF(AND(C584=Master!$H$2,B584="2012-2013",E584="",G584="PLN03"),H584,"")</f>
        <v/>
      </c>
      <c r="AC584" s="42" t="str">
        <f>IF(AND(C584=Master!$H$3,B584="2012-2013",E584&gt;1000,G584="PLN03"),H584,"")</f>
        <v/>
      </c>
      <c r="AD584" s="42" t="str">
        <f>IF(AND(C584=Master!$H$3,B584="2012-2013",E584="",G584="PLN03"),H584,"")</f>
        <v/>
      </c>
      <c r="AE584" s="42" t="str">
        <f>IF(AND(C584=Master!$H$4,B584="2012-2013",E584&gt;1000,G584="PLN03"),H584,"")</f>
        <v/>
      </c>
      <c r="AF584" s="42" t="str">
        <f>IF(AND(C584=Master!$H$4,B584="2012-2013",E584="",G584="PLN03"),H584,"")</f>
        <v/>
      </c>
      <c r="AG584" s="42" t="str">
        <f>IF(AND(C584=Master!$H$5,B584="2012-2013",E584&gt;1000,G584="PLN03"),H584,"")</f>
        <v/>
      </c>
      <c r="AH584" s="42" t="str">
        <f>IF(AND(C584=Master!$H$5,B584="2012-2013",E584="",G584="PLN03"),H584,"")</f>
        <v/>
      </c>
      <c r="AI584" s="42" t="str">
        <f>IF(AND(C584=Master!$H$6,B584="2012-2013",E584&gt;1000,G584="PLN03"),H584,"")</f>
        <v/>
      </c>
      <c r="AJ584" s="42" t="str">
        <f>IF(AND(C584=Master!$H$6,B584="2012-2013",E584="",G584="PLN03"),H584,"")</f>
        <v/>
      </c>
      <c r="AK584" s="42" t="str">
        <f>IF(AND(C584=Master!$H$7,B584="2012-2013",E584&gt;1000,G584="PLN03"),H584,"")</f>
        <v/>
      </c>
      <c r="AL584" s="42" t="str">
        <f>IF(AND(C584=Master!$H$7,B584="2012-2013",E584="",G584="PLN03"),H584,"")</f>
        <v/>
      </c>
      <c r="AM584" s="42" t="str">
        <f>IF(AND(C584=Master!$H$8,B584="2012-2013",E584&gt;1000,G584="PLN03"),H584,"")</f>
        <v/>
      </c>
      <c r="AN584" s="42" t="str">
        <f>IF(AND(C584=Master!$H$8,B584="2012-2013",E584="",G584="PLN03"),H584,"")</f>
        <v/>
      </c>
      <c r="AO584" s="42" t="str">
        <f>IF(AND(C584=Master!$H$9,B584="2012-2013",E584&gt;1000,G584="PLN03"),H584,"")</f>
        <v/>
      </c>
      <c r="AP584" s="42" t="str">
        <f>IF(AND(C584=Master!$H$9,B584="2012-2013",E584="",G584="PLN03"),H584,"")</f>
        <v/>
      </c>
      <c r="AQ584" s="44" t="str">
        <f>IF(AND(C584=Master!$H$1,B584="2012-2013",E584&gt;1000,G584="NPN05"),H584,"")</f>
        <v/>
      </c>
      <c r="AR584" s="44" t="str">
        <f>IF(AND(C584=Master!$H$1,B584="2012-2013",E584="",G584="NPN05"),H584,"")</f>
        <v/>
      </c>
      <c r="AS584" s="44" t="str">
        <f>IF(AND(C584=Master!$H$2,B584="2012-2013",E584&gt;1000,G584="NPN05"),H584,"")</f>
        <v/>
      </c>
      <c r="AT584" s="44" t="str">
        <f>IF(AND(C584=Master!$H$2,B584="2012-2013",E584="",G584="NPN05"),H584,"")</f>
        <v/>
      </c>
      <c r="AU584" s="44" t="str">
        <f>IF(AND(C584=Master!$H$3,B584="2012-2013",E584&gt;1000,G584="NPN05"),H584,"")</f>
        <v/>
      </c>
      <c r="AV584" s="44" t="str">
        <f>IF(AND(C584=Master!$H$3,B584="2012-2013",E584="",G584="NPN05"),H584,"")</f>
        <v/>
      </c>
      <c r="AW584" s="44" t="str">
        <f>IF(AND(C584=Master!$H$4,B584="2012-2013",E584&gt;1000,G584="NPN05"),H584,"")</f>
        <v/>
      </c>
      <c r="AX584" s="44" t="str">
        <f>IF(AND(C584=Master!$H$4,B584="2012-2013",E584="",G584="NPN05"),H584,"")</f>
        <v/>
      </c>
      <c r="AY584" s="44" t="str">
        <f>IF(AND(C584=Master!$H$5,B584="2012-2013",E584&gt;1000,G584="NPN05"),H584,"")</f>
        <v/>
      </c>
      <c r="AZ584" s="44" t="str">
        <f>IF(AND(C584=Master!$H$5,B584="2012-2013",E584="",G584="NPN05"),H584,"")</f>
        <v/>
      </c>
      <c r="BA584" s="44" t="str">
        <f>IF(AND(C584=Master!$H$6,B584="2012-2013",E584&gt;1000,G584="NPN05"),H584,"")</f>
        <v/>
      </c>
      <c r="BB584" s="44" t="str">
        <f>IF(AND(C584=Master!$H$6,B584="2012-2013",E584="",G584="NPN05"),H584,"")</f>
        <v/>
      </c>
      <c r="BC584" s="44" t="str">
        <f>IF(AND(C584=Master!$H$7,B584="2012-2013",E584&gt;1000,G584="NPN05"),H584,"")</f>
        <v/>
      </c>
      <c r="BD584" s="44" t="str">
        <f>IF(AND(C584=Master!$H$7,B584="2012-2013",E584="",G584="NPN05"),H584,"")</f>
        <v/>
      </c>
      <c r="BE584" s="44" t="str">
        <f>IF(AND(C584=Master!$H$8,B584="2012-2013",E584&gt;1000,G584="NPN05"),H584,"")</f>
        <v/>
      </c>
      <c r="BF584" s="44" t="str">
        <f>IF(AND(C584=Master!$H$8,B584="2012-2013",E584="",G584="NPN05"),H584,"")</f>
        <v/>
      </c>
      <c r="BG584" s="44" t="str">
        <f>IF(AND(C584=Master!$H$9,B584="2012-2013",E584&gt;1000,G584="NPN05"),H584,"")</f>
        <v/>
      </c>
      <c r="BH584" s="44" t="str">
        <f>IF(AND(C584=Master!$H$9,B584="2012-2013",E584="",G584="NPN05"),H584,"")</f>
        <v/>
      </c>
    </row>
    <row r="585" spans="1:60" x14ac:dyDescent="0.25">
      <c r="A585" s="3">
        <v>583</v>
      </c>
      <c r="B585" s="12"/>
      <c r="C585" s="12"/>
      <c r="D585" s="31"/>
      <c r="E585" s="4"/>
      <c r="F585" s="13"/>
      <c r="G585" s="21"/>
      <c r="H585" s="35"/>
      <c r="I585" s="21"/>
      <c r="J585" s="25" t="str">
        <f>IF(NOT(I585=""),INDEX(Master!$B$1:$B$46,MATCH(I585,Master!$A$1:$A$46,0)),"")</f>
        <v/>
      </c>
      <c r="K585" s="18"/>
      <c r="L585" s="86"/>
      <c r="M585" s="13"/>
      <c r="N585" s="13"/>
      <c r="O585" s="18"/>
      <c r="P585" s="35"/>
      <c r="Q585" s="21"/>
      <c r="R585" s="21"/>
      <c r="S585" s="13"/>
      <c r="T585" s="12"/>
      <c r="U585" s="12"/>
      <c r="V585" s="12"/>
      <c r="W585" s="14"/>
      <c r="Y585" s="42" t="str">
        <f>IF(AND(C585=Master!$H$1,B585="2012-2013",E585&gt;1000,G585="PLN03"),H585,"")</f>
        <v/>
      </c>
      <c r="Z585" s="42" t="str">
        <f>IF(AND(C585=Master!$H$1,B585="2012-2013",E585="",G585="PLN03"),H585,"")</f>
        <v/>
      </c>
      <c r="AA585" s="42" t="str">
        <f>IF(AND(C585=Master!$H$2,B585="2012-2013",E585&gt;1000,G585="PLN03"),H585,"")</f>
        <v/>
      </c>
      <c r="AB585" s="42" t="str">
        <f>IF(AND(C585=Master!$H$2,B585="2012-2013",E585="",G585="PLN03"),H585,"")</f>
        <v/>
      </c>
      <c r="AC585" s="42" t="str">
        <f>IF(AND(C585=Master!$H$3,B585="2012-2013",E585&gt;1000,G585="PLN03"),H585,"")</f>
        <v/>
      </c>
      <c r="AD585" s="42" t="str">
        <f>IF(AND(C585=Master!$H$3,B585="2012-2013",E585="",G585="PLN03"),H585,"")</f>
        <v/>
      </c>
      <c r="AE585" s="42" t="str">
        <f>IF(AND(C585=Master!$H$4,B585="2012-2013",E585&gt;1000,G585="PLN03"),H585,"")</f>
        <v/>
      </c>
      <c r="AF585" s="42" t="str">
        <f>IF(AND(C585=Master!$H$4,B585="2012-2013",E585="",G585="PLN03"),H585,"")</f>
        <v/>
      </c>
      <c r="AG585" s="42" t="str">
        <f>IF(AND(C585=Master!$H$5,B585="2012-2013",E585&gt;1000,G585="PLN03"),H585,"")</f>
        <v/>
      </c>
      <c r="AH585" s="42" t="str">
        <f>IF(AND(C585=Master!$H$5,B585="2012-2013",E585="",G585="PLN03"),H585,"")</f>
        <v/>
      </c>
      <c r="AI585" s="42" t="str">
        <f>IF(AND(C585=Master!$H$6,B585="2012-2013",E585&gt;1000,G585="PLN03"),H585,"")</f>
        <v/>
      </c>
      <c r="AJ585" s="42" t="str">
        <f>IF(AND(C585=Master!$H$6,B585="2012-2013",E585="",G585="PLN03"),H585,"")</f>
        <v/>
      </c>
      <c r="AK585" s="42" t="str">
        <f>IF(AND(C585=Master!$H$7,B585="2012-2013",E585&gt;1000,G585="PLN03"),H585,"")</f>
        <v/>
      </c>
      <c r="AL585" s="42" t="str">
        <f>IF(AND(C585=Master!$H$7,B585="2012-2013",E585="",G585="PLN03"),H585,"")</f>
        <v/>
      </c>
      <c r="AM585" s="42" t="str">
        <f>IF(AND(C585=Master!$H$8,B585="2012-2013",E585&gt;1000,G585="PLN03"),H585,"")</f>
        <v/>
      </c>
      <c r="AN585" s="42" t="str">
        <f>IF(AND(C585=Master!$H$8,B585="2012-2013",E585="",G585="PLN03"),H585,"")</f>
        <v/>
      </c>
      <c r="AO585" s="42" t="str">
        <f>IF(AND(C585=Master!$H$9,B585="2012-2013",E585&gt;1000,G585="PLN03"),H585,"")</f>
        <v/>
      </c>
      <c r="AP585" s="42" t="str">
        <f>IF(AND(C585=Master!$H$9,B585="2012-2013",E585="",G585="PLN03"),H585,"")</f>
        <v/>
      </c>
      <c r="AQ585" s="44" t="str">
        <f>IF(AND(C585=Master!$H$1,B585="2012-2013",E585&gt;1000,G585="NPN05"),H585,"")</f>
        <v/>
      </c>
      <c r="AR585" s="44" t="str">
        <f>IF(AND(C585=Master!$H$1,B585="2012-2013",E585="",G585="NPN05"),H585,"")</f>
        <v/>
      </c>
      <c r="AS585" s="44" t="str">
        <f>IF(AND(C585=Master!$H$2,B585="2012-2013",E585&gt;1000,G585="NPN05"),H585,"")</f>
        <v/>
      </c>
      <c r="AT585" s="44" t="str">
        <f>IF(AND(C585=Master!$H$2,B585="2012-2013",E585="",G585="NPN05"),H585,"")</f>
        <v/>
      </c>
      <c r="AU585" s="44" t="str">
        <f>IF(AND(C585=Master!$H$3,B585="2012-2013",E585&gt;1000,G585="NPN05"),H585,"")</f>
        <v/>
      </c>
      <c r="AV585" s="44" t="str">
        <f>IF(AND(C585=Master!$H$3,B585="2012-2013",E585="",G585="NPN05"),H585,"")</f>
        <v/>
      </c>
      <c r="AW585" s="44" t="str">
        <f>IF(AND(C585=Master!$H$4,B585="2012-2013",E585&gt;1000,G585="NPN05"),H585,"")</f>
        <v/>
      </c>
      <c r="AX585" s="44" t="str">
        <f>IF(AND(C585=Master!$H$4,B585="2012-2013",E585="",G585="NPN05"),H585,"")</f>
        <v/>
      </c>
      <c r="AY585" s="44" t="str">
        <f>IF(AND(C585=Master!$H$5,B585="2012-2013",E585&gt;1000,G585="NPN05"),H585,"")</f>
        <v/>
      </c>
      <c r="AZ585" s="44" t="str">
        <f>IF(AND(C585=Master!$H$5,B585="2012-2013",E585="",G585="NPN05"),H585,"")</f>
        <v/>
      </c>
      <c r="BA585" s="44" t="str">
        <f>IF(AND(C585=Master!$H$6,B585="2012-2013",E585&gt;1000,G585="NPN05"),H585,"")</f>
        <v/>
      </c>
      <c r="BB585" s="44" t="str">
        <f>IF(AND(C585=Master!$H$6,B585="2012-2013",E585="",G585="NPN05"),H585,"")</f>
        <v/>
      </c>
      <c r="BC585" s="44" t="str">
        <f>IF(AND(C585=Master!$H$7,B585="2012-2013",E585&gt;1000,G585="NPN05"),H585,"")</f>
        <v/>
      </c>
      <c r="BD585" s="44" t="str">
        <f>IF(AND(C585=Master!$H$7,B585="2012-2013",E585="",G585="NPN05"),H585,"")</f>
        <v/>
      </c>
      <c r="BE585" s="44" t="str">
        <f>IF(AND(C585=Master!$H$8,B585="2012-2013",E585&gt;1000,G585="NPN05"),H585,"")</f>
        <v/>
      </c>
      <c r="BF585" s="44" t="str">
        <f>IF(AND(C585=Master!$H$8,B585="2012-2013",E585="",G585="NPN05"),H585,"")</f>
        <v/>
      </c>
      <c r="BG585" s="44" t="str">
        <f>IF(AND(C585=Master!$H$9,B585="2012-2013",E585&gt;1000,G585="NPN05"),H585,"")</f>
        <v/>
      </c>
      <c r="BH585" s="44" t="str">
        <f>IF(AND(C585=Master!$H$9,B585="2012-2013",E585="",G585="NPN05"),H585,"")</f>
        <v/>
      </c>
    </row>
    <row r="586" spans="1:60" x14ac:dyDescent="0.25">
      <c r="A586" s="3">
        <v>584</v>
      </c>
      <c r="B586" s="12"/>
      <c r="C586" s="12"/>
      <c r="D586" s="31"/>
      <c r="E586" s="4"/>
      <c r="F586" s="13"/>
      <c r="G586" s="21"/>
      <c r="H586" s="35"/>
      <c r="I586" s="21"/>
      <c r="J586" s="25" t="str">
        <f>IF(NOT(I586=""),INDEX(Master!$B$1:$B$46,MATCH(I586,Master!$A$1:$A$46,0)),"")</f>
        <v/>
      </c>
      <c r="K586" s="18"/>
      <c r="L586" s="86"/>
      <c r="M586" s="13"/>
      <c r="N586" s="13"/>
      <c r="O586" s="18"/>
      <c r="P586" s="35"/>
      <c r="Q586" s="21"/>
      <c r="R586" s="21"/>
      <c r="S586" s="13"/>
      <c r="T586" s="12"/>
      <c r="U586" s="12"/>
      <c r="V586" s="12"/>
      <c r="W586" s="14"/>
      <c r="Y586" s="42" t="str">
        <f>IF(AND(C586=Master!$H$1,B586="2012-2013",E586&gt;1000,G586="PLN03"),H586,"")</f>
        <v/>
      </c>
      <c r="Z586" s="42" t="str">
        <f>IF(AND(C586=Master!$H$1,B586="2012-2013",E586="",G586="PLN03"),H586,"")</f>
        <v/>
      </c>
      <c r="AA586" s="42" t="str">
        <f>IF(AND(C586=Master!$H$2,B586="2012-2013",E586&gt;1000,G586="PLN03"),H586,"")</f>
        <v/>
      </c>
      <c r="AB586" s="42" t="str">
        <f>IF(AND(C586=Master!$H$2,B586="2012-2013",E586="",G586="PLN03"),H586,"")</f>
        <v/>
      </c>
      <c r="AC586" s="42" t="str">
        <f>IF(AND(C586=Master!$H$3,B586="2012-2013",E586&gt;1000,G586="PLN03"),H586,"")</f>
        <v/>
      </c>
      <c r="AD586" s="42" t="str">
        <f>IF(AND(C586=Master!$H$3,B586="2012-2013",E586="",G586="PLN03"),H586,"")</f>
        <v/>
      </c>
      <c r="AE586" s="42" t="str">
        <f>IF(AND(C586=Master!$H$4,B586="2012-2013",E586&gt;1000,G586="PLN03"),H586,"")</f>
        <v/>
      </c>
      <c r="AF586" s="42" t="str">
        <f>IF(AND(C586=Master!$H$4,B586="2012-2013",E586="",G586="PLN03"),H586,"")</f>
        <v/>
      </c>
      <c r="AG586" s="42" t="str">
        <f>IF(AND(C586=Master!$H$5,B586="2012-2013",E586&gt;1000,G586="PLN03"),H586,"")</f>
        <v/>
      </c>
      <c r="AH586" s="42" t="str">
        <f>IF(AND(C586=Master!$H$5,B586="2012-2013",E586="",G586="PLN03"),H586,"")</f>
        <v/>
      </c>
      <c r="AI586" s="42" t="str">
        <f>IF(AND(C586=Master!$H$6,B586="2012-2013",E586&gt;1000,G586="PLN03"),H586,"")</f>
        <v/>
      </c>
      <c r="AJ586" s="42" t="str">
        <f>IF(AND(C586=Master!$H$6,B586="2012-2013",E586="",G586="PLN03"),H586,"")</f>
        <v/>
      </c>
      <c r="AK586" s="42" t="str">
        <f>IF(AND(C586=Master!$H$7,B586="2012-2013",E586&gt;1000,G586="PLN03"),H586,"")</f>
        <v/>
      </c>
      <c r="AL586" s="42" t="str">
        <f>IF(AND(C586=Master!$H$7,B586="2012-2013",E586="",G586="PLN03"),H586,"")</f>
        <v/>
      </c>
      <c r="AM586" s="42" t="str">
        <f>IF(AND(C586=Master!$H$8,B586="2012-2013",E586&gt;1000,G586="PLN03"),H586,"")</f>
        <v/>
      </c>
      <c r="AN586" s="42" t="str">
        <f>IF(AND(C586=Master!$H$8,B586="2012-2013",E586="",G586="PLN03"),H586,"")</f>
        <v/>
      </c>
      <c r="AO586" s="42" t="str">
        <f>IF(AND(C586=Master!$H$9,B586="2012-2013",E586&gt;1000,G586="PLN03"),H586,"")</f>
        <v/>
      </c>
      <c r="AP586" s="42" t="str">
        <f>IF(AND(C586=Master!$H$9,B586="2012-2013",E586="",G586="PLN03"),H586,"")</f>
        <v/>
      </c>
      <c r="AQ586" s="44" t="str">
        <f>IF(AND(C586=Master!$H$1,B586="2012-2013",E586&gt;1000,G586="NPN05"),H586,"")</f>
        <v/>
      </c>
      <c r="AR586" s="44" t="str">
        <f>IF(AND(C586=Master!$H$1,B586="2012-2013",E586="",G586="NPN05"),H586,"")</f>
        <v/>
      </c>
      <c r="AS586" s="44" t="str">
        <f>IF(AND(C586=Master!$H$2,B586="2012-2013",E586&gt;1000,G586="NPN05"),H586,"")</f>
        <v/>
      </c>
      <c r="AT586" s="44" t="str">
        <f>IF(AND(C586=Master!$H$2,B586="2012-2013",E586="",G586="NPN05"),H586,"")</f>
        <v/>
      </c>
      <c r="AU586" s="44" t="str">
        <f>IF(AND(C586=Master!$H$3,B586="2012-2013",E586&gt;1000,G586="NPN05"),H586,"")</f>
        <v/>
      </c>
      <c r="AV586" s="44" t="str">
        <f>IF(AND(C586=Master!$H$3,B586="2012-2013",E586="",G586="NPN05"),H586,"")</f>
        <v/>
      </c>
      <c r="AW586" s="44" t="str">
        <f>IF(AND(C586=Master!$H$4,B586="2012-2013",E586&gt;1000,G586="NPN05"),H586,"")</f>
        <v/>
      </c>
      <c r="AX586" s="44" t="str">
        <f>IF(AND(C586=Master!$H$4,B586="2012-2013",E586="",G586="NPN05"),H586,"")</f>
        <v/>
      </c>
      <c r="AY586" s="44" t="str">
        <f>IF(AND(C586=Master!$H$5,B586="2012-2013",E586&gt;1000,G586="NPN05"),H586,"")</f>
        <v/>
      </c>
      <c r="AZ586" s="44" t="str">
        <f>IF(AND(C586=Master!$H$5,B586="2012-2013",E586="",G586="NPN05"),H586,"")</f>
        <v/>
      </c>
      <c r="BA586" s="44" t="str">
        <f>IF(AND(C586=Master!$H$6,B586="2012-2013",E586&gt;1000,G586="NPN05"),H586,"")</f>
        <v/>
      </c>
      <c r="BB586" s="44" t="str">
        <f>IF(AND(C586=Master!$H$6,B586="2012-2013",E586="",G586="NPN05"),H586,"")</f>
        <v/>
      </c>
      <c r="BC586" s="44" t="str">
        <f>IF(AND(C586=Master!$H$7,B586="2012-2013",E586&gt;1000,G586="NPN05"),H586,"")</f>
        <v/>
      </c>
      <c r="BD586" s="44" t="str">
        <f>IF(AND(C586=Master!$H$7,B586="2012-2013",E586="",G586="NPN05"),H586,"")</f>
        <v/>
      </c>
      <c r="BE586" s="44" t="str">
        <f>IF(AND(C586=Master!$H$8,B586="2012-2013",E586&gt;1000,G586="NPN05"),H586,"")</f>
        <v/>
      </c>
      <c r="BF586" s="44" t="str">
        <f>IF(AND(C586=Master!$H$8,B586="2012-2013",E586="",G586="NPN05"),H586,"")</f>
        <v/>
      </c>
      <c r="BG586" s="44" t="str">
        <f>IF(AND(C586=Master!$H$9,B586="2012-2013",E586&gt;1000,G586="NPN05"),H586,"")</f>
        <v/>
      </c>
      <c r="BH586" s="44" t="str">
        <f>IF(AND(C586=Master!$H$9,B586="2012-2013",E586="",G586="NPN05"),H586,"")</f>
        <v/>
      </c>
    </row>
    <row r="587" spans="1:60" x14ac:dyDescent="0.25">
      <c r="A587" s="3">
        <v>585</v>
      </c>
      <c r="B587" s="12"/>
      <c r="C587" s="12"/>
      <c r="D587" s="31"/>
      <c r="E587" s="4"/>
      <c r="F587" s="13"/>
      <c r="G587" s="21"/>
      <c r="H587" s="35"/>
      <c r="I587" s="21"/>
      <c r="J587" s="25" t="str">
        <f>IF(NOT(I587=""),INDEX(Master!$B$1:$B$46,MATCH(I587,Master!$A$1:$A$46,0)),"")</f>
        <v/>
      </c>
      <c r="K587" s="18"/>
      <c r="L587" s="86"/>
      <c r="M587" s="13"/>
      <c r="N587" s="13"/>
      <c r="O587" s="18"/>
      <c r="P587" s="35"/>
      <c r="Q587" s="21"/>
      <c r="R587" s="21"/>
      <c r="S587" s="13"/>
      <c r="T587" s="12"/>
      <c r="U587" s="12"/>
      <c r="V587" s="12"/>
      <c r="W587" s="14"/>
      <c r="Y587" s="42" t="str">
        <f>IF(AND(C587=Master!$H$1,B587="2012-2013",E587&gt;1000,G587="PLN03"),H587,"")</f>
        <v/>
      </c>
      <c r="Z587" s="42" t="str">
        <f>IF(AND(C587=Master!$H$1,B587="2012-2013",E587="",G587="PLN03"),H587,"")</f>
        <v/>
      </c>
      <c r="AA587" s="42" t="str">
        <f>IF(AND(C587=Master!$H$2,B587="2012-2013",E587&gt;1000,G587="PLN03"),H587,"")</f>
        <v/>
      </c>
      <c r="AB587" s="42" t="str">
        <f>IF(AND(C587=Master!$H$2,B587="2012-2013",E587="",G587="PLN03"),H587,"")</f>
        <v/>
      </c>
      <c r="AC587" s="42" t="str">
        <f>IF(AND(C587=Master!$H$3,B587="2012-2013",E587&gt;1000,G587="PLN03"),H587,"")</f>
        <v/>
      </c>
      <c r="AD587" s="42" t="str">
        <f>IF(AND(C587=Master!$H$3,B587="2012-2013",E587="",G587="PLN03"),H587,"")</f>
        <v/>
      </c>
      <c r="AE587" s="42" t="str">
        <f>IF(AND(C587=Master!$H$4,B587="2012-2013",E587&gt;1000,G587="PLN03"),H587,"")</f>
        <v/>
      </c>
      <c r="AF587" s="42" t="str">
        <f>IF(AND(C587=Master!$H$4,B587="2012-2013",E587="",G587="PLN03"),H587,"")</f>
        <v/>
      </c>
      <c r="AG587" s="42" t="str">
        <f>IF(AND(C587=Master!$H$5,B587="2012-2013",E587&gt;1000,G587="PLN03"),H587,"")</f>
        <v/>
      </c>
      <c r="AH587" s="42" t="str">
        <f>IF(AND(C587=Master!$H$5,B587="2012-2013",E587="",G587="PLN03"),H587,"")</f>
        <v/>
      </c>
      <c r="AI587" s="42" t="str">
        <f>IF(AND(C587=Master!$H$6,B587="2012-2013",E587&gt;1000,G587="PLN03"),H587,"")</f>
        <v/>
      </c>
      <c r="AJ587" s="42" t="str">
        <f>IF(AND(C587=Master!$H$6,B587="2012-2013",E587="",G587="PLN03"),H587,"")</f>
        <v/>
      </c>
      <c r="AK587" s="42" t="str">
        <f>IF(AND(C587=Master!$H$7,B587="2012-2013",E587&gt;1000,G587="PLN03"),H587,"")</f>
        <v/>
      </c>
      <c r="AL587" s="42" t="str">
        <f>IF(AND(C587=Master!$H$7,B587="2012-2013",E587="",G587="PLN03"),H587,"")</f>
        <v/>
      </c>
      <c r="AM587" s="42" t="str">
        <f>IF(AND(C587=Master!$H$8,B587="2012-2013",E587&gt;1000,G587="PLN03"),H587,"")</f>
        <v/>
      </c>
      <c r="AN587" s="42" t="str">
        <f>IF(AND(C587=Master!$H$8,B587="2012-2013",E587="",G587="PLN03"),H587,"")</f>
        <v/>
      </c>
      <c r="AO587" s="42" t="str">
        <f>IF(AND(C587=Master!$H$9,B587="2012-2013",E587&gt;1000,G587="PLN03"),H587,"")</f>
        <v/>
      </c>
      <c r="AP587" s="42" t="str">
        <f>IF(AND(C587=Master!$H$9,B587="2012-2013",E587="",G587="PLN03"),H587,"")</f>
        <v/>
      </c>
      <c r="AQ587" s="44" t="str">
        <f>IF(AND(C587=Master!$H$1,B587="2012-2013",E587&gt;1000,G587="NPN05"),H587,"")</f>
        <v/>
      </c>
      <c r="AR587" s="44" t="str">
        <f>IF(AND(C587=Master!$H$1,B587="2012-2013",E587="",G587="NPN05"),H587,"")</f>
        <v/>
      </c>
      <c r="AS587" s="44" t="str">
        <f>IF(AND(C587=Master!$H$2,B587="2012-2013",E587&gt;1000,G587="NPN05"),H587,"")</f>
        <v/>
      </c>
      <c r="AT587" s="44" t="str">
        <f>IF(AND(C587=Master!$H$2,B587="2012-2013",E587="",G587="NPN05"),H587,"")</f>
        <v/>
      </c>
      <c r="AU587" s="44" t="str">
        <f>IF(AND(C587=Master!$H$3,B587="2012-2013",E587&gt;1000,G587="NPN05"),H587,"")</f>
        <v/>
      </c>
      <c r="AV587" s="44" t="str">
        <f>IF(AND(C587=Master!$H$3,B587="2012-2013",E587="",G587="NPN05"),H587,"")</f>
        <v/>
      </c>
      <c r="AW587" s="44" t="str">
        <f>IF(AND(C587=Master!$H$4,B587="2012-2013",E587&gt;1000,G587="NPN05"),H587,"")</f>
        <v/>
      </c>
      <c r="AX587" s="44" t="str">
        <f>IF(AND(C587=Master!$H$4,B587="2012-2013",E587="",G587="NPN05"),H587,"")</f>
        <v/>
      </c>
      <c r="AY587" s="44" t="str">
        <f>IF(AND(C587=Master!$H$5,B587="2012-2013",E587&gt;1000,G587="NPN05"),H587,"")</f>
        <v/>
      </c>
      <c r="AZ587" s="44" t="str">
        <f>IF(AND(C587=Master!$H$5,B587="2012-2013",E587="",G587="NPN05"),H587,"")</f>
        <v/>
      </c>
      <c r="BA587" s="44" t="str">
        <f>IF(AND(C587=Master!$H$6,B587="2012-2013",E587&gt;1000,G587="NPN05"),H587,"")</f>
        <v/>
      </c>
      <c r="BB587" s="44" t="str">
        <f>IF(AND(C587=Master!$H$6,B587="2012-2013",E587="",G587="NPN05"),H587,"")</f>
        <v/>
      </c>
      <c r="BC587" s="44" t="str">
        <f>IF(AND(C587=Master!$H$7,B587="2012-2013",E587&gt;1000,G587="NPN05"),H587,"")</f>
        <v/>
      </c>
      <c r="BD587" s="44" t="str">
        <f>IF(AND(C587=Master!$H$7,B587="2012-2013",E587="",G587="NPN05"),H587,"")</f>
        <v/>
      </c>
      <c r="BE587" s="44" t="str">
        <f>IF(AND(C587=Master!$H$8,B587="2012-2013",E587&gt;1000,G587="NPN05"),H587,"")</f>
        <v/>
      </c>
      <c r="BF587" s="44" t="str">
        <f>IF(AND(C587=Master!$H$8,B587="2012-2013",E587="",G587="NPN05"),H587,"")</f>
        <v/>
      </c>
      <c r="BG587" s="44" t="str">
        <f>IF(AND(C587=Master!$H$9,B587="2012-2013",E587&gt;1000,G587="NPN05"),H587,"")</f>
        <v/>
      </c>
      <c r="BH587" s="44" t="str">
        <f>IF(AND(C587=Master!$H$9,B587="2012-2013",E587="",G587="NPN05"),H587,"")</f>
        <v/>
      </c>
    </row>
    <row r="588" spans="1:60" x14ac:dyDescent="0.25">
      <c r="A588" s="3">
        <v>586</v>
      </c>
      <c r="B588" s="12"/>
      <c r="C588" s="12"/>
      <c r="D588" s="31"/>
      <c r="E588" s="4"/>
      <c r="F588" s="13"/>
      <c r="G588" s="21"/>
      <c r="H588" s="35"/>
      <c r="I588" s="21"/>
      <c r="J588" s="25" t="str">
        <f>IF(NOT(I588=""),INDEX(Master!$B$1:$B$46,MATCH(I588,Master!$A$1:$A$46,0)),"")</f>
        <v/>
      </c>
      <c r="K588" s="18"/>
      <c r="L588" s="86"/>
      <c r="M588" s="13"/>
      <c r="N588" s="13"/>
      <c r="O588" s="18"/>
      <c r="P588" s="35"/>
      <c r="Q588" s="21"/>
      <c r="R588" s="21"/>
      <c r="S588" s="13"/>
      <c r="T588" s="12"/>
      <c r="U588" s="12"/>
      <c r="V588" s="12"/>
      <c r="W588" s="14"/>
      <c r="Y588" s="42" t="str">
        <f>IF(AND(C588=Master!$H$1,B588="2012-2013",E588&gt;1000,G588="PLN03"),H588,"")</f>
        <v/>
      </c>
      <c r="Z588" s="42" t="str">
        <f>IF(AND(C588=Master!$H$1,B588="2012-2013",E588="",G588="PLN03"),H588,"")</f>
        <v/>
      </c>
      <c r="AA588" s="42" t="str">
        <f>IF(AND(C588=Master!$H$2,B588="2012-2013",E588&gt;1000,G588="PLN03"),H588,"")</f>
        <v/>
      </c>
      <c r="AB588" s="42" t="str">
        <f>IF(AND(C588=Master!$H$2,B588="2012-2013",E588="",G588="PLN03"),H588,"")</f>
        <v/>
      </c>
      <c r="AC588" s="42" t="str">
        <f>IF(AND(C588=Master!$H$3,B588="2012-2013",E588&gt;1000,G588="PLN03"),H588,"")</f>
        <v/>
      </c>
      <c r="AD588" s="42" t="str">
        <f>IF(AND(C588=Master!$H$3,B588="2012-2013",E588="",G588="PLN03"),H588,"")</f>
        <v/>
      </c>
      <c r="AE588" s="42" t="str">
        <f>IF(AND(C588=Master!$H$4,B588="2012-2013",E588&gt;1000,G588="PLN03"),H588,"")</f>
        <v/>
      </c>
      <c r="AF588" s="42" t="str">
        <f>IF(AND(C588=Master!$H$4,B588="2012-2013",E588="",G588="PLN03"),H588,"")</f>
        <v/>
      </c>
      <c r="AG588" s="42" t="str">
        <f>IF(AND(C588=Master!$H$5,B588="2012-2013",E588&gt;1000,G588="PLN03"),H588,"")</f>
        <v/>
      </c>
      <c r="AH588" s="42" t="str">
        <f>IF(AND(C588=Master!$H$5,B588="2012-2013",E588="",G588="PLN03"),H588,"")</f>
        <v/>
      </c>
      <c r="AI588" s="42" t="str">
        <f>IF(AND(C588=Master!$H$6,B588="2012-2013",E588&gt;1000,G588="PLN03"),H588,"")</f>
        <v/>
      </c>
      <c r="AJ588" s="42" t="str">
        <f>IF(AND(C588=Master!$H$6,B588="2012-2013",E588="",G588="PLN03"),H588,"")</f>
        <v/>
      </c>
      <c r="AK588" s="42" t="str">
        <f>IF(AND(C588=Master!$H$7,B588="2012-2013",E588&gt;1000,G588="PLN03"),H588,"")</f>
        <v/>
      </c>
      <c r="AL588" s="42" t="str">
        <f>IF(AND(C588=Master!$H$7,B588="2012-2013",E588="",G588="PLN03"),H588,"")</f>
        <v/>
      </c>
      <c r="AM588" s="42" t="str">
        <f>IF(AND(C588=Master!$H$8,B588="2012-2013",E588&gt;1000,G588="PLN03"),H588,"")</f>
        <v/>
      </c>
      <c r="AN588" s="42" t="str">
        <f>IF(AND(C588=Master!$H$8,B588="2012-2013",E588="",G588="PLN03"),H588,"")</f>
        <v/>
      </c>
      <c r="AO588" s="42" t="str">
        <f>IF(AND(C588=Master!$H$9,B588="2012-2013",E588&gt;1000,G588="PLN03"),H588,"")</f>
        <v/>
      </c>
      <c r="AP588" s="42" t="str">
        <f>IF(AND(C588=Master!$H$9,B588="2012-2013",E588="",G588="PLN03"),H588,"")</f>
        <v/>
      </c>
      <c r="AQ588" s="44" t="str">
        <f>IF(AND(C588=Master!$H$1,B588="2012-2013",E588&gt;1000,G588="NPN05"),H588,"")</f>
        <v/>
      </c>
      <c r="AR588" s="44" t="str">
        <f>IF(AND(C588=Master!$H$1,B588="2012-2013",E588="",G588="NPN05"),H588,"")</f>
        <v/>
      </c>
      <c r="AS588" s="44" t="str">
        <f>IF(AND(C588=Master!$H$2,B588="2012-2013",E588&gt;1000,G588="NPN05"),H588,"")</f>
        <v/>
      </c>
      <c r="AT588" s="44" t="str">
        <f>IF(AND(C588=Master!$H$2,B588="2012-2013",E588="",G588="NPN05"),H588,"")</f>
        <v/>
      </c>
      <c r="AU588" s="44" t="str">
        <f>IF(AND(C588=Master!$H$3,B588="2012-2013",E588&gt;1000,G588="NPN05"),H588,"")</f>
        <v/>
      </c>
      <c r="AV588" s="44" t="str">
        <f>IF(AND(C588=Master!$H$3,B588="2012-2013",E588="",G588="NPN05"),H588,"")</f>
        <v/>
      </c>
      <c r="AW588" s="44" t="str">
        <f>IF(AND(C588=Master!$H$4,B588="2012-2013",E588&gt;1000,G588="NPN05"),H588,"")</f>
        <v/>
      </c>
      <c r="AX588" s="44" t="str">
        <f>IF(AND(C588=Master!$H$4,B588="2012-2013",E588="",G588="NPN05"),H588,"")</f>
        <v/>
      </c>
      <c r="AY588" s="44" t="str">
        <f>IF(AND(C588=Master!$H$5,B588="2012-2013",E588&gt;1000,G588="NPN05"),H588,"")</f>
        <v/>
      </c>
      <c r="AZ588" s="44" t="str">
        <f>IF(AND(C588=Master!$H$5,B588="2012-2013",E588="",G588="NPN05"),H588,"")</f>
        <v/>
      </c>
      <c r="BA588" s="44" t="str">
        <f>IF(AND(C588=Master!$H$6,B588="2012-2013",E588&gt;1000,G588="NPN05"),H588,"")</f>
        <v/>
      </c>
      <c r="BB588" s="44" t="str">
        <f>IF(AND(C588=Master!$H$6,B588="2012-2013",E588="",G588="NPN05"),H588,"")</f>
        <v/>
      </c>
      <c r="BC588" s="44" t="str">
        <f>IF(AND(C588=Master!$H$7,B588="2012-2013",E588&gt;1000,G588="NPN05"),H588,"")</f>
        <v/>
      </c>
      <c r="BD588" s="44" t="str">
        <f>IF(AND(C588=Master!$H$7,B588="2012-2013",E588="",G588="NPN05"),H588,"")</f>
        <v/>
      </c>
      <c r="BE588" s="44" t="str">
        <f>IF(AND(C588=Master!$H$8,B588="2012-2013",E588&gt;1000,G588="NPN05"),H588,"")</f>
        <v/>
      </c>
      <c r="BF588" s="44" t="str">
        <f>IF(AND(C588=Master!$H$8,B588="2012-2013",E588="",G588="NPN05"),H588,"")</f>
        <v/>
      </c>
      <c r="BG588" s="44" t="str">
        <f>IF(AND(C588=Master!$H$9,B588="2012-2013",E588&gt;1000,G588="NPN05"),H588,"")</f>
        <v/>
      </c>
      <c r="BH588" s="44" t="str">
        <f>IF(AND(C588=Master!$H$9,B588="2012-2013",E588="",G588="NPN05"),H588,"")</f>
        <v/>
      </c>
    </row>
    <row r="589" spans="1:60" x14ac:dyDescent="0.25">
      <c r="A589" s="5">
        <v>587</v>
      </c>
      <c r="B589" s="12"/>
      <c r="C589" s="12"/>
      <c r="D589" s="31"/>
      <c r="E589" s="4"/>
      <c r="F589" s="13"/>
      <c r="G589" s="21"/>
      <c r="H589" s="35"/>
      <c r="I589" s="21"/>
      <c r="J589" s="25" t="str">
        <f>IF(NOT(I589=""),INDEX(Master!$B$1:$B$46,MATCH(I589,Master!$A$1:$A$46,0)),"")</f>
        <v/>
      </c>
      <c r="K589" s="18"/>
      <c r="L589" s="86"/>
      <c r="M589" s="13"/>
      <c r="N589" s="13"/>
      <c r="O589" s="18"/>
      <c r="P589" s="35"/>
      <c r="Q589" s="21"/>
      <c r="R589" s="21"/>
      <c r="S589" s="13"/>
      <c r="T589" s="12"/>
      <c r="U589" s="12"/>
      <c r="V589" s="12"/>
      <c r="W589" s="14"/>
      <c r="Y589" s="42" t="str">
        <f>IF(AND(C589=Master!$H$1,B589="2012-2013",E589&gt;1000,G589="PLN03"),H589,"")</f>
        <v/>
      </c>
      <c r="Z589" s="42" t="str">
        <f>IF(AND(C589=Master!$H$1,B589="2012-2013",E589="",G589="PLN03"),H589,"")</f>
        <v/>
      </c>
      <c r="AA589" s="42" t="str">
        <f>IF(AND(C589=Master!$H$2,B589="2012-2013",E589&gt;1000,G589="PLN03"),H589,"")</f>
        <v/>
      </c>
      <c r="AB589" s="42" t="str">
        <f>IF(AND(C589=Master!$H$2,B589="2012-2013",E589="",G589="PLN03"),H589,"")</f>
        <v/>
      </c>
      <c r="AC589" s="42" t="str">
        <f>IF(AND(C589=Master!$H$3,B589="2012-2013",E589&gt;1000,G589="PLN03"),H589,"")</f>
        <v/>
      </c>
      <c r="AD589" s="42" t="str">
        <f>IF(AND(C589=Master!$H$3,B589="2012-2013",E589="",G589="PLN03"),H589,"")</f>
        <v/>
      </c>
      <c r="AE589" s="42" t="str">
        <f>IF(AND(C589=Master!$H$4,B589="2012-2013",E589&gt;1000,G589="PLN03"),H589,"")</f>
        <v/>
      </c>
      <c r="AF589" s="42" t="str">
        <f>IF(AND(C589=Master!$H$4,B589="2012-2013",E589="",G589="PLN03"),H589,"")</f>
        <v/>
      </c>
      <c r="AG589" s="42" t="str">
        <f>IF(AND(C589=Master!$H$5,B589="2012-2013",E589&gt;1000,G589="PLN03"),H589,"")</f>
        <v/>
      </c>
      <c r="AH589" s="42" t="str">
        <f>IF(AND(C589=Master!$H$5,B589="2012-2013",E589="",G589="PLN03"),H589,"")</f>
        <v/>
      </c>
      <c r="AI589" s="42" t="str">
        <f>IF(AND(C589=Master!$H$6,B589="2012-2013",E589&gt;1000,G589="PLN03"),H589,"")</f>
        <v/>
      </c>
      <c r="AJ589" s="42" t="str">
        <f>IF(AND(C589=Master!$H$6,B589="2012-2013",E589="",G589="PLN03"),H589,"")</f>
        <v/>
      </c>
      <c r="AK589" s="42" t="str">
        <f>IF(AND(C589=Master!$H$7,B589="2012-2013",E589&gt;1000,G589="PLN03"),H589,"")</f>
        <v/>
      </c>
      <c r="AL589" s="42" t="str">
        <f>IF(AND(C589=Master!$H$7,B589="2012-2013",E589="",G589="PLN03"),H589,"")</f>
        <v/>
      </c>
      <c r="AM589" s="42" t="str">
        <f>IF(AND(C589=Master!$H$8,B589="2012-2013",E589&gt;1000,G589="PLN03"),H589,"")</f>
        <v/>
      </c>
      <c r="AN589" s="42" t="str">
        <f>IF(AND(C589=Master!$H$8,B589="2012-2013",E589="",G589="PLN03"),H589,"")</f>
        <v/>
      </c>
      <c r="AO589" s="42" t="str">
        <f>IF(AND(C589=Master!$H$9,B589="2012-2013",E589&gt;1000,G589="PLN03"),H589,"")</f>
        <v/>
      </c>
      <c r="AP589" s="42" t="str">
        <f>IF(AND(C589=Master!$H$9,B589="2012-2013",E589="",G589="PLN03"),H589,"")</f>
        <v/>
      </c>
      <c r="AQ589" s="44" t="str">
        <f>IF(AND(C589=Master!$H$1,B589="2012-2013",E589&gt;1000,G589="NPN05"),H589,"")</f>
        <v/>
      </c>
      <c r="AR589" s="44" t="str">
        <f>IF(AND(C589=Master!$H$1,B589="2012-2013",E589="",G589="NPN05"),H589,"")</f>
        <v/>
      </c>
      <c r="AS589" s="44" t="str">
        <f>IF(AND(C589=Master!$H$2,B589="2012-2013",E589&gt;1000,G589="NPN05"),H589,"")</f>
        <v/>
      </c>
      <c r="AT589" s="44" t="str">
        <f>IF(AND(C589=Master!$H$2,B589="2012-2013",E589="",G589="NPN05"),H589,"")</f>
        <v/>
      </c>
      <c r="AU589" s="44" t="str">
        <f>IF(AND(C589=Master!$H$3,B589="2012-2013",E589&gt;1000,G589="NPN05"),H589,"")</f>
        <v/>
      </c>
      <c r="AV589" s="44" t="str">
        <f>IF(AND(C589=Master!$H$3,B589="2012-2013",E589="",G589="NPN05"),H589,"")</f>
        <v/>
      </c>
      <c r="AW589" s="44" t="str">
        <f>IF(AND(C589=Master!$H$4,B589="2012-2013",E589&gt;1000,G589="NPN05"),H589,"")</f>
        <v/>
      </c>
      <c r="AX589" s="44" t="str">
        <f>IF(AND(C589=Master!$H$4,B589="2012-2013",E589="",G589="NPN05"),H589,"")</f>
        <v/>
      </c>
      <c r="AY589" s="44" t="str">
        <f>IF(AND(C589=Master!$H$5,B589="2012-2013",E589&gt;1000,G589="NPN05"),H589,"")</f>
        <v/>
      </c>
      <c r="AZ589" s="44" t="str">
        <f>IF(AND(C589=Master!$H$5,B589="2012-2013",E589="",G589="NPN05"),H589,"")</f>
        <v/>
      </c>
      <c r="BA589" s="44" t="str">
        <f>IF(AND(C589=Master!$H$6,B589="2012-2013",E589&gt;1000,G589="NPN05"),H589,"")</f>
        <v/>
      </c>
      <c r="BB589" s="44" t="str">
        <f>IF(AND(C589=Master!$H$6,B589="2012-2013",E589="",G589="NPN05"),H589,"")</f>
        <v/>
      </c>
      <c r="BC589" s="44" t="str">
        <f>IF(AND(C589=Master!$H$7,B589="2012-2013",E589&gt;1000,G589="NPN05"),H589,"")</f>
        <v/>
      </c>
      <c r="BD589" s="44" t="str">
        <f>IF(AND(C589=Master!$H$7,B589="2012-2013",E589="",G589="NPN05"),H589,"")</f>
        <v/>
      </c>
      <c r="BE589" s="44" t="str">
        <f>IF(AND(C589=Master!$H$8,B589="2012-2013",E589&gt;1000,G589="NPN05"),H589,"")</f>
        <v/>
      </c>
      <c r="BF589" s="44" t="str">
        <f>IF(AND(C589=Master!$H$8,B589="2012-2013",E589="",G589="NPN05"),H589,"")</f>
        <v/>
      </c>
      <c r="BG589" s="44" t="str">
        <f>IF(AND(C589=Master!$H$9,B589="2012-2013",E589&gt;1000,G589="NPN05"),H589,"")</f>
        <v/>
      </c>
      <c r="BH589" s="44" t="str">
        <f>IF(AND(C589=Master!$H$9,B589="2012-2013",E589="",G589="NPN05"),H589,"")</f>
        <v/>
      </c>
    </row>
    <row r="590" spans="1:60" x14ac:dyDescent="0.25">
      <c r="A590" s="3">
        <v>588</v>
      </c>
      <c r="B590" s="12"/>
      <c r="C590" s="12"/>
      <c r="D590" s="31"/>
      <c r="E590" s="4"/>
      <c r="F590" s="13"/>
      <c r="G590" s="21"/>
      <c r="H590" s="35"/>
      <c r="I590" s="21"/>
      <c r="J590" s="25" t="str">
        <f>IF(NOT(I590=""),INDEX(Master!$B$1:$B$46,MATCH(I590,Master!$A$1:$A$46,0)),"")</f>
        <v/>
      </c>
      <c r="K590" s="18"/>
      <c r="L590" s="86"/>
      <c r="M590" s="13"/>
      <c r="N590" s="13"/>
      <c r="O590" s="18"/>
      <c r="P590" s="35"/>
      <c r="Q590" s="21"/>
      <c r="R590" s="21"/>
      <c r="S590" s="13"/>
      <c r="T590" s="12"/>
      <c r="U590" s="12"/>
      <c r="V590" s="12"/>
      <c r="W590" s="14"/>
      <c r="Y590" s="42" t="str">
        <f>IF(AND(C590=Master!$H$1,B590="2012-2013",E590&gt;1000,G590="PLN03"),H590,"")</f>
        <v/>
      </c>
      <c r="Z590" s="42" t="str">
        <f>IF(AND(C590=Master!$H$1,B590="2012-2013",E590="",G590="PLN03"),H590,"")</f>
        <v/>
      </c>
      <c r="AA590" s="42" t="str">
        <f>IF(AND(C590=Master!$H$2,B590="2012-2013",E590&gt;1000,G590="PLN03"),H590,"")</f>
        <v/>
      </c>
      <c r="AB590" s="42" t="str">
        <f>IF(AND(C590=Master!$H$2,B590="2012-2013",E590="",G590="PLN03"),H590,"")</f>
        <v/>
      </c>
      <c r="AC590" s="42" t="str">
        <f>IF(AND(C590=Master!$H$3,B590="2012-2013",E590&gt;1000,G590="PLN03"),H590,"")</f>
        <v/>
      </c>
      <c r="AD590" s="42" t="str">
        <f>IF(AND(C590=Master!$H$3,B590="2012-2013",E590="",G590="PLN03"),H590,"")</f>
        <v/>
      </c>
      <c r="AE590" s="42" t="str">
        <f>IF(AND(C590=Master!$H$4,B590="2012-2013",E590&gt;1000,G590="PLN03"),H590,"")</f>
        <v/>
      </c>
      <c r="AF590" s="42" t="str">
        <f>IF(AND(C590=Master!$H$4,B590="2012-2013",E590="",G590="PLN03"),H590,"")</f>
        <v/>
      </c>
      <c r="AG590" s="42" t="str">
        <f>IF(AND(C590=Master!$H$5,B590="2012-2013",E590&gt;1000,G590="PLN03"),H590,"")</f>
        <v/>
      </c>
      <c r="AH590" s="42" t="str">
        <f>IF(AND(C590=Master!$H$5,B590="2012-2013",E590="",G590="PLN03"),H590,"")</f>
        <v/>
      </c>
      <c r="AI590" s="42" t="str">
        <f>IF(AND(C590=Master!$H$6,B590="2012-2013",E590&gt;1000,G590="PLN03"),H590,"")</f>
        <v/>
      </c>
      <c r="AJ590" s="42" t="str">
        <f>IF(AND(C590=Master!$H$6,B590="2012-2013",E590="",G590="PLN03"),H590,"")</f>
        <v/>
      </c>
      <c r="AK590" s="42" t="str">
        <f>IF(AND(C590=Master!$H$7,B590="2012-2013",E590&gt;1000,G590="PLN03"),H590,"")</f>
        <v/>
      </c>
      <c r="AL590" s="42" t="str">
        <f>IF(AND(C590=Master!$H$7,B590="2012-2013",E590="",G590="PLN03"),H590,"")</f>
        <v/>
      </c>
      <c r="AM590" s="42" t="str">
        <f>IF(AND(C590=Master!$H$8,B590="2012-2013",E590&gt;1000,G590="PLN03"),H590,"")</f>
        <v/>
      </c>
      <c r="AN590" s="42" t="str">
        <f>IF(AND(C590=Master!$H$8,B590="2012-2013",E590="",G590="PLN03"),H590,"")</f>
        <v/>
      </c>
      <c r="AO590" s="42" t="str">
        <f>IF(AND(C590=Master!$H$9,B590="2012-2013",E590&gt;1000,G590="PLN03"),H590,"")</f>
        <v/>
      </c>
      <c r="AP590" s="42" t="str">
        <f>IF(AND(C590=Master!$H$9,B590="2012-2013",E590="",G590="PLN03"),H590,"")</f>
        <v/>
      </c>
      <c r="AQ590" s="44" t="str">
        <f>IF(AND(C590=Master!$H$1,B590="2012-2013",E590&gt;1000,G590="NPN05"),H590,"")</f>
        <v/>
      </c>
      <c r="AR590" s="44" t="str">
        <f>IF(AND(C590=Master!$H$1,B590="2012-2013",E590="",G590="NPN05"),H590,"")</f>
        <v/>
      </c>
      <c r="AS590" s="44" t="str">
        <f>IF(AND(C590=Master!$H$2,B590="2012-2013",E590&gt;1000,G590="NPN05"),H590,"")</f>
        <v/>
      </c>
      <c r="AT590" s="44" t="str">
        <f>IF(AND(C590=Master!$H$2,B590="2012-2013",E590="",G590="NPN05"),H590,"")</f>
        <v/>
      </c>
      <c r="AU590" s="44" t="str">
        <f>IF(AND(C590=Master!$H$3,B590="2012-2013",E590&gt;1000,G590="NPN05"),H590,"")</f>
        <v/>
      </c>
      <c r="AV590" s="44" t="str">
        <f>IF(AND(C590=Master!$H$3,B590="2012-2013",E590="",G590="NPN05"),H590,"")</f>
        <v/>
      </c>
      <c r="AW590" s="44" t="str">
        <f>IF(AND(C590=Master!$H$4,B590="2012-2013",E590&gt;1000,G590="NPN05"),H590,"")</f>
        <v/>
      </c>
      <c r="AX590" s="44" t="str">
        <f>IF(AND(C590=Master!$H$4,B590="2012-2013",E590="",G590="NPN05"),H590,"")</f>
        <v/>
      </c>
      <c r="AY590" s="44" t="str">
        <f>IF(AND(C590=Master!$H$5,B590="2012-2013",E590&gt;1000,G590="NPN05"),H590,"")</f>
        <v/>
      </c>
      <c r="AZ590" s="44" t="str">
        <f>IF(AND(C590=Master!$H$5,B590="2012-2013",E590="",G590="NPN05"),H590,"")</f>
        <v/>
      </c>
      <c r="BA590" s="44" t="str">
        <f>IF(AND(C590=Master!$H$6,B590="2012-2013",E590&gt;1000,G590="NPN05"),H590,"")</f>
        <v/>
      </c>
      <c r="BB590" s="44" t="str">
        <f>IF(AND(C590=Master!$H$6,B590="2012-2013",E590="",G590="NPN05"),H590,"")</f>
        <v/>
      </c>
      <c r="BC590" s="44" t="str">
        <f>IF(AND(C590=Master!$H$7,B590="2012-2013",E590&gt;1000,G590="NPN05"),H590,"")</f>
        <v/>
      </c>
      <c r="BD590" s="44" t="str">
        <f>IF(AND(C590=Master!$H$7,B590="2012-2013",E590="",G590="NPN05"),H590,"")</f>
        <v/>
      </c>
      <c r="BE590" s="44" t="str">
        <f>IF(AND(C590=Master!$H$8,B590="2012-2013",E590&gt;1000,G590="NPN05"),H590,"")</f>
        <v/>
      </c>
      <c r="BF590" s="44" t="str">
        <f>IF(AND(C590=Master!$H$8,B590="2012-2013",E590="",G590="NPN05"),H590,"")</f>
        <v/>
      </c>
      <c r="BG590" s="44" t="str">
        <f>IF(AND(C590=Master!$H$9,B590="2012-2013",E590&gt;1000,G590="NPN05"),H590,"")</f>
        <v/>
      </c>
      <c r="BH590" s="44" t="str">
        <f>IF(AND(C590=Master!$H$9,B590="2012-2013",E590="",G590="NPN05"),H590,"")</f>
        <v/>
      </c>
    </row>
    <row r="591" spans="1:60" x14ac:dyDescent="0.25">
      <c r="A591" s="3">
        <v>589</v>
      </c>
      <c r="B591" s="12"/>
      <c r="C591" s="12"/>
      <c r="D591" s="31"/>
      <c r="E591" s="4"/>
      <c r="F591" s="13"/>
      <c r="G591" s="21"/>
      <c r="H591" s="35"/>
      <c r="I591" s="21"/>
      <c r="J591" s="25" t="str">
        <f>IF(NOT(I591=""),INDEX(Master!$B$1:$B$46,MATCH(I591,Master!$A$1:$A$46,0)),"")</f>
        <v/>
      </c>
      <c r="K591" s="18"/>
      <c r="L591" s="86"/>
      <c r="M591" s="13"/>
      <c r="N591" s="13"/>
      <c r="O591" s="18"/>
      <c r="P591" s="35"/>
      <c r="Q591" s="21"/>
      <c r="R591" s="21"/>
      <c r="S591" s="13"/>
      <c r="T591" s="12"/>
      <c r="U591" s="12"/>
      <c r="V591" s="12"/>
      <c r="W591" s="14"/>
      <c r="Y591" s="42" t="str">
        <f>IF(AND(C591=Master!$H$1,B591="2012-2013",E591&gt;1000,G591="PLN03"),H591,"")</f>
        <v/>
      </c>
      <c r="Z591" s="42" t="str">
        <f>IF(AND(C591=Master!$H$1,B591="2012-2013",E591="",G591="PLN03"),H591,"")</f>
        <v/>
      </c>
      <c r="AA591" s="42" t="str">
        <f>IF(AND(C591=Master!$H$2,B591="2012-2013",E591&gt;1000,G591="PLN03"),H591,"")</f>
        <v/>
      </c>
      <c r="AB591" s="42" t="str">
        <f>IF(AND(C591=Master!$H$2,B591="2012-2013",E591="",G591="PLN03"),H591,"")</f>
        <v/>
      </c>
      <c r="AC591" s="42" t="str">
        <f>IF(AND(C591=Master!$H$3,B591="2012-2013",E591&gt;1000,G591="PLN03"),H591,"")</f>
        <v/>
      </c>
      <c r="AD591" s="42" t="str">
        <f>IF(AND(C591=Master!$H$3,B591="2012-2013",E591="",G591="PLN03"),H591,"")</f>
        <v/>
      </c>
      <c r="AE591" s="42" t="str">
        <f>IF(AND(C591=Master!$H$4,B591="2012-2013",E591&gt;1000,G591="PLN03"),H591,"")</f>
        <v/>
      </c>
      <c r="AF591" s="42" t="str">
        <f>IF(AND(C591=Master!$H$4,B591="2012-2013",E591="",G591="PLN03"),H591,"")</f>
        <v/>
      </c>
      <c r="AG591" s="42" t="str">
        <f>IF(AND(C591=Master!$H$5,B591="2012-2013",E591&gt;1000,G591="PLN03"),H591,"")</f>
        <v/>
      </c>
      <c r="AH591" s="42" t="str">
        <f>IF(AND(C591=Master!$H$5,B591="2012-2013",E591="",G591="PLN03"),H591,"")</f>
        <v/>
      </c>
      <c r="AI591" s="42" t="str">
        <f>IF(AND(C591=Master!$H$6,B591="2012-2013",E591&gt;1000,G591="PLN03"),H591,"")</f>
        <v/>
      </c>
      <c r="AJ591" s="42" t="str">
        <f>IF(AND(C591=Master!$H$6,B591="2012-2013",E591="",G591="PLN03"),H591,"")</f>
        <v/>
      </c>
      <c r="AK591" s="42" t="str">
        <f>IF(AND(C591=Master!$H$7,B591="2012-2013",E591&gt;1000,G591="PLN03"),H591,"")</f>
        <v/>
      </c>
      <c r="AL591" s="42" t="str">
        <f>IF(AND(C591=Master!$H$7,B591="2012-2013",E591="",G591="PLN03"),H591,"")</f>
        <v/>
      </c>
      <c r="AM591" s="42" t="str">
        <f>IF(AND(C591=Master!$H$8,B591="2012-2013",E591&gt;1000,G591="PLN03"),H591,"")</f>
        <v/>
      </c>
      <c r="AN591" s="42" t="str">
        <f>IF(AND(C591=Master!$H$8,B591="2012-2013",E591="",G591="PLN03"),H591,"")</f>
        <v/>
      </c>
      <c r="AO591" s="42" t="str">
        <f>IF(AND(C591=Master!$H$9,B591="2012-2013",E591&gt;1000,G591="PLN03"),H591,"")</f>
        <v/>
      </c>
      <c r="AP591" s="42" t="str">
        <f>IF(AND(C591=Master!$H$9,B591="2012-2013",E591="",G591="PLN03"),H591,"")</f>
        <v/>
      </c>
      <c r="AQ591" s="44" t="str">
        <f>IF(AND(C591=Master!$H$1,B591="2012-2013",E591&gt;1000,G591="NPN05"),H591,"")</f>
        <v/>
      </c>
      <c r="AR591" s="44" t="str">
        <f>IF(AND(C591=Master!$H$1,B591="2012-2013",E591="",G591="NPN05"),H591,"")</f>
        <v/>
      </c>
      <c r="AS591" s="44" t="str">
        <f>IF(AND(C591=Master!$H$2,B591="2012-2013",E591&gt;1000,G591="NPN05"),H591,"")</f>
        <v/>
      </c>
      <c r="AT591" s="44" t="str">
        <f>IF(AND(C591=Master!$H$2,B591="2012-2013",E591="",G591="NPN05"),H591,"")</f>
        <v/>
      </c>
      <c r="AU591" s="44" t="str">
        <f>IF(AND(C591=Master!$H$3,B591="2012-2013",E591&gt;1000,G591="NPN05"),H591,"")</f>
        <v/>
      </c>
      <c r="AV591" s="44" t="str">
        <f>IF(AND(C591=Master!$H$3,B591="2012-2013",E591="",G591="NPN05"),H591,"")</f>
        <v/>
      </c>
      <c r="AW591" s="44" t="str">
        <f>IF(AND(C591=Master!$H$4,B591="2012-2013",E591&gt;1000,G591="NPN05"),H591,"")</f>
        <v/>
      </c>
      <c r="AX591" s="44" t="str">
        <f>IF(AND(C591=Master!$H$4,B591="2012-2013",E591="",G591="NPN05"),H591,"")</f>
        <v/>
      </c>
      <c r="AY591" s="44" t="str">
        <f>IF(AND(C591=Master!$H$5,B591="2012-2013",E591&gt;1000,G591="NPN05"),H591,"")</f>
        <v/>
      </c>
      <c r="AZ591" s="44" t="str">
        <f>IF(AND(C591=Master!$H$5,B591="2012-2013",E591="",G591="NPN05"),H591,"")</f>
        <v/>
      </c>
      <c r="BA591" s="44" t="str">
        <f>IF(AND(C591=Master!$H$6,B591="2012-2013",E591&gt;1000,G591="NPN05"),H591,"")</f>
        <v/>
      </c>
      <c r="BB591" s="44" t="str">
        <f>IF(AND(C591=Master!$H$6,B591="2012-2013",E591="",G591="NPN05"),H591,"")</f>
        <v/>
      </c>
      <c r="BC591" s="44" t="str">
        <f>IF(AND(C591=Master!$H$7,B591="2012-2013",E591&gt;1000,G591="NPN05"),H591,"")</f>
        <v/>
      </c>
      <c r="BD591" s="44" t="str">
        <f>IF(AND(C591=Master!$H$7,B591="2012-2013",E591="",G591="NPN05"),H591,"")</f>
        <v/>
      </c>
      <c r="BE591" s="44" t="str">
        <f>IF(AND(C591=Master!$H$8,B591="2012-2013",E591&gt;1000,G591="NPN05"),H591,"")</f>
        <v/>
      </c>
      <c r="BF591" s="44" t="str">
        <f>IF(AND(C591=Master!$H$8,B591="2012-2013",E591="",G591="NPN05"),H591,"")</f>
        <v/>
      </c>
      <c r="BG591" s="44" t="str">
        <f>IF(AND(C591=Master!$H$9,B591="2012-2013",E591&gt;1000,G591="NPN05"),H591,"")</f>
        <v/>
      </c>
      <c r="BH591" s="44" t="str">
        <f>IF(AND(C591=Master!$H$9,B591="2012-2013",E591="",G591="NPN05"),H591,"")</f>
        <v/>
      </c>
    </row>
    <row r="592" spans="1:60" x14ac:dyDescent="0.25">
      <c r="A592" s="3">
        <v>590</v>
      </c>
      <c r="B592" s="12"/>
      <c r="C592" s="12"/>
      <c r="D592" s="31"/>
      <c r="E592" s="4"/>
      <c r="F592" s="13"/>
      <c r="G592" s="21"/>
      <c r="H592" s="35"/>
      <c r="I592" s="21"/>
      <c r="J592" s="25" t="str">
        <f>IF(NOT(I592=""),INDEX(Master!$B$1:$B$46,MATCH(I592,Master!$A$1:$A$46,0)),"")</f>
        <v/>
      </c>
      <c r="K592" s="18"/>
      <c r="L592" s="86"/>
      <c r="M592" s="13"/>
      <c r="N592" s="13"/>
      <c r="O592" s="18"/>
      <c r="P592" s="35"/>
      <c r="Q592" s="21"/>
      <c r="R592" s="21"/>
      <c r="S592" s="13"/>
      <c r="T592" s="12"/>
      <c r="U592" s="12"/>
      <c r="V592" s="12"/>
      <c r="W592" s="14"/>
      <c r="Y592" s="42" t="str">
        <f>IF(AND(C592=Master!$H$1,B592="2012-2013",E592&gt;1000,G592="PLN03"),H592,"")</f>
        <v/>
      </c>
      <c r="Z592" s="42" t="str">
        <f>IF(AND(C592=Master!$H$1,B592="2012-2013",E592="",G592="PLN03"),H592,"")</f>
        <v/>
      </c>
      <c r="AA592" s="42" t="str">
        <f>IF(AND(C592=Master!$H$2,B592="2012-2013",E592&gt;1000,G592="PLN03"),H592,"")</f>
        <v/>
      </c>
      <c r="AB592" s="42" t="str">
        <f>IF(AND(C592=Master!$H$2,B592="2012-2013",E592="",G592="PLN03"),H592,"")</f>
        <v/>
      </c>
      <c r="AC592" s="42" t="str">
        <f>IF(AND(C592=Master!$H$3,B592="2012-2013",E592&gt;1000,G592="PLN03"),H592,"")</f>
        <v/>
      </c>
      <c r="AD592" s="42" t="str">
        <f>IF(AND(C592=Master!$H$3,B592="2012-2013",E592="",G592="PLN03"),H592,"")</f>
        <v/>
      </c>
      <c r="AE592" s="42" t="str">
        <f>IF(AND(C592=Master!$H$4,B592="2012-2013",E592&gt;1000,G592="PLN03"),H592,"")</f>
        <v/>
      </c>
      <c r="AF592" s="42" t="str">
        <f>IF(AND(C592=Master!$H$4,B592="2012-2013",E592="",G592="PLN03"),H592,"")</f>
        <v/>
      </c>
      <c r="AG592" s="42" t="str">
        <f>IF(AND(C592=Master!$H$5,B592="2012-2013",E592&gt;1000,G592="PLN03"),H592,"")</f>
        <v/>
      </c>
      <c r="AH592" s="42" t="str">
        <f>IF(AND(C592=Master!$H$5,B592="2012-2013",E592="",G592="PLN03"),H592,"")</f>
        <v/>
      </c>
      <c r="AI592" s="42" t="str">
        <f>IF(AND(C592=Master!$H$6,B592="2012-2013",E592&gt;1000,G592="PLN03"),H592,"")</f>
        <v/>
      </c>
      <c r="AJ592" s="42" t="str">
        <f>IF(AND(C592=Master!$H$6,B592="2012-2013",E592="",G592="PLN03"),H592,"")</f>
        <v/>
      </c>
      <c r="AK592" s="42" t="str">
        <f>IF(AND(C592=Master!$H$7,B592="2012-2013",E592&gt;1000,G592="PLN03"),H592,"")</f>
        <v/>
      </c>
      <c r="AL592" s="42" t="str">
        <f>IF(AND(C592=Master!$H$7,B592="2012-2013",E592="",G592="PLN03"),H592,"")</f>
        <v/>
      </c>
      <c r="AM592" s="42" t="str">
        <f>IF(AND(C592=Master!$H$8,B592="2012-2013",E592&gt;1000,G592="PLN03"),H592,"")</f>
        <v/>
      </c>
      <c r="AN592" s="42" t="str">
        <f>IF(AND(C592=Master!$H$8,B592="2012-2013",E592="",G592="PLN03"),H592,"")</f>
        <v/>
      </c>
      <c r="AO592" s="42" t="str">
        <f>IF(AND(C592=Master!$H$9,B592="2012-2013",E592&gt;1000,G592="PLN03"),H592,"")</f>
        <v/>
      </c>
      <c r="AP592" s="42" t="str">
        <f>IF(AND(C592=Master!$H$9,B592="2012-2013",E592="",G592="PLN03"),H592,"")</f>
        <v/>
      </c>
      <c r="AQ592" s="44" t="str">
        <f>IF(AND(C592=Master!$H$1,B592="2012-2013",E592&gt;1000,G592="NPN05"),H592,"")</f>
        <v/>
      </c>
      <c r="AR592" s="44" t="str">
        <f>IF(AND(C592=Master!$H$1,B592="2012-2013",E592="",G592="NPN05"),H592,"")</f>
        <v/>
      </c>
      <c r="AS592" s="44" t="str">
        <f>IF(AND(C592=Master!$H$2,B592="2012-2013",E592&gt;1000,G592="NPN05"),H592,"")</f>
        <v/>
      </c>
      <c r="AT592" s="44" t="str">
        <f>IF(AND(C592=Master!$H$2,B592="2012-2013",E592="",G592="NPN05"),H592,"")</f>
        <v/>
      </c>
      <c r="AU592" s="44" t="str">
        <f>IF(AND(C592=Master!$H$3,B592="2012-2013",E592&gt;1000,G592="NPN05"),H592,"")</f>
        <v/>
      </c>
      <c r="AV592" s="44" t="str">
        <f>IF(AND(C592=Master!$H$3,B592="2012-2013",E592="",G592="NPN05"),H592,"")</f>
        <v/>
      </c>
      <c r="AW592" s="44" t="str">
        <f>IF(AND(C592=Master!$H$4,B592="2012-2013",E592&gt;1000,G592="NPN05"),H592,"")</f>
        <v/>
      </c>
      <c r="AX592" s="44" t="str">
        <f>IF(AND(C592=Master!$H$4,B592="2012-2013",E592="",G592="NPN05"),H592,"")</f>
        <v/>
      </c>
      <c r="AY592" s="44" t="str">
        <f>IF(AND(C592=Master!$H$5,B592="2012-2013",E592&gt;1000,G592="NPN05"),H592,"")</f>
        <v/>
      </c>
      <c r="AZ592" s="44" t="str">
        <f>IF(AND(C592=Master!$H$5,B592="2012-2013",E592="",G592="NPN05"),H592,"")</f>
        <v/>
      </c>
      <c r="BA592" s="44" t="str">
        <f>IF(AND(C592=Master!$H$6,B592="2012-2013",E592&gt;1000,G592="NPN05"),H592,"")</f>
        <v/>
      </c>
      <c r="BB592" s="44" t="str">
        <f>IF(AND(C592=Master!$H$6,B592="2012-2013",E592="",G592="NPN05"),H592,"")</f>
        <v/>
      </c>
      <c r="BC592" s="44" t="str">
        <f>IF(AND(C592=Master!$H$7,B592="2012-2013",E592&gt;1000,G592="NPN05"),H592,"")</f>
        <v/>
      </c>
      <c r="BD592" s="44" t="str">
        <f>IF(AND(C592=Master!$H$7,B592="2012-2013",E592="",G592="NPN05"),H592,"")</f>
        <v/>
      </c>
      <c r="BE592" s="44" t="str">
        <f>IF(AND(C592=Master!$H$8,B592="2012-2013",E592&gt;1000,G592="NPN05"),H592,"")</f>
        <v/>
      </c>
      <c r="BF592" s="44" t="str">
        <f>IF(AND(C592=Master!$H$8,B592="2012-2013",E592="",G592="NPN05"),H592,"")</f>
        <v/>
      </c>
      <c r="BG592" s="44" t="str">
        <f>IF(AND(C592=Master!$H$9,B592="2012-2013",E592&gt;1000,G592="NPN05"),H592,"")</f>
        <v/>
      </c>
      <c r="BH592" s="44" t="str">
        <f>IF(AND(C592=Master!$H$9,B592="2012-2013",E592="",G592="NPN05"),H592,"")</f>
        <v/>
      </c>
    </row>
    <row r="593" spans="1:60" x14ac:dyDescent="0.25">
      <c r="A593" s="3">
        <v>591</v>
      </c>
      <c r="B593" s="12"/>
      <c r="C593" s="12"/>
      <c r="D593" s="31"/>
      <c r="E593" s="4"/>
      <c r="F593" s="13"/>
      <c r="G593" s="21"/>
      <c r="H593" s="35"/>
      <c r="I593" s="21"/>
      <c r="J593" s="25" t="str">
        <f>IF(NOT(I593=""),INDEX(Master!$B$1:$B$46,MATCH(I593,Master!$A$1:$A$46,0)),"")</f>
        <v/>
      </c>
      <c r="K593" s="18"/>
      <c r="L593" s="86"/>
      <c r="M593" s="13"/>
      <c r="N593" s="13"/>
      <c r="O593" s="18"/>
      <c r="P593" s="35"/>
      <c r="Q593" s="21"/>
      <c r="R593" s="21"/>
      <c r="S593" s="13"/>
      <c r="T593" s="12"/>
      <c r="U593" s="12"/>
      <c r="V593" s="12"/>
      <c r="W593" s="14"/>
      <c r="Y593" s="42" t="str">
        <f>IF(AND(C593=Master!$H$1,B593="2012-2013",E593&gt;1000,G593="PLN03"),H593,"")</f>
        <v/>
      </c>
      <c r="Z593" s="42" t="str">
        <f>IF(AND(C593=Master!$H$1,B593="2012-2013",E593="",G593="PLN03"),H593,"")</f>
        <v/>
      </c>
      <c r="AA593" s="42" t="str">
        <f>IF(AND(C593=Master!$H$2,B593="2012-2013",E593&gt;1000,G593="PLN03"),H593,"")</f>
        <v/>
      </c>
      <c r="AB593" s="42" t="str">
        <f>IF(AND(C593=Master!$H$2,B593="2012-2013",E593="",G593="PLN03"),H593,"")</f>
        <v/>
      </c>
      <c r="AC593" s="42" t="str">
        <f>IF(AND(C593=Master!$H$3,B593="2012-2013",E593&gt;1000,G593="PLN03"),H593,"")</f>
        <v/>
      </c>
      <c r="AD593" s="42" t="str">
        <f>IF(AND(C593=Master!$H$3,B593="2012-2013",E593="",G593="PLN03"),H593,"")</f>
        <v/>
      </c>
      <c r="AE593" s="42" t="str">
        <f>IF(AND(C593=Master!$H$4,B593="2012-2013",E593&gt;1000,G593="PLN03"),H593,"")</f>
        <v/>
      </c>
      <c r="AF593" s="42" t="str">
        <f>IF(AND(C593=Master!$H$4,B593="2012-2013",E593="",G593="PLN03"),H593,"")</f>
        <v/>
      </c>
      <c r="AG593" s="42" t="str">
        <f>IF(AND(C593=Master!$H$5,B593="2012-2013",E593&gt;1000,G593="PLN03"),H593,"")</f>
        <v/>
      </c>
      <c r="AH593" s="42" t="str">
        <f>IF(AND(C593=Master!$H$5,B593="2012-2013",E593="",G593="PLN03"),H593,"")</f>
        <v/>
      </c>
      <c r="AI593" s="42" t="str">
        <f>IF(AND(C593=Master!$H$6,B593="2012-2013",E593&gt;1000,G593="PLN03"),H593,"")</f>
        <v/>
      </c>
      <c r="AJ593" s="42" t="str">
        <f>IF(AND(C593=Master!$H$6,B593="2012-2013",E593="",G593="PLN03"),H593,"")</f>
        <v/>
      </c>
      <c r="AK593" s="42" t="str">
        <f>IF(AND(C593=Master!$H$7,B593="2012-2013",E593&gt;1000,G593="PLN03"),H593,"")</f>
        <v/>
      </c>
      <c r="AL593" s="42" t="str">
        <f>IF(AND(C593=Master!$H$7,B593="2012-2013",E593="",G593="PLN03"),H593,"")</f>
        <v/>
      </c>
      <c r="AM593" s="42" t="str">
        <f>IF(AND(C593=Master!$H$8,B593="2012-2013",E593&gt;1000,G593="PLN03"),H593,"")</f>
        <v/>
      </c>
      <c r="AN593" s="42" t="str">
        <f>IF(AND(C593=Master!$H$8,B593="2012-2013",E593="",G593="PLN03"),H593,"")</f>
        <v/>
      </c>
      <c r="AO593" s="42" t="str">
        <f>IF(AND(C593=Master!$H$9,B593="2012-2013",E593&gt;1000,G593="PLN03"),H593,"")</f>
        <v/>
      </c>
      <c r="AP593" s="42" t="str">
        <f>IF(AND(C593=Master!$H$9,B593="2012-2013",E593="",G593="PLN03"),H593,"")</f>
        <v/>
      </c>
      <c r="AQ593" s="44" t="str">
        <f>IF(AND(C593=Master!$H$1,B593="2012-2013",E593&gt;1000,G593="NPN05"),H593,"")</f>
        <v/>
      </c>
      <c r="AR593" s="44" t="str">
        <f>IF(AND(C593=Master!$H$1,B593="2012-2013",E593="",G593="NPN05"),H593,"")</f>
        <v/>
      </c>
      <c r="AS593" s="44" t="str">
        <f>IF(AND(C593=Master!$H$2,B593="2012-2013",E593&gt;1000,G593="NPN05"),H593,"")</f>
        <v/>
      </c>
      <c r="AT593" s="44" t="str">
        <f>IF(AND(C593=Master!$H$2,B593="2012-2013",E593="",G593="NPN05"),H593,"")</f>
        <v/>
      </c>
      <c r="AU593" s="44" t="str">
        <f>IF(AND(C593=Master!$H$3,B593="2012-2013",E593&gt;1000,G593="NPN05"),H593,"")</f>
        <v/>
      </c>
      <c r="AV593" s="44" t="str">
        <f>IF(AND(C593=Master!$H$3,B593="2012-2013",E593="",G593="NPN05"),H593,"")</f>
        <v/>
      </c>
      <c r="AW593" s="44" t="str">
        <f>IF(AND(C593=Master!$H$4,B593="2012-2013",E593&gt;1000,G593="NPN05"),H593,"")</f>
        <v/>
      </c>
      <c r="AX593" s="44" t="str">
        <f>IF(AND(C593=Master!$H$4,B593="2012-2013",E593="",G593="NPN05"),H593,"")</f>
        <v/>
      </c>
      <c r="AY593" s="44" t="str">
        <f>IF(AND(C593=Master!$H$5,B593="2012-2013",E593&gt;1000,G593="NPN05"),H593,"")</f>
        <v/>
      </c>
      <c r="AZ593" s="44" t="str">
        <f>IF(AND(C593=Master!$H$5,B593="2012-2013",E593="",G593="NPN05"),H593,"")</f>
        <v/>
      </c>
      <c r="BA593" s="44" t="str">
        <f>IF(AND(C593=Master!$H$6,B593="2012-2013",E593&gt;1000,G593="NPN05"),H593,"")</f>
        <v/>
      </c>
      <c r="BB593" s="44" t="str">
        <f>IF(AND(C593=Master!$H$6,B593="2012-2013",E593="",G593="NPN05"),H593,"")</f>
        <v/>
      </c>
      <c r="BC593" s="44" t="str">
        <f>IF(AND(C593=Master!$H$7,B593="2012-2013",E593&gt;1000,G593="NPN05"),H593,"")</f>
        <v/>
      </c>
      <c r="BD593" s="44" t="str">
        <f>IF(AND(C593=Master!$H$7,B593="2012-2013",E593="",G593="NPN05"),H593,"")</f>
        <v/>
      </c>
      <c r="BE593" s="44" t="str">
        <f>IF(AND(C593=Master!$H$8,B593="2012-2013",E593&gt;1000,G593="NPN05"),H593,"")</f>
        <v/>
      </c>
      <c r="BF593" s="44" t="str">
        <f>IF(AND(C593=Master!$H$8,B593="2012-2013",E593="",G593="NPN05"),H593,"")</f>
        <v/>
      </c>
      <c r="BG593" s="44" t="str">
        <f>IF(AND(C593=Master!$H$9,B593="2012-2013",E593&gt;1000,G593="NPN05"),H593,"")</f>
        <v/>
      </c>
      <c r="BH593" s="44" t="str">
        <f>IF(AND(C593=Master!$H$9,B593="2012-2013",E593="",G593="NPN05"),H593,"")</f>
        <v/>
      </c>
    </row>
    <row r="594" spans="1:60" x14ac:dyDescent="0.25">
      <c r="A594" s="3">
        <v>592</v>
      </c>
      <c r="B594" s="12"/>
      <c r="C594" s="12"/>
      <c r="D594" s="31"/>
      <c r="E594" s="4"/>
      <c r="F594" s="13"/>
      <c r="G594" s="21"/>
      <c r="H594" s="35"/>
      <c r="I594" s="21"/>
      <c r="J594" s="25" t="str">
        <f>IF(NOT(I594=""),INDEX(Master!$B$1:$B$46,MATCH(I594,Master!$A$1:$A$46,0)),"")</f>
        <v/>
      </c>
      <c r="K594" s="18"/>
      <c r="L594" s="86"/>
      <c r="M594" s="13"/>
      <c r="N594" s="13"/>
      <c r="O594" s="18"/>
      <c r="P594" s="35"/>
      <c r="Q594" s="21"/>
      <c r="R594" s="21"/>
      <c r="S594" s="13"/>
      <c r="T594" s="12"/>
      <c r="U594" s="12"/>
      <c r="V594" s="12"/>
      <c r="W594" s="14"/>
      <c r="Y594" s="42" t="str">
        <f>IF(AND(C594=Master!$H$1,B594="2012-2013",E594&gt;1000,G594="PLN03"),H594,"")</f>
        <v/>
      </c>
      <c r="Z594" s="42" t="str">
        <f>IF(AND(C594=Master!$H$1,B594="2012-2013",E594="",G594="PLN03"),H594,"")</f>
        <v/>
      </c>
      <c r="AA594" s="42" t="str">
        <f>IF(AND(C594=Master!$H$2,B594="2012-2013",E594&gt;1000,G594="PLN03"),H594,"")</f>
        <v/>
      </c>
      <c r="AB594" s="42" t="str">
        <f>IF(AND(C594=Master!$H$2,B594="2012-2013",E594="",G594="PLN03"),H594,"")</f>
        <v/>
      </c>
      <c r="AC594" s="42" t="str">
        <f>IF(AND(C594=Master!$H$3,B594="2012-2013",E594&gt;1000,G594="PLN03"),H594,"")</f>
        <v/>
      </c>
      <c r="AD594" s="42" t="str">
        <f>IF(AND(C594=Master!$H$3,B594="2012-2013",E594="",G594="PLN03"),H594,"")</f>
        <v/>
      </c>
      <c r="AE594" s="42" t="str">
        <f>IF(AND(C594=Master!$H$4,B594="2012-2013",E594&gt;1000,G594="PLN03"),H594,"")</f>
        <v/>
      </c>
      <c r="AF594" s="42" t="str">
        <f>IF(AND(C594=Master!$H$4,B594="2012-2013",E594="",G594="PLN03"),H594,"")</f>
        <v/>
      </c>
      <c r="AG594" s="42" t="str">
        <f>IF(AND(C594=Master!$H$5,B594="2012-2013",E594&gt;1000,G594="PLN03"),H594,"")</f>
        <v/>
      </c>
      <c r="AH594" s="42" t="str">
        <f>IF(AND(C594=Master!$H$5,B594="2012-2013",E594="",G594="PLN03"),H594,"")</f>
        <v/>
      </c>
      <c r="AI594" s="42" t="str">
        <f>IF(AND(C594=Master!$H$6,B594="2012-2013",E594&gt;1000,G594="PLN03"),H594,"")</f>
        <v/>
      </c>
      <c r="AJ594" s="42" t="str">
        <f>IF(AND(C594=Master!$H$6,B594="2012-2013",E594="",G594="PLN03"),H594,"")</f>
        <v/>
      </c>
      <c r="AK594" s="42" t="str">
        <f>IF(AND(C594=Master!$H$7,B594="2012-2013",E594&gt;1000,G594="PLN03"),H594,"")</f>
        <v/>
      </c>
      <c r="AL594" s="42" t="str">
        <f>IF(AND(C594=Master!$H$7,B594="2012-2013",E594="",G594="PLN03"),H594,"")</f>
        <v/>
      </c>
      <c r="AM594" s="42" t="str">
        <f>IF(AND(C594=Master!$H$8,B594="2012-2013",E594&gt;1000,G594="PLN03"),H594,"")</f>
        <v/>
      </c>
      <c r="AN594" s="42" t="str">
        <f>IF(AND(C594=Master!$H$8,B594="2012-2013",E594="",G594="PLN03"),H594,"")</f>
        <v/>
      </c>
      <c r="AO594" s="42" t="str">
        <f>IF(AND(C594=Master!$H$9,B594="2012-2013",E594&gt;1000,G594="PLN03"),H594,"")</f>
        <v/>
      </c>
      <c r="AP594" s="42" t="str">
        <f>IF(AND(C594=Master!$H$9,B594="2012-2013",E594="",G594="PLN03"),H594,"")</f>
        <v/>
      </c>
      <c r="AQ594" s="44" t="str">
        <f>IF(AND(C594=Master!$H$1,B594="2012-2013",E594&gt;1000,G594="NPN05"),H594,"")</f>
        <v/>
      </c>
      <c r="AR594" s="44" t="str">
        <f>IF(AND(C594=Master!$H$1,B594="2012-2013",E594="",G594="NPN05"),H594,"")</f>
        <v/>
      </c>
      <c r="AS594" s="44" t="str">
        <f>IF(AND(C594=Master!$H$2,B594="2012-2013",E594&gt;1000,G594="NPN05"),H594,"")</f>
        <v/>
      </c>
      <c r="AT594" s="44" t="str">
        <f>IF(AND(C594=Master!$H$2,B594="2012-2013",E594="",G594="NPN05"),H594,"")</f>
        <v/>
      </c>
      <c r="AU594" s="44" t="str">
        <f>IF(AND(C594=Master!$H$3,B594="2012-2013",E594&gt;1000,G594="NPN05"),H594,"")</f>
        <v/>
      </c>
      <c r="AV594" s="44" t="str">
        <f>IF(AND(C594=Master!$H$3,B594="2012-2013",E594="",G594="NPN05"),H594,"")</f>
        <v/>
      </c>
      <c r="AW594" s="44" t="str">
        <f>IF(AND(C594=Master!$H$4,B594="2012-2013",E594&gt;1000,G594="NPN05"),H594,"")</f>
        <v/>
      </c>
      <c r="AX594" s="44" t="str">
        <f>IF(AND(C594=Master!$H$4,B594="2012-2013",E594="",G594="NPN05"),H594,"")</f>
        <v/>
      </c>
      <c r="AY594" s="44" t="str">
        <f>IF(AND(C594=Master!$H$5,B594="2012-2013",E594&gt;1000,G594="NPN05"),H594,"")</f>
        <v/>
      </c>
      <c r="AZ594" s="44" t="str">
        <f>IF(AND(C594=Master!$H$5,B594="2012-2013",E594="",G594="NPN05"),H594,"")</f>
        <v/>
      </c>
      <c r="BA594" s="44" t="str">
        <f>IF(AND(C594=Master!$H$6,B594="2012-2013",E594&gt;1000,G594="NPN05"),H594,"")</f>
        <v/>
      </c>
      <c r="BB594" s="44" t="str">
        <f>IF(AND(C594=Master!$H$6,B594="2012-2013",E594="",G594="NPN05"),H594,"")</f>
        <v/>
      </c>
      <c r="BC594" s="44" t="str">
        <f>IF(AND(C594=Master!$H$7,B594="2012-2013",E594&gt;1000,G594="NPN05"),H594,"")</f>
        <v/>
      </c>
      <c r="BD594" s="44" t="str">
        <f>IF(AND(C594=Master!$H$7,B594="2012-2013",E594="",G594="NPN05"),H594,"")</f>
        <v/>
      </c>
      <c r="BE594" s="44" t="str">
        <f>IF(AND(C594=Master!$H$8,B594="2012-2013",E594&gt;1000,G594="NPN05"),H594,"")</f>
        <v/>
      </c>
      <c r="BF594" s="44" t="str">
        <f>IF(AND(C594=Master!$H$8,B594="2012-2013",E594="",G594="NPN05"),H594,"")</f>
        <v/>
      </c>
      <c r="BG594" s="44" t="str">
        <f>IF(AND(C594=Master!$H$9,B594="2012-2013",E594&gt;1000,G594="NPN05"),H594,"")</f>
        <v/>
      </c>
      <c r="BH594" s="44" t="str">
        <f>IF(AND(C594=Master!$H$9,B594="2012-2013",E594="",G594="NPN05"),H594,"")</f>
        <v/>
      </c>
    </row>
    <row r="595" spans="1:60" x14ac:dyDescent="0.25">
      <c r="A595" s="3">
        <v>593</v>
      </c>
      <c r="B595" s="12"/>
      <c r="C595" s="12"/>
      <c r="D595" s="31"/>
      <c r="E595" s="4"/>
      <c r="F595" s="13"/>
      <c r="G595" s="21"/>
      <c r="H595" s="35"/>
      <c r="I595" s="21"/>
      <c r="J595" s="25" t="str">
        <f>IF(NOT(I595=""),INDEX(Master!$B$1:$B$46,MATCH(I595,Master!$A$1:$A$46,0)),"")</f>
        <v/>
      </c>
      <c r="K595" s="18"/>
      <c r="L595" s="86"/>
      <c r="M595" s="13"/>
      <c r="N595" s="13"/>
      <c r="O595" s="18"/>
      <c r="P595" s="35"/>
      <c r="Q595" s="21"/>
      <c r="R595" s="21"/>
      <c r="S595" s="13"/>
      <c r="T595" s="12"/>
      <c r="U595" s="12"/>
      <c r="V595" s="12"/>
      <c r="W595" s="14"/>
      <c r="Y595" s="42" t="str">
        <f>IF(AND(C595=Master!$H$1,B595="2012-2013",E595&gt;1000,G595="PLN03"),H595,"")</f>
        <v/>
      </c>
      <c r="Z595" s="42" t="str">
        <f>IF(AND(C595=Master!$H$1,B595="2012-2013",E595="",G595="PLN03"),H595,"")</f>
        <v/>
      </c>
      <c r="AA595" s="42" t="str">
        <f>IF(AND(C595=Master!$H$2,B595="2012-2013",E595&gt;1000,G595="PLN03"),H595,"")</f>
        <v/>
      </c>
      <c r="AB595" s="42" t="str">
        <f>IF(AND(C595=Master!$H$2,B595="2012-2013",E595="",G595="PLN03"),H595,"")</f>
        <v/>
      </c>
      <c r="AC595" s="42" t="str">
        <f>IF(AND(C595=Master!$H$3,B595="2012-2013",E595&gt;1000,G595="PLN03"),H595,"")</f>
        <v/>
      </c>
      <c r="AD595" s="42" t="str">
        <f>IF(AND(C595=Master!$H$3,B595="2012-2013",E595="",G595="PLN03"),H595,"")</f>
        <v/>
      </c>
      <c r="AE595" s="42" t="str">
        <f>IF(AND(C595=Master!$H$4,B595="2012-2013",E595&gt;1000,G595="PLN03"),H595,"")</f>
        <v/>
      </c>
      <c r="AF595" s="42" t="str">
        <f>IF(AND(C595=Master!$H$4,B595="2012-2013",E595="",G595="PLN03"),H595,"")</f>
        <v/>
      </c>
      <c r="AG595" s="42" t="str">
        <f>IF(AND(C595=Master!$H$5,B595="2012-2013",E595&gt;1000,G595="PLN03"),H595,"")</f>
        <v/>
      </c>
      <c r="AH595" s="42" t="str">
        <f>IF(AND(C595=Master!$H$5,B595="2012-2013",E595="",G595="PLN03"),H595,"")</f>
        <v/>
      </c>
      <c r="AI595" s="42" t="str">
        <f>IF(AND(C595=Master!$H$6,B595="2012-2013",E595&gt;1000,G595="PLN03"),H595,"")</f>
        <v/>
      </c>
      <c r="AJ595" s="42" t="str">
        <f>IF(AND(C595=Master!$H$6,B595="2012-2013",E595="",G595="PLN03"),H595,"")</f>
        <v/>
      </c>
      <c r="AK595" s="42" t="str">
        <f>IF(AND(C595=Master!$H$7,B595="2012-2013",E595&gt;1000,G595="PLN03"),H595,"")</f>
        <v/>
      </c>
      <c r="AL595" s="42" t="str">
        <f>IF(AND(C595=Master!$H$7,B595="2012-2013",E595="",G595="PLN03"),H595,"")</f>
        <v/>
      </c>
      <c r="AM595" s="42" t="str">
        <f>IF(AND(C595=Master!$H$8,B595="2012-2013",E595&gt;1000,G595="PLN03"),H595,"")</f>
        <v/>
      </c>
      <c r="AN595" s="42" t="str">
        <f>IF(AND(C595=Master!$H$8,B595="2012-2013",E595="",G595="PLN03"),H595,"")</f>
        <v/>
      </c>
      <c r="AO595" s="42" t="str">
        <f>IF(AND(C595=Master!$H$9,B595="2012-2013",E595&gt;1000,G595="PLN03"),H595,"")</f>
        <v/>
      </c>
      <c r="AP595" s="42" t="str">
        <f>IF(AND(C595=Master!$H$9,B595="2012-2013",E595="",G595="PLN03"),H595,"")</f>
        <v/>
      </c>
      <c r="AQ595" s="44" t="str">
        <f>IF(AND(C595=Master!$H$1,B595="2012-2013",E595&gt;1000,G595="NPN05"),H595,"")</f>
        <v/>
      </c>
      <c r="AR595" s="44" t="str">
        <f>IF(AND(C595=Master!$H$1,B595="2012-2013",E595="",G595="NPN05"),H595,"")</f>
        <v/>
      </c>
      <c r="AS595" s="44" t="str">
        <f>IF(AND(C595=Master!$H$2,B595="2012-2013",E595&gt;1000,G595="NPN05"),H595,"")</f>
        <v/>
      </c>
      <c r="AT595" s="44" t="str">
        <f>IF(AND(C595=Master!$H$2,B595="2012-2013",E595="",G595="NPN05"),H595,"")</f>
        <v/>
      </c>
      <c r="AU595" s="44" t="str">
        <f>IF(AND(C595=Master!$H$3,B595="2012-2013",E595&gt;1000,G595="NPN05"),H595,"")</f>
        <v/>
      </c>
      <c r="AV595" s="44" t="str">
        <f>IF(AND(C595=Master!$H$3,B595="2012-2013",E595="",G595="NPN05"),H595,"")</f>
        <v/>
      </c>
      <c r="AW595" s="44" t="str">
        <f>IF(AND(C595=Master!$H$4,B595="2012-2013",E595&gt;1000,G595="NPN05"),H595,"")</f>
        <v/>
      </c>
      <c r="AX595" s="44" t="str">
        <f>IF(AND(C595=Master!$H$4,B595="2012-2013",E595="",G595="NPN05"),H595,"")</f>
        <v/>
      </c>
      <c r="AY595" s="44" t="str">
        <f>IF(AND(C595=Master!$H$5,B595="2012-2013",E595&gt;1000,G595="NPN05"),H595,"")</f>
        <v/>
      </c>
      <c r="AZ595" s="44" t="str">
        <f>IF(AND(C595=Master!$H$5,B595="2012-2013",E595="",G595="NPN05"),H595,"")</f>
        <v/>
      </c>
      <c r="BA595" s="44" t="str">
        <f>IF(AND(C595=Master!$H$6,B595="2012-2013",E595&gt;1000,G595="NPN05"),H595,"")</f>
        <v/>
      </c>
      <c r="BB595" s="44" t="str">
        <f>IF(AND(C595=Master!$H$6,B595="2012-2013",E595="",G595="NPN05"),H595,"")</f>
        <v/>
      </c>
      <c r="BC595" s="44" t="str">
        <f>IF(AND(C595=Master!$H$7,B595="2012-2013",E595&gt;1000,G595="NPN05"),H595,"")</f>
        <v/>
      </c>
      <c r="BD595" s="44" t="str">
        <f>IF(AND(C595=Master!$H$7,B595="2012-2013",E595="",G595="NPN05"),H595,"")</f>
        <v/>
      </c>
      <c r="BE595" s="44" t="str">
        <f>IF(AND(C595=Master!$H$8,B595="2012-2013",E595&gt;1000,G595="NPN05"),H595,"")</f>
        <v/>
      </c>
      <c r="BF595" s="44" t="str">
        <f>IF(AND(C595=Master!$H$8,B595="2012-2013",E595="",G595="NPN05"),H595,"")</f>
        <v/>
      </c>
      <c r="BG595" s="44" t="str">
        <f>IF(AND(C595=Master!$H$9,B595="2012-2013",E595&gt;1000,G595="NPN05"),H595,"")</f>
        <v/>
      </c>
      <c r="BH595" s="44" t="str">
        <f>IF(AND(C595=Master!$H$9,B595="2012-2013",E595="",G595="NPN05"),H595,"")</f>
        <v/>
      </c>
    </row>
    <row r="596" spans="1:60" x14ac:dyDescent="0.25">
      <c r="A596" s="3">
        <v>594</v>
      </c>
      <c r="B596" s="12"/>
      <c r="C596" s="12"/>
      <c r="D596" s="31"/>
      <c r="E596" s="4"/>
      <c r="F596" s="13"/>
      <c r="G596" s="21"/>
      <c r="H596" s="35"/>
      <c r="I596" s="21"/>
      <c r="J596" s="25" t="str">
        <f>IF(NOT(I596=""),INDEX(Master!$B$1:$B$46,MATCH(I596,Master!$A$1:$A$46,0)),"")</f>
        <v/>
      </c>
      <c r="K596" s="18"/>
      <c r="L596" s="86"/>
      <c r="M596" s="13"/>
      <c r="N596" s="13"/>
      <c r="O596" s="18"/>
      <c r="P596" s="35"/>
      <c r="Q596" s="21"/>
      <c r="R596" s="21"/>
      <c r="S596" s="13"/>
      <c r="T596" s="12"/>
      <c r="U596" s="12"/>
      <c r="V596" s="12"/>
      <c r="W596" s="14"/>
      <c r="Y596" s="42" t="str">
        <f>IF(AND(C596=Master!$H$1,B596="2012-2013",E596&gt;1000,G596="PLN03"),H596,"")</f>
        <v/>
      </c>
      <c r="Z596" s="42" t="str">
        <f>IF(AND(C596=Master!$H$1,B596="2012-2013",E596="",G596="PLN03"),H596,"")</f>
        <v/>
      </c>
      <c r="AA596" s="42" t="str">
        <f>IF(AND(C596=Master!$H$2,B596="2012-2013",E596&gt;1000,G596="PLN03"),H596,"")</f>
        <v/>
      </c>
      <c r="AB596" s="42" t="str">
        <f>IF(AND(C596=Master!$H$2,B596="2012-2013",E596="",G596="PLN03"),H596,"")</f>
        <v/>
      </c>
      <c r="AC596" s="42" t="str">
        <f>IF(AND(C596=Master!$H$3,B596="2012-2013",E596&gt;1000,G596="PLN03"),H596,"")</f>
        <v/>
      </c>
      <c r="AD596" s="42" t="str">
        <f>IF(AND(C596=Master!$H$3,B596="2012-2013",E596="",G596="PLN03"),H596,"")</f>
        <v/>
      </c>
      <c r="AE596" s="42" t="str">
        <f>IF(AND(C596=Master!$H$4,B596="2012-2013",E596&gt;1000,G596="PLN03"),H596,"")</f>
        <v/>
      </c>
      <c r="AF596" s="42" t="str">
        <f>IF(AND(C596=Master!$H$4,B596="2012-2013",E596="",G596="PLN03"),H596,"")</f>
        <v/>
      </c>
      <c r="AG596" s="42" t="str">
        <f>IF(AND(C596=Master!$H$5,B596="2012-2013",E596&gt;1000,G596="PLN03"),H596,"")</f>
        <v/>
      </c>
      <c r="AH596" s="42" t="str">
        <f>IF(AND(C596=Master!$H$5,B596="2012-2013",E596="",G596="PLN03"),H596,"")</f>
        <v/>
      </c>
      <c r="AI596" s="42" t="str">
        <f>IF(AND(C596=Master!$H$6,B596="2012-2013",E596&gt;1000,G596="PLN03"),H596,"")</f>
        <v/>
      </c>
      <c r="AJ596" s="42" t="str">
        <f>IF(AND(C596=Master!$H$6,B596="2012-2013",E596="",G596="PLN03"),H596,"")</f>
        <v/>
      </c>
      <c r="AK596" s="42" t="str">
        <f>IF(AND(C596=Master!$H$7,B596="2012-2013",E596&gt;1000,G596="PLN03"),H596,"")</f>
        <v/>
      </c>
      <c r="AL596" s="42" t="str">
        <f>IF(AND(C596=Master!$H$7,B596="2012-2013",E596="",G596="PLN03"),H596,"")</f>
        <v/>
      </c>
      <c r="AM596" s="42" t="str">
        <f>IF(AND(C596=Master!$H$8,B596="2012-2013",E596&gt;1000,G596="PLN03"),H596,"")</f>
        <v/>
      </c>
      <c r="AN596" s="42" t="str">
        <f>IF(AND(C596=Master!$H$8,B596="2012-2013",E596="",G596="PLN03"),H596,"")</f>
        <v/>
      </c>
      <c r="AO596" s="42" t="str">
        <f>IF(AND(C596=Master!$H$9,B596="2012-2013",E596&gt;1000,G596="PLN03"),H596,"")</f>
        <v/>
      </c>
      <c r="AP596" s="42" t="str">
        <f>IF(AND(C596=Master!$H$9,B596="2012-2013",E596="",G596="PLN03"),H596,"")</f>
        <v/>
      </c>
      <c r="AQ596" s="44" t="str">
        <f>IF(AND(C596=Master!$H$1,B596="2012-2013",E596&gt;1000,G596="NPN05"),H596,"")</f>
        <v/>
      </c>
      <c r="AR596" s="44" t="str">
        <f>IF(AND(C596=Master!$H$1,B596="2012-2013",E596="",G596="NPN05"),H596,"")</f>
        <v/>
      </c>
      <c r="AS596" s="44" t="str">
        <f>IF(AND(C596=Master!$H$2,B596="2012-2013",E596&gt;1000,G596="NPN05"),H596,"")</f>
        <v/>
      </c>
      <c r="AT596" s="44" t="str">
        <f>IF(AND(C596=Master!$H$2,B596="2012-2013",E596="",G596="NPN05"),H596,"")</f>
        <v/>
      </c>
      <c r="AU596" s="44" t="str">
        <f>IF(AND(C596=Master!$H$3,B596="2012-2013",E596&gt;1000,G596="NPN05"),H596,"")</f>
        <v/>
      </c>
      <c r="AV596" s="44" t="str">
        <f>IF(AND(C596=Master!$H$3,B596="2012-2013",E596="",G596="NPN05"),H596,"")</f>
        <v/>
      </c>
      <c r="AW596" s="44" t="str">
        <f>IF(AND(C596=Master!$H$4,B596="2012-2013",E596&gt;1000,G596="NPN05"),H596,"")</f>
        <v/>
      </c>
      <c r="AX596" s="44" t="str">
        <f>IF(AND(C596=Master!$H$4,B596="2012-2013",E596="",G596="NPN05"),H596,"")</f>
        <v/>
      </c>
      <c r="AY596" s="44" t="str">
        <f>IF(AND(C596=Master!$H$5,B596="2012-2013",E596&gt;1000,G596="NPN05"),H596,"")</f>
        <v/>
      </c>
      <c r="AZ596" s="44" t="str">
        <f>IF(AND(C596=Master!$H$5,B596="2012-2013",E596="",G596="NPN05"),H596,"")</f>
        <v/>
      </c>
      <c r="BA596" s="44" t="str">
        <f>IF(AND(C596=Master!$H$6,B596="2012-2013",E596&gt;1000,G596="NPN05"),H596,"")</f>
        <v/>
      </c>
      <c r="BB596" s="44" t="str">
        <f>IF(AND(C596=Master!$H$6,B596="2012-2013",E596="",G596="NPN05"),H596,"")</f>
        <v/>
      </c>
      <c r="BC596" s="44" t="str">
        <f>IF(AND(C596=Master!$H$7,B596="2012-2013",E596&gt;1000,G596="NPN05"),H596,"")</f>
        <v/>
      </c>
      <c r="BD596" s="44" t="str">
        <f>IF(AND(C596=Master!$H$7,B596="2012-2013",E596="",G596="NPN05"),H596,"")</f>
        <v/>
      </c>
      <c r="BE596" s="44" t="str">
        <f>IF(AND(C596=Master!$H$8,B596="2012-2013",E596&gt;1000,G596="NPN05"),H596,"")</f>
        <v/>
      </c>
      <c r="BF596" s="44" t="str">
        <f>IF(AND(C596=Master!$H$8,B596="2012-2013",E596="",G596="NPN05"),H596,"")</f>
        <v/>
      </c>
      <c r="BG596" s="44" t="str">
        <f>IF(AND(C596=Master!$H$9,B596="2012-2013",E596&gt;1000,G596="NPN05"),H596,"")</f>
        <v/>
      </c>
      <c r="BH596" s="44" t="str">
        <f>IF(AND(C596=Master!$H$9,B596="2012-2013",E596="",G596="NPN05"),H596,"")</f>
        <v/>
      </c>
    </row>
    <row r="597" spans="1:60" x14ac:dyDescent="0.25">
      <c r="A597" s="3">
        <v>595</v>
      </c>
      <c r="B597" s="12"/>
      <c r="C597" s="12"/>
      <c r="D597" s="31"/>
      <c r="E597" s="4"/>
      <c r="F597" s="13"/>
      <c r="G597" s="21"/>
      <c r="H597" s="35"/>
      <c r="I597" s="21"/>
      <c r="J597" s="25" t="str">
        <f>IF(NOT(I597=""),INDEX(Master!$B$1:$B$46,MATCH(I597,Master!$A$1:$A$46,0)),"")</f>
        <v/>
      </c>
      <c r="K597" s="18"/>
      <c r="L597" s="86"/>
      <c r="M597" s="13"/>
      <c r="N597" s="13"/>
      <c r="O597" s="18"/>
      <c r="P597" s="35"/>
      <c r="Q597" s="21"/>
      <c r="R597" s="21"/>
      <c r="S597" s="13"/>
      <c r="T597" s="12"/>
      <c r="U597" s="12"/>
      <c r="V597" s="12"/>
      <c r="W597" s="14"/>
      <c r="Y597" s="42" t="str">
        <f>IF(AND(C597=Master!$H$1,B597="2012-2013",E597&gt;1000,G597="PLN03"),H597,"")</f>
        <v/>
      </c>
      <c r="Z597" s="42" t="str">
        <f>IF(AND(C597=Master!$H$1,B597="2012-2013",E597="",G597="PLN03"),H597,"")</f>
        <v/>
      </c>
      <c r="AA597" s="42" t="str">
        <f>IF(AND(C597=Master!$H$2,B597="2012-2013",E597&gt;1000,G597="PLN03"),H597,"")</f>
        <v/>
      </c>
      <c r="AB597" s="42" t="str">
        <f>IF(AND(C597=Master!$H$2,B597="2012-2013",E597="",G597="PLN03"),H597,"")</f>
        <v/>
      </c>
      <c r="AC597" s="42" t="str">
        <f>IF(AND(C597=Master!$H$3,B597="2012-2013",E597&gt;1000,G597="PLN03"),H597,"")</f>
        <v/>
      </c>
      <c r="AD597" s="42" t="str">
        <f>IF(AND(C597=Master!$H$3,B597="2012-2013",E597="",G597="PLN03"),H597,"")</f>
        <v/>
      </c>
      <c r="AE597" s="42" t="str">
        <f>IF(AND(C597=Master!$H$4,B597="2012-2013",E597&gt;1000,G597="PLN03"),H597,"")</f>
        <v/>
      </c>
      <c r="AF597" s="42" t="str">
        <f>IF(AND(C597=Master!$H$4,B597="2012-2013",E597="",G597="PLN03"),H597,"")</f>
        <v/>
      </c>
      <c r="AG597" s="42" t="str">
        <f>IF(AND(C597=Master!$H$5,B597="2012-2013",E597&gt;1000,G597="PLN03"),H597,"")</f>
        <v/>
      </c>
      <c r="AH597" s="42" t="str">
        <f>IF(AND(C597=Master!$H$5,B597="2012-2013",E597="",G597="PLN03"),H597,"")</f>
        <v/>
      </c>
      <c r="AI597" s="42" t="str">
        <f>IF(AND(C597=Master!$H$6,B597="2012-2013",E597&gt;1000,G597="PLN03"),H597,"")</f>
        <v/>
      </c>
      <c r="AJ597" s="42" t="str">
        <f>IF(AND(C597=Master!$H$6,B597="2012-2013",E597="",G597="PLN03"),H597,"")</f>
        <v/>
      </c>
      <c r="AK597" s="42" t="str">
        <f>IF(AND(C597=Master!$H$7,B597="2012-2013",E597&gt;1000,G597="PLN03"),H597,"")</f>
        <v/>
      </c>
      <c r="AL597" s="42" t="str">
        <f>IF(AND(C597=Master!$H$7,B597="2012-2013",E597="",G597="PLN03"),H597,"")</f>
        <v/>
      </c>
      <c r="AM597" s="42" t="str">
        <f>IF(AND(C597=Master!$H$8,B597="2012-2013",E597&gt;1000,G597="PLN03"),H597,"")</f>
        <v/>
      </c>
      <c r="AN597" s="42" t="str">
        <f>IF(AND(C597=Master!$H$8,B597="2012-2013",E597="",G597="PLN03"),H597,"")</f>
        <v/>
      </c>
      <c r="AO597" s="42" t="str">
        <f>IF(AND(C597=Master!$H$9,B597="2012-2013",E597&gt;1000,G597="PLN03"),H597,"")</f>
        <v/>
      </c>
      <c r="AP597" s="42" t="str">
        <f>IF(AND(C597=Master!$H$9,B597="2012-2013",E597="",G597="PLN03"),H597,"")</f>
        <v/>
      </c>
      <c r="AQ597" s="44" t="str">
        <f>IF(AND(C597=Master!$H$1,B597="2012-2013",E597&gt;1000,G597="NPN05"),H597,"")</f>
        <v/>
      </c>
      <c r="AR597" s="44" t="str">
        <f>IF(AND(C597=Master!$H$1,B597="2012-2013",E597="",G597="NPN05"),H597,"")</f>
        <v/>
      </c>
      <c r="AS597" s="44" t="str">
        <f>IF(AND(C597=Master!$H$2,B597="2012-2013",E597&gt;1000,G597="NPN05"),H597,"")</f>
        <v/>
      </c>
      <c r="AT597" s="44" t="str">
        <f>IF(AND(C597=Master!$H$2,B597="2012-2013",E597="",G597="NPN05"),H597,"")</f>
        <v/>
      </c>
      <c r="AU597" s="44" t="str">
        <f>IF(AND(C597=Master!$H$3,B597="2012-2013",E597&gt;1000,G597="NPN05"),H597,"")</f>
        <v/>
      </c>
      <c r="AV597" s="44" t="str">
        <f>IF(AND(C597=Master!$H$3,B597="2012-2013",E597="",G597="NPN05"),H597,"")</f>
        <v/>
      </c>
      <c r="AW597" s="44" t="str">
        <f>IF(AND(C597=Master!$H$4,B597="2012-2013",E597&gt;1000,G597="NPN05"),H597,"")</f>
        <v/>
      </c>
      <c r="AX597" s="44" t="str">
        <f>IF(AND(C597=Master!$H$4,B597="2012-2013",E597="",G597="NPN05"),H597,"")</f>
        <v/>
      </c>
      <c r="AY597" s="44" t="str">
        <f>IF(AND(C597=Master!$H$5,B597="2012-2013",E597&gt;1000,G597="NPN05"),H597,"")</f>
        <v/>
      </c>
      <c r="AZ597" s="44" t="str">
        <f>IF(AND(C597=Master!$H$5,B597="2012-2013",E597="",G597="NPN05"),H597,"")</f>
        <v/>
      </c>
      <c r="BA597" s="44" t="str">
        <f>IF(AND(C597=Master!$H$6,B597="2012-2013",E597&gt;1000,G597="NPN05"),H597,"")</f>
        <v/>
      </c>
      <c r="BB597" s="44" t="str">
        <f>IF(AND(C597=Master!$H$6,B597="2012-2013",E597="",G597="NPN05"),H597,"")</f>
        <v/>
      </c>
      <c r="BC597" s="44" t="str">
        <f>IF(AND(C597=Master!$H$7,B597="2012-2013",E597&gt;1000,G597="NPN05"),H597,"")</f>
        <v/>
      </c>
      <c r="BD597" s="44" t="str">
        <f>IF(AND(C597=Master!$H$7,B597="2012-2013",E597="",G597="NPN05"),H597,"")</f>
        <v/>
      </c>
      <c r="BE597" s="44" t="str">
        <f>IF(AND(C597=Master!$H$8,B597="2012-2013",E597&gt;1000,G597="NPN05"),H597,"")</f>
        <v/>
      </c>
      <c r="BF597" s="44" t="str">
        <f>IF(AND(C597=Master!$H$8,B597="2012-2013",E597="",G597="NPN05"),H597,"")</f>
        <v/>
      </c>
      <c r="BG597" s="44" t="str">
        <f>IF(AND(C597=Master!$H$9,B597="2012-2013",E597&gt;1000,G597="NPN05"),H597,"")</f>
        <v/>
      </c>
      <c r="BH597" s="44" t="str">
        <f>IF(AND(C597=Master!$H$9,B597="2012-2013",E597="",G597="NPN05"),H597,"")</f>
        <v/>
      </c>
    </row>
    <row r="598" spans="1:60" x14ac:dyDescent="0.25">
      <c r="A598" s="5">
        <v>596</v>
      </c>
      <c r="B598" s="12"/>
      <c r="C598" s="12"/>
      <c r="D598" s="31"/>
      <c r="E598" s="4"/>
      <c r="F598" s="13"/>
      <c r="G598" s="21"/>
      <c r="H598" s="35"/>
      <c r="I598" s="21"/>
      <c r="J598" s="25" t="str">
        <f>IF(NOT(I598=""),INDEX(Master!$B$1:$B$46,MATCH(I598,Master!$A$1:$A$46,0)),"")</f>
        <v/>
      </c>
      <c r="K598" s="18"/>
      <c r="L598" s="86"/>
      <c r="M598" s="13"/>
      <c r="N598" s="13"/>
      <c r="O598" s="18"/>
      <c r="P598" s="35"/>
      <c r="Q598" s="21"/>
      <c r="R598" s="21"/>
      <c r="S598" s="13"/>
      <c r="T598" s="12"/>
      <c r="U598" s="12"/>
      <c r="V598" s="12"/>
      <c r="W598" s="14"/>
      <c r="Y598" s="42" t="str">
        <f>IF(AND(C598=Master!$H$1,B598="2012-2013",E598&gt;1000,G598="PLN03"),H598,"")</f>
        <v/>
      </c>
      <c r="Z598" s="42" t="str">
        <f>IF(AND(C598=Master!$H$1,B598="2012-2013",E598="",G598="PLN03"),H598,"")</f>
        <v/>
      </c>
      <c r="AA598" s="42" t="str">
        <f>IF(AND(C598=Master!$H$2,B598="2012-2013",E598&gt;1000,G598="PLN03"),H598,"")</f>
        <v/>
      </c>
      <c r="AB598" s="42" t="str">
        <f>IF(AND(C598=Master!$H$2,B598="2012-2013",E598="",G598="PLN03"),H598,"")</f>
        <v/>
      </c>
      <c r="AC598" s="42" t="str">
        <f>IF(AND(C598=Master!$H$3,B598="2012-2013",E598&gt;1000,G598="PLN03"),H598,"")</f>
        <v/>
      </c>
      <c r="AD598" s="42" t="str">
        <f>IF(AND(C598=Master!$H$3,B598="2012-2013",E598="",G598="PLN03"),H598,"")</f>
        <v/>
      </c>
      <c r="AE598" s="42" t="str">
        <f>IF(AND(C598=Master!$H$4,B598="2012-2013",E598&gt;1000,G598="PLN03"),H598,"")</f>
        <v/>
      </c>
      <c r="AF598" s="42" t="str">
        <f>IF(AND(C598=Master!$H$4,B598="2012-2013",E598="",G598="PLN03"),H598,"")</f>
        <v/>
      </c>
      <c r="AG598" s="42" t="str">
        <f>IF(AND(C598=Master!$H$5,B598="2012-2013",E598&gt;1000,G598="PLN03"),H598,"")</f>
        <v/>
      </c>
      <c r="AH598" s="42" t="str">
        <f>IF(AND(C598=Master!$H$5,B598="2012-2013",E598="",G598="PLN03"),H598,"")</f>
        <v/>
      </c>
      <c r="AI598" s="42" t="str">
        <f>IF(AND(C598=Master!$H$6,B598="2012-2013",E598&gt;1000,G598="PLN03"),H598,"")</f>
        <v/>
      </c>
      <c r="AJ598" s="42" t="str">
        <f>IF(AND(C598=Master!$H$6,B598="2012-2013",E598="",G598="PLN03"),H598,"")</f>
        <v/>
      </c>
      <c r="AK598" s="42" t="str">
        <f>IF(AND(C598=Master!$H$7,B598="2012-2013",E598&gt;1000,G598="PLN03"),H598,"")</f>
        <v/>
      </c>
      <c r="AL598" s="42" t="str">
        <f>IF(AND(C598=Master!$H$7,B598="2012-2013",E598="",G598="PLN03"),H598,"")</f>
        <v/>
      </c>
      <c r="AM598" s="42" t="str">
        <f>IF(AND(C598=Master!$H$8,B598="2012-2013",E598&gt;1000,G598="PLN03"),H598,"")</f>
        <v/>
      </c>
      <c r="AN598" s="42" t="str">
        <f>IF(AND(C598=Master!$H$8,B598="2012-2013",E598="",G598="PLN03"),H598,"")</f>
        <v/>
      </c>
      <c r="AO598" s="42" t="str">
        <f>IF(AND(C598=Master!$H$9,B598="2012-2013",E598&gt;1000,G598="PLN03"),H598,"")</f>
        <v/>
      </c>
      <c r="AP598" s="42" t="str">
        <f>IF(AND(C598=Master!$H$9,B598="2012-2013",E598="",G598="PLN03"),H598,"")</f>
        <v/>
      </c>
      <c r="AQ598" s="44" t="str">
        <f>IF(AND(C598=Master!$H$1,B598="2012-2013",E598&gt;1000,G598="NPN05"),H598,"")</f>
        <v/>
      </c>
      <c r="AR598" s="44" t="str">
        <f>IF(AND(C598=Master!$H$1,B598="2012-2013",E598="",G598="NPN05"),H598,"")</f>
        <v/>
      </c>
      <c r="AS598" s="44" t="str">
        <f>IF(AND(C598=Master!$H$2,B598="2012-2013",E598&gt;1000,G598="NPN05"),H598,"")</f>
        <v/>
      </c>
      <c r="AT598" s="44" t="str">
        <f>IF(AND(C598=Master!$H$2,B598="2012-2013",E598="",G598="NPN05"),H598,"")</f>
        <v/>
      </c>
      <c r="AU598" s="44" t="str">
        <f>IF(AND(C598=Master!$H$3,B598="2012-2013",E598&gt;1000,G598="NPN05"),H598,"")</f>
        <v/>
      </c>
      <c r="AV598" s="44" t="str">
        <f>IF(AND(C598=Master!$H$3,B598="2012-2013",E598="",G598="NPN05"),H598,"")</f>
        <v/>
      </c>
      <c r="AW598" s="44" t="str">
        <f>IF(AND(C598=Master!$H$4,B598="2012-2013",E598&gt;1000,G598="NPN05"),H598,"")</f>
        <v/>
      </c>
      <c r="AX598" s="44" t="str">
        <f>IF(AND(C598=Master!$H$4,B598="2012-2013",E598="",G598="NPN05"),H598,"")</f>
        <v/>
      </c>
      <c r="AY598" s="44" t="str">
        <f>IF(AND(C598=Master!$H$5,B598="2012-2013",E598&gt;1000,G598="NPN05"),H598,"")</f>
        <v/>
      </c>
      <c r="AZ598" s="44" t="str">
        <f>IF(AND(C598=Master!$H$5,B598="2012-2013",E598="",G598="NPN05"),H598,"")</f>
        <v/>
      </c>
      <c r="BA598" s="44" t="str">
        <f>IF(AND(C598=Master!$H$6,B598="2012-2013",E598&gt;1000,G598="NPN05"),H598,"")</f>
        <v/>
      </c>
      <c r="BB598" s="44" t="str">
        <f>IF(AND(C598=Master!$H$6,B598="2012-2013",E598="",G598="NPN05"),H598,"")</f>
        <v/>
      </c>
      <c r="BC598" s="44" t="str">
        <f>IF(AND(C598=Master!$H$7,B598="2012-2013",E598&gt;1000,G598="NPN05"),H598,"")</f>
        <v/>
      </c>
      <c r="BD598" s="44" t="str">
        <f>IF(AND(C598=Master!$H$7,B598="2012-2013",E598="",G598="NPN05"),H598,"")</f>
        <v/>
      </c>
      <c r="BE598" s="44" t="str">
        <f>IF(AND(C598=Master!$H$8,B598="2012-2013",E598&gt;1000,G598="NPN05"),H598,"")</f>
        <v/>
      </c>
      <c r="BF598" s="44" t="str">
        <f>IF(AND(C598=Master!$H$8,B598="2012-2013",E598="",G598="NPN05"),H598,"")</f>
        <v/>
      </c>
      <c r="BG598" s="44" t="str">
        <f>IF(AND(C598=Master!$H$9,B598="2012-2013",E598&gt;1000,G598="NPN05"),H598,"")</f>
        <v/>
      </c>
      <c r="BH598" s="44" t="str">
        <f>IF(AND(C598=Master!$H$9,B598="2012-2013",E598="",G598="NPN05"),H598,"")</f>
        <v/>
      </c>
    </row>
    <row r="599" spans="1:60" x14ac:dyDescent="0.25">
      <c r="A599" s="3">
        <v>597</v>
      </c>
      <c r="B599" s="12"/>
      <c r="C599" s="12"/>
      <c r="D599" s="31"/>
      <c r="E599" s="4"/>
      <c r="F599" s="13"/>
      <c r="G599" s="21"/>
      <c r="H599" s="35"/>
      <c r="I599" s="21"/>
      <c r="J599" s="25" t="str">
        <f>IF(NOT(I599=""),INDEX(Master!$B$1:$B$46,MATCH(I599,Master!$A$1:$A$46,0)),"")</f>
        <v/>
      </c>
      <c r="K599" s="18"/>
      <c r="L599" s="86"/>
      <c r="M599" s="13"/>
      <c r="N599" s="13"/>
      <c r="O599" s="18"/>
      <c r="P599" s="35"/>
      <c r="Q599" s="21"/>
      <c r="R599" s="21"/>
      <c r="S599" s="13"/>
      <c r="T599" s="12"/>
      <c r="U599" s="12"/>
      <c r="V599" s="12"/>
      <c r="W599" s="14"/>
      <c r="Y599" s="42" t="str">
        <f>IF(AND(C599=Master!$H$1,B599="2012-2013",E599&gt;1000,G599="PLN03"),H599,"")</f>
        <v/>
      </c>
      <c r="Z599" s="42" t="str">
        <f>IF(AND(C599=Master!$H$1,B599="2012-2013",E599="",G599="PLN03"),H599,"")</f>
        <v/>
      </c>
      <c r="AA599" s="42" t="str">
        <f>IF(AND(C599=Master!$H$2,B599="2012-2013",E599&gt;1000,G599="PLN03"),H599,"")</f>
        <v/>
      </c>
      <c r="AB599" s="42" t="str">
        <f>IF(AND(C599=Master!$H$2,B599="2012-2013",E599="",G599="PLN03"),H599,"")</f>
        <v/>
      </c>
      <c r="AC599" s="42" t="str">
        <f>IF(AND(C599=Master!$H$3,B599="2012-2013",E599&gt;1000,G599="PLN03"),H599,"")</f>
        <v/>
      </c>
      <c r="AD599" s="42" t="str">
        <f>IF(AND(C599=Master!$H$3,B599="2012-2013",E599="",G599="PLN03"),H599,"")</f>
        <v/>
      </c>
      <c r="AE599" s="42" t="str">
        <f>IF(AND(C599=Master!$H$4,B599="2012-2013",E599&gt;1000,G599="PLN03"),H599,"")</f>
        <v/>
      </c>
      <c r="AF599" s="42" t="str">
        <f>IF(AND(C599=Master!$H$4,B599="2012-2013",E599="",G599="PLN03"),H599,"")</f>
        <v/>
      </c>
      <c r="AG599" s="42" t="str">
        <f>IF(AND(C599=Master!$H$5,B599="2012-2013",E599&gt;1000,G599="PLN03"),H599,"")</f>
        <v/>
      </c>
      <c r="AH599" s="42" t="str">
        <f>IF(AND(C599=Master!$H$5,B599="2012-2013",E599="",G599="PLN03"),H599,"")</f>
        <v/>
      </c>
      <c r="AI599" s="42" t="str">
        <f>IF(AND(C599=Master!$H$6,B599="2012-2013",E599&gt;1000,G599="PLN03"),H599,"")</f>
        <v/>
      </c>
      <c r="AJ599" s="42" t="str">
        <f>IF(AND(C599=Master!$H$6,B599="2012-2013",E599="",G599="PLN03"),H599,"")</f>
        <v/>
      </c>
      <c r="AK599" s="42" t="str">
        <f>IF(AND(C599=Master!$H$7,B599="2012-2013",E599&gt;1000,G599="PLN03"),H599,"")</f>
        <v/>
      </c>
      <c r="AL599" s="42" t="str">
        <f>IF(AND(C599=Master!$H$7,B599="2012-2013",E599="",G599="PLN03"),H599,"")</f>
        <v/>
      </c>
      <c r="AM599" s="42" t="str">
        <f>IF(AND(C599=Master!$H$8,B599="2012-2013",E599&gt;1000,G599="PLN03"),H599,"")</f>
        <v/>
      </c>
      <c r="AN599" s="42" t="str">
        <f>IF(AND(C599=Master!$H$8,B599="2012-2013",E599="",G599="PLN03"),H599,"")</f>
        <v/>
      </c>
      <c r="AO599" s="42" t="str">
        <f>IF(AND(C599=Master!$H$9,B599="2012-2013",E599&gt;1000,G599="PLN03"),H599,"")</f>
        <v/>
      </c>
      <c r="AP599" s="42" t="str">
        <f>IF(AND(C599=Master!$H$9,B599="2012-2013",E599="",G599="PLN03"),H599,"")</f>
        <v/>
      </c>
      <c r="AQ599" s="44" t="str">
        <f>IF(AND(C599=Master!$H$1,B599="2012-2013",E599&gt;1000,G599="NPN05"),H599,"")</f>
        <v/>
      </c>
      <c r="AR599" s="44" t="str">
        <f>IF(AND(C599=Master!$H$1,B599="2012-2013",E599="",G599="NPN05"),H599,"")</f>
        <v/>
      </c>
      <c r="AS599" s="44" t="str">
        <f>IF(AND(C599=Master!$H$2,B599="2012-2013",E599&gt;1000,G599="NPN05"),H599,"")</f>
        <v/>
      </c>
      <c r="AT599" s="44" t="str">
        <f>IF(AND(C599=Master!$H$2,B599="2012-2013",E599="",G599="NPN05"),H599,"")</f>
        <v/>
      </c>
      <c r="AU599" s="44" t="str">
        <f>IF(AND(C599=Master!$H$3,B599="2012-2013",E599&gt;1000,G599="NPN05"),H599,"")</f>
        <v/>
      </c>
      <c r="AV599" s="44" t="str">
        <f>IF(AND(C599=Master!$H$3,B599="2012-2013",E599="",G599="NPN05"),H599,"")</f>
        <v/>
      </c>
      <c r="AW599" s="44" t="str">
        <f>IF(AND(C599=Master!$H$4,B599="2012-2013",E599&gt;1000,G599="NPN05"),H599,"")</f>
        <v/>
      </c>
      <c r="AX599" s="44" t="str">
        <f>IF(AND(C599=Master!$H$4,B599="2012-2013",E599="",G599="NPN05"),H599,"")</f>
        <v/>
      </c>
      <c r="AY599" s="44" t="str">
        <f>IF(AND(C599=Master!$H$5,B599="2012-2013",E599&gt;1000,G599="NPN05"),H599,"")</f>
        <v/>
      </c>
      <c r="AZ599" s="44" t="str">
        <f>IF(AND(C599=Master!$H$5,B599="2012-2013",E599="",G599="NPN05"),H599,"")</f>
        <v/>
      </c>
      <c r="BA599" s="44" t="str">
        <f>IF(AND(C599=Master!$H$6,B599="2012-2013",E599&gt;1000,G599="NPN05"),H599,"")</f>
        <v/>
      </c>
      <c r="BB599" s="44" t="str">
        <f>IF(AND(C599=Master!$H$6,B599="2012-2013",E599="",G599="NPN05"),H599,"")</f>
        <v/>
      </c>
      <c r="BC599" s="44" t="str">
        <f>IF(AND(C599=Master!$H$7,B599="2012-2013",E599&gt;1000,G599="NPN05"),H599,"")</f>
        <v/>
      </c>
      <c r="BD599" s="44" t="str">
        <f>IF(AND(C599=Master!$H$7,B599="2012-2013",E599="",G599="NPN05"),H599,"")</f>
        <v/>
      </c>
      <c r="BE599" s="44" t="str">
        <f>IF(AND(C599=Master!$H$8,B599="2012-2013",E599&gt;1000,G599="NPN05"),H599,"")</f>
        <v/>
      </c>
      <c r="BF599" s="44" t="str">
        <f>IF(AND(C599=Master!$H$8,B599="2012-2013",E599="",G599="NPN05"),H599,"")</f>
        <v/>
      </c>
      <c r="BG599" s="44" t="str">
        <f>IF(AND(C599=Master!$H$9,B599="2012-2013",E599&gt;1000,G599="NPN05"),H599,"")</f>
        <v/>
      </c>
      <c r="BH599" s="44" t="str">
        <f>IF(AND(C599=Master!$H$9,B599="2012-2013",E599="",G599="NPN05"),H599,"")</f>
        <v/>
      </c>
    </row>
    <row r="600" spans="1:60" x14ac:dyDescent="0.25">
      <c r="A600" s="3">
        <v>598</v>
      </c>
      <c r="B600" s="12"/>
      <c r="C600" s="12"/>
      <c r="D600" s="31"/>
      <c r="E600" s="4"/>
      <c r="F600" s="13"/>
      <c r="G600" s="21"/>
      <c r="H600" s="35"/>
      <c r="I600" s="21"/>
      <c r="J600" s="25" t="str">
        <f>IF(NOT(I600=""),INDEX(Master!$B$1:$B$46,MATCH(I600,Master!$A$1:$A$46,0)),"")</f>
        <v/>
      </c>
      <c r="K600" s="18"/>
      <c r="L600" s="86"/>
      <c r="M600" s="13"/>
      <c r="N600" s="13"/>
      <c r="O600" s="18"/>
      <c r="P600" s="35"/>
      <c r="Q600" s="21"/>
      <c r="R600" s="21"/>
      <c r="S600" s="13"/>
      <c r="T600" s="12"/>
      <c r="U600" s="12"/>
      <c r="V600" s="12"/>
      <c r="W600" s="14"/>
      <c r="Y600" s="42" t="str">
        <f>IF(AND(C600=Master!$H$1,B600="2012-2013",E600&gt;1000,G600="PLN03"),H600,"")</f>
        <v/>
      </c>
      <c r="Z600" s="42" t="str">
        <f>IF(AND(C600=Master!$H$1,B600="2012-2013",E600="",G600="PLN03"),H600,"")</f>
        <v/>
      </c>
      <c r="AA600" s="42" t="str">
        <f>IF(AND(C600=Master!$H$2,B600="2012-2013",E600&gt;1000,G600="PLN03"),H600,"")</f>
        <v/>
      </c>
      <c r="AB600" s="42" t="str">
        <f>IF(AND(C600=Master!$H$2,B600="2012-2013",E600="",G600="PLN03"),H600,"")</f>
        <v/>
      </c>
      <c r="AC600" s="42" t="str">
        <f>IF(AND(C600=Master!$H$3,B600="2012-2013",E600&gt;1000,G600="PLN03"),H600,"")</f>
        <v/>
      </c>
      <c r="AD600" s="42" t="str">
        <f>IF(AND(C600=Master!$H$3,B600="2012-2013",E600="",G600="PLN03"),H600,"")</f>
        <v/>
      </c>
      <c r="AE600" s="42" t="str">
        <f>IF(AND(C600=Master!$H$4,B600="2012-2013",E600&gt;1000,G600="PLN03"),H600,"")</f>
        <v/>
      </c>
      <c r="AF600" s="42" t="str">
        <f>IF(AND(C600=Master!$H$4,B600="2012-2013",E600="",G600="PLN03"),H600,"")</f>
        <v/>
      </c>
      <c r="AG600" s="42" t="str">
        <f>IF(AND(C600=Master!$H$5,B600="2012-2013",E600&gt;1000,G600="PLN03"),H600,"")</f>
        <v/>
      </c>
      <c r="AH600" s="42" t="str">
        <f>IF(AND(C600=Master!$H$5,B600="2012-2013",E600="",G600="PLN03"),H600,"")</f>
        <v/>
      </c>
      <c r="AI600" s="42" t="str">
        <f>IF(AND(C600=Master!$H$6,B600="2012-2013",E600&gt;1000,G600="PLN03"),H600,"")</f>
        <v/>
      </c>
      <c r="AJ600" s="42" t="str">
        <f>IF(AND(C600=Master!$H$6,B600="2012-2013",E600="",G600="PLN03"),H600,"")</f>
        <v/>
      </c>
      <c r="AK600" s="42" t="str">
        <f>IF(AND(C600=Master!$H$7,B600="2012-2013",E600&gt;1000,G600="PLN03"),H600,"")</f>
        <v/>
      </c>
      <c r="AL600" s="42" t="str">
        <f>IF(AND(C600=Master!$H$7,B600="2012-2013",E600="",G600="PLN03"),H600,"")</f>
        <v/>
      </c>
      <c r="AM600" s="42" t="str">
        <f>IF(AND(C600=Master!$H$8,B600="2012-2013",E600&gt;1000,G600="PLN03"),H600,"")</f>
        <v/>
      </c>
      <c r="AN600" s="42" t="str">
        <f>IF(AND(C600=Master!$H$8,B600="2012-2013",E600="",G600="PLN03"),H600,"")</f>
        <v/>
      </c>
      <c r="AO600" s="42" t="str">
        <f>IF(AND(C600=Master!$H$9,B600="2012-2013",E600&gt;1000,G600="PLN03"),H600,"")</f>
        <v/>
      </c>
      <c r="AP600" s="42" t="str">
        <f>IF(AND(C600=Master!$H$9,B600="2012-2013",E600="",G600="PLN03"),H600,"")</f>
        <v/>
      </c>
      <c r="AQ600" s="44" t="str">
        <f>IF(AND(C600=Master!$H$1,B600="2012-2013",E600&gt;1000,G600="NPN05"),H600,"")</f>
        <v/>
      </c>
      <c r="AR600" s="44" t="str">
        <f>IF(AND(C600=Master!$H$1,B600="2012-2013",E600="",G600="NPN05"),H600,"")</f>
        <v/>
      </c>
      <c r="AS600" s="44" t="str">
        <f>IF(AND(C600=Master!$H$2,B600="2012-2013",E600&gt;1000,G600="NPN05"),H600,"")</f>
        <v/>
      </c>
      <c r="AT600" s="44" t="str">
        <f>IF(AND(C600=Master!$H$2,B600="2012-2013",E600="",G600="NPN05"),H600,"")</f>
        <v/>
      </c>
      <c r="AU600" s="44" t="str">
        <f>IF(AND(C600=Master!$H$3,B600="2012-2013",E600&gt;1000,G600="NPN05"),H600,"")</f>
        <v/>
      </c>
      <c r="AV600" s="44" t="str">
        <f>IF(AND(C600=Master!$H$3,B600="2012-2013",E600="",G600="NPN05"),H600,"")</f>
        <v/>
      </c>
      <c r="AW600" s="44" t="str">
        <f>IF(AND(C600=Master!$H$4,B600="2012-2013",E600&gt;1000,G600="NPN05"),H600,"")</f>
        <v/>
      </c>
      <c r="AX600" s="44" t="str">
        <f>IF(AND(C600=Master!$H$4,B600="2012-2013",E600="",G600="NPN05"),H600,"")</f>
        <v/>
      </c>
      <c r="AY600" s="44" t="str">
        <f>IF(AND(C600=Master!$H$5,B600="2012-2013",E600&gt;1000,G600="NPN05"),H600,"")</f>
        <v/>
      </c>
      <c r="AZ600" s="44" t="str">
        <f>IF(AND(C600=Master!$H$5,B600="2012-2013",E600="",G600="NPN05"),H600,"")</f>
        <v/>
      </c>
      <c r="BA600" s="44" t="str">
        <f>IF(AND(C600=Master!$H$6,B600="2012-2013",E600&gt;1000,G600="NPN05"),H600,"")</f>
        <v/>
      </c>
      <c r="BB600" s="44" t="str">
        <f>IF(AND(C600=Master!$H$6,B600="2012-2013",E600="",G600="NPN05"),H600,"")</f>
        <v/>
      </c>
      <c r="BC600" s="44" t="str">
        <f>IF(AND(C600=Master!$H$7,B600="2012-2013",E600&gt;1000,G600="NPN05"),H600,"")</f>
        <v/>
      </c>
      <c r="BD600" s="44" t="str">
        <f>IF(AND(C600=Master!$H$7,B600="2012-2013",E600="",G600="NPN05"),H600,"")</f>
        <v/>
      </c>
      <c r="BE600" s="44" t="str">
        <f>IF(AND(C600=Master!$H$8,B600="2012-2013",E600&gt;1000,G600="NPN05"),H600,"")</f>
        <v/>
      </c>
      <c r="BF600" s="44" t="str">
        <f>IF(AND(C600=Master!$H$8,B600="2012-2013",E600="",G600="NPN05"),H600,"")</f>
        <v/>
      </c>
      <c r="BG600" s="44" t="str">
        <f>IF(AND(C600=Master!$H$9,B600="2012-2013",E600&gt;1000,G600="NPN05"),H600,"")</f>
        <v/>
      </c>
      <c r="BH600" s="44" t="str">
        <f>IF(AND(C600=Master!$H$9,B600="2012-2013",E600="",G600="NPN05"),H600,"")</f>
        <v/>
      </c>
    </row>
    <row r="601" spans="1:60" x14ac:dyDescent="0.25">
      <c r="A601" s="3">
        <v>599</v>
      </c>
      <c r="B601" s="12"/>
      <c r="C601" s="12"/>
      <c r="D601" s="31"/>
      <c r="E601" s="4"/>
      <c r="F601" s="13"/>
      <c r="G601" s="21"/>
      <c r="H601" s="35"/>
      <c r="I601" s="21"/>
      <c r="J601" s="25" t="str">
        <f>IF(NOT(I601=""),INDEX(Master!$B$1:$B$46,MATCH(I601,Master!$A$1:$A$46,0)),"")</f>
        <v/>
      </c>
      <c r="K601" s="18"/>
      <c r="L601" s="86"/>
      <c r="M601" s="13"/>
      <c r="N601" s="13"/>
      <c r="O601" s="18"/>
      <c r="P601" s="35"/>
      <c r="Q601" s="21"/>
      <c r="R601" s="21"/>
      <c r="S601" s="13"/>
      <c r="T601" s="12"/>
      <c r="U601" s="12"/>
      <c r="V601" s="12"/>
      <c r="W601" s="14"/>
      <c r="Y601" s="42" t="str">
        <f>IF(AND(C601=Master!$H$1,B601="2012-2013",E601&gt;1000,G601="PLN03"),H601,"")</f>
        <v/>
      </c>
      <c r="Z601" s="42" t="str">
        <f>IF(AND(C601=Master!$H$1,B601="2012-2013",E601="",G601="PLN03"),H601,"")</f>
        <v/>
      </c>
      <c r="AA601" s="42" t="str">
        <f>IF(AND(C601=Master!$H$2,B601="2012-2013",E601&gt;1000,G601="PLN03"),H601,"")</f>
        <v/>
      </c>
      <c r="AB601" s="42" t="str">
        <f>IF(AND(C601=Master!$H$2,B601="2012-2013",E601="",G601="PLN03"),H601,"")</f>
        <v/>
      </c>
      <c r="AC601" s="42" t="str">
        <f>IF(AND(C601=Master!$H$3,B601="2012-2013",E601&gt;1000,G601="PLN03"),H601,"")</f>
        <v/>
      </c>
      <c r="AD601" s="42" t="str">
        <f>IF(AND(C601=Master!$H$3,B601="2012-2013",E601="",G601="PLN03"),H601,"")</f>
        <v/>
      </c>
      <c r="AE601" s="42" t="str">
        <f>IF(AND(C601=Master!$H$4,B601="2012-2013",E601&gt;1000,G601="PLN03"),H601,"")</f>
        <v/>
      </c>
      <c r="AF601" s="42" t="str">
        <f>IF(AND(C601=Master!$H$4,B601="2012-2013",E601="",G601="PLN03"),H601,"")</f>
        <v/>
      </c>
      <c r="AG601" s="42" t="str">
        <f>IF(AND(C601=Master!$H$5,B601="2012-2013",E601&gt;1000,G601="PLN03"),H601,"")</f>
        <v/>
      </c>
      <c r="AH601" s="42" t="str">
        <f>IF(AND(C601=Master!$H$5,B601="2012-2013",E601="",G601="PLN03"),H601,"")</f>
        <v/>
      </c>
      <c r="AI601" s="42" t="str">
        <f>IF(AND(C601=Master!$H$6,B601="2012-2013",E601&gt;1000,G601="PLN03"),H601,"")</f>
        <v/>
      </c>
      <c r="AJ601" s="42" t="str">
        <f>IF(AND(C601=Master!$H$6,B601="2012-2013",E601="",G601="PLN03"),H601,"")</f>
        <v/>
      </c>
      <c r="AK601" s="42" t="str">
        <f>IF(AND(C601=Master!$H$7,B601="2012-2013",E601&gt;1000,G601="PLN03"),H601,"")</f>
        <v/>
      </c>
      <c r="AL601" s="42" t="str">
        <f>IF(AND(C601=Master!$H$7,B601="2012-2013",E601="",G601="PLN03"),H601,"")</f>
        <v/>
      </c>
      <c r="AM601" s="42" t="str">
        <f>IF(AND(C601=Master!$H$8,B601="2012-2013",E601&gt;1000,G601="PLN03"),H601,"")</f>
        <v/>
      </c>
      <c r="AN601" s="42" t="str">
        <f>IF(AND(C601=Master!$H$8,B601="2012-2013",E601="",G601="PLN03"),H601,"")</f>
        <v/>
      </c>
      <c r="AO601" s="42" t="str">
        <f>IF(AND(C601=Master!$H$9,B601="2012-2013",E601&gt;1000,G601="PLN03"),H601,"")</f>
        <v/>
      </c>
      <c r="AP601" s="42" t="str">
        <f>IF(AND(C601=Master!$H$9,B601="2012-2013",E601="",G601="PLN03"),H601,"")</f>
        <v/>
      </c>
      <c r="AQ601" s="44" t="str">
        <f>IF(AND(C601=Master!$H$1,B601="2012-2013",E601&gt;1000,G601="NPN05"),H601,"")</f>
        <v/>
      </c>
      <c r="AR601" s="44" t="str">
        <f>IF(AND(C601=Master!$H$1,B601="2012-2013",E601="",G601="NPN05"),H601,"")</f>
        <v/>
      </c>
      <c r="AS601" s="44" t="str">
        <f>IF(AND(C601=Master!$H$2,B601="2012-2013",E601&gt;1000,G601="NPN05"),H601,"")</f>
        <v/>
      </c>
      <c r="AT601" s="44" t="str">
        <f>IF(AND(C601=Master!$H$2,B601="2012-2013",E601="",G601="NPN05"),H601,"")</f>
        <v/>
      </c>
      <c r="AU601" s="44" t="str">
        <f>IF(AND(C601=Master!$H$3,B601="2012-2013",E601&gt;1000,G601="NPN05"),H601,"")</f>
        <v/>
      </c>
      <c r="AV601" s="44" t="str">
        <f>IF(AND(C601=Master!$H$3,B601="2012-2013",E601="",G601="NPN05"),H601,"")</f>
        <v/>
      </c>
      <c r="AW601" s="44" t="str">
        <f>IF(AND(C601=Master!$H$4,B601="2012-2013",E601&gt;1000,G601="NPN05"),H601,"")</f>
        <v/>
      </c>
      <c r="AX601" s="44" t="str">
        <f>IF(AND(C601=Master!$H$4,B601="2012-2013",E601="",G601="NPN05"),H601,"")</f>
        <v/>
      </c>
      <c r="AY601" s="44" t="str">
        <f>IF(AND(C601=Master!$H$5,B601="2012-2013",E601&gt;1000,G601="NPN05"),H601,"")</f>
        <v/>
      </c>
      <c r="AZ601" s="44" t="str">
        <f>IF(AND(C601=Master!$H$5,B601="2012-2013",E601="",G601="NPN05"),H601,"")</f>
        <v/>
      </c>
      <c r="BA601" s="44" t="str">
        <f>IF(AND(C601=Master!$H$6,B601="2012-2013",E601&gt;1000,G601="NPN05"),H601,"")</f>
        <v/>
      </c>
      <c r="BB601" s="44" t="str">
        <f>IF(AND(C601=Master!$H$6,B601="2012-2013",E601="",G601="NPN05"),H601,"")</f>
        <v/>
      </c>
      <c r="BC601" s="44" t="str">
        <f>IF(AND(C601=Master!$H$7,B601="2012-2013",E601&gt;1000,G601="NPN05"),H601,"")</f>
        <v/>
      </c>
      <c r="BD601" s="44" t="str">
        <f>IF(AND(C601=Master!$H$7,B601="2012-2013",E601="",G601="NPN05"),H601,"")</f>
        <v/>
      </c>
      <c r="BE601" s="44" t="str">
        <f>IF(AND(C601=Master!$H$8,B601="2012-2013",E601&gt;1000,G601="NPN05"),H601,"")</f>
        <v/>
      </c>
      <c r="BF601" s="44" t="str">
        <f>IF(AND(C601=Master!$H$8,B601="2012-2013",E601="",G601="NPN05"),H601,"")</f>
        <v/>
      </c>
      <c r="BG601" s="44" t="str">
        <f>IF(AND(C601=Master!$H$9,B601="2012-2013",E601&gt;1000,G601="NPN05"),H601,"")</f>
        <v/>
      </c>
      <c r="BH601" s="44" t="str">
        <f>IF(AND(C601=Master!$H$9,B601="2012-2013",E601="",G601="NPN05"),H601,"")</f>
        <v/>
      </c>
    </row>
    <row r="602" spans="1:60" x14ac:dyDescent="0.25">
      <c r="A602" s="3">
        <v>600</v>
      </c>
      <c r="B602" s="12"/>
      <c r="C602" s="12"/>
      <c r="D602" s="31"/>
      <c r="E602" s="4"/>
      <c r="F602" s="13"/>
      <c r="G602" s="21"/>
      <c r="H602" s="35"/>
      <c r="I602" s="21"/>
      <c r="J602" s="25" t="str">
        <f>IF(NOT(I602=""),INDEX(Master!$B$1:$B$46,MATCH(I602,Master!$A$1:$A$46,0)),"")</f>
        <v/>
      </c>
      <c r="K602" s="18"/>
      <c r="L602" s="86"/>
      <c r="M602" s="13"/>
      <c r="N602" s="13"/>
      <c r="O602" s="18"/>
      <c r="P602" s="35"/>
      <c r="Q602" s="21"/>
      <c r="R602" s="21"/>
      <c r="S602" s="13"/>
      <c r="T602" s="12"/>
      <c r="U602" s="12"/>
      <c r="V602" s="12"/>
      <c r="W602" s="14"/>
      <c r="Y602" s="42" t="str">
        <f>IF(AND(C602=Master!$H$1,B602="2012-2013",E602&gt;1000,G602="PLN03"),H602,"")</f>
        <v/>
      </c>
      <c r="Z602" s="42" t="str">
        <f>IF(AND(C602=Master!$H$1,B602="2012-2013",E602="",G602="PLN03"),H602,"")</f>
        <v/>
      </c>
      <c r="AA602" s="42" t="str">
        <f>IF(AND(C602=Master!$H$2,B602="2012-2013",E602&gt;1000,G602="PLN03"),H602,"")</f>
        <v/>
      </c>
      <c r="AB602" s="42" t="str">
        <f>IF(AND(C602=Master!$H$2,B602="2012-2013",E602="",G602="PLN03"),H602,"")</f>
        <v/>
      </c>
      <c r="AC602" s="42" t="str">
        <f>IF(AND(C602=Master!$H$3,B602="2012-2013",E602&gt;1000,G602="PLN03"),H602,"")</f>
        <v/>
      </c>
      <c r="AD602" s="42" t="str">
        <f>IF(AND(C602=Master!$H$3,B602="2012-2013",E602="",G602="PLN03"),H602,"")</f>
        <v/>
      </c>
      <c r="AE602" s="42" t="str">
        <f>IF(AND(C602=Master!$H$4,B602="2012-2013",E602&gt;1000,G602="PLN03"),H602,"")</f>
        <v/>
      </c>
      <c r="AF602" s="42" t="str">
        <f>IF(AND(C602=Master!$H$4,B602="2012-2013",E602="",G602="PLN03"),H602,"")</f>
        <v/>
      </c>
      <c r="AG602" s="42" t="str">
        <f>IF(AND(C602=Master!$H$5,B602="2012-2013",E602&gt;1000,G602="PLN03"),H602,"")</f>
        <v/>
      </c>
      <c r="AH602" s="42" t="str">
        <f>IF(AND(C602=Master!$H$5,B602="2012-2013",E602="",G602="PLN03"),H602,"")</f>
        <v/>
      </c>
      <c r="AI602" s="42" t="str">
        <f>IF(AND(C602=Master!$H$6,B602="2012-2013",E602&gt;1000,G602="PLN03"),H602,"")</f>
        <v/>
      </c>
      <c r="AJ602" s="42" t="str">
        <f>IF(AND(C602=Master!$H$6,B602="2012-2013",E602="",G602="PLN03"),H602,"")</f>
        <v/>
      </c>
      <c r="AK602" s="42" t="str">
        <f>IF(AND(C602=Master!$H$7,B602="2012-2013",E602&gt;1000,G602="PLN03"),H602,"")</f>
        <v/>
      </c>
      <c r="AL602" s="42" t="str">
        <f>IF(AND(C602=Master!$H$7,B602="2012-2013",E602="",G602="PLN03"),H602,"")</f>
        <v/>
      </c>
      <c r="AM602" s="42" t="str">
        <f>IF(AND(C602=Master!$H$8,B602="2012-2013",E602&gt;1000,G602="PLN03"),H602,"")</f>
        <v/>
      </c>
      <c r="AN602" s="42" t="str">
        <f>IF(AND(C602=Master!$H$8,B602="2012-2013",E602="",G602="PLN03"),H602,"")</f>
        <v/>
      </c>
      <c r="AO602" s="42" t="str">
        <f>IF(AND(C602=Master!$H$9,B602="2012-2013",E602&gt;1000,G602="PLN03"),H602,"")</f>
        <v/>
      </c>
      <c r="AP602" s="42" t="str">
        <f>IF(AND(C602=Master!$H$9,B602="2012-2013",E602="",G602="PLN03"),H602,"")</f>
        <v/>
      </c>
      <c r="AQ602" s="44" t="str">
        <f>IF(AND(C602=Master!$H$1,B602="2012-2013",E602&gt;1000,G602="NPN05"),H602,"")</f>
        <v/>
      </c>
      <c r="AR602" s="44" t="str">
        <f>IF(AND(C602=Master!$H$1,B602="2012-2013",E602="",G602="NPN05"),H602,"")</f>
        <v/>
      </c>
      <c r="AS602" s="44" t="str">
        <f>IF(AND(C602=Master!$H$2,B602="2012-2013",E602&gt;1000,G602="NPN05"),H602,"")</f>
        <v/>
      </c>
      <c r="AT602" s="44" t="str">
        <f>IF(AND(C602=Master!$H$2,B602="2012-2013",E602="",G602="NPN05"),H602,"")</f>
        <v/>
      </c>
      <c r="AU602" s="44" t="str">
        <f>IF(AND(C602=Master!$H$3,B602="2012-2013",E602&gt;1000,G602="NPN05"),H602,"")</f>
        <v/>
      </c>
      <c r="AV602" s="44" t="str">
        <f>IF(AND(C602=Master!$H$3,B602="2012-2013",E602="",G602="NPN05"),H602,"")</f>
        <v/>
      </c>
      <c r="AW602" s="44" t="str">
        <f>IF(AND(C602=Master!$H$4,B602="2012-2013",E602&gt;1000,G602="NPN05"),H602,"")</f>
        <v/>
      </c>
      <c r="AX602" s="44" t="str">
        <f>IF(AND(C602=Master!$H$4,B602="2012-2013",E602="",G602="NPN05"),H602,"")</f>
        <v/>
      </c>
      <c r="AY602" s="44" t="str">
        <f>IF(AND(C602=Master!$H$5,B602="2012-2013",E602&gt;1000,G602="NPN05"),H602,"")</f>
        <v/>
      </c>
      <c r="AZ602" s="44" t="str">
        <f>IF(AND(C602=Master!$H$5,B602="2012-2013",E602="",G602="NPN05"),H602,"")</f>
        <v/>
      </c>
      <c r="BA602" s="44" t="str">
        <f>IF(AND(C602=Master!$H$6,B602="2012-2013",E602&gt;1000,G602="NPN05"),H602,"")</f>
        <v/>
      </c>
      <c r="BB602" s="44" t="str">
        <f>IF(AND(C602=Master!$H$6,B602="2012-2013",E602="",G602="NPN05"),H602,"")</f>
        <v/>
      </c>
      <c r="BC602" s="44" t="str">
        <f>IF(AND(C602=Master!$H$7,B602="2012-2013",E602&gt;1000,G602="NPN05"),H602,"")</f>
        <v/>
      </c>
      <c r="BD602" s="44" t="str">
        <f>IF(AND(C602=Master!$H$7,B602="2012-2013",E602="",G602="NPN05"),H602,"")</f>
        <v/>
      </c>
      <c r="BE602" s="44" t="str">
        <f>IF(AND(C602=Master!$H$8,B602="2012-2013",E602&gt;1000,G602="NPN05"),H602,"")</f>
        <v/>
      </c>
      <c r="BF602" s="44" t="str">
        <f>IF(AND(C602=Master!$H$8,B602="2012-2013",E602="",G602="NPN05"),H602,"")</f>
        <v/>
      </c>
      <c r="BG602" s="44" t="str">
        <f>IF(AND(C602=Master!$H$9,B602="2012-2013",E602&gt;1000,G602="NPN05"),H602,"")</f>
        <v/>
      </c>
      <c r="BH602" s="44" t="str">
        <f>IF(AND(C602=Master!$H$9,B602="2012-2013",E602="",G602="NPN05"),H602,"")</f>
        <v/>
      </c>
    </row>
    <row r="603" spans="1:60" x14ac:dyDescent="0.25">
      <c r="A603" s="3">
        <v>601</v>
      </c>
      <c r="B603" s="12"/>
      <c r="C603" s="12"/>
      <c r="D603" s="31"/>
      <c r="E603" s="4"/>
      <c r="F603" s="13"/>
      <c r="G603" s="21"/>
      <c r="H603" s="35"/>
      <c r="I603" s="21"/>
      <c r="J603" s="25" t="str">
        <f>IF(NOT(I603=""),INDEX(Master!$B$1:$B$46,MATCH(I603,Master!$A$1:$A$46,0)),"")</f>
        <v/>
      </c>
      <c r="K603" s="18"/>
      <c r="L603" s="86"/>
      <c r="M603" s="13"/>
      <c r="N603" s="13"/>
      <c r="O603" s="18"/>
      <c r="P603" s="35"/>
      <c r="Q603" s="21"/>
      <c r="R603" s="21"/>
      <c r="S603" s="13"/>
      <c r="T603" s="12"/>
      <c r="U603" s="12"/>
      <c r="V603" s="12"/>
      <c r="W603" s="14"/>
      <c r="Y603" s="42" t="str">
        <f>IF(AND(C603=Master!$H$1,B603="2012-2013",E603&gt;1000,G603="PLN03"),H603,"")</f>
        <v/>
      </c>
      <c r="Z603" s="42" t="str">
        <f>IF(AND(C603=Master!$H$1,B603="2012-2013",E603="",G603="PLN03"),H603,"")</f>
        <v/>
      </c>
      <c r="AA603" s="42" t="str">
        <f>IF(AND(C603=Master!$H$2,B603="2012-2013",E603&gt;1000,G603="PLN03"),H603,"")</f>
        <v/>
      </c>
      <c r="AB603" s="42" t="str">
        <f>IF(AND(C603=Master!$H$2,B603="2012-2013",E603="",G603="PLN03"),H603,"")</f>
        <v/>
      </c>
      <c r="AC603" s="42" t="str">
        <f>IF(AND(C603=Master!$H$3,B603="2012-2013",E603&gt;1000,G603="PLN03"),H603,"")</f>
        <v/>
      </c>
      <c r="AD603" s="42" t="str">
        <f>IF(AND(C603=Master!$H$3,B603="2012-2013",E603="",G603="PLN03"),H603,"")</f>
        <v/>
      </c>
      <c r="AE603" s="42" t="str">
        <f>IF(AND(C603=Master!$H$4,B603="2012-2013",E603&gt;1000,G603="PLN03"),H603,"")</f>
        <v/>
      </c>
      <c r="AF603" s="42" t="str">
        <f>IF(AND(C603=Master!$H$4,B603="2012-2013",E603="",G603="PLN03"),H603,"")</f>
        <v/>
      </c>
      <c r="AG603" s="42" t="str">
        <f>IF(AND(C603=Master!$H$5,B603="2012-2013",E603&gt;1000,G603="PLN03"),H603,"")</f>
        <v/>
      </c>
      <c r="AH603" s="42" t="str">
        <f>IF(AND(C603=Master!$H$5,B603="2012-2013",E603="",G603="PLN03"),H603,"")</f>
        <v/>
      </c>
      <c r="AI603" s="42" t="str">
        <f>IF(AND(C603=Master!$H$6,B603="2012-2013",E603&gt;1000,G603="PLN03"),H603,"")</f>
        <v/>
      </c>
      <c r="AJ603" s="42" t="str">
        <f>IF(AND(C603=Master!$H$6,B603="2012-2013",E603="",G603="PLN03"),H603,"")</f>
        <v/>
      </c>
      <c r="AK603" s="42" t="str">
        <f>IF(AND(C603=Master!$H$7,B603="2012-2013",E603&gt;1000,G603="PLN03"),H603,"")</f>
        <v/>
      </c>
      <c r="AL603" s="42" t="str">
        <f>IF(AND(C603=Master!$H$7,B603="2012-2013",E603="",G603="PLN03"),H603,"")</f>
        <v/>
      </c>
      <c r="AM603" s="42" t="str">
        <f>IF(AND(C603=Master!$H$8,B603="2012-2013",E603&gt;1000,G603="PLN03"),H603,"")</f>
        <v/>
      </c>
      <c r="AN603" s="42" t="str">
        <f>IF(AND(C603=Master!$H$8,B603="2012-2013",E603="",G603="PLN03"),H603,"")</f>
        <v/>
      </c>
      <c r="AO603" s="42" t="str">
        <f>IF(AND(C603=Master!$H$9,B603="2012-2013",E603&gt;1000,G603="PLN03"),H603,"")</f>
        <v/>
      </c>
      <c r="AP603" s="42" t="str">
        <f>IF(AND(C603=Master!$H$9,B603="2012-2013",E603="",G603="PLN03"),H603,"")</f>
        <v/>
      </c>
      <c r="AQ603" s="44" t="str">
        <f>IF(AND(C603=Master!$H$1,B603="2012-2013",E603&gt;1000,G603="NPN05"),H603,"")</f>
        <v/>
      </c>
      <c r="AR603" s="44" t="str">
        <f>IF(AND(C603=Master!$H$1,B603="2012-2013",E603="",G603="NPN05"),H603,"")</f>
        <v/>
      </c>
      <c r="AS603" s="44" t="str">
        <f>IF(AND(C603=Master!$H$2,B603="2012-2013",E603&gt;1000,G603="NPN05"),H603,"")</f>
        <v/>
      </c>
      <c r="AT603" s="44" t="str">
        <f>IF(AND(C603=Master!$H$2,B603="2012-2013",E603="",G603="NPN05"),H603,"")</f>
        <v/>
      </c>
      <c r="AU603" s="44" t="str">
        <f>IF(AND(C603=Master!$H$3,B603="2012-2013",E603&gt;1000,G603="NPN05"),H603,"")</f>
        <v/>
      </c>
      <c r="AV603" s="44" t="str">
        <f>IF(AND(C603=Master!$H$3,B603="2012-2013",E603="",G603="NPN05"),H603,"")</f>
        <v/>
      </c>
      <c r="AW603" s="44" t="str">
        <f>IF(AND(C603=Master!$H$4,B603="2012-2013",E603&gt;1000,G603="NPN05"),H603,"")</f>
        <v/>
      </c>
      <c r="AX603" s="44" t="str">
        <f>IF(AND(C603=Master!$H$4,B603="2012-2013",E603="",G603="NPN05"),H603,"")</f>
        <v/>
      </c>
      <c r="AY603" s="44" t="str">
        <f>IF(AND(C603=Master!$H$5,B603="2012-2013",E603&gt;1000,G603="NPN05"),H603,"")</f>
        <v/>
      </c>
      <c r="AZ603" s="44" t="str">
        <f>IF(AND(C603=Master!$H$5,B603="2012-2013",E603="",G603="NPN05"),H603,"")</f>
        <v/>
      </c>
      <c r="BA603" s="44" t="str">
        <f>IF(AND(C603=Master!$H$6,B603="2012-2013",E603&gt;1000,G603="NPN05"),H603,"")</f>
        <v/>
      </c>
      <c r="BB603" s="44" t="str">
        <f>IF(AND(C603=Master!$H$6,B603="2012-2013",E603="",G603="NPN05"),H603,"")</f>
        <v/>
      </c>
      <c r="BC603" s="44" t="str">
        <f>IF(AND(C603=Master!$H$7,B603="2012-2013",E603&gt;1000,G603="NPN05"),H603,"")</f>
        <v/>
      </c>
      <c r="BD603" s="44" t="str">
        <f>IF(AND(C603=Master!$H$7,B603="2012-2013",E603="",G603="NPN05"),H603,"")</f>
        <v/>
      </c>
      <c r="BE603" s="44" t="str">
        <f>IF(AND(C603=Master!$H$8,B603="2012-2013",E603&gt;1000,G603="NPN05"),H603,"")</f>
        <v/>
      </c>
      <c r="BF603" s="44" t="str">
        <f>IF(AND(C603=Master!$H$8,B603="2012-2013",E603="",G603="NPN05"),H603,"")</f>
        <v/>
      </c>
      <c r="BG603" s="44" t="str">
        <f>IF(AND(C603=Master!$H$9,B603="2012-2013",E603&gt;1000,G603="NPN05"),H603,"")</f>
        <v/>
      </c>
      <c r="BH603" s="44" t="str">
        <f>IF(AND(C603=Master!$H$9,B603="2012-2013",E603="",G603="NPN05"),H603,"")</f>
        <v/>
      </c>
    </row>
    <row r="604" spans="1:60" x14ac:dyDescent="0.25">
      <c r="A604" s="3">
        <v>602</v>
      </c>
      <c r="B604" s="12"/>
      <c r="C604" s="12"/>
      <c r="D604" s="31"/>
      <c r="E604" s="4"/>
      <c r="F604" s="13"/>
      <c r="G604" s="21"/>
      <c r="H604" s="35"/>
      <c r="I604" s="21"/>
      <c r="J604" s="25" t="str">
        <f>IF(NOT(I604=""),INDEX(Master!$B$1:$B$46,MATCH(I604,Master!$A$1:$A$46,0)),"")</f>
        <v/>
      </c>
      <c r="K604" s="18"/>
      <c r="L604" s="86"/>
      <c r="M604" s="13"/>
      <c r="N604" s="13"/>
      <c r="O604" s="18"/>
      <c r="P604" s="35"/>
      <c r="Q604" s="21"/>
      <c r="R604" s="21"/>
      <c r="S604" s="13"/>
      <c r="T604" s="12"/>
      <c r="U604" s="12"/>
      <c r="V604" s="12"/>
      <c r="W604" s="14"/>
      <c r="Y604" s="42" t="str">
        <f>IF(AND(C604=Master!$H$1,B604="2012-2013",E604&gt;1000,G604="PLN03"),H604,"")</f>
        <v/>
      </c>
      <c r="Z604" s="42" t="str">
        <f>IF(AND(C604=Master!$H$1,B604="2012-2013",E604="",G604="PLN03"),H604,"")</f>
        <v/>
      </c>
      <c r="AA604" s="42" t="str">
        <f>IF(AND(C604=Master!$H$2,B604="2012-2013",E604&gt;1000,G604="PLN03"),H604,"")</f>
        <v/>
      </c>
      <c r="AB604" s="42" t="str">
        <f>IF(AND(C604=Master!$H$2,B604="2012-2013",E604="",G604="PLN03"),H604,"")</f>
        <v/>
      </c>
      <c r="AC604" s="42" t="str">
        <f>IF(AND(C604=Master!$H$3,B604="2012-2013",E604&gt;1000,G604="PLN03"),H604,"")</f>
        <v/>
      </c>
      <c r="AD604" s="42" t="str">
        <f>IF(AND(C604=Master!$H$3,B604="2012-2013",E604="",G604="PLN03"),H604,"")</f>
        <v/>
      </c>
      <c r="AE604" s="42" t="str">
        <f>IF(AND(C604=Master!$H$4,B604="2012-2013",E604&gt;1000,G604="PLN03"),H604,"")</f>
        <v/>
      </c>
      <c r="AF604" s="42" t="str">
        <f>IF(AND(C604=Master!$H$4,B604="2012-2013",E604="",G604="PLN03"),H604,"")</f>
        <v/>
      </c>
      <c r="AG604" s="42" t="str">
        <f>IF(AND(C604=Master!$H$5,B604="2012-2013",E604&gt;1000,G604="PLN03"),H604,"")</f>
        <v/>
      </c>
      <c r="AH604" s="42" t="str">
        <f>IF(AND(C604=Master!$H$5,B604="2012-2013",E604="",G604="PLN03"),H604,"")</f>
        <v/>
      </c>
      <c r="AI604" s="42" t="str">
        <f>IF(AND(C604=Master!$H$6,B604="2012-2013",E604&gt;1000,G604="PLN03"),H604,"")</f>
        <v/>
      </c>
      <c r="AJ604" s="42" t="str">
        <f>IF(AND(C604=Master!$H$6,B604="2012-2013",E604="",G604="PLN03"),H604,"")</f>
        <v/>
      </c>
      <c r="AK604" s="42" t="str">
        <f>IF(AND(C604=Master!$H$7,B604="2012-2013",E604&gt;1000,G604="PLN03"),H604,"")</f>
        <v/>
      </c>
      <c r="AL604" s="42" t="str">
        <f>IF(AND(C604=Master!$H$7,B604="2012-2013",E604="",G604="PLN03"),H604,"")</f>
        <v/>
      </c>
      <c r="AM604" s="42" t="str">
        <f>IF(AND(C604=Master!$H$8,B604="2012-2013",E604&gt;1000,G604="PLN03"),H604,"")</f>
        <v/>
      </c>
      <c r="AN604" s="42" t="str">
        <f>IF(AND(C604=Master!$H$8,B604="2012-2013",E604="",G604="PLN03"),H604,"")</f>
        <v/>
      </c>
      <c r="AO604" s="42" t="str">
        <f>IF(AND(C604=Master!$H$9,B604="2012-2013",E604&gt;1000,G604="PLN03"),H604,"")</f>
        <v/>
      </c>
      <c r="AP604" s="42" t="str">
        <f>IF(AND(C604=Master!$H$9,B604="2012-2013",E604="",G604="PLN03"),H604,"")</f>
        <v/>
      </c>
      <c r="AQ604" s="44" t="str">
        <f>IF(AND(C604=Master!$H$1,B604="2012-2013",E604&gt;1000,G604="NPN05"),H604,"")</f>
        <v/>
      </c>
      <c r="AR604" s="44" t="str">
        <f>IF(AND(C604=Master!$H$1,B604="2012-2013",E604="",G604="NPN05"),H604,"")</f>
        <v/>
      </c>
      <c r="AS604" s="44" t="str">
        <f>IF(AND(C604=Master!$H$2,B604="2012-2013",E604&gt;1000,G604="NPN05"),H604,"")</f>
        <v/>
      </c>
      <c r="AT604" s="44" t="str">
        <f>IF(AND(C604=Master!$H$2,B604="2012-2013",E604="",G604="NPN05"),H604,"")</f>
        <v/>
      </c>
      <c r="AU604" s="44" t="str">
        <f>IF(AND(C604=Master!$H$3,B604="2012-2013",E604&gt;1000,G604="NPN05"),H604,"")</f>
        <v/>
      </c>
      <c r="AV604" s="44" t="str">
        <f>IF(AND(C604=Master!$H$3,B604="2012-2013",E604="",G604="NPN05"),H604,"")</f>
        <v/>
      </c>
      <c r="AW604" s="44" t="str">
        <f>IF(AND(C604=Master!$H$4,B604="2012-2013",E604&gt;1000,G604="NPN05"),H604,"")</f>
        <v/>
      </c>
      <c r="AX604" s="44" t="str">
        <f>IF(AND(C604=Master!$H$4,B604="2012-2013",E604="",G604="NPN05"),H604,"")</f>
        <v/>
      </c>
      <c r="AY604" s="44" t="str">
        <f>IF(AND(C604=Master!$H$5,B604="2012-2013",E604&gt;1000,G604="NPN05"),H604,"")</f>
        <v/>
      </c>
      <c r="AZ604" s="44" t="str">
        <f>IF(AND(C604=Master!$H$5,B604="2012-2013",E604="",G604="NPN05"),H604,"")</f>
        <v/>
      </c>
      <c r="BA604" s="44" t="str">
        <f>IF(AND(C604=Master!$H$6,B604="2012-2013",E604&gt;1000,G604="NPN05"),H604,"")</f>
        <v/>
      </c>
      <c r="BB604" s="44" t="str">
        <f>IF(AND(C604=Master!$H$6,B604="2012-2013",E604="",G604="NPN05"),H604,"")</f>
        <v/>
      </c>
      <c r="BC604" s="44" t="str">
        <f>IF(AND(C604=Master!$H$7,B604="2012-2013",E604&gt;1000,G604="NPN05"),H604,"")</f>
        <v/>
      </c>
      <c r="BD604" s="44" t="str">
        <f>IF(AND(C604=Master!$H$7,B604="2012-2013",E604="",G604="NPN05"),H604,"")</f>
        <v/>
      </c>
      <c r="BE604" s="44" t="str">
        <f>IF(AND(C604=Master!$H$8,B604="2012-2013",E604&gt;1000,G604="NPN05"),H604,"")</f>
        <v/>
      </c>
      <c r="BF604" s="44" t="str">
        <f>IF(AND(C604=Master!$H$8,B604="2012-2013",E604="",G604="NPN05"),H604,"")</f>
        <v/>
      </c>
      <c r="BG604" s="44" t="str">
        <f>IF(AND(C604=Master!$H$9,B604="2012-2013",E604&gt;1000,G604="NPN05"),H604,"")</f>
        <v/>
      </c>
      <c r="BH604" s="44" t="str">
        <f>IF(AND(C604=Master!$H$9,B604="2012-2013",E604="",G604="NPN05"),H604,"")</f>
        <v/>
      </c>
    </row>
    <row r="605" spans="1:60" x14ac:dyDescent="0.25">
      <c r="A605" s="3">
        <v>603</v>
      </c>
      <c r="B605" s="12"/>
      <c r="C605" s="12"/>
      <c r="D605" s="31"/>
      <c r="E605" s="4"/>
      <c r="F605" s="13"/>
      <c r="G605" s="21"/>
      <c r="H605" s="35"/>
      <c r="I605" s="21"/>
      <c r="J605" s="25" t="str">
        <f>IF(NOT(I605=""),INDEX(Master!$B$1:$B$46,MATCH(I605,Master!$A$1:$A$46,0)),"")</f>
        <v/>
      </c>
      <c r="K605" s="18"/>
      <c r="L605" s="86"/>
      <c r="M605" s="13"/>
      <c r="N605" s="13"/>
      <c r="O605" s="18"/>
      <c r="P605" s="35"/>
      <c r="Q605" s="21"/>
      <c r="R605" s="21"/>
      <c r="S605" s="13"/>
      <c r="T605" s="12"/>
      <c r="U605" s="12"/>
      <c r="V605" s="12"/>
      <c r="W605" s="14"/>
      <c r="Y605" s="42" t="str">
        <f>IF(AND(C605=Master!$H$1,B605="2012-2013",E605&gt;1000,G605="PLN03"),H605,"")</f>
        <v/>
      </c>
      <c r="Z605" s="42" t="str">
        <f>IF(AND(C605=Master!$H$1,B605="2012-2013",E605="",G605="PLN03"),H605,"")</f>
        <v/>
      </c>
      <c r="AA605" s="42" t="str">
        <f>IF(AND(C605=Master!$H$2,B605="2012-2013",E605&gt;1000,G605="PLN03"),H605,"")</f>
        <v/>
      </c>
      <c r="AB605" s="42" t="str">
        <f>IF(AND(C605=Master!$H$2,B605="2012-2013",E605="",G605="PLN03"),H605,"")</f>
        <v/>
      </c>
      <c r="AC605" s="42" t="str">
        <f>IF(AND(C605=Master!$H$3,B605="2012-2013",E605&gt;1000,G605="PLN03"),H605,"")</f>
        <v/>
      </c>
      <c r="AD605" s="42" t="str">
        <f>IF(AND(C605=Master!$H$3,B605="2012-2013",E605="",G605="PLN03"),H605,"")</f>
        <v/>
      </c>
      <c r="AE605" s="42" t="str">
        <f>IF(AND(C605=Master!$H$4,B605="2012-2013",E605&gt;1000,G605="PLN03"),H605,"")</f>
        <v/>
      </c>
      <c r="AF605" s="42" t="str">
        <f>IF(AND(C605=Master!$H$4,B605="2012-2013",E605="",G605="PLN03"),H605,"")</f>
        <v/>
      </c>
      <c r="AG605" s="42" t="str">
        <f>IF(AND(C605=Master!$H$5,B605="2012-2013",E605&gt;1000,G605="PLN03"),H605,"")</f>
        <v/>
      </c>
      <c r="AH605" s="42" t="str">
        <f>IF(AND(C605=Master!$H$5,B605="2012-2013",E605="",G605="PLN03"),H605,"")</f>
        <v/>
      </c>
      <c r="AI605" s="42" t="str">
        <f>IF(AND(C605=Master!$H$6,B605="2012-2013",E605&gt;1000,G605="PLN03"),H605,"")</f>
        <v/>
      </c>
      <c r="AJ605" s="42" t="str">
        <f>IF(AND(C605=Master!$H$6,B605="2012-2013",E605="",G605="PLN03"),H605,"")</f>
        <v/>
      </c>
      <c r="AK605" s="42" t="str">
        <f>IF(AND(C605=Master!$H$7,B605="2012-2013",E605&gt;1000,G605="PLN03"),H605,"")</f>
        <v/>
      </c>
      <c r="AL605" s="42" t="str">
        <f>IF(AND(C605=Master!$H$7,B605="2012-2013",E605="",G605="PLN03"),H605,"")</f>
        <v/>
      </c>
      <c r="AM605" s="42" t="str">
        <f>IF(AND(C605=Master!$H$8,B605="2012-2013",E605&gt;1000,G605="PLN03"),H605,"")</f>
        <v/>
      </c>
      <c r="AN605" s="42" t="str">
        <f>IF(AND(C605=Master!$H$8,B605="2012-2013",E605="",G605="PLN03"),H605,"")</f>
        <v/>
      </c>
      <c r="AO605" s="42" t="str">
        <f>IF(AND(C605=Master!$H$9,B605="2012-2013",E605&gt;1000,G605="PLN03"),H605,"")</f>
        <v/>
      </c>
      <c r="AP605" s="42" t="str">
        <f>IF(AND(C605=Master!$H$9,B605="2012-2013",E605="",G605="PLN03"),H605,"")</f>
        <v/>
      </c>
      <c r="AQ605" s="44" t="str">
        <f>IF(AND(C605=Master!$H$1,B605="2012-2013",E605&gt;1000,G605="NPN05"),H605,"")</f>
        <v/>
      </c>
      <c r="AR605" s="44" t="str">
        <f>IF(AND(C605=Master!$H$1,B605="2012-2013",E605="",G605="NPN05"),H605,"")</f>
        <v/>
      </c>
      <c r="AS605" s="44" t="str">
        <f>IF(AND(C605=Master!$H$2,B605="2012-2013",E605&gt;1000,G605="NPN05"),H605,"")</f>
        <v/>
      </c>
      <c r="AT605" s="44" t="str">
        <f>IF(AND(C605=Master!$H$2,B605="2012-2013",E605="",G605="NPN05"),H605,"")</f>
        <v/>
      </c>
      <c r="AU605" s="44" t="str">
        <f>IF(AND(C605=Master!$H$3,B605="2012-2013",E605&gt;1000,G605="NPN05"),H605,"")</f>
        <v/>
      </c>
      <c r="AV605" s="44" t="str">
        <f>IF(AND(C605=Master!$H$3,B605="2012-2013",E605="",G605="NPN05"),H605,"")</f>
        <v/>
      </c>
      <c r="AW605" s="44" t="str">
        <f>IF(AND(C605=Master!$H$4,B605="2012-2013",E605&gt;1000,G605="NPN05"),H605,"")</f>
        <v/>
      </c>
      <c r="AX605" s="44" t="str">
        <f>IF(AND(C605=Master!$H$4,B605="2012-2013",E605="",G605="NPN05"),H605,"")</f>
        <v/>
      </c>
      <c r="AY605" s="44" t="str">
        <f>IF(AND(C605=Master!$H$5,B605="2012-2013",E605&gt;1000,G605="NPN05"),H605,"")</f>
        <v/>
      </c>
      <c r="AZ605" s="44" t="str">
        <f>IF(AND(C605=Master!$H$5,B605="2012-2013",E605="",G605="NPN05"),H605,"")</f>
        <v/>
      </c>
      <c r="BA605" s="44" t="str">
        <f>IF(AND(C605=Master!$H$6,B605="2012-2013",E605&gt;1000,G605="NPN05"),H605,"")</f>
        <v/>
      </c>
      <c r="BB605" s="44" t="str">
        <f>IF(AND(C605=Master!$H$6,B605="2012-2013",E605="",G605="NPN05"),H605,"")</f>
        <v/>
      </c>
      <c r="BC605" s="44" t="str">
        <f>IF(AND(C605=Master!$H$7,B605="2012-2013",E605&gt;1000,G605="NPN05"),H605,"")</f>
        <v/>
      </c>
      <c r="BD605" s="44" t="str">
        <f>IF(AND(C605=Master!$H$7,B605="2012-2013",E605="",G605="NPN05"),H605,"")</f>
        <v/>
      </c>
      <c r="BE605" s="44" t="str">
        <f>IF(AND(C605=Master!$H$8,B605="2012-2013",E605&gt;1000,G605="NPN05"),H605,"")</f>
        <v/>
      </c>
      <c r="BF605" s="44" t="str">
        <f>IF(AND(C605=Master!$H$8,B605="2012-2013",E605="",G605="NPN05"),H605,"")</f>
        <v/>
      </c>
      <c r="BG605" s="44" t="str">
        <f>IF(AND(C605=Master!$H$9,B605="2012-2013",E605&gt;1000,G605="NPN05"),H605,"")</f>
        <v/>
      </c>
      <c r="BH605" s="44" t="str">
        <f>IF(AND(C605=Master!$H$9,B605="2012-2013",E605="",G605="NPN05"),H605,"")</f>
        <v/>
      </c>
    </row>
    <row r="606" spans="1:60" x14ac:dyDescent="0.25">
      <c r="A606" s="3">
        <v>604</v>
      </c>
      <c r="B606" s="12"/>
      <c r="C606" s="12"/>
      <c r="D606" s="31"/>
      <c r="E606" s="4"/>
      <c r="F606" s="13"/>
      <c r="G606" s="21"/>
      <c r="H606" s="35"/>
      <c r="I606" s="21"/>
      <c r="J606" s="25" t="str">
        <f>IF(NOT(I606=""),INDEX(Master!$B$1:$B$46,MATCH(I606,Master!$A$1:$A$46,0)),"")</f>
        <v/>
      </c>
      <c r="K606" s="18"/>
      <c r="L606" s="86"/>
      <c r="M606" s="13"/>
      <c r="N606" s="13"/>
      <c r="O606" s="18"/>
      <c r="P606" s="35"/>
      <c r="Q606" s="21"/>
      <c r="R606" s="21"/>
      <c r="S606" s="13"/>
      <c r="T606" s="12"/>
      <c r="U606" s="12"/>
      <c r="V606" s="12"/>
      <c r="W606" s="14"/>
      <c r="Y606" s="42" t="str">
        <f>IF(AND(C606=Master!$H$1,B606="2012-2013",E606&gt;1000,G606="PLN03"),H606,"")</f>
        <v/>
      </c>
      <c r="Z606" s="42" t="str">
        <f>IF(AND(C606=Master!$H$1,B606="2012-2013",E606="",G606="PLN03"),H606,"")</f>
        <v/>
      </c>
      <c r="AA606" s="42" t="str">
        <f>IF(AND(C606=Master!$H$2,B606="2012-2013",E606&gt;1000,G606="PLN03"),H606,"")</f>
        <v/>
      </c>
      <c r="AB606" s="42" t="str">
        <f>IF(AND(C606=Master!$H$2,B606="2012-2013",E606="",G606="PLN03"),H606,"")</f>
        <v/>
      </c>
      <c r="AC606" s="42" t="str">
        <f>IF(AND(C606=Master!$H$3,B606="2012-2013",E606&gt;1000,G606="PLN03"),H606,"")</f>
        <v/>
      </c>
      <c r="AD606" s="42" t="str">
        <f>IF(AND(C606=Master!$H$3,B606="2012-2013",E606="",G606="PLN03"),H606,"")</f>
        <v/>
      </c>
      <c r="AE606" s="42" t="str">
        <f>IF(AND(C606=Master!$H$4,B606="2012-2013",E606&gt;1000,G606="PLN03"),H606,"")</f>
        <v/>
      </c>
      <c r="AF606" s="42" t="str">
        <f>IF(AND(C606=Master!$H$4,B606="2012-2013",E606="",G606="PLN03"),H606,"")</f>
        <v/>
      </c>
      <c r="AG606" s="42" t="str">
        <f>IF(AND(C606=Master!$H$5,B606="2012-2013",E606&gt;1000,G606="PLN03"),H606,"")</f>
        <v/>
      </c>
      <c r="AH606" s="42" t="str">
        <f>IF(AND(C606=Master!$H$5,B606="2012-2013",E606="",G606="PLN03"),H606,"")</f>
        <v/>
      </c>
      <c r="AI606" s="42" t="str">
        <f>IF(AND(C606=Master!$H$6,B606="2012-2013",E606&gt;1000,G606="PLN03"),H606,"")</f>
        <v/>
      </c>
      <c r="AJ606" s="42" t="str">
        <f>IF(AND(C606=Master!$H$6,B606="2012-2013",E606="",G606="PLN03"),H606,"")</f>
        <v/>
      </c>
      <c r="AK606" s="42" t="str">
        <f>IF(AND(C606=Master!$H$7,B606="2012-2013",E606&gt;1000,G606="PLN03"),H606,"")</f>
        <v/>
      </c>
      <c r="AL606" s="42" t="str">
        <f>IF(AND(C606=Master!$H$7,B606="2012-2013",E606="",G606="PLN03"),H606,"")</f>
        <v/>
      </c>
      <c r="AM606" s="42" t="str">
        <f>IF(AND(C606=Master!$H$8,B606="2012-2013",E606&gt;1000,G606="PLN03"),H606,"")</f>
        <v/>
      </c>
      <c r="AN606" s="42" t="str">
        <f>IF(AND(C606=Master!$H$8,B606="2012-2013",E606="",G606="PLN03"),H606,"")</f>
        <v/>
      </c>
      <c r="AO606" s="42" t="str">
        <f>IF(AND(C606=Master!$H$9,B606="2012-2013",E606&gt;1000,G606="PLN03"),H606,"")</f>
        <v/>
      </c>
      <c r="AP606" s="42" t="str">
        <f>IF(AND(C606=Master!$H$9,B606="2012-2013",E606="",G606="PLN03"),H606,"")</f>
        <v/>
      </c>
      <c r="AQ606" s="44" t="str">
        <f>IF(AND(C606=Master!$H$1,B606="2012-2013",E606&gt;1000,G606="NPN05"),H606,"")</f>
        <v/>
      </c>
      <c r="AR606" s="44" t="str">
        <f>IF(AND(C606=Master!$H$1,B606="2012-2013",E606="",G606="NPN05"),H606,"")</f>
        <v/>
      </c>
      <c r="AS606" s="44" t="str">
        <f>IF(AND(C606=Master!$H$2,B606="2012-2013",E606&gt;1000,G606="NPN05"),H606,"")</f>
        <v/>
      </c>
      <c r="AT606" s="44" t="str">
        <f>IF(AND(C606=Master!$H$2,B606="2012-2013",E606="",G606="NPN05"),H606,"")</f>
        <v/>
      </c>
      <c r="AU606" s="44" t="str">
        <f>IF(AND(C606=Master!$H$3,B606="2012-2013",E606&gt;1000,G606="NPN05"),H606,"")</f>
        <v/>
      </c>
      <c r="AV606" s="44" t="str">
        <f>IF(AND(C606=Master!$H$3,B606="2012-2013",E606="",G606="NPN05"),H606,"")</f>
        <v/>
      </c>
      <c r="AW606" s="44" t="str">
        <f>IF(AND(C606=Master!$H$4,B606="2012-2013",E606&gt;1000,G606="NPN05"),H606,"")</f>
        <v/>
      </c>
      <c r="AX606" s="44" t="str">
        <f>IF(AND(C606=Master!$H$4,B606="2012-2013",E606="",G606="NPN05"),H606,"")</f>
        <v/>
      </c>
      <c r="AY606" s="44" t="str">
        <f>IF(AND(C606=Master!$H$5,B606="2012-2013",E606&gt;1000,G606="NPN05"),H606,"")</f>
        <v/>
      </c>
      <c r="AZ606" s="44" t="str">
        <f>IF(AND(C606=Master!$H$5,B606="2012-2013",E606="",G606="NPN05"),H606,"")</f>
        <v/>
      </c>
      <c r="BA606" s="44" t="str">
        <f>IF(AND(C606=Master!$H$6,B606="2012-2013",E606&gt;1000,G606="NPN05"),H606,"")</f>
        <v/>
      </c>
      <c r="BB606" s="44" t="str">
        <f>IF(AND(C606=Master!$H$6,B606="2012-2013",E606="",G606="NPN05"),H606,"")</f>
        <v/>
      </c>
      <c r="BC606" s="44" t="str">
        <f>IF(AND(C606=Master!$H$7,B606="2012-2013",E606&gt;1000,G606="NPN05"),H606,"")</f>
        <v/>
      </c>
      <c r="BD606" s="44" t="str">
        <f>IF(AND(C606=Master!$H$7,B606="2012-2013",E606="",G606="NPN05"),H606,"")</f>
        <v/>
      </c>
      <c r="BE606" s="44" t="str">
        <f>IF(AND(C606=Master!$H$8,B606="2012-2013",E606&gt;1000,G606="NPN05"),H606,"")</f>
        <v/>
      </c>
      <c r="BF606" s="44" t="str">
        <f>IF(AND(C606=Master!$H$8,B606="2012-2013",E606="",G606="NPN05"),H606,"")</f>
        <v/>
      </c>
      <c r="BG606" s="44" t="str">
        <f>IF(AND(C606=Master!$H$9,B606="2012-2013",E606&gt;1000,G606="NPN05"),H606,"")</f>
        <v/>
      </c>
      <c r="BH606" s="44" t="str">
        <f>IF(AND(C606=Master!$H$9,B606="2012-2013",E606="",G606="NPN05"),H606,"")</f>
        <v/>
      </c>
    </row>
    <row r="607" spans="1:60" x14ac:dyDescent="0.25">
      <c r="A607" s="5">
        <v>605</v>
      </c>
      <c r="B607" s="12"/>
      <c r="C607" s="12"/>
      <c r="D607" s="31"/>
      <c r="E607" s="4"/>
      <c r="F607" s="13"/>
      <c r="G607" s="21"/>
      <c r="H607" s="35"/>
      <c r="I607" s="21"/>
      <c r="J607" s="25" t="str">
        <f>IF(NOT(I607=""),INDEX(Master!$B$1:$B$46,MATCH(I607,Master!$A$1:$A$46,0)),"")</f>
        <v/>
      </c>
      <c r="K607" s="18"/>
      <c r="L607" s="86"/>
      <c r="M607" s="13"/>
      <c r="N607" s="13"/>
      <c r="O607" s="18"/>
      <c r="P607" s="35"/>
      <c r="Q607" s="21"/>
      <c r="R607" s="21"/>
      <c r="S607" s="13"/>
      <c r="T607" s="12"/>
      <c r="U607" s="12"/>
      <c r="V607" s="12"/>
      <c r="W607" s="14"/>
      <c r="Y607" s="42" t="str">
        <f>IF(AND(C607=Master!$H$1,B607="2012-2013",E607&gt;1000,G607="PLN03"),H607,"")</f>
        <v/>
      </c>
      <c r="Z607" s="42" t="str">
        <f>IF(AND(C607=Master!$H$1,B607="2012-2013",E607="",G607="PLN03"),H607,"")</f>
        <v/>
      </c>
      <c r="AA607" s="42" t="str">
        <f>IF(AND(C607=Master!$H$2,B607="2012-2013",E607&gt;1000,G607="PLN03"),H607,"")</f>
        <v/>
      </c>
      <c r="AB607" s="42" t="str">
        <f>IF(AND(C607=Master!$H$2,B607="2012-2013",E607="",G607="PLN03"),H607,"")</f>
        <v/>
      </c>
      <c r="AC607" s="42" t="str">
        <f>IF(AND(C607=Master!$H$3,B607="2012-2013",E607&gt;1000,G607="PLN03"),H607,"")</f>
        <v/>
      </c>
      <c r="AD607" s="42" t="str">
        <f>IF(AND(C607=Master!$H$3,B607="2012-2013",E607="",G607="PLN03"),H607,"")</f>
        <v/>
      </c>
      <c r="AE607" s="42" t="str">
        <f>IF(AND(C607=Master!$H$4,B607="2012-2013",E607&gt;1000,G607="PLN03"),H607,"")</f>
        <v/>
      </c>
      <c r="AF607" s="42" t="str">
        <f>IF(AND(C607=Master!$H$4,B607="2012-2013",E607="",G607="PLN03"),H607,"")</f>
        <v/>
      </c>
      <c r="AG607" s="42" t="str">
        <f>IF(AND(C607=Master!$H$5,B607="2012-2013",E607&gt;1000,G607="PLN03"),H607,"")</f>
        <v/>
      </c>
      <c r="AH607" s="42" t="str">
        <f>IF(AND(C607=Master!$H$5,B607="2012-2013",E607="",G607="PLN03"),H607,"")</f>
        <v/>
      </c>
      <c r="AI607" s="42" t="str">
        <f>IF(AND(C607=Master!$H$6,B607="2012-2013",E607&gt;1000,G607="PLN03"),H607,"")</f>
        <v/>
      </c>
      <c r="AJ607" s="42" t="str">
        <f>IF(AND(C607=Master!$H$6,B607="2012-2013",E607="",G607="PLN03"),H607,"")</f>
        <v/>
      </c>
      <c r="AK607" s="42" t="str">
        <f>IF(AND(C607=Master!$H$7,B607="2012-2013",E607&gt;1000,G607="PLN03"),H607,"")</f>
        <v/>
      </c>
      <c r="AL607" s="42" t="str">
        <f>IF(AND(C607=Master!$H$7,B607="2012-2013",E607="",G607="PLN03"),H607,"")</f>
        <v/>
      </c>
      <c r="AM607" s="42" t="str">
        <f>IF(AND(C607=Master!$H$8,B607="2012-2013",E607&gt;1000,G607="PLN03"),H607,"")</f>
        <v/>
      </c>
      <c r="AN607" s="42" t="str">
        <f>IF(AND(C607=Master!$H$8,B607="2012-2013",E607="",G607="PLN03"),H607,"")</f>
        <v/>
      </c>
      <c r="AO607" s="42" t="str">
        <f>IF(AND(C607=Master!$H$9,B607="2012-2013",E607&gt;1000,G607="PLN03"),H607,"")</f>
        <v/>
      </c>
      <c r="AP607" s="42" t="str">
        <f>IF(AND(C607=Master!$H$9,B607="2012-2013",E607="",G607="PLN03"),H607,"")</f>
        <v/>
      </c>
      <c r="AQ607" s="44" t="str">
        <f>IF(AND(C607=Master!$H$1,B607="2012-2013",E607&gt;1000,G607="NPN05"),H607,"")</f>
        <v/>
      </c>
      <c r="AR607" s="44" t="str">
        <f>IF(AND(C607=Master!$H$1,B607="2012-2013",E607="",G607="NPN05"),H607,"")</f>
        <v/>
      </c>
      <c r="AS607" s="44" t="str">
        <f>IF(AND(C607=Master!$H$2,B607="2012-2013",E607&gt;1000,G607="NPN05"),H607,"")</f>
        <v/>
      </c>
      <c r="AT607" s="44" t="str">
        <f>IF(AND(C607=Master!$H$2,B607="2012-2013",E607="",G607="NPN05"),H607,"")</f>
        <v/>
      </c>
      <c r="AU607" s="44" t="str">
        <f>IF(AND(C607=Master!$H$3,B607="2012-2013",E607&gt;1000,G607="NPN05"),H607,"")</f>
        <v/>
      </c>
      <c r="AV607" s="44" t="str">
        <f>IF(AND(C607=Master!$H$3,B607="2012-2013",E607="",G607="NPN05"),H607,"")</f>
        <v/>
      </c>
      <c r="AW607" s="44" t="str">
        <f>IF(AND(C607=Master!$H$4,B607="2012-2013",E607&gt;1000,G607="NPN05"),H607,"")</f>
        <v/>
      </c>
      <c r="AX607" s="44" t="str">
        <f>IF(AND(C607=Master!$H$4,B607="2012-2013",E607="",G607="NPN05"),H607,"")</f>
        <v/>
      </c>
      <c r="AY607" s="44" t="str">
        <f>IF(AND(C607=Master!$H$5,B607="2012-2013",E607&gt;1000,G607="NPN05"),H607,"")</f>
        <v/>
      </c>
      <c r="AZ607" s="44" t="str">
        <f>IF(AND(C607=Master!$H$5,B607="2012-2013",E607="",G607="NPN05"),H607,"")</f>
        <v/>
      </c>
      <c r="BA607" s="44" t="str">
        <f>IF(AND(C607=Master!$H$6,B607="2012-2013",E607&gt;1000,G607="NPN05"),H607,"")</f>
        <v/>
      </c>
      <c r="BB607" s="44" t="str">
        <f>IF(AND(C607=Master!$H$6,B607="2012-2013",E607="",G607="NPN05"),H607,"")</f>
        <v/>
      </c>
      <c r="BC607" s="44" t="str">
        <f>IF(AND(C607=Master!$H$7,B607="2012-2013",E607&gt;1000,G607="NPN05"),H607,"")</f>
        <v/>
      </c>
      <c r="BD607" s="44" t="str">
        <f>IF(AND(C607=Master!$H$7,B607="2012-2013",E607="",G607="NPN05"),H607,"")</f>
        <v/>
      </c>
      <c r="BE607" s="44" t="str">
        <f>IF(AND(C607=Master!$H$8,B607="2012-2013",E607&gt;1000,G607="NPN05"),H607,"")</f>
        <v/>
      </c>
      <c r="BF607" s="44" t="str">
        <f>IF(AND(C607=Master!$H$8,B607="2012-2013",E607="",G607="NPN05"),H607,"")</f>
        <v/>
      </c>
      <c r="BG607" s="44" t="str">
        <f>IF(AND(C607=Master!$H$9,B607="2012-2013",E607&gt;1000,G607="NPN05"),H607,"")</f>
        <v/>
      </c>
      <c r="BH607" s="44" t="str">
        <f>IF(AND(C607=Master!$H$9,B607="2012-2013",E607="",G607="NPN05"),H607,"")</f>
        <v/>
      </c>
    </row>
    <row r="608" spans="1:60" x14ac:dyDescent="0.25">
      <c r="A608" s="3">
        <v>606</v>
      </c>
      <c r="B608" s="12"/>
      <c r="C608" s="12"/>
      <c r="D608" s="31"/>
      <c r="E608" s="4"/>
      <c r="F608" s="13"/>
      <c r="G608" s="21"/>
      <c r="H608" s="35"/>
      <c r="I608" s="21"/>
      <c r="J608" s="25" t="str">
        <f>IF(NOT(I608=""),INDEX(Master!$B$1:$B$46,MATCH(I608,Master!$A$1:$A$46,0)),"")</f>
        <v/>
      </c>
      <c r="K608" s="18"/>
      <c r="L608" s="86"/>
      <c r="M608" s="13"/>
      <c r="N608" s="13"/>
      <c r="O608" s="18"/>
      <c r="P608" s="35"/>
      <c r="Q608" s="21"/>
      <c r="R608" s="21"/>
      <c r="S608" s="13"/>
      <c r="T608" s="12"/>
      <c r="U608" s="12"/>
      <c r="V608" s="12"/>
      <c r="W608" s="14"/>
      <c r="Y608" s="42" t="str">
        <f>IF(AND(C608=Master!$H$1,B608="2012-2013",E608&gt;1000,G608="PLN03"),H608,"")</f>
        <v/>
      </c>
      <c r="Z608" s="42" t="str">
        <f>IF(AND(C608=Master!$H$1,B608="2012-2013",E608="",G608="PLN03"),H608,"")</f>
        <v/>
      </c>
      <c r="AA608" s="42" t="str">
        <f>IF(AND(C608=Master!$H$2,B608="2012-2013",E608&gt;1000,G608="PLN03"),H608,"")</f>
        <v/>
      </c>
      <c r="AB608" s="42" t="str">
        <f>IF(AND(C608=Master!$H$2,B608="2012-2013",E608="",G608="PLN03"),H608,"")</f>
        <v/>
      </c>
      <c r="AC608" s="42" t="str">
        <f>IF(AND(C608=Master!$H$3,B608="2012-2013",E608&gt;1000,G608="PLN03"),H608,"")</f>
        <v/>
      </c>
      <c r="AD608" s="42" t="str">
        <f>IF(AND(C608=Master!$H$3,B608="2012-2013",E608="",G608="PLN03"),H608,"")</f>
        <v/>
      </c>
      <c r="AE608" s="42" t="str">
        <f>IF(AND(C608=Master!$H$4,B608="2012-2013",E608&gt;1000,G608="PLN03"),H608,"")</f>
        <v/>
      </c>
      <c r="AF608" s="42" t="str">
        <f>IF(AND(C608=Master!$H$4,B608="2012-2013",E608="",G608="PLN03"),H608,"")</f>
        <v/>
      </c>
      <c r="AG608" s="42" t="str">
        <f>IF(AND(C608=Master!$H$5,B608="2012-2013",E608&gt;1000,G608="PLN03"),H608,"")</f>
        <v/>
      </c>
      <c r="AH608" s="42" t="str">
        <f>IF(AND(C608=Master!$H$5,B608="2012-2013",E608="",G608="PLN03"),H608,"")</f>
        <v/>
      </c>
      <c r="AI608" s="42" t="str">
        <f>IF(AND(C608=Master!$H$6,B608="2012-2013",E608&gt;1000,G608="PLN03"),H608,"")</f>
        <v/>
      </c>
      <c r="AJ608" s="42" t="str">
        <f>IF(AND(C608=Master!$H$6,B608="2012-2013",E608="",G608="PLN03"),H608,"")</f>
        <v/>
      </c>
      <c r="AK608" s="42" t="str">
        <f>IF(AND(C608=Master!$H$7,B608="2012-2013",E608&gt;1000,G608="PLN03"),H608,"")</f>
        <v/>
      </c>
      <c r="AL608" s="42" t="str">
        <f>IF(AND(C608=Master!$H$7,B608="2012-2013",E608="",G608="PLN03"),H608,"")</f>
        <v/>
      </c>
      <c r="AM608" s="42" t="str">
        <f>IF(AND(C608=Master!$H$8,B608="2012-2013",E608&gt;1000,G608="PLN03"),H608,"")</f>
        <v/>
      </c>
      <c r="AN608" s="42" t="str">
        <f>IF(AND(C608=Master!$H$8,B608="2012-2013",E608="",G608="PLN03"),H608,"")</f>
        <v/>
      </c>
      <c r="AO608" s="42" t="str">
        <f>IF(AND(C608=Master!$H$9,B608="2012-2013",E608&gt;1000,G608="PLN03"),H608,"")</f>
        <v/>
      </c>
      <c r="AP608" s="42" t="str">
        <f>IF(AND(C608=Master!$H$9,B608="2012-2013",E608="",G608="PLN03"),H608,"")</f>
        <v/>
      </c>
      <c r="AQ608" s="44" t="str">
        <f>IF(AND(C608=Master!$H$1,B608="2012-2013",E608&gt;1000,G608="NPN05"),H608,"")</f>
        <v/>
      </c>
      <c r="AR608" s="44" t="str">
        <f>IF(AND(C608=Master!$H$1,B608="2012-2013",E608="",G608="NPN05"),H608,"")</f>
        <v/>
      </c>
      <c r="AS608" s="44" t="str">
        <f>IF(AND(C608=Master!$H$2,B608="2012-2013",E608&gt;1000,G608="NPN05"),H608,"")</f>
        <v/>
      </c>
      <c r="AT608" s="44" t="str">
        <f>IF(AND(C608=Master!$H$2,B608="2012-2013",E608="",G608="NPN05"),H608,"")</f>
        <v/>
      </c>
      <c r="AU608" s="44" t="str">
        <f>IF(AND(C608=Master!$H$3,B608="2012-2013",E608&gt;1000,G608="NPN05"),H608,"")</f>
        <v/>
      </c>
      <c r="AV608" s="44" t="str">
        <f>IF(AND(C608=Master!$H$3,B608="2012-2013",E608="",G608="NPN05"),H608,"")</f>
        <v/>
      </c>
      <c r="AW608" s="44" t="str">
        <f>IF(AND(C608=Master!$H$4,B608="2012-2013",E608&gt;1000,G608="NPN05"),H608,"")</f>
        <v/>
      </c>
      <c r="AX608" s="44" t="str">
        <f>IF(AND(C608=Master!$H$4,B608="2012-2013",E608="",G608="NPN05"),H608,"")</f>
        <v/>
      </c>
      <c r="AY608" s="44" t="str">
        <f>IF(AND(C608=Master!$H$5,B608="2012-2013",E608&gt;1000,G608="NPN05"),H608,"")</f>
        <v/>
      </c>
      <c r="AZ608" s="44" t="str">
        <f>IF(AND(C608=Master!$H$5,B608="2012-2013",E608="",G608="NPN05"),H608,"")</f>
        <v/>
      </c>
      <c r="BA608" s="44" t="str">
        <f>IF(AND(C608=Master!$H$6,B608="2012-2013",E608&gt;1000,G608="NPN05"),H608,"")</f>
        <v/>
      </c>
      <c r="BB608" s="44" t="str">
        <f>IF(AND(C608=Master!$H$6,B608="2012-2013",E608="",G608="NPN05"),H608,"")</f>
        <v/>
      </c>
      <c r="BC608" s="44" t="str">
        <f>IF(AND(C608=Master!$H$7,B608="2012-2013",E608&gt;1000,G608="NPN05"),H608,"")</f>
        <v/>
      </c>
      <c r="BD608" s="44" t="str">
        <f>IF(AND(C608=Master!$H$7,B608="2012-2013",E608="",G608="NPN05"),H608,"")</f>
        <v/>
      </c>
      <c r="BE608" s="44" t="str">
        <f>IF(AND(C608=Master!$H$8,B608="2012-2013",E608&gt;1000,G608="NPN05"),H608,"")</f>
        <v/>
      </c>
      <c r="BF608" s="44" t="str">
        <f>IF(AND(C608=Master!$H$8,B608="2012-2013",E608="",G608="NPN05"),H608,"")</f>
        <v/>
      </c>
      <c r="BG608" s="44" t="str">
        <f>IF(AND(C608=Master!$H$9,B608="2012-2013",E608&gt;1000,G608="NPN05"),H608,"")</f>
        <v/>
      </c>
      <c r="BH608" s="44" t="str">
        <f>IF(AND(C608=Master!$H$9,B608="2012-2013",E608="",G608="NPN05"),H608,"")</f>
        <v/>
      </c>
    </row>
    <row r="609" spans="1:60" x14ac:dyDescent="0.25">
      <c r="A609" s="3">
        <v>607</v>
      </c>
      <c r="B609" s="12"/>
      <c r="C609" s="12"/>
      <c r="D609" s="31"/>
      <c r="E609" s="4"/>
      <c r="F609" s="13"/>
      <c r="G609" s="21"/>
      <c r="H609" s="35"/>
      <c r="I609" s="21"/>
      <c r="J609" s="25" t="str">
        <f>IF(NOT(I609=""),INDEX(Master!$B$1:$B$46,MATCH(I609,Master!$A$1:$A$46,0)),"")</f>
        <v/>
      </c>
      <c r="K609" s="18"/>
      <c r="L609" s="86"/>
      <c r="M609" s="13"/>
      <c r="N609" s="13"/>
      <c r="O609" s="18"/>
      <c r="P609" s="35"/>
      <c r="Q609" s="21"/>
      <c r="R609" s="21"/>
      <c r="S609" s="13"/>
      <c r="T609" s="12"/>
      <c r="U609" s="12"/>
      <c r="V609" s="12"/>
      <c r="W609" s="14"/>
      <c r="Y609" s="42" t="str">
        <f>IF(AND(C609=Master!$H$1,B609="2012-2013",E609&gt;1000,G609="PLN03"),H609,"")</f>
        <v/>
      </c>
      <c r="Z609" s="42" t="str">
        <f>IF(AND(C609=Master!$H$1,B609="2012-2013",E609="",G609="PLN03"),H609,"")</f>
        <v/>
      </c>
      <c r="AA609" s="42" t="str">
        <f>IF(AND(C609=Master!$H$2,B609="2012-2013",E609&gt;1000,G609="PLN03"),H609,"")</f>
        <v/>
      </c>
      <c r="AB609" s="42" t="str">
        <f>IF(AND(C609=Master!$H$2,B609="2012-2013",E609="",G609="PLN03"),H609,"")</f>
        <v/>
      </c>
      <c r="AC609" s="42" t="str">
        <f>IF(AND(C609=Master!$H$3,B609="2012-2013",E609&gt;1000,G609="PLN03"),H609,"")</f>
        <v/>
      </c>
      <c r="AD609" s="42" t="str">
        <f>IF(AND(C609=Master!$H$3,B609="2012-2013",E609="",G609="PLN03"),H609,"")</f>
        <v/>
      </c>
      <c r="AE609" s="42" t="str">
        <f>IF(AND(C609=Master!$H$4,B609="2012-2013",E609&gt;1000,G609="PLN03"),H609,"")</f>
        <v/>
      </c>
      <c r="AF609" s="42" t="str">
        <f>IF(AND(C609=Master!$H$4,B609="2012-2013",E609="",G609="PLN03"),H609,"")</f>
        <v/>
      </c>
      <c r="AG609" s="42" t="str">
        <f>IF(AND(C609=Master!$H$5,B609="2012-2013",E609&gt;1000,G609="PLN03"),H609,"")</f>
        <v/>
      </c>
      <c r="AH609" s="42" t="str">
        <f>IF(AND(C609=Master!$H$5,B609="2012-2013",E609="",G609="PLN03"),H609,"")</f>
        <v/>
      </c>
      <c r="AI609" s="42" t="str">
        <f>IF(AND(C609=Master!$H$6,B609="2012-2013",E609&gt;1000,G609="PLN03"),H609,"")</f>
        <v/>
      </c>
      <c r="AJ609" s="42" t="str">
        <f>IF(AND(C609=Master!$H$6,B609="2012-2013",E609="",G609="PLN03"),H609,"")</f>
        <v/>
      </c>
      <c r="AK609" s="42" t="str">
        <f>IF(AND(C609=Master!$H$7,B609="2012-2013",E609&gt;1000,G609="PLN03"),H609,"")</f>
        <v/>
      </c>
      <c r="AL609" s="42" t="str">
        <f>IF(AND(C609=Master!$H$7,B609="2012-2013",E609="",G609="PLN03"),H609,"")</f>
        <v/>
      </c>
      <c r="AM609" s="42" t="str">
        <f>IF(AND(C609=Master!$H$8,B609="2012-2013",E609&gt;1000,G609="PLN03"),H609,"")</f>
        <v/>
      </c>
      <c r="AN609" s="42" t="str">
        <f>IF(AND(C609=Master!$H$8,B609="2012-2013",E609="",G609="PLN03"),H609,"")</f>
        <v/>
      </c>
      <c r="AO609" s="42" t="str">
        <f>IF(AND(C609=Master!$H$9,B609="2012-2013",E609&gt;1000,G609="PLN03"),H609,"")</f>
        <v/>
      </c>
      <c r="AP609" s="42" t="str">
        <f>IF(AND(C609=Master!$H$9,B609="2012-2013",E609="",G609="PLN03"),H609,"")</f>
        <v/>
      </c>
      <c r="AQ609" s="44" t="str">
        <f>IF(AND(C609=Master!$H$1,B609="2012-2013",E609&gt;1000,G609="NPN05"),H609,"")</f>
        <v/>
      </c>
      <c r="AR609" s="44" t="str">
        <f>IF(AND(C609=Master!$H$1,B609="2012-2013",E609="",G609="NPN05"),H609,"")</f>
        <v/>
      </c>
      <c r="AS609" s="44" t="str">
        <f>IF(AND(C609=Master!$H$2,B609="2012-2013",E609&gt;1000,G609="NPN05"),H609,"")</f>
        <v/>
      </c>
      <c r="AT609" s="44" t="str">
        <f>IF(AND(C609=Master!$H$2,B609="2012-2013",E609="",G609="NPN05"),H609,"")</f>
        <v/>
      </c>
      <c r="AU609" s="44" t="str">
        <f>IF(AND(C609=Master!$H$3,B609="2012-2013",E609&gt;1000,G609="NPN05"),H609,"")</f>
        <v/>
      </c>
      <c r="AV609" s="44" t="str">
        <f>IF(AND(C609=Master!$H$3,B609="2012-2013",E609="",G609="NPN05"),H609,"")</f>
        <v/>
      </c>
      <c r="AW609" s="44" t="str">
        <f>IF(AND(C609=Master!$H$4,B609="2012-2013",E609&gt;1000,G609="NPN05"),H609,"")</f>
        <v/>
      </c>
      <c r="AX609" s="44" t="str">
        <f>IF(AND(C609=Master!$H$4,B609="2012-2013",E609="",G609="NPN05"),H609,"")</f>
        <v/>
      </c>
      <c r="AY609" s="44" t="str">
        <f>IF(AND(C609=Master!$H$5,B609="2012-2013",E609&gt;1000,G609="NPN05"),H609,"")</f>
        <v/>
      </c>
      <c r="AZ609" s="44" t="str">
        <f>IF(AND(C609=Master!$H$5,B609="2012-2013",E609="",G609="NPN05"),H609,"")</f>
        <v/>
      </c>
      <c r="BA609" s="44" t="str">
        <f>IF(AND(C609=Master!$H$6,B609="2012-2013",E609&gt;1000,G609="NPN05"),H609,"")</f>
        <v/>
      </c>
      <c r="BB609" s="44" t="str">
        <f>IF(AND(C609=Master!$H$6,B609="2012-2013",E609="",G609="NPN05"),H609,"")</f>
        <v/>
      </c>
      <c r="BC609" s="44" t="str">
        <f>IF(AND(C609=Master!$H$7,B609="2012-2013",E609&gt;1000,G609="NPN05"),H609,"")</f>
        <v/>
      </c>
      <c r="BD609" s="44" t="str">
        <f>IF(AND(C609=Master!$H$7,B609="2012-2013",E609="",G609="NPN05"),H609,"")</f>
        <v/>
      </c>
      <c r="BE609" s="44" t="str">
        <f>IF(AND(C609=Master!$H$8,B609="2012-2013",E609&gt;1000,G609="NPN05"),H609,"")</f>
        <v/>
      </c>
      <c r="BF609" s="44" t="str">
        <f>IF(AND(C609=Master!$H$8,B609="2012-2013",E609="",G609="NPN05"),H609,"")</f>
        <v/>
      </c>
      <c r="BG609" s="44" t="str">
        <f>IF(AND(C609=Master!$H$9,B609="2012-2013",E609&gt;1000,G609="NPN05"),H609,"")</f>
        <v/>
      </c>
      <c r="BH609" s="44" t="str">
        <f>IF(AND(C609=Master!$H$9,B609="2012-2013",E609="",G609="NPN05"),H609,"")</f>
        <v/>
      </c>
    </row>
    <row r="610" spans="1:60" x14ac:dyDescent="0.25">
      <c r="A610" s="3">
        <v>608</v>
      </c>
      <c r="B610" s="12"/>
      <c r="C610" s="12"/>
      <c r="D610" s="31"/>
      <c r="E610" s="4"/>
      <c r="F610" s="13"/>
      <c r="G610" s="21"/>
      <c r="H610" s="35"/>
      <c r="I610" s="21"/>
      <c r="J610" s="25" t="str">
        <f>IF(NOT(I610=""),INDEX(Master!$B$1:$B$46,MATCH(I610,Master!$A$1:$A$46,0)),"")</f>
        <v/>
      </c>
      <c r="K610" s="18"/>
      <c r="L610" s="86"/>
      <c r="M610" s="13"/>
      <c r="N610" s="13"/>
      <c r="O610" s="18"/>
      <c r="P610" s="35"/>
      <c r="Q610" s="21"/>
      <c r="R610" s="21"/>
      <c r="S610" s="13"/>
      <c r="T610" s="12"/>
      <c r="U610" s="12"/>
      <c r="V610" s="12"/>
      <c r="W610" s="14"/>
      <c r="Y610" s="42" t="str">
        <f>IF(AND(C610=Master!$H$1,B610="2012-2013",E610&gt;1000,G610="PLN03"),H610,"")</f>
        <v/>
      </c>
      <c r="Z610" s="42" t="str">
        <f>IF(AND(C610=Master!$H$1,B610="2012-2013",E610="",G610="PLN03"),H610,"")</f>
        <v/>
      </c>
      <c r="AA610" s="42" t="str">
        <f>IF(AND(C610=Master!$H$2,B610="2012-2013",E610&gt;1000,G610="PLN03"),H610,"")</f>
        <v/>
      </c>
      <c r="AB610" s="42" t="str">
        <f>IF(AND(C610=Master!$H$2,B610="2012-2013",E610="",G610="PLN03"),H610,"")</f>
        <v/>
      </c>
      <c r="AC610" s="42" t="str">
        <f>IF(AND(C610=Master!$H$3,B610="2012-2013",E610&gt;1000,G610="PLN03"),H610,"")</f>
        <v/>
      </c>
      <c r="AD610" s="42" t="str">
        <f>IF(AND(C610=Master!$H$3,B610="2012-2013",E610="",G610="PLN03"),H610,"")</f>
        <v/>
      </c>
      <c r="AE610" s="42" t="str">
        <f>IF(AND(C610=Master!$H$4,B610="2012-2013",E610&gt;1000,G610="PLN03"),H610,"")</f>
        <v/>
      </c>
      <c r="AF610" s="42" t="str">
        <f>IF(AND(C610=Master!$H$4,B610="2012-2013",E610="",G610="PLN03"),H610,"")</f>
        <v/>
      </c>
      <c r="AG610" s="42" t="str">
        <f>IF(AND(C610=Master!$H$5,B610="2012-2013",E610&gt;1000,G610="PLN03"),H610,"")</f>
        <v/>
      </c>
      <c r="AH610" s="42" t="str">
        <f>IF(AND(C610=Master!$H$5,B610="2012-2013",E610="",G610="PLN03"),H610,"")</f>
        <v/>
      </c>
      <c r="AI610" s="42" t="str">
        <f>IF(AND(C610=Master!$H$6,B610="2012-2013",E610&gt;1000,G610="PLN03"),H610,"")</f>
        <v/>
      </c>
      <c r="AJ610" s="42" t="str">
        <f>IF(AND(C610=Master!$H$6,B610="2012-2013",E610="",G610="PLN03"),H610,"")</f>
        <v/>
      </c>
      <c r="AK610" s="42" t="str">
        <f>IF(AND(C610=Master!$H$7,B610="2012-2013",E610&gt;1000,G610="PLN03"),H610,"")</f>
        <v/>
      </c>
      <c r="AL610" s="42" t="str">
        <f>IF(AND(C610=Master!$H$7,B610="2012-2013",E610="",G610="PLN03"),H610,"")</f>
        <v/>
      </c>
      <c r="AM610" s="42" t="str">
        <f>IF(AND(C610=Master!$H$8,B610="2012-2013",E610&gt;1000,G610="PLN03"),H610,"")</f>
        <v/>
      </c>
      <c r="AN610" s="42" t="str">
        <f>IF(AND(C610=Master!$H$8,B610="2012-2013",E610="",G610="PLN03"),H610,"")</f>
        <v/>
      </c>
      <c r="AO610" s="42" t="str">
        <f>IF(AND(C610=Master!$H$9,B610="2012-2013",E610&gt;1000,G610="PLN03"),H610,"")</f>
        <v/>
      </c>
      <c r="AP610" s="42" t="str">
        <f>IF(AND(C610=Master!$H$9,B610="2012-2013",E610="",G610="PLN03"),H610,"")</f>
        <v/>
      </c>
      <c r="AQ610" s="44" t="str">
        <f>IF(AND(C610=Master!$H$1,B610="2012-2013",E610&gt;1000,G610="NPN05"),H610,"")</f>
        <v/>
      </c>
      <c r="AR610" s="44" t="str">
        <f>IF(AND(C610=Master!$H$1,B610="2012-2013",E610="",G610="NPN05"),H610,"")</f>
        <v/>
      </c>
      <c r="AS610" s="44" t="str">
        <f>IF(AND(C610=Master!$H$2,B610="2012-2013",E610&gt;1000,G610="NPN05"),H610,"")</f>
        <v/>
      </c>
      <c r="AT610" s="44" t="str">
        <f>IF(AND(C610=Master!$H$2,B610="2012-2013",E610="",G610="NPN05"),H610,"")</f>
        <v/>
      </c>
      <c r="AU610" s="44" t="str">
        <f>IF(AND(C610=Master!$H$3,B610="2012-2013",E610&gt;1000,G610="NPN05"),H610,"")</f>
        <v/>
      </c>
      <c r="AV610" s="44" t="str">
        <f>IF(AND(C610=Master!$H$3,B610="2012-2013",E610="",G610="NPN05"),H610,"")</f>
        <v/>
      </c>
      <c r="AW610" s="44" t="str">
        <f>IF(AND(C610=Master!$H$4,B610="2012-2013",E610&gt;1000,G610="NPN05"),H610,"")</f>
        <v/>
      </c>
      <c r="AX610" s="44" t="str">
        <f>IF(AND(C610=Master!$H$4,B610="2012-2013",E610="",G610="NPN05"),H610,"")</f>
        <v/>
      </c>
      <c r="AY610" s="44" t="str">
        <f>IF(AND(C610=Master!$H$5,B610="2012-2013",E610&gt;1000,G610="NPN05"),H610,"")</f>
        <v/>
      </c>
      <c r="AZ610" s="44" t="str">
        <f>IF(AND(C610=Master!$H$5,B610="2012-2013",E610="",G610="NPN05"),H610,"")</f>
        <v/>
      </c>
      <c r="BA610" s="44" t="str">
        <f>IF(AND(C610=Master!$H$6,B610="2012-2013",E610&gt;1000,G610="NPN05"),H610,"")</f>
        <v/>
      </c>
      <c r="BB610" s="44" t="str">
        <f>IF(AND(C610=Master!$H$6,B610="2012-2013",E610="",G610="NPN05"),H610,"")</f>
        <v/>
      </c>
      <c r="BC610" s="44" t="str">
        <f>IF(AND(C610=Master!$H$7,B610="2012-2013",E610&gt;1000,G610="NPN05"),H610,"")</f>
        <v/>
      </c>
      <c r="BD610" s="44" t="str">
        <f>IF(AND(C610=Master!$H$7,B610="2012-2013",E610="",G610="NPN05"),H610,"")</f>
        <v/>
      </c>
      <c r="BE610" s="44" t="str">
        <f>IF(AND(C610=Master!$H$8,B610="2012-2013",E610&gt;1000,G610="NPN05"),H610,"")</f>
        <v/>
      </c>
      <c r="BF610" s="44" t="str">
        <f>IF(AND(C610=Master!$H$8,B610="2012-2013",E610="",G610="NPN05"),H610,"")</f>
        <v/>
      </c>
      <c r="BG610" s="44" t="str">
        <f>IF(AND(C610=Master!$H$9,B610="2012-2013",E610&gt;1000,G610="NPN05"),H610,"")</f>
        <v/>
      </c>
      <c r="BH610" s="44" t="str">
        <f>IF(AND(C610=Master!$H$9,B610="2012-2013",E610="",G610="NPN05"),H610,"")</f>
        <v/>
      </c>
    </row>
    <row r="611" spans="1:60" x14ac:dyDescent="0.25">
      <c r="A611" s="3">
        <v>609</v>
      </c>
      <c r="B611" s="12"/>
      <c r="C611" s="12"/>
      <c r="D611" s="31"/>
      <c r="E611" s="4"/>
      <c r="F611" s="13"/>
      <c r="G611" s="21"/>
      <c r="H611" s="35"/>
      <c r="I611" s="21"/>
      <c r="J611" s="25" t="str">
        <f>IF(NOT(I611=""),INDEX(Master!$B$1:$B$46,MATCH(I611,Master!$A$1:$A$46,0)),"")</f>
        <v/>
      </c>
      <c r="K611" s="18"/>
      <c r="L611" s="86"/>
      <c r="M611" s="13"/>
      <c r="N611" s="13"/>
      <c r="O611" s="18"/>
      <c r="P611" s="35"/>
      <c r="Q611" s="21"/>
      <c r="R611" s="21"/>
      <c r="S611" s="13"/>
      <c r="T611" s="12"/>
      <c r="U611" s="12"/>
      <c r="V611" s="12"/>
      <c r="W611" s="14"/>
      <c r="Y611" s="42" t="str">
        <f>IF(AND(C611=Master!$H$1,B611="2012-2013",E611&gt;1000,G611="PLN03"),H611,"")</f>
        <v/>
      </c>
      <c r="Z611" s="42" t="str">
        <f>IF(AND(C611=Master!$H$1,B611="2012-2013",E611="",G611="PLN03"),H611,"")</f>
        <v/>
      </c>
      <c r="AA611" s="42" t="str">
        <f>IF(AND(C611=Master!$H$2,B611="2012-2013",E611&gt;1000,G611="PLN03"),H611,"")</f>
        <v/>
      </c>
      <c r="AB611" s="42" t="str">
        <f>IF(AND(C611=Master!$H$2,B611="2012-2013",E611="",G611="PLN03"),H611,"")</f>
        <v/>
      </c>
      <c r="AC611" s="42" t="str">
        <f>IF(AND(C611=Master!$H$3,B611="2012-2013",E611&gt;1000,G611="PLN03"),H611,"")</f>
        <v/>
      </c>
      <c r="AD611" s="42" t="str">
        <f>IF(AND(C611=Master!$H$3,B611="2012-2013",E611="",G611="PLN03"),H611,"")</f>
        <v/>
      </c>
      <c r="AE611" s="42" t="str">
        <f>IF(AND(C611=Master!$H$4,B611="2012-2013",E611&gt;1000,G611="PLN03"),H611,"")</f>
        <v/>
      </c>
      <c r="AF611" s="42" t="str">
        <f>IF(AND(C611=Master!$H$4,B611="2012-2013",E611="",G611="PLN03"),H611,"")</f>
        <v/>
      </c>
      <c r="AG611" s="42" t="str">
        <f>IF(AND(C611=Master!$H$5,B611="2012-2013",E611&gt;1000,G611="PLN03"),H611,"")</f>
        <v/>
      </c>
      <c r="AH611" s="42" t="str">
        <f>IF(AND(C611=Master!$H$5,B611="2012-2013",E611="",G611="PLN03"),H611,"")</f>
        <v/>
      </c>
      <c r="AI611" s="42" t="str">
        <f>IF(AND(C611=Master!$H$6,B611="2012-2013",E611&gt;1000,G611="PLN03"),H611,"")</f>
        <v/>
      </c>
      <c r="AJ611" s="42" t="str">
        <f>IF(AND(C611=Master!$H$6,B611="2012-2013",E611="",G611="PLN03"),H611,"")</f>
        <v/>
      </c>
      <c r="AK611" s="42" t="str">
        <f>IF(AND(C611=Master!$H$7,B611="2012-2013",E611&gt;1000,G611="PLN03"),H611,"")</f>
        <v/>
      </c>
      <c r="AL611" s="42" t="str">
        <f>IF(AND(C611=Master!$H$7,B611="2012-2013",E611="",G611="PLN03"),H611,"")</f>
        <v/>
      </c>
      <c r="AM611" s="42" t="str">
        <f>IF(AND(C611=Master!$H$8,B611="2012-2013",E611&gt;1000,G611="PLN03"),H611,"")</f>
        <v/>
      </c>
      <c r="AN611" s="42" t="str">
        <f>IF(AND(C611=Master!$H$8,B611="2012-2013",E611="",G611="PLN03"),H611,"")</f>
        <v/>
      </c>
      <c r="AO611" s="42" t="str">
        <f>IF(AND(C611=Master!$H$9,B611="2012-2013",E611&gt;1000,G611="PLN03"),H611,"")</f>
        <v/>
      </c>
      <c r="AP611" s="42" t="str">
        <f>IF(AND(C611=Master!$H$9,B611="2012-2013",E611="",G611="PLN03"),H611,"")</f>
        <v/>
      </c>
      <c r="AQ611" s="44" t="str">
        <f>IF(AND(C611=Master!$H$1,B611="2012-2013",E611&gt;1000,G611="NPN05"),H611,"")</f>
        <v/>
      </c>
      <c r="AR611" s="44" t="str">
        <f>IF(AND(C611=Master!$H$1,B611="2012-2013",E611="",G611="NPN05"),H611,"")</f>
        <v/>
      </c>
      <c r="AS611" s="44" t="str">
        <f>IF(AND(C611=Master!$H$2,B611="2012-2013",E611&gt;1000,G611="NPN05"),H611,"")</f>
        <v/>
      </c>
      <c r="AT611" s="44" t="str">
        <f>IF(AND(C611=Master!$H$2,B611="2012-2013",E611="",G611="NPN05"),H611,"")</f>
        <v/>
      </c>
      <c r="AU611" s="44" t="str">
        <f>IF(AND(C611=Master!$H$3,B611="2012-2013",E611&gt;1000,G611="NPN05"),H611,"")</f>
        <v/>
      </c>
      <c r="AV611" s="44" t="str">
        <f>IF(AND(C611=Master!$H$3,B611="2012-2013",E611="",G611="NPN05"),H611,"")</f>
        <v/>
      </c>
      <c r="AW611" s="44" t="str">
        <f>IF(AND(C611=Master!$H$4,B611="2012-2013",E611&gt;1000,G611="NPN05"),H611,"")</f>
        <v/>
      </c>
      <c r="AX611" s="44" t="str">
        <f>IF(AND(C611=Master!$H$4,B611="2012-2013",E611="",G611="NPN05"),H611,"")</f>
        <v/>
      </c>
      <c r="AY611" s="44" t="str">
        <f>IF(AND(C611=Master!$H$5,B611="2012-2013",E611&gt;1000,G611="NPN05"),H611,"")</f>
        <v/>
      </c>
      <c r="AZ611" s="44" t="str">
        <f>IF(AND(C611=Master!$H$5,B611="2012-2013",E611="",G611="NPN05"),H611,"")</f>
        <v/>
      </c>
      <c r="BA611" s="44" t="str">
        <f>IF(AND(C611=Master!$H$6,B611="2012-2013",E611&gt;1000,G611="NPN05"),H611,"")</f>
        <v/>
      </c>
      <c r="BB611" s="44" t="str">
        <f>IF(AND(C611=Master!$H$6,B611="2012-2013",E611="",G611="NPN05"),H611,"")</f>
        <v/>
      </c>
      <c r="BC611" s="44" t="str">
        <f>IF(AND(C611=Master!$H$7,B611="2012-2013",E611&gt;1000,G611="NPN05"),H611,"")</f>
        <v/>
      </c>
      <c r="BD611" s="44" t="str">
        <f>IF(AND(C611=Master!$H$7,B611="2012-2013",E611="",G611="NPN05"),H611,"")</f>
        <v/>
      </c>
      <c r="BE611" s="44" t="str">
        <f>IF(AND(C611=Master!$H$8,B611="2012-2013",E611&gt;1000,G611="NPN05"),H611,"")</f>
        <v/>
      </c>
      <c r="BF611" s="44" t="str">
        <f>IF(AND(C611=Master!$H$8,B611="2012-2013",E611="",G611="NPN05"),H611,"")</f>
        <v/>
      </c>
      <c r="BG611" s="44" t="str">
        <f>IF(AND(C611=Master!$H$9,B611="2012-2013",E611&gt;1000,G611="NPN05"),H611,"")</f>
        <v/>
      </c>
      <c r="BH611" s="44" t="str">
        <f>IF(AND(C611=Master!$H$9,B611="2012-2013",E611="",G611="NPN05"),H611,"")</f>
        <v/>
      </c>
    </row>
    <row r="612" spans="1:60" x14ac:dyDescent="0.25">
      <c r="A612" s="3">
        <v>610</v>
      </c>
      <c r="B612" s="12"/>
      <c r="C612" s="12"/>
      <c r="D612" s="31"/>
      <c r="E612" s="4"/>
      <c r="F612" s="13"/>
      <c r="G612" s="21"/>
      <c r="H612" s="35"/>
      <c r="I612" s="21"/>
      <c r="J612" s="25" t="str">
        <f>IF(NOT(I612=""),INDEX(Master!$B$1:$B$46,MATCH(I612,Master!$A$1:$A$46,0)),"")</f>
        <v/>
      </c>
      <c r="K612" s="18"/>
      <c r="L612" s="86"/>
      <c r="M612" s="13"/>
      <c r="N612" s="13"/>
      <c r="O612" s="18"/>
      <c r="P612" s="35"/>
      <c r="Q612" s="21"/>
      <c r="R612" s="21"/>
      <c r="S612" s="13"/>
      <c r="T612" s="12"/>
      <c r="U612" s="12"/>
      <c r="V612" s="12"/>
      <c r="W612" s="14"/>
      <c r="Y612" s="42" t="str">
        <f>IF(AND(C612=Master!$H$1,B612="2012-2013",E612&gt;1000,G612="PLN03"),H612,"")</f>
        <v/>
      </c>
      <c r="Z612" s="42" t="str">
        <f>IF(AND(C612=Master!$H$1,B612="2012-2013",E612="",G612="PLN03"),H612,"")</f>
        <v/>
      </c>
      <c r="AA612" s="42" t="str">
        <f>IF(AND(C612=Master!$H$2,B612="2012-2013",E612&gt;1000,G612="PLN03"),H612,"")</f>
        <v/>
      </c>
      <c r="AB612" s="42" t="str">
        <f>IF(AND(C612=Master!$H$2,B612="2012-2013",E612="",G612="PLN03"),H612,"")</f>
        <v/>
      </c>
      <c r="AC612" s="42" t="str">
        <f>IF(AND(C612=Master!$H$3,B612="2012-2013",E612&gt;1000,G612="PLN03"),H612,"")</f>
        <v/>
      </c>
      <c r="AD612" s="42" t="str">
        <f>IF(AND(C612=Master!$H$3,B612="2012-2013",E612="",G612="PLN03"),H612,"")</f>
        <v/>
      </c>
      <c r="AE612" s="42" t="str">
        <f>IF(AND(C612=Master!$H$4,B612="2012-2013",E612&gt;1000,G612="PLN03"),H612,"")</f>
        <v/>
      </c>
      <c r="AF612" s="42" t="str">
        <f>IF(AND(C612=Master!$H$4,B612="2012-2013",E612="",G612="PLN03"),H612,"")</f>
        <v/>
      </c>
      <c r="AG612" s="42" t="str">
        <f>IF(AND(C612=Master!$H$5,B612="2012-2013",E612&gt;1000,G612="PLN03"),H612,"")</f>
        <v/>
      </c>
      <c r="AH612" s="42" t="str">
        <f>IF(AND(C612=Master!$H$5,B612="2012-2013",E612="",G612="PLN03"),H612,"")</f>
        <v/>
      </c>
      <c r="AI612" s="42" t="str">
        <f>IF(AND(C612=Master!$H$6,B612="2012-2013",E612&gt;1000,G612="PLN03"),H612,"")</f>
        <v/>
      </c>
      <c r="AJ612" s="42" t="str">
        <f>IF(AND(C612=Master!$H$6,B612="2012-2013",E612="",G612="PLN03"),H612,"")</f>
        <v/>
      </c>
      <c r="AK612" s="42" t="str">
        <f>IF(AND(C612=Master!$H$7,B612="2012-2013",E612&gt;1000,G612="PLN03"),H612,"")</f>
        <v/>
      </c>
      <c r="AL612" s="42" t="str">
        <f>IF(AND(C612=Master!$H$7,B612="2012-2013",E612="",G612="PLN03"),H612,"")</f>
        <v/>
      </c>
      <c r="AM612" s="42" t="str">
        <f>IF(AND(C612=Master!$H$8,B612="2012-2013",E612&gt;1000,G612="PLN03"),H612,"")</f>
        <v/>
      </c>
      <c r="AN612" s="42" t="str">
        <f>IF(AND(C612=Master!$H$8,B612="2012-2013",E612="",G612="PLN03"),H612,"")</f>
        <v/>
      </c>
      <c r="AO612" s="42" t="str">
        <f>IF(AND(C612=Master!$H$9,B612="2012-2013",E612&gt;1000,G612="PLN03"),H612,"")</f>
        <v/>
      </c>
      <c r="AP612" s="42" t="str">
        <f>IF(AND(C612=Master!$H$9,B612="2012-2013",E612="",G612="PLN03"),H612,"")</f>
        <v/>
      </c>
      <c r="AQ612" s="44" t="str">
        <f>IF(AND(C612=Master!$H$1,B612="2012-2013",E612&gt;1000,G612="NPN05"),H612,"")</f>
        <v/>
      </c>
      <c r="AR612" s="44" t="str">
        <f>IF(AND(C612=Master!$H$1,B612="2012-2013",E612="",G612="NPN05"),H612,"")</f>
        <v/>
      </c>
      <c r="AS612" s="44" t="str">
        <f>IF(AND(C612=Master!$H$2,B612="2012-2013",E612&gt;1000,G612="NPN05"),H612,"")</f>
        <v/>
      </c>
      <c r="AT612" s="44" t="str">
        <f>IF(AND(C612=Master!$H$2,B612="2012-2013",E612="",G612="NPN05"),H612,"")</f>
        <v/>
      </c>
      <c r="AU612" s="44" t="str">
        <f>IF(AND(C612=Master!$H$3,B612="2012-2013",E612&gt;1000,G612="NPN05"),H612,"")</f>
        <v/>
      </c>
      <c r="AV612" s="44" t="str">
        <f>IF(AND(C612=Master!$H$3,B612="2012-2013",E612="",G612="NPN05"),H612,"")</f>
        <v/>
      </c>
      <c r="AW612" s="44" t="str">
        <f>IF(AND(C612=Master!$H$4,B612="2012-2013",E612&gt;1000,G612="NPN05"),H612,"")</f>
        <v/>
      </c>
      <c r="AX612" s="44" t="str">
        <f>IF(AND(C612=Master!$H$4,B612="2012-2013",E612="",G612="NPN05"),H612,"")</f>
        <v/>
      </c>
      <c r="AY612" s="44" t="str">
        <f>IF(AND(C612=Master!$H$5,B612="2012-2013",E612&gt;1000,G612="NPN05"),H612,"")</f>
        <v/>
      </c>
      <c r="AZ612" s="44" t="str">
        <f>IF(AND(C612=Master!$H$5,B612="2012-2013",E612="",G612="NPN05"),H612,"")</f>
        <v/>
      </c>
      <c r="BA612" s="44" t="str">
        <f>IF(AND(C612=Master!$H$6,B612="2012-2013",E612&gt;1000,G612="NPN05"),H612,"")</f>
        <v/>
      </c>
      <c r="BB612" s="44" t="str">
        <f>IF(AND(C612=Master!$H$6,B612="2012-2013",E612="",G612="NPN05"),H612,"")</f>
        <v/>
      </c>
      <c r="BC612" s="44" t="str">
        <f>IF(AND(C612=Master!$H$7,B612="2012-2013",E612&gt;1000,G612="NPN05"),H612,"")</f>
        <v/>
      </c>
      <c r="BD612" s="44" t="str">
        <f>IF(AND(C612=Master!$H$7,B612="2012-2013",E612="",G612="NPN05"),H612,"")</f>
        <v/>
      </c>
      <c r="BE612" s="44" t="str">
        <f>IF(AND(C612=Master!$H$8,B612="2012-2013",E612&gt;1000,G612="NPN05"),H612,"")</f>
        <v/>
      </c>
      <c r="BF612" s="44" t="str">
        <f>IF(AND(C612=Master!$H$8,B612="2012-2013",E612="",G612="NPN05"),H612,"")</f>
        <v/>
      </c>
      <c r="BG612" s="44" t="str">
        <f>IF(AND(C612=Master!$H$9,B612="2012-2013",E612&gt;1000,G612="NPN05"),H612,"")</f>
        <v/>
      </c>
      <c r="BH612" s="44" t="str">
        <f>IF(AND(C612=Master!$H$9,B612="2012-2013",E612="",G612="NPN05"),H612,"")</f>
        <v/>
      </c>
    </row>
    <row r="613" spans="1:60" x14ac:dyDescent="0.25">
      <c r="A613" s="3">
        <v>611</v>
      </c>
      <c r="B613" s="12"/>
      <c r="C613" s="12"/>
      <c r="D613" s="31"/>
      <c r="E613" s="4"/>
      <c r="F613" s="13"/>
      <c r="G613" s="21"/>
      <c r="H613" s="35"/>
      <c r="I613" s="21"/>
      <c r="J613" s="25" t="str">
        <f>IF(NOT(I613=""),INDEX(Master!$B$1:$B$46,MATCH(I613,Master!$A$1:$A$46,0)),"")</f>
        <v/>
      </c>
      <c r="K613" s="18"/>
      <c r="L613" s="86"/>
      <c r="M613" s="13"/>
      <c r="N613" s="13"/>
      <c r="O613" s="18"/>
      <c r="P613" s="35"/>
      <c r="Q613" s="21"/>
      <c r="R613" s="21"/>
      <c r="S613" s="13"/>
      <c r="T613" s="12"/>
      <c r="U613" s="12"/>
      <c r="V613" s="12"/>
      <c r="W613" s="14"/>
      <c r="Y613" s="42" t="str">
        <f>IF(AND(C613=Master!$H$1,B613="2012-2013",E613&gt;1000,G613="PLN03"),H613,"")</f>
        <v/>
      </c>
      <c r="Z613" s="42" t="str">
        <f>IF(AND(C613=Master!$H$1,B613="2012-2013",E613="",G613="PLN03"),H613,"")</f>
        <v/>
      </c>
      <c r="AA613" s="42" t="str">
        <f>IF(AND(C613=Master!$H$2,B613="2012-2013",E613&gt;1000,G613="PLN03"),H613,"")</f>
        <v/>
      </c>
      <c r="AB613" s="42" t="str">
        <f>IF(AND(C613=Master!$H$2,B613="2012-2013",E613="",G613="PLN03"),H613,"")</f>
        <v/>
      </c>
      <c r="AC613" s="42" t="str">
        <f>IF(AND(C613=Master!$H$3,B613="2012-2013",E613&gt;1000,G613="PLN03"),H613,"")</f>
        <v/>
      </c>
      <c r="AD613" s="42" t="str">
        <f>IF(AND(C613=Master!$H$3,B613="2012-2013",E613="",G613="PLN03"),H613,"")</f>
        <v/>
      </c>
      <c r="AE613" s="42" t="str">
        <f>IF(AND(C613=Master!$H$4,B613="2012-2013",E613&gt;1000,G613="PLN03"),H613,"")</f>
        <v/>
      </c>
      <c r="AF613" s="42" t="str">
        <f>IF(AND(C613=Master!$H$4,B613="2012-2013",E613="",G613="PLN03"),H613,"")</f>
        <v/>
      </c>
      <c r="AG613" s="42" t="str">
        <f>IF(AND(C613=Master!$H$5,B613="2012-2013",E613&gt;1000,G613="PLN03"),H613,"")</f>
        <v/>
      </c>
      <c r="AH613" s="42" t="str">
        <f>IF(AND(C613=Master!$H$5,B613="2012-2013",E613="",G613="PLN03"),H613,"")</f>
        <v/>
      </c>
      <c r="AI613" s="42" t="str">
        <f>IF(AND(C613=Master!$H$6,B613="2012-2013",E613&gt;1000,G613="PLN03"),H613,"")</f>
        <v/>
      </c>
      <c r="AJ613" s="42" t="str">
        <f>IF(AND(C613=Master!$H$6,B613="2012-2013",E613="",G613="PLN03"),H613,"")</f>
        <v/>
      </c>
      <c r="AK613" s="42" t="str">
        <f>IF(AND(C613=Master!$H$7,B613="2012-2013",E613&gt;1000,G613="PLN03"),H613,"")</f>
        <v/>
      </c>
      <c r="AL613" s="42" t="str">
        <f>IF(AND(C613=Master!$H$7,B613="2012-2013",E613="",G613="PLN03"),H613,"")</f>
        <v/>
      </c>
      <c r="AM613" s="42" t="str">
        <f>IF(AND(C613=Master!$H$8,B613="2012-2013",E613&gt;1000,G613="PLN03"),H613,"")</f>
        <v/>
      </c>
      <c r="AN613" s="42" t="str">
        <f>IF(AND(C613=Master!$H$8,B613="2012-2013",E613="",G613="PLN03"),H613,"")</f>
        <v/>
      </c>
      <c r="AO613" s="42" t="str">
        <f>IF(AND(C613=Master!$H$9,B613="2012-2013",E613&gt;1000,G613="PLN03"),H613,"")</f>
        <v/>
      </c>
      <c r="AP613" s="42" t="str">
        <f>IF(AND(C613=Master!$H$9,B613="2012-2013",E613="",G613="PLN03"),H613,"")</f>
        <v/>
      </c>
      <c r="AQ613" s="44" t="str">
        <f>IF(AND(C613=Master!$H$1,B613="2012-2013",E613&gt;1000,G613="NPN05"),H613,"")</f>
        <v/>
      </c>
      <c r="AR613" s="44" t="str">
        <f>IF(AND(C613=Master!$H$1,B613="2012-2013",E613="",G613="NPN05"),H613,"")</f>
        <v/>
      </c>
      <c r="AS613" s="44" t="str">
        <f>IF(AND(C613=Master!$H$2,B613="2012-2013",E613&gt;1000,G613="NPN05"),H613,"")</f>
        <v/>
      </c>
      <c r="AT613" s="44" t="str">
        <f>IF(AND(C613=Master!$H$2,B613="2012-2013",E613="",G613="NPN05"),H613,"")</f>
        <v/>
      </c>
      <c r="AU613" s="44" t="str">
        <f>IF(AND(C613=Master!$H$3,B613="2012-2013",E613&gt;1000,G613="NPN05"),H613,"")</f>
        <v/>
      </c>
      <c r="AV613" s="44" t="str">
        <f>IF(AND(C613=Master!$H$3,B613="2012-2013",E613="",G613="NPN05"),H613,"")</f>
        <v/>
      </c>
      <c r="AW613" s="44" t="str">
        <f>IF(AND(C613=Master!$H$4,B613="2012-2013",E613&gt;1000,G613="NPN05"),H613,"")</f>
        <v/>
      </c>
      <c r="AX613" s="44" t="str">
        <f>IF(AND(C613=Master!$H$4,B613="2012-2013",E613="",G613="NPN05"),H613,"")</f>
        <v/>
      </c>
      <c r="AY613" s="44" t="str">
        <f>IF(AND(C613=Master!$H$5,B613="2012-2013",E613&gt;1000,G613="NPN05"),H613,"")</f>
        <v/>
      </c>
      <c r="AZ613" s="44" t="str">
        <f>IF(AND(C613=Master!$H$5,B613="2012-2013",E613="",G613="NPN05"),H613,"")</f>
        <v/>
      </c>
      <c r="BA613" s="44" t="str">
        <f>IF(AND(C613=Master!$H$6,B613="2012-2013",E613&gt;1000,G613="NPN05"),H613,"")</f>
        <v/>
      </c>
      <c r="BB613" s="44" t="str">
        <f>IF(AND(C613=Master!$H$6,B613="2012-2013",E613="",G613="NPN05"),H613,"")</f>
        <v/>
      </c>
      <c r="BC613" s="44" t="str">
        <f>IF(AND(C613=Master!$H$7,B613="2012-2013",E613&gt;1000,G613="NPN05"),H613,"")</f>
        <v/>
      </c>
      <c r="BD613" s="44" t="str">
        <f>IF(AND(C613=Master!$H$7,B613="2012-2013",E613="",G613="NPN05"),H613,"")</f>
        <v/>
      </c>
      <c r="BE613" s="44" t="str">
        <f>IF(AND(C613=Master!$H$8,B613="2012-2013",E613&gt;1000,G613="NPN05"),H613,"")</f>
        <v/>
      </c>
      <c r="BF613" s="44" t="str">
        <f>IF(AND(C613=Master!$H$8,B613="2012-2013",E613="",G613="NPN05"),H613,"")</f>
        <v/>
      </c>
      <c r="BG613" s="44" t="str">
        <f>IF(AND(C613=Master!$H$9,B613="2012-2013",E613&gt;1000,G613="NPN05"),H613,"")</f>
        <v/>
      </c>
      <c r="BH613" s="44" t="str">
        <f>IF(AND(C613=Master!$H$9,B613="2012-2013",E613="",G613="NPN05"),H613,"")</f>
        <v/>
      </c>
    </row>
    <row r="614" spans="1:60" x14ac:dyDescent="0.25">
      <c r="A614" s="3">
        <v>612</v>
      </c>
      <c r="B614" s="12"/>
      <c r="C614" s="12"/>
      <c r="D614" s="31"/>
      <c r="E614" s="4"/>
      <c r="F614" s="13"/>
      <c r="G614" s="21"/>
      <c r="H614" s="35"/>
      <c r="I614" s="21"/>
      <c r="J614" s="25" t="str">
        <f>IF(NOT(I614=""),INDEX(Master!$B$1:$B$46,MATCH(I614,Master!$A$1:$A$46,0)),"")</f>
        <v/>
      </c>
      <c r="K614" s="18"/>
      <c r="L614" s="86"/>
      <c r="M614" s="13"/>
      <c r="N614" s="13"/>
      <c r="O614" s="18"/>
      <c r="P614" s="35"/>
      <c r="Q614" s="21"/>
      <c r="R614" s="21"/>
      <c r="S614" s="13"/>
      <c r="T614" s="12"/>
      <c r="U614" s="12"/>
      <c r="V614" s="12"/>
      <c r="W614" s="14"/>
      <c r="Y614" s="42" t="str">
        <f>IF(AND(C614=Master!$H$1,B614="2012-2013",E614&gt;1000,G614="PLN03"),H614,"")</f>
        <v/>
      </c>
      <c r="Z614" s="42" t="str">
        <f>IF(AND(C614=Master!$H$1,B614="2012-2013",E614="",G614="PLN03"),H614,"")</f>
        <v/>
      </c>
      <c r="AA614" s="42" t="str">
        <f>IF(AND(C614=Master!$H$2,B614="2012-2013",E614&gt;1000,G614="PLN03"),H614,"")</f>
        <v/>
      </c>
      <c r="AB614" s="42" t="str">
        <f>IF(AND(C614=Master!$H$2,B614="2012-2013",E614="",G614="PLN03"),H614,"")</f>
        <v/>
      </c>
      <c r="AC614" s="42" t="str">
        <f>IF(AND(C614=Master!$H$3,B614="2012-2013",E614&gt;1000,G614="PLN03"),H614,"")</f>
        <v/>
      </c>
      <c r="AD614" s="42" t="str">
        <f>IF(AND(C614=Master!$H$3,B614="2012-2013",E614="",G614="PLN03"),H614,"")</f>
        <v/>
      </c>
      <c r="AE614" s="42" t="str">
        <f>IF(AND(C614=Master!$H$4,B614="2012-2013",E614&gt;1000,G614="PLN03"),H614,"")</f>
        <v/>
      </c>
      <c r="AF614" s="42" t="str">
        <f>IF(AND(C614=Master!$H$4,B614="2012-2013",E614="",G614="PLN03"),H614,"")</f>
        <v/>
      </c>
      <c r="AG614" s="42" t="str">
        <f>IF(AND(C614=Master!$H$5,B614="2012-2013",E614&gt;1000,G614="PLN03"),H614,"")</f>
        <v/>
      </c>
      <c r="AH614" s="42" t="str">
        <f>IF(AND(C614=Master!$H$5,B614="2012-2013",E614="",G614="PLN03"),H614,"")</f>
        <v/>
      </c>
      <c r="AI614" s="42" t="str">
        <f>IF(AND(C614=Master!$H$6,B614="2012-2013",E614&gt;1000,G614="PLN03"),H614,"")</f>
        <v/>
      </c>
      <c r="AJ614" s="42" t="str">
        <f>IF(AND(C614=Master!$H$6,B614="2012-2013",E614="",G614="PLN03"),H614,"")</f>
        <v/>
      </c>
      <c r="AK614" s="42" t="str">
        <f>IF(AND(C614=Master!$H$7,B614="2012-2013",E614&gt;1000,G614="PLN03"),H614,"")</f>
        <v/>
      </c>
      <c r="AL614" s="42" t="str">
        <f>IF(AND(C614=Master!$H$7,B614="2012-2013",E614="",G614="PLN03"),H614,"")</f>
        <v/>
      </c>
      <c r="AM614" s="42" t="str">
        <f>IF(AND(C614=Master!$H$8,B614="2012-2013",E614&gt;1000,G614="PLN03"),H614,"")</f>
        <v/>
      </c>
      <c r="AN614" s="42" t="str">
        <f>IF(AND(C614=Master!$H$8,B614="2012-2013",E614="",G614="PLN03"),H614,"")</f>
        <v/>
      </c>
      <c r="AO614" s="42" t="str">
        <f>IF(AND(C614=Master!$H$9,B614="2012-2013",E614&gt;1000,G614="PLN03"),H614,"")</f>
        <v/>
      </c>
      <c r="AP614" s="42" t="str">
        <f>IF(AND(C614=Master!$H$9,B614="2012-2013",E614="",G614="PLN03"),H614,"")</f>
        <v/>
      </c>
      <c r="AQ614" s="44" t="str">
        <f>IF(AND(C614=Master!$H$1,B614="2012-2013",E614&gt;1000,G614="NPN05"),H614,"")</f>
        <v/>
      </c>
      <c r="AR614" s="44" t="str">
        <f>IF(AND(C614=Master!$H$1,B614="2012-2013",E614="",G614="NPN05"),H614,"")</f>
        <v/>
      </c>
      <c r="AS614" s="44" t="str">
        <f>IF(AND(C614=Master!$H$2,B614="2012-2013",E614&gt;1000,G614="NPN05"),H614,"")</f>
        <v/>
      </c>
      <c r="AT614" s="44" t="str">
        <f>IF(AND(C614=Master!$H$2,B614="2012-2013",E614="",G614="NPN05"),H614,"")</f>
        <v/>
      </c>
      <c r="AU614" s="44" t="str">
        <f>IF(AND(C614=Master!$H$3,B614="2012-2013",E614&gt;1000,G614="NPN05"),H614,"")</f>
        <v/>
      </c>
      <c r="AV614" s="44" t="str">
        <f>IF(AND(C614=Master!$H$3,B614="2012-2013",E614="",G614="NPN05"),H614,"")</f>
        <v/>
      </c>
      <c r="AW614" s="44" t="str">
        <f>IF(AND(C614=Master!$H$4,B614="2012-2013",E614&gt;1000,G614="NPN05"),H614,"")</f>
        <v/>
      </c>
      <c r="AX614" s="44" t="str">
        <f>IF(AND(C614=Master!$H$4,B614="2012-2013",E614="",G614="NPN05"),H614,"")</f>
        <v/>
      </c>
      <c r="AY614" s="44" t="str">
        <f>IF(AND(C614=Master!$H$5,B614="2012-2013",E614&gt;1000,G614="NPN05"),H614,"")</f>
        <v/>
      </c>
      <c r="AZ614" s="44" t="str">
        <f>IF(AND(C614=Master!$H$5,B614="2012-2013",E614="",G614="NPN05"),H614,"")</f>
        <v/>
      </c>
      <c r="BA614" s="44" t="str">
        <f>IF(AND(C614=Master!$H$6,B614="2012-2013",E614&gt;1000,G614="NPN05"),H614,"")</f>
        <v/>
      </c>
      <c r="BB614" s="44" t="str">
        <f>IF(AND(C614=Master!$H$6,B614="2012-2013",E614="",G614="NPN05"),H614,"")</f>
        <v/>
      </c>
      <c r="BC614" s="44" t="str">
        <f>IF(AND(C614=Master!$H$7,B614="2012-2013",E614&gt;1000,G614="NPN05"),H614,"")</f>
        <v/>
      </c>
      <c r="BD614" s="44" t="str">
        <f>IF(AND(C614=Master!$H$7,B614="2012-2013",E614="",G614="NPN05"),H614,"")</f>
        <v/>
      </c>
      <c r="BE614" s="44" t="str">
        <f>IF(AND(C614=Master!$H$8,B614="2012-2013",E614&gt;1000,G614="NPN05"),H614,"")</f>
        <v/>
      </c>
      <c r="BF614" s="44" t="str">
        <f>IF(AND(C614=Master!$H$8,B614="2012-2013",E614="",G614="NPN05"),H614,"")</f>
        <v/>
      </c>
      <c r="BG614" s="44" t="str">
        <f>IF(AND(C614=Master!$H$9,B614="2012-2013",E614&gt;1000,G614="NPN05"),H614,"")</f>
        <v/>
      </c>
      <c r="BH614" s="44" t="str">
        <f>IF(AND(C614=Master!$H$9,B614="2012-2013",E614="",G614="NPN05"),H614,"")</f>
        <v/>
      </c>
    </row>
    <row r="615" spans="1:60" x14ac:dyDescent="0.25">
      <c r="A615" s="3">
        <v>613</v>
      </c>
      <c r="B615" s="12"/>
      <c r="C615" s="12"/>
      <c r="D615" s="31"/>
      <c r="E615" s="4"/>
      <c r="F615" s="13"/>
      <c r="G615" s="21"/>
      <c r="H615" s="35"/>
      <c r="I615" s="21"/>
      <c r="J615" s="25" t="str">
        <f>IF(NOT(I615=""),INDEX(Master!$B$1:$B$46,MATCH(I615,Master!$A$1:$A$46,0)),"")</f>
        <v/>
      </c>
      <c r="K615" s="18"/>
      <c r="L615" s="86"/>
      <c r="M615" s="13"/>
      <c r="N615" s="13"/>
      <c r="O615" s="18"/>
      <c r="P615" s="35"/>
      <c r="Q615" s="21"/>
      <c r="R615" s="21"/>
      <c r="S615" s="13"/>
      <c r="T615" s="12"/>
      <c r="U615" s="12"/>
      <c r="V615" s="12"/>
      <c r="W615" s="14"/>
      <c r="Y615" s="42" t="str">
        <f>IF(AND(C615=Master!$H$1,B615="2012-2013",E615&gt;1000,G615="PLN03"),H615,"")</f>
        <v/>
      </c>
      <c r="Z615" s="42" t="str">
        <f>IF(AND(C615=Master!$H$1,B615="2012-2013",E615="",G615="PLN03"),H615,"")</f>
        <v/>
      </c>
      <c r="AA615" s="42" t="str">
        <f>IF(AND(C615=Master!$H$2,B615="2012-2013",E615&gt;1000,G615="PLN03"),H615,"")</f>
        <v/>
      </c>
      <c r="AB615" s="42" t="str">
        <f>IF(AND(C615=Master!$H$2,B615="2012-2013",E615="",G615="PLN03"),H615,"")</f>
        <v/>
      </c>
      <c r="AC615" s="42" t="str">
        <f>IF(AND(C615=Master!$H$3,B615="2012-2013",E615&gt;1000,G615="PLN03"),H615,"")</f>
        <v/>
      </c>
      <c r="AD615" s="42" t="str">
        <f>IF(AND(C615=Master!$H$3,B615="2012-2013",E615="",G615="PLN03"),H615,"")</f>
        <v/>
      </c>
      <c r="AE615" s="42" t="str">
        <f>IF(AND(C615=Master!$H$4,B615="2012-2013",E615&gt;1000,G615="PLN03"),H615,"")</f>
        <v/>
      </c>
      <c r="AF615" s="42" t="str">
        <f>IF(AND(C615=Master!$H$4,B615="2012-2013",E615="",G615="PLN03"),H615,"")</f>
        <v/>
      </c>
      <c r="AG615" s="42" t="str">
        <f>IF(AND(C615=Master!$H$5,B615="2012-2013",E615&gt;1000,G615="PLN03"),H615,"")</f>
        <v/>
      </c>
      <c r="AH615" s="42" t="str">
        <f>IF(AND(C615=Master!$H$5,B615="2012-2013",E615="",G615="PLN03"),H615,"")</f>
        <v/>
      </c>
      <c r="AI615" s="42" t="str">
        <f>IF(AND(C615=Master!$H$6,B615="2012-2013",E615&gt;1000,G615="PLN03"),H615,"")</f>
        <v/>
      </c>
      <c r="AJ615" s="42" t="str">
        <f>IF(AND(C615=Master!$H$6,B615="2012-2013",E615="",G615="PLN03"),H615,"")</f>
        <v/>
      </c>
      <c r="AK615" s="42" t="str">
        <f>IF(AND(C615=Master!$H$7,B615="2012-2013",E615&gt;1000,G615="PLN03"),H615,"")</f>
        <v/>
      </c>
      <c r="AL615" s="42" t="str">
        <f>IF(AND(C615=Master!$H$7,B615="2012-2013",E615="",G615="PLN03"),H615,"")</f>
        <v/>
      </c>
      <c r="AM615" s="42" t="str">
        <f>IF(AND(C615=Master!$H$8,B615="2012-2013",E615&gt;1000,G615="PLN03"),H615,"")</f>
        <v/>
      </c>
      <c r="AN615" s="42" t="str">
        <f>IF(AND(C615=Master!$H$8,B615="2012-2013",E615="",G615="PLN03"),H615,"")</f>
        <v/>
      </c>
      <c r="AO615" s="42" t="str">
        <f>IF(AND(C615=Master!$H$9,B615="2012-2013",E615&gt;1000,G615="PLN03"),H615,"")</f>
        <v/>
      </c>
      <c r="AP615" s="42" t="str">
        <f>IF(AND(C615=Master!$H$9,B615="2012-2013",E615="",G615="PLN03"),H615,"")</f>
        <v/>
      </c>
      <c r="AQ615" s="44" t="str">
        <f>IF(AND(C615=Master!$H$1,B615="2012-2013",E615&gt;1000,G615="NPN05"),H615,"")</f>
        <v/>
      </c>
      <c r="AR615" s="44" t="str">
        <f>IF(AND(C615=Master!$H$1,B615="2012-2013",E615="",G615="NPN05"),H615,"")</f>
        <v/>
      </c>
      <c r="AS615" s="44" t="str">
        <f>IF(AND(C615=Master!$H$2,B615="2012-2013",E615&gt;1000,G615="NPN05"),H615,"")</f>
        <v/>
      </c>
      <c r="AT615" s="44" t="str">
        <f>IF(AND(C615=Master!$H$2,B615="2012-2013",E615="",G615="NPN05"),H615,"")</f>
        <v/>
      </c>
      <c r="AU615" s="44" t="str">
        <f>IF(AND(C615=Master!$H$3,B615="2012-2013",E615&gt;1000,G615="NPN05"),H615,"")</f>
        <v/>
      </c>
      <c r="AV615" s="44" t="str">
        <f>IF(AND(C615=Master!$H$3,B615="2012-2013",E615="",G615="NPN05"),H615,"")</f>
        <v/>
      </c>
      <c r="AW615" s="44" t="str">
        <f>IF(AND(C615=Master!$H$4,B615="2012-2013",E615&gt;1000,G615="NPN05"),H615,"")</f>
        <v/>
      </c>
      <c r="AX615" s="44" t="str">
        <f>IF(AND(C615=Master!$H$4,B615="2012-2013",E615="",G615="NPN05"),H615,"")</f>
        <v/>
      </c>
      <c r="AY615" s="44" t="str">
        <f>IF(AND(C615=Master!$H$5,B615="2012-2013",E615&gt;1000,G615="NPN05"),H615,"")</f>
        <v/>
      </c>
      <c r="AZ615" s="44" t="str">
        <f>IF(AND(C615=Master!$H$5,B615="2012-2013",E615="",G615="NPN05"),H615,"")</f>
        <v/>
      </c>
      <c r="BA615" s="44" t="str">
        <f>IF(AND(C615=Master!$H$6,B615="2012-2013",E615&gt;1000,G615="NPN05"),H615,"")</f>
        <v/>
      </c>
      <c r="BB615" s="44" t="str">
        <f>IF(AND(C615=Master!$H$6,B615="2012-2013",E615="",G615="NPN05"),H615,"")</f>
        <v/>
      </c>
      <c r="BC615" s="44" t="str">
        <f>IF(AND(C615=Master!$H$7,B615="2012-2013",E615&gt;1000,G615="NPN05"),H615,"")</f>
        <v/>
      </c>
      <c r="BD615" s="44" t="str">
        <f>IF(AND(C615=Master!$H$7,B615="2012-2013",E615="",G615="NPN05"),H615,"")</f>
        <v/>
      </c>
      <c r="BE615" s="44" t="str">
        <f>IF(AND(C615=Master!$H$8,B615="2012-2013",E615&gt;1000,G615="NPN05"),H615,"")</f>
        <v/>
      </c>
      <c r="BF615" s="44" t="str">
        <f>IF(AND(C615=Master!$H$8,B615="2012-2013",E615="",G615="NPN05"),H615,"")</f>
        <v/>
      </c>
      <c r="BG615" s="44" t="str">
        <f>IF(AND(C615=Master!$H$9,B615="2012-2013",E615&gt;1000,G615="NPN05"),H615,"")</f>
        <v/>
      </c>
      <c r="BH615" s="44" t="str">
        <f>IF(AND(C615=Master!$H$9,B615="2012-2013",E615="",G615="NPN05"),H615,"")</f>
        <v/>
      </c>
    </row>
    <row r="616" spans="1:60" x14ac:dyDescent="0.25">
      <c r="A616" s="5">
        <v>614</v>
      </c>
      <c r="B616" s="12"/>
      <c r="C616" s="12"/>
      <c r="D616" s="31"/>
      <c r="E616" s="4"/>
      <c r="F616" s="13"/>
      <c r="G616" s="21"/>
      <c r="H616" s="35"/>
      <c r="I616" s="21"/>
      <c r="J616" s="25" t="str">
        <f>IF(NOT(I616=""),INDEX(Master!$B$1:$B$46,MATCH(I616,Master!$A$1:$A$46,0)),"")</f>
        <v/>
      </c>
      <c r="K616" s="18"/>
      <c r="L616" s="86"/>
      <c r="M616" s="13"/>
      <c r="N616" s="13"/>
      <c r="O616" s="18"/>
      <c r="P616" s="35"/>
      <c r="Q616" s="21"/>
      <c r="R616" s="21"/>
      <c r="S616" s="13"/>
      <c r="T616" s="12"/>
      <c r="U616" s="12"/>
      <c r="V616" s="12"/>
      <c r="W616" s="14"/>
      <c r="Y616" s="42" t="str">
        <f>IF(AND(C616=Master!$H$1,B616="2012-2013",E616&gt;1000,G616="PLN03"),H616,"")</f>
        <v/>
      </c>
      <c r="Z616" s="42" t="str">
        <f>IF(AND(C616=Master!$H$1,B616="2012-2013",E616="",G616="PLN03"),H616,"")</f>
        <v/>
      </c>
      <c r="AA616" s="42" t="str">
        <f>IF(AND(C616=Master!$H$2,B616="2012-2013",E616&gt;1000,G616="PLN03"),H616,"")</f>
        <v/>
      </c>
      <c r="AB616" s="42" t="str">
        <f>IF(AND(C616=Master!$H$2,B616="2012-2013",E616="",G616="PLN03"),H616,"")</f>
        <v/>
      </c>
      <c r="AC616" s="42" t="str">
        <f>IF(AND(C616=Master!$H$3,B616="2012-2013",E616&gt;1000,G616="PLN03"),H616,"")</f>
        <v/>
      </c>
      <c r="AD616" s="42" t="str">
        <f>IF(AND(C616=Master!$H$3,B616="2012-2013",E616="",G616="PLN03"),H616,"")</f>
        <v/>
      </c>
      <c r="AE616" s="42" t="str">
        <f>IF(AND(C616=Master!$H$4,B616="2012-2013",E616&gt;1000,G616="PLN03"),H616,"")</f>
        <v/>
      </c>
      <c r="AF616" s="42" t="str">
        <f>IF(AND(C616=Master!$H$4,B616="2012-2013",E616="",G616="PLN03"),H616,"")</f>
        <v/>
      </c>
      <c r="AG616" s="42" t="str">
        <f>IF(AND(C616=Master!$H$5,B616="2012-2013",E616&gt;1000,G616="PLN03"),H616,"")</f>
        <v/>
      </c>
      <c r="AH616" s="42" t="str">
        <f>IF(AND(C616=Master!$H$5,B616="2012-2013",E616="",G616="PLN03"),H616,"")</f>
        <v/>
      </c>
      <c r="AI616" s="42" t="str">
        <f>IF(AND(C616=Master!$H$6,B616="2012-2013",E616&gt;1000,G616="PLN03"),H616,"")</f>
        <v/>
      </c>
      <c r="AJ616" s="42" t="str">
        <f>IF(AND(C616=Master!$H$6,B616="2012-2013",E616="",G616="PLN03"),H616,"")</f>
        <v/>
      </c>
      <c r="AK616" s="42" t="str">
        <f>IF(AND(C616=Master!$H$7,B616="2012-2013",E616&gt;1000,G616="PLN03"),H616,"")</f>
        <v/>
      </c>
      <c r="AL616" s="42" t="str">
        <f>IF(AND(C616=Master!$H$7,B616="2012-2013",E616="",G616="PLN03"),H616,"")</f>
        <v/>
      </c>
      <c r="AM616" s="42" t="str">
        <f>IF(AND(C616=Master!$H$8,B616="2012-2013",E616&gt;1000,G616="PLN03"),H616,"")</f>
        <v/>
      </c>
      <c r="AN616" s="42" t="str">
        <f>IF(AND(C616=Master!$H$8,B616="2012-2013",E616="",G616="PLN03"),H616,"")</f>
        <v/>
      </c>
      <c r="AO616" s="42" t="str">
        <f>IF(AND(C616=Master!$H$9,B616="2012-2013",E616&gt;1000,G616="PLN03"),H616,"")</f>
        <v/>
      </c>
      <c r="AP616" s="42" t="str">
        <f>IF(AND(C616=Master!$H$9,B616="2012-2013",E616="",G616="PLN03"),H616,"")</f>
        <v/>
      </c>
      <c r="AQ616" s="44" t="str">
        <f>IF(AND(C616=Master!$H$1,B616="2012-2013",E616&gt;1000,G616="NPN05"),H616,"")</f>
        <v/>
      </c>
      <c r="AR616" s="44" t="str">
        <f>IF(AND(C616=Master!$H$1,B616="2012-2013",E616="",G616="NPN05"),H616,"")</f>
        <v/>
      </c>
      <c r="AS616" s="44" t="str">
        <f>IF(AND(C616=Master!$H$2,B616="2012-2013",E616&gt;1000,G616="NPN05"),H616,"")</f>
        <v/>
      </c>
      <c r="AT616" s="44" t="str">
        <f>IF(AND(C616=Master!$H$2,B616="2012-2013",E616="",G616="NPN05"),H616,"")</f>
        <v/>
      </c>
      <c r="AU616" s="44" t="str">
        <f>IF(AND(C616=Master!$H$3,B616="2012-2013",E616&gt;1000,G616="NPN05"),H616,"")</f>
        <v/>
      </c>
      <c r="AV616" s="44" t="str">
        <f>IF(AND(C616=Master!$H$3,B616="2012-2013",E616="",G616="NPN05"),H616,"")</f>
        <v/>
      </c>
      <c r="AW616" s="44" t="str">
        <f>IF(AND(C616=Master!$H$4,B616="2012-2013",E616&gt;1000,G616="NPN05"),H616,"")</f>
        <v/>
      </c>
      <c r="AX616" s="44" t="str">
        <f>IF(AND(C616=Master!$H$4,B616="2012-2013",E616="",G616="NPN05"),H616,"")</f>
        <v/>
      </c>
      <c r="AY616" s="44" t="str">
        <f>IF(AND(C616=Master!$H$5,B616="2012-2013",E616&gt;1000,G616="NPN05"),H616,"")</f>
        <v/>
      </c>
      <c r="AZ616" s="44" t="str">
        <f>IF(AND(C616=Master!$H$5,B616="2012-2013",E616="",G616="NPN05"),H616,"")</f>
        <v/>
      </c>
      <c r="BA616" s="44" t="str">
        <f>IF(AND(C616=Master!$H$6,B616="2012-2013",E616&gt;1000,G616="NPN05"),H616,"")</f>
        <v/>
      </c>
      <c r="BB616" s="44" t="str">
        <f>IF(AND(C616=Master!$H$6,B616="2012-2013",E616="",G616="NPN05"),H616,"")</f>
        <v/>
      </c>
      <c r="BC616" s="44" t="str">
        <f>IF(AND(C616=Master!$H$7,B616="2012-2013",E616&gt;1000,G616="NPN05"),H616,"")</f>
        <v/>
      </c>
      <c r="BD616" s="44" t="str">
        <f>IF(AND(C616=Master!$H$7,B616="2012-2013",E616="",G616="NPN05"),H616,"")</f>
        <v/>
      </c>
      <c r="BE616" s="44" t="str">
        <f>IF(AND(C616=Master!$H$8,B616="2012-2013",E616&gt;1000,G616="NPN05"),H616,"")</f>
        <v/>
      </c>
      <c r="BF616" s="44" t="str">
        <f>IF(AND(C616=Master!$H$8,B616="2012-2013",E616="",G616="NPN05"),H616,"")</f>
        <v/>
      </c>
      <c r="BG616" s="44" t="str">
        <f>IF(AND(C616=Master!$H$9,B616="2012-2013",E616&gt;1000,G616="NPN05"),H616,"")</f>
        <v/>
      </c>
      <c r="BH616" s="44" t="str">
        <f>IF(AND(C616=Master!$H$9,B616="2012-2013",E616="",G616="NPN05"),H616,"")</f>
        <v/>
      </c>
    </row>
    <row r="617" spans="1:60" x14ac:dyDescent="0.25">
      <c r="A617" s="3">
        <v>615</v>
      </c>
      <c r="B617" s="12"/>
      <c r="C617" s="12"/>
      <c r="D617" s="31"/>
      <c r="E617" s="4"/>
      <c r="F617" s="13"/>
      <c r="G617" s="21"/>
      <c r="H617" s="35"/>
      <c r="I617" s="21"/>
      <c r="J617" s="25" t="str">
        <f>IF(NOT(I617=""),INDEX(Master!$B$1:$B$46,MATCH(I617,Master!$A$1:$A$46,0)),"")</f>
        <v/>
      </c>
      <c r="K617" s="18"/>
      <c r="L617" s="86"/>
      <c r="M617" s="13"/>
      <c r="N617" s="13"/>
      <c r="O617" s="18"/>
      <c r="P617" s="35"/>
      <c r="Q617" s="21"/>
      <c r="R617" s="21"/>
      <c r="S617" s="13"/>
      <c r="T617" s="12"/>
      <c r="U617" s="12"/>
      <c r="V617" s="12"/>
      <c r="W617" s="14"/>
      <c r="Y617" s="42" t="str">
        <f>IF(AND(C617=Master!$H$1,B617="2012-2013",E617&gt;1000,G617="PLN03"),H617,"")</f>
        <v/>
      </c>
      <c r="Z617" s="42" t="str">
        <f>IF(AND(C617=Master!$H$1,B617="2012-2013",E617="",G617="PLN03"),H617,"")</f>
        <v/>
      </c>
      <c r="AA617" s="42" t="str">
        <f>IF(AND(C617=Master!$H$2,B617="2012-2013",E617&gt;1000,G617="PLN03"),H617,"")</f>
        <v/>
      </c>
      <c r="AB617" s="42" t="str">
        <f>IF(AND(C617=Master!$H$2,B617="2012-2013",E617="",G617="PLN03"),H617,"")</f>
        <v/>
      </c>
      <c r="AC617" s="42" t="str">
        <f>IF(AND(C617=Master!$H$3,B617="2012-2013",E617&gt;1000,G617="PLN03"),H617,"")</f>
        <v/>
      </c>
      <c r="AD617" s="42" t="str">
        <f>IF(AND(C617=Master!$H$3,B617="2012-2013",E617="",G617="PLN03"),H617,"")</f>
        <v/>
      </c>
      <c r="AE617" s="42" t="str">
        <f>IF(AND(C617=Master!$H$4,B617="2012-2013",E617&gt;1000,G617="PLN03"),H617,"")</f>
        <v/>
      </c>
      <c r="AF617" s="42" t="str">
        <f>IF(AND(C617=Master!$H$4,B617="2012-2013",E617="",G617="PLN03"),H617,"")</f>
        <v/>
      </c>
      <c r="AG617" s="42" t="str">
        <f>IF(AND(C617=Master!$H$5,B617="2012-2013",E617&gt;1000,G617="PLN03"),H617,"")</f>
        <v/>
      </c>
      <c r="AH617" s="42" t="str">
        <f>IF(AND(C617=Master!$H$5,B617="2012-2013",E617="",G617="PLN03"),H617,"")</f>
        <v/>
      </c>
      <c r="AI617" s="42" t="str">
        <f>IF(AND(C617=Master!$H$6,B617="2012-2013",E617&gt;1000,G617="PLN03"),H617,"")</f>
        <v/>
      </c>
      <c r="AJ617" s="42" t="str">
        <f>IF(AND(C617=Master!$H$6,B617="2012-2013",E617="",G617="PLN03"),H617,"")</f>
        <v/>
      </c>
      <c r="AK617" s="42" t="str">
        <f>IF(AND(C617=Master!$H$7,B617="2012-2013",E617&gt;1000,G617="PLN03"),H617,"")</f>
        <v/>
      </c>
      <c r="AL617" s="42" t="str">
        <f>IF(AND(C617=Master!$H$7,B617="2012-2013",E617="",G617="PLN03"),H617,"")</f>
        <v/>
      </c>
      <c r="AM617" s="42" t="str">
        <f>IF(AND(C617=Master!$H$8,B617="2012-2013",E617&gt;1000,G617="PLN03"),H617,"")</f>
        <v/>
      </c>
      <c r="AN617" s="42" t="str">
        <f>IF(AND(C617=Master!$H$8,B617="2012-2013",E617="",G617="PLN03"),H617,"")</f>
        <v/>
      </c>
      <c r="AO617" s="42" t="str">
        <f>IF(AND(C617=Master!$H$9,B617="2012-2013",E617&gt;1000,G617="PLN03"),H617,"")</f>
        <v/>
      </c>
      <c r="AP617" s="42" t="str">
        <f>IF(AND(C617=Master!$H$9,B617="2012-2013",E617="",G617="PLN03"),H617,"")</f>
        <v/>
      </c>
      <c r="AQ617" s="44" t="str">
        <f>IF(AND(C617=Master!$H$1,B617="2012-2013",E617&gt;1000,G617="NPN05"),H617,"")</f>
        <v/>
      </c>
      <c r="AR617" s="44" t="str">
        <f>IF(AND(C617=Master!$H$1,B617="2012-2013",E617="",G617="NPN05"),H617,"")</f>
        <v/>
      </c>
      <c r="AS617" s="44" t="str">
        <f>IF(AND(C617=Master!$H$2,B617="2012-2013",E617&gt;1000,G617="NPN05"),H617,"")</f>
        <v/>
      </c>
      <c r="AT617" s="44" t="str">
        <f>IF(AND(C617=Master!$H$2,B617="2012-2013",E617="",G617="NPN05"),H617,"")</f>
        <v/>
      </c>
      <c r="AU617" s="44" t="str">
        <f>IF(AND(C617=Master!$H$3,B617="2012-2013",E617&gt;1000,G617="NPN05"),H617,"")</f>
        <v/>
      </c>
      <c r="AV617" s="44" t="str">
        <f>IF(AND(C617=Master!$H$3,B617="2012-2013",E617="",G617="NPN05"),H617,"")</f>
        <v/>
      </c>
      <c r="AW617" s="44" t="str">
        <f>IF(AND(C617=Master!$H$4,B617="2012-2013",E617&gt;1000,G617="NPN05"),H617,"")</f>
        <v/>
      </c>
      <c r="AX617" s="44" t="str">
        <f>IF(AND(C617=Master!$H$4,B617="2012-2013",E617="",G617="NPN05"),H617,"")</f>
        <v/>
      </c>
      <c r="AY617" s="44" t="str">
        <f>IF(AND(C617=Master!$H$5,B617="2012-2013",E617&gt;1000,G617="NPN05"),H617,"")</f>
        <v/>
      </c>
      <c r="AZ617" s="44" t="str">
        <f>IF(AND(C617=Master!$H$5,B617="2012-2013",E617="",G617="NPN05"),H617,"")</f>
        <v/>
      </c>
      <c r="BA617" s="44" t="str">
        <f>IF(AND(C617=Master!$H$6,B617="2012-2013",E617&gt;1000,G617="NPN05"),H617,"")</f>
        <v/>
      </c>
      <c r="BB617" s="44" t="str">
        <f>IF(AND(C617=Master!$H$6,B617="2012-2013",E617="",G617="NPN05"),H617,"")</f>
        <v/>
      </c>
      <c r="BC617" s="44" t="str">
        <f>IF(AND(C617=Master!$H$7,B617="2012-2013",E617&gt;1000,G617="NPN05"),H617,"")</f>
        <v/>
      </c>
      <c r="BD617" s="44" t="str">
        <f>IF(AND(C617=Master!$H$7,B617="2012-2013",E617="",G617="NPN05"),H617,"")</f>
        <v/>
      </c>
      <c r="BE617" s="44" t="str">
        <f>IF(AND(C617=Master!$H$8,B617="2012-2013",E617&gt;1000,G617="NPN05"),H617,"")</f>
        <v/>
      </c>
      <c r="BF617" s="44" t="str">
        <f>IF(AND(C617=Master!$H$8,B617="2012-2013",E617="",G617="NPN05"),H617,"")</f>
        <v/>
      </c>
      <c r="BG617" s="44" t="str">
        <f>IF(AND(C617=Master!$H$9,B617="2012-2013",E617&gt;1000,G617="NPN05"),H617,"")</f>
        <v/>
      </c>
      <c r="BH617" s="44" t="str">
        <f>IF(AND(C617=Master!$H$9,B617="2012-2013",E617="",G617="NPN05"),H617,"")</f>
        <v/>
      </c>
    </row>
    <row r="618" spans="1:60" x14ac:dyDescent="0.25">
      <c r="A618" s="3">
        <v>616</v>
      </c>
      <c r="B618" s="12"/>
      <c r="C618" s="12"/>
      <c r="D618" s="31"/>
      <c r="E618" s="4"/>
      <c r="F618" s="13"/>
      <c r="G618" s="21"/>
      <c r="H618" s="35"/>
      <c r="I618" s="21"/>
      <c r="J618" s="25" t="str">
        <f>IF(NOT(I618=""),INDEX(Master!$B$1:$B$46,MATCH(I618,Master!$A$1:$A$46,0)),"")</f>
        <v/>
      </c>
      <c r="K618" s="18"/>
      <c r="L618" s="86"/>
      <c r="M618" s="13"/>
      <c r="N618" s="13"/>
      <c r="O618" s="18"/>
      <c r="P618" s="35"/>
      <c r="Q618" s="21"/>
      <c r="R618" s="21"/>
      <c r="S618" s="13"/>
      <c r="T618" s="12"/>
      <c r="U618" s="12"/>
      <c r="V618" s="12"/>
      <c r="W618" s="14"/>
      <c r="Y618" s="42" t="str">
        <f>IF(AND(C618=Master!$H$1,B618="2012-2013",E618&gt;1000,G618="PLN03"),H618,"")</f>
        <v/>
      </c>
      <c r="Z618" s="42" t="str">
        <f>IF(AND(C618=Master!$H$1,B618="2012-2013",E618="",G618="PLN03"),H618,"")</f>
        <v/>
      </c>
      <c r="AA618" s="42" t="str">
        <f>IF(AND(C618=Master!$H$2,B618="2012-2013",E618&gt;1000,G618="PLN03"),H618,"")</f>
        <v/>
      </c>
      <c r="AB618" s="42" t="str">
        <f>IF(AND(C618=Master!$H$2,B618="2012-2013",E618="",G618="PLN03"),H618,"")</f>
        <v/>
      </c>
      <c r="AC618" s="42" t="str">
        <f>IF(AND(C618=Master!$H$3,B618="2012-2013",E618&gt;1000,G618="PLN03"),H618,"")</f>
        <v/>
      </c>
      <c r="AD618" s="42" t="str">
        <f>IF(AND(C618=Master!$H$3,B618="2012-2013",E618="",G618="PLN03"),H618,"")</f>
        <v/>
      </c>
      <c r="AE618" s="42" t="str">
        <f>IF(AND(C618=Master!$H$4,B618="2012-2013",E618&gt;1000,G618="PLN03"),H618,"")</f>
        <v/>
      </c>
      <c r="AF618" s="42" t="str">
        <f>IF(AND(C618=Master!$H$4,B618="2012-2013",E618="",G618="PLN03"),H618,"")</f>
        <v/>
      </c>
      <c r="AG618" s="42" t="str">
        <f>IF(AND(C618=Master!$H$5,B618="2012-2013",E618&gt;1000,G618="PLN03"),H618,"")</f>
        <v/>
      </c>
      <c r="AH618" s="42" t="str">
        <f>IF(AND(C618=Master!$H$5,B618="2012-2013",E618="",G618="PLN03"),H618,"")</f>
        <v/>
      </c>
      <c r="AI618" s="42" t="str">
        <f>IF(AND(C618=Master!$H$6,B618="2012-2013",E618&gt;1000,G618="PLN03"),H618,"")</f>
        <v/>
      </c>
      <c r="AJ618" s="42" t="str">
        <f>IF(AND(C618=Master!$H$6,B618="2012-2013",E618="",G618="PLN03"),H618,"")</f>
        <v/>
      </c>
      <c r="AK618" s="42" t="str">
        <f>IF(AND(C618=Master!$H$7,B618="2012-2013",E618&gt;1000,G618="PLN03"),H618,"")</f>
        <v/>
      </c>
      <c r="AL618" s="42" t="str">
        <f>IF(AND(C618=Master!$H$7,B618="2012-2013",E618="",G618="PLN03"),H618,"")</f>
        <v/>
      </c>
      <c r="AM618" s="42" t="str">
        <f>IF(AND(C618=Master!$H$8,B618="2012-2013",E618&gt;1000,G618="PLN03"),H618,"")</f>
        <v/>
      </c>
      <c r="AN618" s="42" t="str">
        <f>IF(AND(C618=Master!$H$8,B618="2012-2013",E618="",G618="PLN03"),H618,"")</f>
        <v/>
      </c>
      <c r="AO618" s="42" t="str">
        <f>IF(AND(C618=Master!$H$9,B618="2012-2013",E618&gt;1000,G618="PLN03"),H618,"")</f>
        <v/>
      </c>
      <c r="AP618" s="42" t="str">
        <f>IF(AND(C618=Master!$H$9,B618="2012-2013",E618="",G618="PLN03"),H618,"")</f>
        <v/>
      </c>
      <c r="AQ618" s="44" t="str">
        <f>IF(AND(C618=Master!$H$1,B618="2012-2013",E618&gt;1000,G618="NPN05"),H618,"")</f>
        <v/>
      </c>
      <c r="AR618" s="44" t="str">
        <f>IF(AND(C618=Master!$H$1,B618="2012-2013",E618="",G618="NPN05"),H618,"")</f>
        <v/>
      </c>
      <c r="AS618" s="44" t="str">
        <f>IF(AND(C618=Master!$H$2,B618="2012-2013",E618&gt;1000,G618="NPN05"),H618,"")</f>
        <v/>
      </c>
      <c r="AT618" s="44" t="str">
        <f>IF(AND(C618=Master!$H$2,B618="2012-2013",E618="",G618="NPN05"),H618,"")</f>
        <v/>
      </c>
      <c r="AU618" s="44" t="str">
        <f>IF(AND(C618=Master!$H$3,B618="2012-2013",E618&gt;1000,G618="NPN05"),H618,"")</f>
        <v/>
      </c>
      <c r="AV618" s="44" t="str">
        <f>IF(AND(C618=Master!$H$3,B618="2012-2013",E618="",G618="NPN05"),H618,"")</f>
        <v/>
      </c>
      <c r="AW618" s="44" t="str">
        <f>IF(AND(C618=Master!$H$4,B618="2012-2013",E618&gt;1000,G618="NPN05"),H618,"")</f>
        <v/>
      </c>
      <c r="AX618" s="44" t="str">
        <f>IF(AND(C618=Master!$H$4,B618="2012-2013",E618="",G618="NPN05"),H618,"")</f>
        <v/>
      </c>
      <c r="AY618" s="44" t="str">
        <f>IF(AND(C618=Master!$H$5,B618="2012-2013",E618&gt;1000,G618="NPN05"),H618,"")</f>
        <v/>
      </c>
      <c r="AZ618" s="44" t="str">
        <f>IF(AND(C618=Master!$H$5,B618="2012-2013",E618="",G618="NPN05"),H618,"")</f>
        <v/>
      </c>
      <c r="BA618" s="44" t="str">
        <f>IF(AND(C618=Master!$H$6,B618="2012-2013",E618&gt;1000,G618="NPN05"),H618,"")</f>
        <v/>
      </c>
      <c r="BB618" s="44" t="str">
        <f>IF(AND(C618=Master!$H$6,B618="2012-2013",E618="",G618="NPN05"),H618,"")</f>
        <v/>
      </c>
      <c r="BC618" s="44" t="str">
        <f>IF(AND(C618=Master!$H$7,B618="2012-2013",E618&gt;1000,G618="NPN05"),H618,"")</f>
        <v/>
      </c>
      <c r="BD618" s="44" t="str">
        <f>IF(AND(C618=Master!$H$7,B618="2012-2013",E618="",G618="NPN05"),H618,"")</f>
        <v/>
      </c>
      <c r="BE618" s="44" t="str">
        <f>IF(AND(C618=Master!$H$8,B618="2012-2013",E618&gt;1000,G618="NPN05"),H618,"")</f>
        <v/>
      </c>
      <c r="BF618" s="44" t="str">
        <f>IF(AND(C618=Master!$H$8,B618="2012-2013",E618="",G618="NPN05"),H618,"")</f>
        <v/>
      </c>
      <c r="BG618" s="44" t="str">
        <f>IF(AND(C618=Master!$H$9,B618="2012-2013",E618&gt;1000,G618="NPN05"),H618,"")</f>
        <v/>
      </c>
      <c r="BH618" s="44" t="str">
        <f>IF(AND(C618=Master!$H$9,B618="2012-2013",E618="",G618="NPN05"),H618,"")</f>
        <v/>
      </c>
    </row>
    <row r="619" spans="1:60" x14ac:dyDescent="0.25">
      <c r="A619" s="3">
        <v>617</v>
      </c>
      <c r="B619" s="12"/>
      <c r="C619" s="12"/>
      <c r="D619" s="31"/>
      <c r="E619" s="4"/>
      <c r="F619" s="13"/>
      <c r="G619" s="21"/>
      <c r="H619" s="35"/>
      <c r="I619" s="21"/>
      <c r="J619" s="25" t="str">
        <f>IF(NOT(I619=""),INDEX(Master!$B$1:$B$46,MATCH(I619,Master!$A$1:$A$46,0)),"")</f>
        <v/>
      </c>
      <c r="K619" s="18"/>
      <c r="L619" s="86"/>
      <c r="M619" s="13"/>
      <c r="N619" s="13"/>
      <c r="O619" s="18"/>
      <c r="P619" s="35"/>
      <c r="Q619" s="21"/>
      <c r="R619" s="21"/>
      <c r="S619" s="13"/>
      <c r="T619" s="12"/>
      <c r="U619" s="12"/>
      <c r="V619" s="12"/>
      <c r="W619" s="14"/>
      <c r="Y619" s="42" t="str">
        <f>IF(AND(C619=Master!$H$1,B619="2012-2013",E619&gt;1000,G619="PLN03"),H619,"")</f>
        <v/>
      </c>
      <c r="Z619" s="42" t="str">
        <f>IF(AND(C619=Master!$H$1,B619="2012-2013",E619="",G619="PLN03"),H619,"")</f>
        <v/>
      </c>
      <c r="AA619" s="42" t="str">
        <f>IF(AND(C619=Master!$H$2,B619="2012-2013",E619&gt;1000,G619="PLN03"),H619,"")</f>
        <v/>
      </c>
      <c r="AB619" s="42" t="str">
        <f>IF(AND(C619=Master!$H$2,B619="2012-2013",E619="",G619="PLN03"),H619,"")</f>
        <v/>
      </c>
      <c r="AC619" s="42" t="str">
        <f>IF(AND(C619=Master!$H$3,B619="2012-2013",E619&gt;1000,G619="PLN03"),H619,"")</f>
        <v/>
      </c>
      <c r="AD619" s="42" t="str">
        <f>IF(AND(C619=Master!$H$3,B619="2012-2013",E619="",G619="PLN03"),H619,"")</f>
        <v/>
      </c>
      <c r="AE619" s="42" t="str">
        <f>IF(AND(C619=Master!$H$4,B619="2012-2013",E619&gt;1000,G619="PLN03"),H619,"")</f>
        <v/>
      </c>
      <c r="AF619" s="42" t="str">
        <f>IF(AND(C619=Master!$H$4,B619="2012-2013",E619="",G619="PLN03"),H619,"")</f>
        <v/>
      </c>
      <c r="AG619" s="42" t="str">
        <f>IF(AND(C619=Master!$H$5,B619="2012-2013",E619&gt;1000,G619="PLN03"),H619,"")</f>
        <v/>
      </c>
      <c r="AH619" s="42" t="str">
        <f>IF(AND(C619=Master!$H$5,B619="2012-2013",E619="",G619="PLN03"),H619,"")</f>
        <v/>
      </c>
      <c r="AI619" s="42" t="str">
        <f>IF(AND(C619=Master!$H$6,B619="2012-2013",E619&gt;1000,G619="PLN03"),H619,"")</f>
        <v/>
      </c>
      <c r="AJ619" s="42" t="str">
        <f>IF(AND(C619=Master!$H$6,B619="2012-2013",E619="",G619="PLN03"),H619,"")</f>
        <v/>
      </c>
      <c r="AK619" s="42" t="str">
        <f>IF(AND(C619=Master!$H$7,B619="2012-2013",E619&gt;1000,G619="PLN03"),H619,"")</f>
        <v/>
      </c>
      <c r="AL619" s="42" t="str">
        <f>IF(AND(C619=Master!$H$7,B619="2012-2013",E619="",G619="PLN03"),H619,"")</f>
        <v/>
      </c>
      <c r="AM619" s="42" t="str">
        <f>IF(AND(C619=Master!$H$8,B619="2012-2013",E619&gt;1000,G619="PLN03"),H619,"")</f>
        <v/>
      </c>
      <c r="AN619" s="42" t="str">
        <f>IF(AND(C619=Master!$H$8,B619="2012-2013",E619="",G619="PLN03"),H619,"")</f>
        <v/>
      </c>
      <c r="AO619" s="42" t="str">
        <f>IF(AND(C619=Master!$H$9,B619="2012-2013",E619&gt;1000,G619="PLN03"),H619,"")</f>
        <v/>
      </c>
      <c r="AP619" s="42" t="str">
        <f>IF(AND(C619=Master!$H$9,B619="2012-2013",E619="",G619="PLN03"),H619,"")</f>
        <v/>
      </c>
      <c r="AQ619" s="44" t="str">
        <f>IF(AND(C619=Master!$H$1,B619="2012-2013",E619&gt;1000,G619="NPN05"),H619,"")</f>
        <v/>
      </c>
      <c r="AR619" s="44" t="str">
        <f>IF(AND(C619=Master!$H$1,B619="2012-2013",E619="",G619="NPN05"),H619,"")</f>
        <v/>
      </c>
      <c r="AS619" s="44" t="str">
        <f>IF(AND(C619=Master!$H$2,B619="2012-2013",E619&gt;1000,G619="NPN05"),H619,"")</f>
        <v/>
      </c>
      <c r="AT619" s="44" t="str">
        <f>IF(AND(C619=Master!$H$2,B619="2012-2013",E619="",G619="NPN05"),H619,"")</f>
        <v/>
      </c>
      <c r="AU619" s="44" t="str">
        <f>IF(AND(C619=Master!$H$3,B619="2012-2013",E619&gt;1000,G619="NPN05"),H619,"")</f>
        <v/>
      </c>
      <c r="AV619" s="44" t="str">
        <f>IF(AND(C619=Master!$H$3,B619="2012-2013",E619="",G619="NPN05"),H619,"")</f>
        <v/>
      </c>
      <c r="AW619" s="44" t="str">
        <f>IF(AND(C619=Master!$H$4,B619="2012-2013",E619&gt;1000,G619="NPN05"),H619,"")</f>
        <v/>
      </c>
      <c r="AX619" s="44" t="str">
        <f>IF(AND(C619=Master!$H$4,B619="2012-2013",E619="",G619="NPN05"),H619,"")</f>
        <v/>
      </c>
      <c r="AY619" s="44" t="str">
        <f>IF(AND(C619=Master!$H$5,B619="2012-2013",E619&gt;1000,G619="NPN05"),H619,"")</f>
        <v/>
      </c>
      <c r="AZ619" s="44" t="str">
        <f>IF(AND(C619=Master!$H$5,B619="2012-2013",E619="",G619="NPN05"),H619,"")</f>
        <v/>
      </c>
      <c r="BA619" s="44" t="str">
        <f>IF(AND(C619=Master!$H$6,B619="2012-2013",E619&gt;1000,G619="NPN05"),H619,"")</f>
        <v/>
      </c>
      <c r="BB619" s="44" t="str">
        <f>IF(AND(C619=Master!$H$6,B619="2012-2013",E619="",G619="NPN05"),H619,"")</f>
        <v/>
      </c>
      <c r="BC619" s="44" t="str">
        <f>IF(AND(C619=Master!$H$7,B619="2012-2013",E619&gt;1000,G619="NPN05"),H619,"")</f>
        <v/>
      </c>
      <c r="BD619" s="44" t="str">
        <f>IF(AND(C619=Master!$H$7,B619="2012-2013",E619="",G619="NPN05"),H619,"")</f>
        <v/>
      </c>
      <c r="BE619" s="44" t="str">
        <f>IF(AND(C619=Master!$H$8,B619="2012-2013",E619&gt;1000,G619="NPN05"),H619,"")</f>
        <v/>
      </c>
      <c r="BF619" s="44" t="str">
        <f>IF(AND(C619=Master!$H$8,B619="2012-2013",E619="",G619="NPN05"),H619,"")</f>
        <v/>
      </c>
      <c r="BG619" s="44" t="str">
        <f>IF(AND(C619=Master!$H$9,B619="2012-2013",E619&gt;1000,G619="NPN05"),H619,"")</f>
        <v/>
      </c>
      <c r="BH619" s="44" t="str">
        <f>IF(AND(C619=Master!$H$9,B619="2012-2013",E619="",G619="NPN05"),H619,"")</f>
        <v/>
      </c>
    </row>
    <row r="620" spans="1:60" x14ac:dyDescent="0.25">
      <c r="A620" s="3">
        <v>618</v>
      </c>
      <c r="B620" s="12"/>
      <c r="C620" s="12"/>
      <c r="D620" s="31"/>
      <c r="E620" s="4"/>
      <c r="F620" s="13"/>
      <c r="G620" s="21"/>
      <c r="H620" s="35"/>
      <c r="I620" s="21"/>
      <c r="J620" s="25" t="str">
        <f>IF(NOT(I620=""),INDEX(Master!$B$1:$B$46,MATCH(I620,Master!$A$1:$A$46,0)),"")</f>
        <v/>
      </c>
      <c r="K620" s="18"/>
      <c r="L620" s="86"/>
      <c r="M620" s="13"/>
      <c r="N620" s="13"/>
      <c r="O620" s="18"/>
      <c r="P620" s="35"/>
      <c r="Q620" s="21"/>
      <c r="R620" s="21"/>
      <c r="S620" s="13"/>
      <c r="T620" s="12"/>
      <c r="U620" s="12"/>
      <c r="V620" s="12"/>
      <c r="W620" s="14"/>
      <c r="Y620" s="42" t="str">
        <f>IF(AND(C620=Master!$H$1,B620="2012-2013",E620&gt;1000,G620="PLN03"),H620,"")</f>
        <v/>
      </c>
      <c r="Z620" s="42" t="str">
        <f>IF(AND(C620=Master!$H$1,B620="2012-2013",E620="",G620="PLN03"),H620,"")</f>
        <v/>
      </c>
      <c r="AA620" s="42" t="str">
        <f>IF(AND(C620=Master!$H$2,B620="2012-2013",E620&gt;1000,G620="PLN03"),H620,"")</f>
        <v/>
      </c>
      <c r="AB620" s="42" t="str">
        <f>IF(AND(C620=Master!$H$2,B620="2012-2013",E620="",G620="PLN03"),H620,"")</f>
        <v/>
      </c>
      <c r="AC620" s="42" t="str">
        <f>IF(AND(C620=Master!$H$3,B620="2012-2013",E620&gt;1000,G620="PLN03"),H620,"")</f>
        <v/>
      </c>
      <c r="AD620" s="42" t="str">
        <f>IF(AND(C620=Master!$H$3,B620="2012-2013",E620="",G620="PLN03"),H620,"")</f>
        <v/>
      </c>
      <c r="AE620" s="42" t="str">
        <f>IF(AND(C620=Master!$H$4,B620="2012-2013",E620&gt;1000,G620="PLN03"),H620,"")</f>
        <v/>
      </c>
      <c r="AF620" s="42" t="str">
        <f>IF(AND(C620=Master!$H$4,B620="2012-2013",E620="",G620="PLN03"),H620,"")</f>
        <v/>
      </c>
      <c r="AG620" s="42" t="str">
        <f>IF(AND(C620=Master!$H$5,B620="2012-2013",E620&gt;1000,G620="PLN03"),H620,"")</f>
        <v/>
      </c>
      <c r="AH620" s="42" t="str">
        <f>IF(AND(C620=Master!$H$5,B620="2012-2013",E620="",G620="PLN03"),H620,"")</f>
        <v/>
      </c>
      <c r="AI620" s="42" t="str">
        <f>IF(AND(C620=Master!$H$6,B620="2012-2013",E620&gt;1000,G620="PLN03"),H620,"")</f>
        <v/>
      </c>
      <c r="AJ620" s="42" t="str">
        <f>IF(AND(C620=Master!$H$6,B620="2012-2013",E620="",G620="PLN03"),H620,"")</f>
        <v/>
      </c>
      <c r="AK620" s="42" t="str">
        <f>IF(AND(C620=Master!$H$7,B620="2012-2013",E620&gt;1000,G620="PLN03"),H620,"")</f>
        <v/>
      </c>
      <c r="AL620" s="42" t="str">
        <f>IF(AND(C620=Master!$H$7,B620="2012-2013",E620="",G620="PLN03"),H620,"")</f>
        <v/>
      </c>
      <c r="AM620" s="42" t="str">
        <f>IF(AND(C620=Master!$H$8,B620="2012-2013",E620&gt;1000,G620="PLN03"),H620,"")</f>
        <v/>
      </c>
      <c r="AN620" s="42" t="str">
        <f>IF(AND(C620=Master!$H$8,B620="2012-2013",E620="",G620="PLN03"),H620,"")</f>
        <v/>
      </c>
      <c r="AO620" s="42" t="str">
        <f>IF(AND(C620=Master!$H$9,B620="2012-2013",E620&gt;1000,G620="PLN03"),H620,"")</f>
        <v/>
      </c>
      <c r="AP620" s="42" t="str">
        <f>IF(AND(C620=Master!$H$9,B620="2012-2013",E620="",G620="PLN03"),H620,"")</f>
        <v/>
      </c>
      <c r="AQ620" s="44" t="str">
        <f>IF(AND(C620=Master!$H$1,B620="2012-2013",E620&gt;1000,G620="NPN05"),H620,"")</f>
        <v/>
      </c>
      <c r="AR620" s="44" t="str">
        <f>IF(AND(C620=Master!$H$1,B620="2012-2013",E620="",G620="NPN05"),H620,"")</f>
        <v/>
      </c>
      <c r="AS620" s="44" t="str">
        <f>IF(AND(C620=Master!$H$2,B620="2012-2013",E620&gt;1000,G620="NPN05"),H620,"")</f>
        <v/>
      </c>
      <c r="AT620" s="44" t="str">
        <f>IF(AND(C620=Master!$H$2,B620="2012-2013",E620="",G620="NPN05"),H620,"")</f>
        <v/>
      </c>
      <c r="AU620" s="44" t="str">
        <f>IF(AND(C620=Master!$H$3,B620="2012-2013",E620&gt;1000,G620="NPN05"),H620,"")</f>
        <v/>
      </c>
      <c r="AV620" s="44" t="str">
        <f>IF(AND(C620=Master!$H$3,B620="2012-2013",E620="",G620="NPN05"),H620,"")</f>
        <v/>
      </c>
      <c r="AW620" s="44" t="str">
        <f>IF(AND(C620=Master!$H$4,B620="2012-2013",E620&gt;1000,G620="NPN05"),H620,"")</f>
        <v/>
      </c>
      <c r="AX620" s="44" t="str">
        <f>IF(AND(C620=Master!$H$4,B620="2012-2013",E620="",G620="NPN05"),H620,"")</f>
        <v/>
      </c>
      <c r="AY620" s="44" t="str">
        <f>IF(AND(C620=Master!$H$5,B620="2012-2013",E620&gt;1000,G620="NPN05"),H620,"")</f>
        <v/>
      </c>
      <c r="AZ620" s="44" t="str">
        <f>IF(AND(C620=Master!$H$5,B620="2012-2013",E620="",G620="NPN05"),H620,"")</f>
        <v/>
      </c>
      <c r="BA620" s="44" t="str">
        <f>IF(AND(C620=Master!$H$6,B620="2012-2013",E620&gt;1000,G620="NPN05"),H620,"")</f>
        <v/>
      </c>
      <c r="BB620" s="44" t="str">
        <f>IF(AND(C620=Master!$H$6,B620="2012-2013",E620="",G620="NPN05"),H620,"")</f>
        <v/>
      </c>
      <c r="BC620" s="44" t="str">
        <f>IF(AND(C620=Master!$H$7,B620="2012-2013",E620&gt;1000,G620="NPN05"),H620,"")</f>
        <v/>
      </c>
      <c r="BD620" s="44" t="str">
        <f>IF(AND(C620=Master!$H$7,B620="2012-2013",E620="",G620="NPN05"),H620,"")</f>
        <v/>
      </c>
      <c r="BE620" s="44" t="str">
        <f>IF(AND(C620=Master!$H$8,B620="2012-2013",E620&gt;1000,G620="NPN05"),H620,"")</f>
        <v/>
      </c>
      <c r="BF620" s="44" t="str">
        <f>IF(AND(C620=Master!$H$8,B620="2012-2013",E620="",G620="NPN05"),H620,"")</f>
        <v/>
      </c>
      <c r="BG620" s="44" t="str">
        <f>IF(AND(C620=Master!$H$9,B620="2012-2013",E620&gt;1000,G620="NPN05"),H620,"")</f>
        <v/>
      </c>
      <c r="BH620" s="44" t="str">
        <f>IF(AND(C620=Master!$H$9,B620="2012-2013",E620="",G620="NPN05"),H620,"")</f>
        <v/>
      </c>
    </row>
    <row r="621" spans="1:60" x14ac:dyDescent="0.25">
      <c r="A621" s="3">
        <v>619</v>
      </c>
      <c r="B621" s="12"/>
      <c r="C621" s="12"/>
      <c r="D621" s="31"/>
      <c r="E621" s="4"/>
      <c r="F621" s="13"/>
      <c r="G621" s="21"/>
      <c r="H621" s="35"/>
      <c r="I621" s="21"/>
      <c r="J621" s="25" t="str">
        <f>IF(NOT(I621=""),INDEX(Master!$B$1:$B$46,MATCH(I621,Master!$A$1:$A$46,0)),"")</f>
        <v/>
      </c>
      <c r="K621" s="18"/>
      <c r="L621" s="86"/>
      <c r="M621" s="13"/>
      <c r="N621" s="13"/>
      <c r="O621" s="18"/>
      <c r="P621" s="35"/>
      <c r="Q621" s="21"/>
      <c r="R621" s="21"/>
      <c r="S621" s="13"/>
      <c r="T621" s="12"/>
      <c r="U621" s="12"/>
      <c r="V621" s="12"/>
      <c r="W621" s="14"/>
      <c r="Y621" s="42" t="str">
        <f>IF(AND(C621=Master!$H$1,B621="2012-2013",E621&gt;1000,G621="PLN03"),H621,"")</f>
        <v/>
      </c>
      <c r="Z621" s="42" t="str">
        <f>IF(AND(C621=Master!$H$1,B621="2012-2013",E621="",G621="PLN03"),H621,"")</f>
        <v/>
      </c>
      <c r="AA621" s="42" t="str">
        <f>IF(AND(C621=Master!$H$2,B621="2012-2013",E621&gt;1000,G621="PLN03"),H621,"")</f>
        <v/>
      </c>
      <c r="AB621" s="42" t="str">
        <f>IF(AND(C621=Master!$H$2,B621="2012-2013",E621="",G621="PLN03"),H621,"")</f>
        <v/>
      </c>
      <c r="AC621" s="42" t="str">
        <f>IF(AND(C621=Master!$H$3,B621="2012-2013",E621&gt;1000,G621="PLN03"),H621,"")</f>
        <v/>
      </c>
      <c r="AD621" s="42" t="str">
        <f>IF(AND(C621=Master!$H$3,B621="2012-2013",E621="",G621="PLN03"),H621,"")</f>
        <v/>
      </c>
      <c r="AE621" s="42" t="str">
        <f>IF(AND(C621=Master!$H$4,B621="2012-2013",E621&gt;1000,G621="PLN03"),H621,"")</f>
        <v/>
      </c>
      <c r="AF621" s="42" t="str">
        <f>IF(AND(C621=Master!$H$4,B621="2012-2013",E621="",G621="PLN03"),H621,"")</f>
        <v/>
      </c>
      <c r="AG621" s="42" t="str">
        <f>IF(AND(C621=Master!$H$5,B621="2012-2013",E621&gt;1000,G621="PLN03"),H621,"")</f>
        <v/>
      </c>
      <c r="AH621" s="42" t="str">
        <f>IF(AND(C621=Master!$H$5,B621="2012-2013",E621="",G621="PLN03"),H621,"")</f>
        <v/>
      </c>
      <c r="AI621" s="42" t="str">
        <f>IF(AND(C621=Master!$H$6,B621="2012-2013",E621&gt;1000,G621="PLN03"),H621,"")</f>
        <v/>
      </c>
      <c r="AJ621" s="42" t="str">
        <f>IF(AND(C621=Master!$H$6,B621="2012-2013",E621="",G621="PLN03"),H621,"")</f>
        <v/>
      </c>
      <c r="AK621" s="42" t="str">
        <f>IF(AND(C621=Master!$H$7,B621="2012-2013",E621&gt;1000,G621="PLN03"),H621,"")</f>
        <v/>
      </c>
      <c r="AL621" s="42" t="str">
        <f>IF(AND(C621=Master!$H$7,B621="2012-2013",E621="",G621="PLN03"),H621,"")</f>
        <v/>
      </c>
      <c r="AM621" s="42" t="str">
        <f>IF(AND(C621=Master!$H$8,B621="2012-2013",E621&gt;1000,G621="PLN03"),H621,"")</f>
        <v/>
      </c>
      <c r="AN621" s="42" t="str">
        <f>IF(AND(C621=Master!$H$8,B621="2012-2013",E621="",G621="PLN03"),H621,"")</f>
        <v/>
      </c>
      <c r="AO621" s="42" t="str">
        <f>IF(AND(C621=Master!$H$9,B621="2012-2013",E621&gt;1000,G621="PLN03"),H621,"")</f>
        <v/>
      </c>
      <c r="AP621" s="42" t="str">
        <f>IF(AND(C621=Master!$H$9,B621="2012-2013",E621="",G621="PLN03"),H621,"")</f>
        <v/>
      </c>
      <c r="AQ621" s="44" t="str">
        <f>IF(AND(C621=Master!$H$1,B621="2012-2013",E621&gt;1000,G621="NPN05"),H621,"")</f>
        <v/>
      </c>
      <c r="AR621" s="44" t="str">
        <f>IF(AND(C621=Master!$H$1,B621="2012-2013",E621="",G621="NPN05"),H621,"")</f>
        <v/>
      </c>
      <c r="AS621" s="44" t="str">
        <f>IF(AND(C621=Master!$H$2,B621="2012-2013",E621&gt;1000,G621="NPN05"),H621,"")</f>
        <v/>
      </c>
      <c r="AT621" s="44" t="str">
        <f>IF(AND(C621=Master!$H$2,B621="2012-2013",E621="",G621="NPN05"),H621,"")</f>
        <v/>
      </c>
      <c r="AU621" s="44" t="str">
        <f>IF(AND(C621=Master!$H$3,B621="2012-2013",E621&gt;1000,G621="NPN05"),H621,"")</f>
        <v/>
      </c>
      <c r="AV621" s="44" t="str">
        <f>IF(AND(C621=Master!$H$3,B621="2012-2013",E621="",G621="NPN05"),H621,"")</f>
        <v/>
      </c>
      <c r="AW621" s="44" t="str">
        <f>IF(AND(C621=Master!$H$4,B621="2012-2013",E621&gt;1000,G621="NPN05"),H621,"")</f>
        <v/>
      </c>
      <c r="AX621" s="44" t="str">
        <f>IF(AND(C621=Master!$H$4,B621="2012-2013",E621="",G621="NPN05"),H621,"")</f>
        <v/>
      </c>
      <c r="AY621" s="44" t="str">
        <f>IF(AND(C621=Master!$H$5,B621="2012-2013",E621&gt;1000,G621="NPN05"),H621,"")</f>
        <v/>
      </c>
      <c r="AZ621" s="44" t="str">
        <f>IF(AND(C621=Master!$H$5,B621="2012-2013",E621="",G621="NPN05"),H621,"")</f>
        <v/>
      </c>
      <c r="BA621" s="44" t="str">
        <f>IF(AND(C621=Master!$H$6,B621="2012-2013",E621&gt;1000,G621="NPN05"),H621,"")</f>
        <v/>
      </c>
      <c r="BB621" s="44" t="str">
        <f>IF(AND(C621=Master!$H$6,B621="2012-2013",E621="",G621="NPN05"),H621,"")</f>
        <v/>
      </c>
      <c r="BC621" s="44" t="str">
        <f>IF(AND(C621=Master!$H$7,B621="2012-2013",E621&gt;1000,G621="NPN05"),H621,"")</f>
        <v/>
      </c>
      <c r="BD621" s="44" t="str">
        <f>IF(AND(C621=Master!$H$7,B621="2012-2013",E621="",G621="NPN05"),H621,"")</f>
        <v/>
      </c>
      <c r="BE621" s="44" t="str">
        <f>IF(AND(C621=Master!$H$8,B621="2012-2013",E621&gt;1000,G621="NPN05"),H621,"")</f>
        <v/>
      </c>
      <c r="BF621" s="44" t="str">
        <f>IF(AND(C621=Master!$H$8,B621="2012-2013",E621="",G621="NPN05"),H621,"")</f>
        <v/>
      </c>
      <c r="BG621" s="44" t="str">
        <f>IF(AND(C621=Master!$H$9,B621="2012-2013",E621&gt;1000,G621="NPN05"),H621,"")</f>
        <v/>
      </c>
      <c r="BH621" s="44" t="str">
        <f>IF(AND(C621=Master!$H$9,B621="2012-2013",E621="",G621="NPN05"),H621,"")</f>
        <v/>
      </c>
    </row>
    <row r="622" spans="1:60" x14ac:dyDescent="0.25">
      <c r="A622" s="3">
        <v>620</v>
      </c>
      <c r="B622" s="12"/>
      <c r="C622" s="12"/>
      <c r="D622" s="31"/>
      <c r="E622" s="4"/>
      <c r="F622" s="13"/>
      <c r="G622" s="21"/>
      <c r="H622" s="35"/>
      <c r="I622" s="21"/>
      <c r="J622" s="25" t="str">
        <f>IF(NOT(I622=""),INDEX(Master!$B$1:$B$46,MATCH(I622,Master!$A$1:$A$46,0)),"")</f>
        <v/>
      </c>
      <c r="K622" s="18"/>
      <c r="L622" s="86"/>
      <c r="M622" s="13"/>
      <c r="N622" s="13"/>
      <c r="O622" s="18"/>
      <c r="P622" s="35"/>
      <c r="Q622" s="21"/>
      <c r="R622" s="21"/>
      <c r="S622" s="13"/>
      <c r="T622" s="12"/>
      <c r="U622" s="12"/>
      <c r="V622" s="12"/>
      <c r="W622" s="14"/>
      <c r="Y622" s="42" t="str">
        <f>IF(AND(C622=Master!$H$1,B622="2012-2013",E622&gt;1000,G622="PLN03"),H622,"")</f>
        <v/>
      </c>
      <c r="Z622" s="42" t="str">
        <f>IF(AND(C622=Master!$H$1,B622="2012-2013",E622="",G622="PLN03"),H622,"")</f>
        <v/>
      </c>
      <c r="AA622" s="42" t="str">
        <f>IF(AND(C622=Master!$H$2,B622="2012-2013",E622&gt;1000,G622="PLN03"),H622,"")</f>
        <v/>
      </c>
      <c r="AB622" s="42" t="str">
        <f>IF(AND(C622=Master!$H$2,B622="2012-2013",E622="",G622="PLN03"),H622,"")</f>
        <v/>
      </c>
      <c r="AC622" s="42" t="str">
        <f>IF(AND(C622=Master!$H$3,B622="2012-2013",E622&gt;1000,G622="PLN03"),H622,"")</f>
        <v/>
      </c>
      <c r="AD622" s="42" t="str">
        <f>IF(AND(C622=Master!$H$3,B622="2012-2013",E622="",G622="PLN03"),H622,"")</f>
        <v/>
      </c>
      <c r="AE622" s="42" t="str">
        <f>IF(AND(C622=Master!$H$4,B622="2012-2013",E622&gt;1000,G622="PLN03"),H622,"")</f>
        <v/>
      </c>
      <c r="AF622" s="42" t="str">
        <f>IF(AND(C622=Master!$H$4,B622="2012-2013",E622="",G622="PLN03"),H622,"")</f>
        <v/>
      </c>
      <c r="AG622" s="42" t="str">
        <f>IF(AND(C622=Master!$H$5,B622="2012-2013",E622&gt;1000,G622="PLN03"),H622,"")</f>
        <v/>
      </c>
      <c r="AH622" s="42" t="str">
        <f>IF(AND(C622=Master!$H$5,B622="2012-2013",E622="",G622="PLN03"),H622,"")</f>
        <v/>
      </c>
      <c r="AI622" s="42" t="str">
        <f>IF(AND(C622=Master!$H$6,B622="2012-2013",E622&gt;1000,G622="PLN03"),H622,"")</f>
        <v/>
      </c>
      <c r="AJ622" s="42" t="str">
        <f>IF(AND(C622=Master!$H$6,B622="2012-2013",E622="",G622="PLN03"),H622,"")</f>
        <v/>
      </c>
      <c r="AK622" s="42" t="str">
        <f>IF(AND(C622=Master!$H$7,B622="2012-2013",E622&gt;1000,G622="PLN03"),H622,"")</f>
        <v/>
      </c>
      <c r="AL622" s="42" t="str">
        <f>IF(AND(C622=Master!$H$7,B622="2012-2013",E622="",G622="PLN03"),H622,"")</f>
        <v/>
      </c>
      <c r="AM622" s="42" t="str">
        <f>IF(AND(C622=Master!$H$8,B622="2012-2013",E622&gt;1000,G622="PLN03"),H622,"")</f>
        <v/>
      </c>
      <c r="AN622" s="42" t="str">
        <f>IF(AND(C622=Master!$H$8,B622="2012-2013",E622="",G622="PLN03"),H622,"")</f>
        <v/>
      </c>
      <c r="AO622" s="42" t="str">
        <f>IF(AND(C622=Master!$H$9,B622="2012-2013",E622&gt;1000,G622="PLN03"),H622,"")</f>
        <v/>
      </c>
      <c r="AP622" s="42" t="str">
        <f>IF(AND(C622=Master!$H$9,B622="2012-2013",E622="",G622="PLN03"),H622,"")</f>
        <v/>
      </c>
      <c r="AQ622" s="44" t="str">
        <f>IF(AND(C622=Master!$H$1,B622="2012-2013",E622&gt;1000,G622="NPN05"),H622,"")</f>
        <v/>
      </c>
      <c r="AR622" s="44" t="str">
        <f>IF(AND(C622=Master!$H$1,B622="2012-2013",E622="",G622="NPN05"),H622,"")</f>
        <v/>
      </c>
      <c r="AS622" s="44" t="str">
        <f>IF(AND(C622=Master!$H$2,B622="2012-2013",E622&gt;1000,G622="NPN05"),H622,"")</f>
        <v/>
      </c>
      <c r="AT622" s="44" t="str">
        <f>IF(AND(C622=Master!$H$2,B622="2012-2013",E622="",G622="NPN05"),H622,"")</f>
        <v/>
      </c>
      <c r="AU622" s="44" t="str">
        <f>IF(AND(C622=Master!$H$3,B622="2012-2013",E622&gt;1000,G622="NPN05"),H622,"")</f>
        <v/>
      </c>
      <c r="AV622" s="44" t="str">
        <f>IF(AND(C622=Master!$H$3,B622="2012-2013",E622="",G622="NPN05"),H622,"")</f>
        <v/>
      </c>
      <c r="AW622" s="44" t="str">
        <f>IF(AND(C622=Master!$H$4,B622="2012-2013",E622&gt;1000,G622="NPN05"),H622,"")</f>
        <v/>
      </c>
      <c r="AX622" s="44" t="str">
        <f>IF(AND(C622=Master!$H$4,B622="2012-2013",E622="",G622="NPN05"),H622,"")</f>
        <v/>
      </c>
      <c r="AY622" s="44" t="str">
        <f>IF(AND(C622=Master!$H$5,B622="2012-2013",E622&gt;1000,G622="NPN05"),H622,"")</f>
        <v/>
      </c>
      <c r="AZ622" s="44" t="str">
        <f>IF(AND(C622=Master!$H$5,B622="2012-2013",E622="",G622="NPN05"),H622,"")</f>
        <v/>
      </c>
      <c r="BA622" s="44" t="str">
        <f>IF(AND(C622=Master!$H$6,B622="2012-2013",E622&gt;1000,G622="NPN05"),H622,"")</f>
        <v/>
      </c>
      <c r="BB622" s="44" t="str">
        <f>IF(AND(C622=Master!$H$6,B622="2012-2013",E622="",G622="NPN05"),H622,"")</f>
        <v/>
      </c>
      <c r="BC622" s="44" t="str">
        <f>IF(AND(C622=Master!$H$7,B622="2012-2013",E622&gt;1000,G622="NPN05"),H622,"")</f>
        <v/>
      </c>
      <c r="BD622" s="44" t="str">
        <f>IF(AND(C622=Master!$H$7,B622="2012-2013",E622="",G622="NPN05"),H622,"")</f>
        <v/>
      </c>
      <c r="BE622" s="44" t="str">
        <f>IF(AND(C622=Master!$H$8,B622="2012-2013",E622&gt;1000,G622="NPN05"),H622,"")</f>
        <v/>
      </c>
      <c r="BF622" s="44" t="str">
        <f>IF(AND(C622=Master!$H$8,B622="2012-2013",E622="",G622="NPN05"),H622,"")</f>
        <v/>
      </c>
      <c r="BG622" s="44" t="str">
        <f>IF(AND(C622=Master!$H$9,B622="2012-2013",E622&gt;1000,G622="NPN05"),H622,"")</f>
        <v/>
      </c>
      <c r="BH622" s="44" t="str">
        <f>IF(AND(C622=Master!$H$9,B622="2012-2013",E622="",G622="NPN05"),H622,"")</f>
        <v/>
      </c>
    </row>
    <row r="623" spans="1:60" x14ac:dyDescent="0.25">
      <c r="A623" s="3">
        <v>621</v>
      </c>
      <c r="B623" s="12"/>
      <c r="C623" s="12"/>
      <c r="D623" s="31"/>
      <c r="E623" s="4"/>
      <c r="F623" s="13"/>
      <c r="G623" s="21"/>
      <c r="H623" s="35"/>
      <c r="I623" s="21"/>
      <c r="J623" s="25" t="str">
        <f>IF(NOT(I623=""),INDEX(Master!$B$1:$B$46,MATCH(I623,Master!$A$1:$A$46,0)),"")</f>
        <v/>
      </c>
      <c r="K623" s="18"/>
      <c r="L623" s="86"/>
      <c r="M623" s="13"/>
      <c r="N623" s="13"/>
      <c r="O623" s="18"/>
      <c r="P623" s="35"/>
      <c r="Q623" s="21"/>
      <c r="R623" s="21"/>
      <c r="S623" s="13"/>
      <c r="T623" s="12"/>
      <c r="U623" s="12"/>
      <c r="V623" s="12"/>
      <c r="W623" s="14"/>
      <c r="Y623" s="42" t="str">
        <f>IF(AND(C623=Master!$H$1,B623="2012-2013",E623&gt;1000,G623="PLN03"),H623,"")</f>
        <v/>
      </c>
      <c r="Z623" s="42" t="str">
        <f>IF(AND(C623=Master!$H$1,B623="2012-2013",E623="",G623="PLN03"),H623,"")</f>
        <v/>
      </c>
      <c r="AA623" s="42" t="str">
        <f>IF(AND(C623=Master!$H$2,B623="2012-2013",E623&gt;1000,G623="PLN03"),H623,"")</f>
        <v/>
      </c>
      <c r="AB623" s="42" t="str">
        <f>IF(AND(C623=Master!$H$2,B623="2012-2013",E623="",G623="PLN03"),H623,"")</f>
        <v/>
      </c>
      <c r="AC623" s="42" t="str">
        <f>IF(AND(C623=Master!$H$3,B623="2012-2013",E623&gt;1000,G623="PLN03"),H623,"")</f>
        <v/>
      </c>
      <c r="AD623" s="42" t="str">
        <f>IF(AND(C623=Master!$H$3,B623="2012-2013",E623="",G623="PLN03"),H623,"")</f>
        <v/>
      </c>
      <c r="AE623" s="42" t="str">
        <f>IF(AND(C623=Master!$H$4,B623="2012-2013",E623&gt;1000,G623="PLN03"),H623,"")</f>
        <v/>
      </c>
      <c r="AF623" s="42" t="str">
        <f>IF(AND(C623=Master!$H$4,B623="2012-2013",E623="",G623="PLN03"),H623,"")</f>
        <v/>
      </c>
      <c r="AG623" s="42" t="str">
        <f>IF(AND(C623=Master!$H$5,B623="2012-2013",E623&gt;1000,G623="PLN03"),H623,"")</f>
        <v/>
      </c>
      <c r="AH623" s="42" t="str">
        <f>IF(AND(C623=Master!$H$5,B623="2012-2013",E623="",G623="PLN03"),H623,"")</f>
        <v/>
      </c>
      <c r="AI623" s="42" t="str">
        <f>IF(AND(C623=Master!$H$6,B623="2012-2013",E623&gt;1000,G623="PLN03"),H623,"")</f>
        <v/>
      </c>
      <c r="AJ623" s="42" t="str">
        <f>IF(AND(C623=Master!$H$6,B623="2012-2013",E623="",G623="PLN03"),H623,"")</f>
        <v/>
      </c>
      <c r="AK623" s="42" t="str">
        <f>IF(AND(C623=Master!$H$7,B623="2012-2013",E623&gt;1000,G623="PLN03"),H623,"")</f>
        <v/>
      </c>
      <c r="AL623" s="42" t="str">
        <f>IF(AND(C623=Master!$H$7,B623="2012-2013",E623="",G623="PLN03"),H623,"")</f>
        <v/>
      </c>
      <c r="AM623" s="42" t="str">
        <f>IF(AND(C623=Master!$H$8,B623="2012-2013",E623&gt;1000,G623="PLN03"),H623,"")</f>
        <v/>
      </c>
      <c r="AN623" s="42" t="str">
        <f>IF(AND(C623=Master!$H$8,B623="2012-2013",E623="",G623="PLN03"),H623,"")</f>
        <v/>
      </c>
      <c r="AO623" s="42" t="str">
        <f>IF(AND(C623=Master!$H$9,B623="2012-2013",E623&gt;1000,G623="PLN03"),H623,"")</f>
        <v/>
      </c>
      <c r="AP623" s="42" t="str">
        <f>IF(AND(C623=Master!$H$9,B623="2012-2013",E623="",G623="PLN03"),H623,"")</f>
        <v/>
      </c>
      <c r="AQ623" s="44" t="str">
        <f>IF(AND(C623=Master!$H$1,B623="2012-2013",E623&gt;1000,G623="NPN05"),H623,"")</f>
        <v/>
      </c>
      <c r="AR623" s="44" t="str">
        <f>IF(AND(C623=Master!$H$1,B623="2012-2013",E623="",G623="NPN05"),H623,"")</f>
        <v/>
      </c>
      <c r="AS623" s="44" t="str">
        <f>IF(AND(C623=Master!$H$2,B623="2012-2013",E623&gt;1000,G623="NPN05"),H623,"")</f>
        <v/>
      </c>
      <c r="AT623" s="44" t="str">
        <f>IF(AND(C623=Master!$H$2,B623="2012-2013",E623="",G623="NPN05"),H623,"")</f>
        <v/>
      </c>
      <c r="AU623" s="44" t="str">
        <f>IF(AND(C623=Master!$H$3,B623="2012-2013",E623&gt;1000,G623="NPN05"),H623,"")</f>
        <v/>
      </c>
      <c r="AV623" s="44" t="str">
        <f>IF(AND(C623=Master!$H$3,B623="2012-2013",E623="",G623="NPN05"),H623,"")</f>
        <v/>
      </c>
      <c r="AW623" s="44" t="str">
        <f>IF(AND(C623=Master!$H$4,B623="2012-2013",E623&gt;1000,G623="NPN05"),H623,"")</f>
        <v/>
      </c>
      <c r="AX623" s="44" t="str">
        <f>IF(AND(C623=Master!$H$4,B623="2012-2013",E623="",G623="NPN05"),H623,"")</f>
        <v/>
      </c>
      <c r="AY623" s="44" t="str">
        <f>IF(AND(C623=Master!$H$5,B623="2012-2013",E623&gt;1000,G623="NPN05"),H623,"")</f>
        <v/>
      </c>
      <c r="AZ623" s="44" t="str">
        <f>IF(AND(C623=Master!$H$5,B623="2012-2013",E623="",G623="NPN05"),H623,"")</f>
        <v/>
      </c>
      <c r="BA623" s="44" t="str">
        <f>IF(AND(C623=Master!$H$6,B623="2012-2013",E623&gt;1000,G623="NPN05"),H623,"")</f>
        <v/>
      </c>
      <c r="BB623" s="44" t="str">
        <f>IF(AND(C623=Master!$H$6,B623="2012-2013",E623="",G623="NPN05"),H623,"")</f>
        <v/>
      </c>
      <c r="BC623" s="44" t="str">
        <f>IF(AND(C623=Master!$H$7,B623="2012-2013",E623&gt;1000,G623="NPN05"),H623,"")</f>
        <v/>
      </c>
      <c r="BD623" s="44" t="str">
        <f>IF(AND(C623=Master!$H$7,B623="2012-2013",E623="",G623="NPN05"),H623,"")</f>
        <v/>
      </c>
      <c r="BE623" s="44" t="str">
        <f>IF(AND(C623=Master!$H$8,B623="2012-2013",E623&gt;1000,G623="NPN05"),H623,"")</f>
        <v/>
      </c>
      <c r="BF623" s="44" t="str">
        <f>IF(AND(C623=Master!$H$8,B623="2012-2013",E623="",G623="NPN05"),H623,"")</f>
        <v/>
      </c>
      <c r="BG623" s="44" t="str">
        <f>IF(AND(C623=Master!$H$9,B623="2012-2013",E623&gt;1000,G623="NPN05"),H623,"")</f>
        <v/>
      </c>
      <c r="BH623" s="44" t="str">
        <f>IF(AND(C623=Master!$H$9,B623="2012-2013",E623="",G623="NPN05"),H623,"")</f>
        <v/>
      </c>
    </row>
    <row r="624" spans="1:60" x14ac:dyDescent="0.25">
      <c r="A624" s="3">
        <v>622</v>
      </c>
      <c r="B624" s="12"/>
      <c r="C624" s="12"/>
      <c r="D624" s="31"/>
      <c r="E624" s="4"/>
      <c r="F624" s="13"/>
      <c r="G624" s="21"/>
      <c r="H624" s="35"/>
      <c r="I624" s="21"/>
      <c r="J624" s="25" t="str">
        <f>IF(NOT(I624=""),INDEX(Master!$B$1:$B$46,MATCH(I624,Master!$A$1:$A$46,0)),"")</f>
        <v/>
      </c>
      <c r="K624" s="18"/>
      <c r="L624" s="86"/>
      <c r="M624" s="13"/>
      <c r="N624" s="13"/>
      <c r="O624" s="18"/>
      <c r="P624" s="35"/>
      <c r="Q624" s="21"/>
      <c r="R624" s="21"/>
      <c r="S624" s="13"/>
      <c r="T624" s="12"/>
      <c r="U624" s="12"/>
      <c r="V624" s="12"/>
      <c r="W624" s="14"/>
      <c r="Y624" s="42" t="str">
        <f>IF(AND(C624=Master!$H$1,B624="2012-2013",E624&gt;1000,G624="PLN03"),H624,"")</f>
        <v/>
      </c>
      <c r="Z624" s="42" t="str">
        <f>IF(AND(C624=Master!$H$1,B624="2012-2013",E624="",G624="PLN03"),H624,"")</f>
        <v/>
      </c>
      <c r="AA624" s="42" t="str">
        <f>IF(AND(C624=Master!$H$2,B624="2012-2013",E624&gt;1000,G624="PLN03"),H624,"")</f>
        <v/>
      </c>
      <c r="AB624" s="42" t="str">
        <f>IF(AND(C624=Master!$H$2,B624="2012-2013",E624="",G624="PLN03"),H624,"")</f>
        <v/>
      </c>
      <c r="AC624" s="42" t="str">
        <f>IF(AND(C624=Master!$H$3,B624="2012-2013",E624&gt;1000,G624="PLN03"),H624,"")</f>
        <v/>
      </c>
      <c r="AD624" s="42" t="str">
        <f>IF(AND(C624=Master!$H$3,B624="2012-2013",E624="",G624="PLN03"),H624,"")</f>
        <v/>
      </c>
      <c r="AE624" s="42" t="str">
        <f>IF(AND(C624=Master!$H$4,B624="2012-2013",E624&gt;1000,G624="PLN03"),H624,"")</f>
        <v/>
      </c>
      <c r="AF624" s="42" t="str">
        <f>IF(AND(C624=Master!$H$4,B624="2012-2013",E624="",G624="PLN03"),H624,"")</f>
        <v/>
      </c>
      <c r="AG624" s="42" t="str">
        <f>IF(AND(C624=Master!$H$5,B624="2012-2013",E624&gt;1000,G624="PLN03"),H624,"")</f>
        <v/>
      </c>
      <c r="AH624" s="42" t="str">
        <f>IF(AND(C624=Master!$H$5,B624="2012-2013",E624="",G624="PLN03"),H624,"")</f>
        <v/>
      </c>
      <c r="AI624" s="42" t="str">
        <f>IF(AND(C624=Master!$H$6,B624="2012-2013",E624&gt;1000,G624="PLN03"),H624,"")</f>
        <v/>
      </c>
      <c r="AJ624" s="42" t="str">
        <f>IF(AND(C624=Master!$H$6,B624="2012-2013",E624="",G624="PLN03"),H624,"")</f>
        <v/>
      </c>
      <c r="AK624" s="42" t="str">
        <f>IF(AND(C624=Master!$H$7,B624="2012-2013",E624&gt;1000,G624="PLN03"),H624,"")</f>
        <v/>
      </c>
      <c r="AL624" s="42" t="str">
        <f>IF(AND(C624=Master!$H$7,B624="2012-2013",E624="",G624="PLN03"),H624,"")</f>
        <v/>
      </c>
      <c r="AM624" s="42" t="str">
        <f>IF(AND(C624=Master!$H$8,B624="2012-2013",E624&gt;1000,G624="PLN03"),H624,"")</f>
        <v/>
      </c>
      <c r="AN624" s="42" t="str">
        <f>IF(AND(C624=Master!$H$8,B624="2012-2013",E624="",G624="PLN03"),H624,"")</f>
        <v/>
      </c>
      <c r="AO624" s="42" t="str">
        <f>IF(AND(C624=Master!$H$9,B624="2012-2013",E624&gt;1000,G624="PLN03"),H624,"")</f>
        <v/>
      </c>
      <c r="AP624" s="42" t="str">
        <f>IF(AND(C624=Master!$H$9,B624="2012-2013",E624="",G624="PLN03"),H624,"")</f>
        <v/>
      </c>
      <c r="AQ624" s="44" t="str">
        <f>IF(AND(C624=Master!$H$1,B624="2012-2013",E624&gt;1000,G624="NPN05"),H624,"")</f>
        <v/>
      </c>
      <c r="AR624" s="44" t="str">
        <f>IF(AND(C624=Master!$H$1,B624="2012-2013",E624="",G624="NPN05"),H624,"")</f>
        <v/>
      </c>
      <c r="AS624" s="44" t="str">
        <f>IF(AND(C624=Master!$H$2,B624="2012-2013",E624&gt;1000,G624="NPN05"),H624,"")</f>
        <v/>
      </c>
      <c r="AT624" s="44" t="str">
        <f>IF(AND(C624=Master!$H$2,B624="2012-2013",E624="",G624="NPN05"),H624,"")</f>
        <v/>
      </c>
      <c r="AU624" s="44" t="str">
        <f>IF(AND(C624=Master!$H$3,B624="2012-2013",E624&gt;1000,G624="NPN05"),H624,"")</f>
        <v/>
      </c>
      <c r="AV624" s="44" t="str">
        <f>IF(AND(C624=Master!$H$3,B624="2012-2013",E624="",G624="NPN05"),H624,"")</f>
        <v/>
      </c>
      <c r="AW624" s="44" t="str">
        <f>IF(AND(C624=Master!$H$4,B624="2012-2013",E624&gt;1000,G624="NPN05"),H624,"")</f>
        <v/>
      </c>
      <c r="AX624" s="44" t="str">
        <f>IF(AND(C624=Master!$H$4,B624="2012-2013",E624="",G624="NPN05"),H624,"")</f>
        <v/>
      </c>
      <c r="AY624" s="44" t="str">
        <f>IF(AND(C624=Master!$H$5,B624="2012-2013",E624&gt;1000,G624="NPN05"),H624,"")</f>
        <v/>
      </c>
      <c r="AZ624" s="44" t="str">
        <f>IF(AND(C624=Master!$H$5,B624="2012-2013",E624="",G624="NPN05"),H624,"")</f>
        <v/>
      </c>
      <c r="BA624" s="44" t="str">
        <f>IF(AND(C624=Master!$H$6,B624="2012-2013",E624&gt;1000,G624="NPN05"),H624,"")</f>
        <v/>
      </c>
      <c r="BB624" s="44" t="str">
        <f>IF(AND(C624=Master!$H$6,B624="2012-2013",E624="",G624="NPN05"),H624,"")</f>
        <v/>
      </c>
      <c r="BC624" s="44" t="str">
        <f>IF(AND(C624=Master!$H$7,B624="2012-2013",E624&gt;1000,G624="NPN05"),H624,"")</f>
        <v/>
      </c>
      <c r="BD624" s="44" t="str">
        <f>IF(AND(C624=Master!$H$7,B624="2012-2013",E624="",G624="NPN05"),H624,"")</f>
        <v/>
      </c>
      <c r="BE624" s="44" t="str">
        <f>IF(AND(C624=Master!$H$8,B624="2012-2013",E624&gt;1000,G624="NPN05"),H624,"")</f>
        <v/>
      </c>
      <c r="BF624" s="44" t="str">
        <f>IF(AND(C624=Master!$H$8,B624="2012-2013",E624="",G624="NPN05"),H624,"")</f>
        <v/>
      </c>
      <c r="BG624" s="44" t="str">
        <f>IF(AND(C624=Master!$H$9,B624="2012-2013",E624&gt;1000,G624="NPN05"),H624,"")</f>
        <v/>
      </c>
      <c r="BH624" s="44" t="str">
        <f>IF(AND(C624=Master!$H$9,B624="2012-2013",E624="",G624="NPN05"),H624,"")</f>
        <v/>
      </c>
    </row>
    <row r="625" spans="1:60" x14ac:dyDescent="0.25">
      <c r="A625" s="5">
        <v>623</v>
      </c>
      <c r="B625" s="12"/>
      <c r="C625" s="12"/>
      <c r="D625" s="31"/>
      <c r="E625" s="4"/>
      <c r="F625" s="13"/>
      <c r="G625" s="21"/>
      <c r="H625" s="35"/>
      <c r="I625" s="21"/>
      <c r="J625" s="25" t="str">
        <f>IF(NOT(I625=""),INDEX(Master!$B$1:$B$46,MATCH(I625,Master!$A$1:$A$46,0)),"")</f>
        <v/>
      </c>
      <c r="K625" s="18"/>
      <c r="L625" s="86"/>
      <c r="M625" s="13"/>
      <c r="N625" s="13"/>
      <c r="O625" s="18"/>
      <c r="P625" s="35"/>
      <c r="Q625" s="21"/>
      <c r="R625" s="21"/>
      <c r="S625" s="13"/>
      <c r="T625" s="12"/>
      <c r="U625" s="12"/>
      <c r="V625" s="12"/>
      <c r="W625" s="14"/>
      <c r="Y625" s="42" t="str">
        <f>IF(AND(C625=Master!$H$1,B625="2012-2013",E625&gt;1000,G625="PLN03"),H625,"")</f>
        <v/>
      </c>
      <c r="Z625" s="42" t="str">
        <f>IF(AND(C625=Master!$H$1,B625="2012-2013",E625="",G625="PLN03"),H625,"")</f>
        <v/>
      </c>
      <c r="AA625" s="42" t="str">
        <f>IF(AND(C625=Master!$H$2,B625="2012-2013",E625&gt;1000,G625="PLN03"),H625,"")</f>
        <v/>
      </c>
      <c r="AB625" s="42" t="str">
        <f>IF(AND(C625=Master!$H$2,B625="2012-2013",E625="",G625="PLN03"),H625,"")</f>
        <v/>
      </c>
      <c r="AC625" s="42" t="str">
        <f>IF(AND(C625=Master!$H$3,B625="2012-2013",E625&gt;1000,G625="PLN03"),H625,"")</f>
        <v/>
      </c>
      <c r="AD625" s="42" t="str">
        <f>IF(AND(C625=Master!$H$3,B625="2012-2013",E625="",G625="PLN03"),H625,"")</f>
        <v/>
      </c>
      <c r="AE625" s="42" t="str">
        <f>IF(AND(C625=Master!$H$4,B625="2012-2013",E625&gt;1000,G625="PLN03"),H625,"")</f>
        <v/>
      </c>
      <c r="AF625" s="42" t="str">
        <f>IF(AND(C625=Master!$H$4,B625="2012-2013",E625="",G625="PLN03"),H625,"")</f>
        <v/>
      </c>
      <c r="AG625" s="42" t="str">
        <f>IF(AND(C625=Master!$H$5,B625="2012-2013",E625&gt;1000,G625="PLN03"),H625,"")</f>
        <v/>
      </c>
      <c r="AH625" s="42" t="str">
        <f>IF(AND(C625=Master!$H$5,B625="2012-2013",E625="",G625="PLN03"),H625,"")</f>
        <v/>
      </c>
      <c r="AI625" s="42" t="str">
        <f>IF(AND(C625=Master!$H$6,B625="2012-2013",E625&gt;1000,G625="PLN03"),H625,"")</f>
        <v/>
      </c>
      <c r="AJ625" s="42" t="str">
        <f>IF(AND(C625=Master!$H$6,B625="2012-2013",E625="",G625="PLN03"),H625,"")</f>
        <v/>
      </c>
      <c r="AK625" s="42" t="str">
        <f>IF(AND(C625=Master!$H$7,B625="2012-2013",E625&gt;1000,G625="PLN03"),H625,"")</f>
        <v/>
      </c>
      <c r="AL625" s="42" t="str">
        <f>IF(AND(C625=Master!$H$7,B625="2012-2013",E625="",G625="PLN03"),H625,"")</f>
        <v/>
      </c>
      <c r="AM625" s="42" t="str">
        <f>IF(AND(C625=Master!$H$8,B625="2012-2013",E625&gt;1000,G625="PLN03"),H625,"")</f>
        <v/>
      </c>
      <c r="AN625" s="42" t="str">
        <f>IF(AND(C625=Master!$H$8,B625="2012-2013",E625="",G625="PLN03"),H625,"")</f>
        <v/>
      </c>
      <c r="AO625" s="42" t="str">
        <f>IF(AND(C625=Master!$H$9,B625="2012-2013",E625&gt;1000,G625="PLN03"),H625,"")</f>
        <v/>
      </c>
      <c r="AP625" s="42" t="str">
        <f>IF(AND(C625=Master!$H$9,B625="2012-2013",E625="",G625="PLN03"),H625,"")</f>
        <v/>
      </c>
      <c r="AQ625" s="44" t="str">
        <f>IF(AND(C625=Master!$H$1,B625="2012-2013",E625&gt;1000,G625="NPN05"),H625,"")</f>
        <v/>
      </c>
      <c r="AR625" s="44" t="str">
        <f>IF(AND(C625=Master!$H$1,B625="2012-2013",E625="",G625="NPN05"),H625,"")</f>
        <v/>
      </c>
      <c r="AS625" s="44" t="str">
        <f>IF(AND(C625=Master!$H$2,B625="2012-2013",E625&gt;1000,G625="NPN05"),H625,"")</f>
        <v/>
      </c>
      <c r="AT625" s="44" t="str">
        <f>IF(AND(C625=Master!$H$2,B625="2012-2013",E625="",G625="NPN05"),H625,"")</f>
        <v/>
      </c>
      <c r="AU625" s="44" t="str">
        <f>IF(AND(C625=Master!$H$3,B625="2012-2013",E625&gt;1000,G625="NPN05"),H625,"")</f>
        <v/>
      </c>
      <c r="AV625" s="44" t="str">
        <f>IF(AND(C625=Master!$H$3,B625="2012-2013",E625="",G625="NPN05"),H625,"")</f>
        <v/>
      </c>
      <c r="AW625" s="44" t="str">
        <f>IF(AND(C625=Master!$H$4,B625="2012-2013",E625&gt;1000,G625="NPN05"),H625,"")</f>
        <v/>
      </c>
      <c r="AX625" s="44" t="str">
        <f>IF(AND(C625=Master!$H$4,B625="2012-2013",E625="",G625="NPN05"),H625,"")</f>
        <v/>
      </c>
      <c r="AY625" s="44" t="str">
        <f>IF(AND(C625=Master!$H$5,B625="2012-2013",E625&gt;1000,G625="NPN05"),H625,"")</f>
        <v/>
      </c>
      <c r="AZ625" s="44" t="str">
        <f>IF(AND(C625=Master!$H$5,B625="2012-2013",E625="",G625="NPN05"),H625,"")</f>
        <v/>
      </c>
      <c r="BA625" s="44" t="str">
        <f>IF(AND(C625=Master!$H$6,B625="2012-2013",E625&gt;1000,G625="NPN05"),H625,"")</f>
        <v/>
      </c>
      <c r="BB625" s="44" t="str">
        <f>IF(AND(C625=Master!$H$6,B625="2012-2013",E625="",G625="NPN05"),H625,"")</f>
        <v/>
      </c>
      <c r="BC625" s="44" t="str">
        <f>IF(AND(C625=Master!$H$7,B625="2012-2013",E625&gt;1000,G625="NPN05"),H625,"")</f>
        <v/>
      </c>
      <c r="BD625" s="44" t="str">
        <f>IF(AND(C625=Master!$H$7,B625="2012-2013",E625="",G625="NPN05"),H625,"")</f>
        <v/>
      </c>
      <c r="BE625" s="44" t="str">
        <f>IF(AND(C625=Master!$H$8,B625="2012-2013",E625&gt;1000,G625="NPN05"),H625,"")</f>
        <v/>
      </c>
      <c r="BF625" s="44" t="str">
        <f>IF(AND(C625=Master!$H$8,B625="2012-2013",E625="",G625="NPN05"),H625,"")</f>
        <v/>
      </c>
      <c r="BG625" s="44" t="str">
        <f>IF(AND(C625=Master!$H$9,B625="2012-2013",E625&gt;1000,G625="NPN05"),H625,"")</f>
        <v/>
      </c>
      <c r="BH625" s="44" t="str">
        <f>IF(AND(C625=Master!$H$9,B625="2012-2013",E625="",G625="NPN05"),H625,"")</f>
        <v/>
      </c>
    </row>
    <row r="626" spans="1:60" x14ac:dyDescent="0.25">
      <c r="A626" s="3">
        <v>624</v>
      </c>
      <c r="B626" s="12"/>
      <c r="C626" s="12"/>
      <c r="D626" s="31"/>
      <c r="E626" s="4"/>
      <c r="F626" s="13"/>
      <c r="G626" s="21"/>
      <c r="H626" s="35"/>
      <c r="I626" s="21"/>
      <c r="J626" s="25" t="str">
        <f>IF(NOT(I626=""),INDEX(Master!$B$1:$B$46,MATCH(I626,Master!$A$1:$A$46,0)),"")</f>
        <v/>
      </c>
      <c r="K626" s="18"/>
      <c r="L626" s="86"/>
      <c r="M626" s="13"/>
      <c r="N626" s="13"/>
      <c r="O626" s="18"/>
      <c r="P626" s="35"/>
      <c r="Q626" s="21"/>
      <c r="R626" s="21"/>
      <c r="S626" s="13"/>
      <c r="T626" s="12"/>
      <c r="U626" s="12"/>
      <c r="V626" s="12"/>
      <c r="W626" s="14"/>
      <c r="Y626" s="42" t="str">
        <f>IF(AND(C626=Master!$H$1,B626="2012-2013",E626&gt;1000,G626="PLN03"),H626,"")</f>
        <v/>
      </c>
      <c r="Z626" s="42" t="str">
        <f>IF(AND(C626=Master!$H$1,B626="2012-2013",E626="",G626="PLN03"),H626,"")</f>
        <v/>
      </c>
      <c r="AA626" s="42" t="str">
        <f>IF(AND(C626=Master!$H$2,B626="2012-2013",E626&gt;1000,G626="PLN03"),H626,"")</f>
        <v/>
      </c>
      <c r="AB626" s="42" t="str">
        <f>IF(AND(C626=Master!$H$2,B626="2012-2013",E626="",G626="PLN03"),H626,"")</f>
        <v/>
      </c>
      <c r="AC626" s="42" t="str">
        <f>IF(AND(C626=Master!$H$3,B626="2012-2013",E626&gt;1000,G626="PLN03"),H626,"")</f>
        <v/>
      </c>
      <c r="AD626" s="42" t="str">
        <f>IF(AND(C626=Master!$H$3,B626="2012-2013",E626="",G626="PLN03"),H626,"")</f>
        <v/>
      </c>
      <c r="AE626" s="42" t="str">
        <f>IF(AND(C626=Master!$H$4,B626="2012-2013",E626&gt;1000,G626="PLN03"),H626,"")</f>
        <v/>
      </c>
      <c r="AF626" s="42" t="str">
        <f>IF(AND(C626=Master!$H$4,B626="2012-2013",E626="",G626="PLN03"),H626,"")</f>
        <v/>
      </c>
      <c r="AG626" s="42" t="str">
        <f>IF(AND(C626=Master!$H$5,B626="2012-2013",E626&gt;1000,G626="PLN03"),H626,"")</f>
        <v/>
      </c>
      <c r="AH626" s="42" t="str">
        <f>IF(AND(C626=Master!$H$5,B626="2012-2013",E626="",G626="PLN03"),H626,"")</f>
        <v/>
      </c>
      <c r="AI626" s="42" t="str">
        <f>IF(AND(C626=Master!$H$6,B626="2012-2013",E626&gt;1000,G626="PLN03"),H626,"")</f>
        <v/>
      </c>
      <c r="AJ626" s="42" t="str">
        <f>IF(AND(C626=Master!$H$6,B626="2012-2013",E626="",G626="PLN03"),H626,"")</f>
        <v/>
      </c>
      <c r="AK626" s="42" t="str">
        <f>IF(AND(C626=Master!$H$7,B626="2012-2013",E626&gt;1000,G626="PLN03"),H626,"")</f>
        <v/>
      </c>
      <c r="AL626" s="42" t="str">
        <f>IF(AND(C626=Master!$H$7,B626="2012-2013",E626="",G626="PLN03"),H626,"")</f>
        <v/>
      </c>
      <c r="AM626" s="42" t="str">
        <f>IF(AND(C626=Master!$H$8,B626="2012-2013",E626&gt;1000,G626="PLN03"),H626,"")</f>
        <v/>
      </c>
      <c r="AN626" s="42" t="str">
        <f>IF(AND(C626=Master!$H$8,B626="2012-2013",E626="",G626="PLN03"),H626,"")</f>
        <v/>
      </c>
      <c r="AO626" s="42" t="str">
        <f>IF(AND(C626=Master!$H$9,B626="2012-2013",E626&gt;1000,G626="PLN03"),H626,"")</f>
        <v/>
      </c>
      <c r="AP626" s="42" t="str">
        <f>IF(AND(C626=Master!$H$9,B626="2012-2013",E626="",G626="PLN03"),H626,"")</f>
        <v/>
      </c>
      <c r="AQ626" s="44" t="str">
        <f>IF(AND(C626=Master!$H$1,B626="2012-2013",E626&gt;1000,G626="NPN05"),H626,"")</f>
        <v/>
      </c>
      <c r="AR626" s="44" t="str">
        <f>IF(AND(C626=Master!$H$1,B626="2012-2013",E626="",G626="NPN05"),H626,"")</f>
        <v/>
      </c>
      <c r="AS626" s="44" t="str">
        <f>IF(AND(C626=Master!$H$2,B626="2012-2013",E626&gt;1000,G626="NPN05"),H626,"")</f>
        <v/>
      </c>
      <c r="AT626" s="44" t="str">
        <f>IF(AND(C626=Master!$H$2,B626="2012-2013",E626="",G626="NPN05"),H626,"")</f>
        <v/>
      </c>
      <c r="AU626" s="44" t="str">
        <f>IF(AND(C626=Master!$H$3,B626="2012-2013",E626&gt;1000,G626="NPN05"),H626,"")</f>
        <v/>
      </c>
      <c r="AV626" s="44" t="str">
        <f>IF(AND(C626=Master!$H$3,B626="2012-2013",E626="",G626="NPN05"),H626,"")</f>
        <v/>
      </c>
      <c r="AW626" s="44" t="str">
        <f>IF(AND(C626=Master!$H$4,B626="2012-2013",E626&gt;1000,G626="NPN05"),H626,"")</f>
        <v/>
      </c>
      <c r="AX626" s="44" t="str">
        <f>IF(AND(C626=Master!$H$4,B626="2012-2013",E626="",G626="NPN05"),H626,"")</f>
        <v/>
      </c>
      <c r="AY626" s="44" t="str">
        <f>IF(AND(C626=Master!$H$5,B626="2012-2013",E626&gt;1000,G626="NPN05"),H626,"")</f>
        <v/>
      </c>
      <c r="AZ626" s="44" t="str">
        <f>IF(AND(C626=Master!$H$5,B626="2012-2013",E626="",G626="NPN05"),H626,"")</f>
        <v/>
      </c>
      <c r="BA626" s="44" t="str">
        <f>IF(AND(C626=Master!$H$6,B626="2012-2013",E626&gt;1000,G626="NPN05"),H626,"")</f>
        <v/>
      </c>
      <c r="BB626" s="44" t="str">
        <f>IF(AND(C626=Master!$H$6,B626="2012-2013",E626="",G626="NPN05"),H626,"")</f>
        <v/>
      </c>
      <c r="BC626" s="44" t="str">
        <f>IF(AND(C626=Master!$H$7,B626="2012-2013",E626&gt;1000,G626="NPN05"),H626,"")</f>
        <v/>
      </c>
      <c r="BD626" s="44" t="str">
        <f>IF(AND(C626=Master!$H$7,B626="2012-2013",E626="",G626="NPN05"),H626,"")</f>
        <v/>
      </c>
      <c r="BE626" s="44" t="str">
        <f>IF(AND(C626=Master!$H$8,B626="2012-2013",E626&gt;1000,G626="NPN05"),H626,"")</f>
        <v/>
      </c>
      <c r="BF626" s="44" t="str">
        <f>IF(AND(C626=Master!$H$8,B626="2012-2013",E626="",G626="NPN05"),H626,"")</f>
        <v/>
      </c>
      <c r="BG626" s="44" t="str">
        <f>IF(AND(C626=Master!$H$9,B626="2012-2013",E626&gt;1000,G626="NPN05"),H626,"")</f>
        <v/>
      </c>
      <c r="BH626" s="44" t="str">
        <f>IF(AND(C626=Master!$H$9,B626="2012-2013",E626="",G626="NPN05"),H626,"")</f>
        <v/>
      </c>
    </row>
    <row r="627" spans="1:60" x14ac:dyDescent="0.25">
      <c r="A627" s="3">
        <v>625</v>
      </c>
      <c r="B627" s="12"/>
      <c r="C627" s="12"/>
      <c r="D627" s="31"/>
      <c r="E627" s="4"/>
      <c r="F627" s="13"/>
      <c r="G627" s="21"/>
      <c r="H627" s="35"/>
      <c r="I627" s="21"/>
      <c r="J627" s="25" t="str">
        <f>IF(NOT(I627=""),INDEX(Master!$B$1:$B$46,MATCH(I627,Master!$A$1:$A$46,0)),"")</f>
        <v/>
      </c>
      <c r="K627" s="18"/>
      <c r="L627" s="86"/>
      <c r="M627" s="13"/>
      <c r="N627" s="13"/>
      <c r="O627" s="18"/>
      <c r="P627" s="35"/>
      <c r="Q627" s="21"/>
      <c r="R627" s="21"/>
      <c r="S627" s="13"/>
      <c r="T627" s="12"/>
      <c r="U627" s="12"/>
      <c r="V627" s="12"/>
      <c r="W627" s="14"/>
      <c r="Y627" s="42" t="str">
        <f>IF(AND(C627=Master!$H$1,B627="2012-2013",E627&gt;1000,G627="PLN03"),H627,"")</f>
        <v/>
      </c>
      <c r="Z627" s="42" t="str">
        <f>IF(AND(C627=Master!$H$1,B627="2012-2013",E627="",G627="PLN03"),H627,"")</f>
        <v/>
      </c>
      <c r="AA627" s="42" t="str">
        <f>IF(AND(C627=Master!$H$2,B627="2012-2013",E627&gt;1000,G627="PLN03"),H627,"")</f>
        <v/>
      </c>
      <c r="AB627" s="42" t="str">
        <f>IF(AND(C627=Master!$H$2,B627="2012-2013",E627="",G627="PLN03"),H627,"")</f>
        <v/>
      </c>
      <c r="AC627" s="42" t="str">
        <f>IF(AND(C627=Master!$H$3,B627="2012-2013",E627&gt;1000,G627="PLN03"),H627,"")</f>
        <v/>
      </c>
      <c r="AD627" s="42" t="str">
        <f>IF(AND(C627=Master!$H$3,B627="2012-2013",E627="",G627="PLN03"),H627,"")</f>
        <v/>
      </c>
      <c r="AE627" s="42" t="str">
        <f>IF(AND(C627=Master!$H$4,B627="2012-2013",E627&gt;1000,G627="PLN03"),H627,"")</f>
        <v/>
      </c>
      <c r="AF627" s="42" t="str">
        <f>IF(AND(C627=Master!$H$4,B627="2012-2013",E627="",G627="PLN03"),H627,"")</f>
        <v/>
      </c>
      <c r="AG627" s="42" t="str">
        <f>IF(AND(C627=Master!$H$5,B627="2012-2013",E627&gt;1000,G627="PLN03"),H627,"")</f>
        <v/>
      </c>
      <c r="AH627" s="42" t="str">
        <f>IF(AND(C627=Master!$H$5,B627="2012-2013",E627="",G627="PLN03"),H627,"")</f>
        <v/>
      </c>
      <c r="AI627" s="42" t="str">
        <f>IF(AND(C627=Master!$H$6,B627="2012-2013",E627&gt;1000,G627="PLN03"),H627,"")</f>
        <v/>
      </c>
      <c r="AJ627" s="42" t="str">
        <f>IF(AND(C627=Master!$H$6,B627="2012-2013",E627="",G627="PLN03"),H627,"")</f>
        <v/>
      </c>
      <c r="AK627" s="42" t="str">
        <f>IF(AND(C627=Master!$H$7,B627="2012-2013",E627&gt;1000,G627="PLN03"),H627,"")</f>
        <v/>
      </c>
      <c r="AL627" s="42" t="str">
        <f>IF(AND(C627=Master!$H$7,B627="2012-2013",E627="",G627="PLN03"),H627,"")</f>
        <v/>
      </c>
      <c r="AM627" s="42" t="str">
        <f>IF(AND(C627=Master!$H$8,B627="2012-2013",E627&gt;1000,G627="PLN03"),H627,"")</f>
        <v/>
      </c>
      <c r="AN627" s="42" t="str">
        <f>IF(AND(C627=Master!$H$8,B627="2012-2013",E627="",G627="PLN03"),H627,"")</f>
        <v/>
      </c>
      <c r="AO627" s="42" t="str">
        <f>IF(AND(C627=Master!$H$9,B627="2012-2013",E627&gt;1000,G627="PLN03"),H627,"")</f>
        <v/>
      </c>
      <c r="AP627" s="42" t="str">
        <f>IF(AND(C627=Master!$H$9,B627="2012-2013",E627="",G627="PLN03"),H627,"")</f>
        <v/>
      </c>
      <c r="AQ627" s="44" t="str">
        <f>IF(AND(C627=Master!$H$1,B627="2012-2013",E627&gt;1000,G627="NPN05"),H627,"")</f>
        <v/>
      </c>
      <c r="AR627" s="44" t="str">
        <f>IF(AND(C627=Master!$H$1,B627="2012-2013",E627="",G627="NPN05"),H627,"")</f>
        <v/>
      </c>
      <c r="AS627" s="44" t="str">
        <f>IF(AND(C627=Master!$H$2,B627="2012-2013",E627&gt;1000,G627="NPN05"),H627,"")</f>
        <v/>
      </c>
      <c r="AT627" s="44" t="str">
        <f>IF(AND(C627=Master!$H$2,B627="2012-2013",E627="",G627="NPN05"),H627,"")</f>
        <v/>
      </c>
      <c r="AU627" s="44" t="str">
        <f>IF(AND(C627=Master!$H$3,B627="2012-2013",E627&gt;1000,G627="NPN05"),H627,"")</f>
        <v/>
      </c>
      <c r="AV627" s="44" t="str">
        <f>IF(AND(C627=Master!$H$3,B627="2012-2013",E627="",G627="NPN05"),H627,"")</f>
        <v/>
      </c>
      <c r="AW627" s="44" t="str">
        <f>IF(AND(C627=Master!$H$4,B627="2012-2013",E627&gt;1000,G627="NPN05"),H627,"")</f>
        <v/>
      </c>
      <c r="AX627" s="44" t="str">
        <f>IF(AND(C627=Master!$H$4,B627="2012-2013",E627="",G627="NPN05"),H627,"")</f>
        <v/>
      </c>
      <c r="AY627" s="44" t="str">
        <f>IF(AND(C627=Master!$H$5,B627="2012-2013",E627&gt;1000,G627="NPN05"),H627,"")</f>
        <v/>
      </c>
      <c r="AZ627" s="44" t="str">
        <f>IF(AND(C627=Master!$H$5,B627="2012-2013",E627="",G627="NPN05"),H627,"")</f>
        <v/>
      </c>
      <c r="BA627" s="44" t="str">
        <f>IF(AND(C627=Master!$H$6,B627="2012-2013",E627&gt;1000,G627="NPN05"),H627,"")</f>
        <v/>
      </c>
      <c r="BB627" s="44" t="str">
        <f>IF(AND(C627=Master!$H$6,B627="2012-2013",E627="",G627="NPN05"),H627,"")</f>
        <v/>
      </c>
      <c r="BC627" s="44" t="str">
        <f>IF(AND(C627=Master!$H$7,B627="2012-2013",E627&gt;1000,G627="NPN05"),H627,"")</f>
        <v/>
      </c>
      <c r="BD627" s="44" t="str">
        <f>IF(AND(C627=Master!$H$7,B627="2012-2013",E627="",G627="NPN05"),H627,"")</f>
        <v/>
      </c>
      <c r="BE627" s="44" t="str">
        <f>IF(AND(C627=Master!$H$8,B627="2012-2013",E627&gt;1000,G627="NPN05"),H627,"")</f>
        <v/>
      </c>
      <c r="BF627" s="44" t="str">
        <f>IF(AND(C627=Master!$H$8,B627="2012-2013",E627="",G627="NPN05"),H627,"")</f>
        <v/>
      </c>
      <c r="BG627" s="44" t="str">
        <f>IF(AND(C627=Master!$H$9,B627="2012-2013",E627&gt;1000,G627="NPN05"),H627,"")</f>
        <v/>
      </c>
      <c r="BH627" s="44" t="str">
        <f>IF(AND(C627=Master!$H$9,B627="2012-2013",E627="",G627="NPN05"),H627,"")</f>
        <v/>
      </c>
    </row>
    <row r="628" spans="1:60" x14ac:dyDescent="0.25">
      <c r="A628" s="3">
        <v>626</v>
      </c>
      <c r="B628" s="12"/>
      <c r="C628" s="12"/>
      <c r="D628" s="31"/>
      <c r="E628" s="4"/>
      <c r="F628" s="13"/>
      <c r="G628" s="21"/>
      <c r="H628" s="35"/>
      <c r="I628" s="21"/>
      <c r="J628" s="25" t="str">
        <f>IF(NOT(I628=""),INDEX(Master!$B$1:$B$46,MATCH(I628,Master!$A$1:$A$46,0)),"")</f>
        <v/>
      </c>
      <c r="K628" s="18"/>
      <c r="L628" s="86"/>
      <c r="M628" s="13"/>
      <c r="N628" s="13"/>
      <c r="O628" s="18"/>
      <c r="P628" s="35"/>
      <c r="Q628" s="21"/>
      <c r="R628" s="21"/>
      <c r="S628" s="13"/>
      <c r="T628" s="12"/>
      <c r="U628" s="12"/>
      <c r="V628" s="12"/>
      <c r="W628" s="14"/>
      <c r="Y628" s="42" t="str">
        <f>IF(AND(C628=Master!$H$1,B628="2012-2013",E628&gt;1000,G628="PLN03"),H628,"")</f>
        <v/>
      </c>
      <c r="Z628" s="42" t="str">
        <f>IF(AND(C628=Master!$H$1,B628="2012-2013",E628="",G628="PLN03"),H628,"")</f>
        <v/>
      </c>
      <c r="AA628" s="42" t="str">
        <f>IF(AND(C628=Master!$H$2,B628="2012-2013",E628&gt;1000,G628="PLN03"),H628,"")</f>
        <v/>
      </c>
      <c r="AB628" s="42" t="str">
        <f>IF(AND(C628=Master!$H$2,B628="2012-2013",E628="",G628="PLN03"),H628,"")</f>
        <v/>
      </c>
      <c r="AC628" s="42" t="str">
        <f>IF(AND(C628=Master!$H$3,B628="2012-2013",E628&gt;1000,G628="PLN03"),H628,"")</f>
        <v/>
      </c>
      <c r="AD628" s="42" t="str">
        <f>IF(AND(C628=Master!$H$3,B628="2012-2013",E628="",G628="PLN03"),H628,"")</f>
        <v/>
      </c>
      <c r="AE628" s="42" t="str">
        <f>IF(AND(C628=Master!$H$4,B628="2012-2013",E628&gt;1000,G628="PLN03"),H628,"")</f>
        <v/>
      </c>
      <c r="AF628" s="42" t="str">
        <f>IF(AND(C628=Master!$H$4,B628="2012-2013",E628="",G628="PLN03"),H628,"")</f>
        <v/>
      </c>
      <c r="AG628" s="42" t="str">
        <f>IF(AND(C628=Master!$H$5,B628="2012-2013",E628&gt;1000,G628="PLN03"),H628,"")</f>
        <v/>
      </c>
      <c r="AH628" s="42" t="str">
        <f>IF(AND(C628=Master!$H$5,B628="2012-2013",E628="",G628="PLN03"),H628,"")</f>
        <v/>
      </c>
      <c r="AI628" s="42" t="str">
        <f>IF(AND(C628=Master!$H$6,B628="2012-2013",E628&gt;1000,G628="PLN03"),H628,"")</f>
        <v/>
      </c>
      <c r="AJ628" s="42" t="str">
        <f>IF(AND(C628=Master!$H$6,B628="2012-2013",E628="",G628="PLN03"),H628,"")</f>
        <v/>
      </c>
      <c r="AK628" s="42" t="str">
        <f>IF(AND(C628=Master!$H$7,B628="2012-2013",E628&gt;1000,G628="PLN03"),H628,"")</f>
        <v/>
      </c>
      <c r="AL628" s="42" t="str">
        <f>IF(AND(C628=Master!$H$7,B628="2012-2013",E628="",G628="PLN03"),H628,"")</f>
        <v/>
      </c>
      <c r="AM628" s="42" t="str">
        <f>IF(AND(C628=Master!$H$8,B628="2012-2013",E628&gt;1000,G628="PLN03"),H628,"")</f>
        <v/>
      </c>
      <c r="AN628" s="42" t="str">
        <f>IF(AND(C628=Master!$H$8,B628="2012-2013",E628="",G628="PLN03"),H628,"")</f>
        <v/>
      </c>
      <c r="AO628" s="42" t="str">
        <f>IF(AND(C628=Master!$H$9,B628="2012-2013",E628&gt;1000,G628="PLN03"),H628,"")</f>
        <v/>
      </c>
      <c r="AP628" s="42" t="str">
        <f>IF(AND(C628=Master!$H$9,B628="2012-2013",E628="",G628="PLN03"),H628,"")</f>
        <v/>
      </c>
      <c r="AQ628" s="44" t="str">
        <f>IF(AND(C628=Master!$H$1,B628="2012-2013",E628&gt;1000,G628="NPN05"),H628,"")</f>
        <v/>
      </c>
      <c r="AR628" s="44" t="str">
        <f>IF(AND(C628=Master!$H$1,B628="2012-2013",E628="",G628="NPN05"),H628,"")</f>
        <v/>
      </c>
      <c r="AS628" s="44" t="str">
        <f>IF(AND(C628=Master!$H$2,B628="2012-2013",E628&gt;1000,G628="NPN05"),H628,"")</f>
        <v/>
      </c>
      <c r="AT628" s="44" t="str">
        <f>IF(AND(C628=Master!$H$2,B628="2012-2013",E628="",G628="NPN05"),H628,"")</f>
        <v/>
      </c>
      <c r="AU628" s="44" t="str">
        <f>IF(AND(C628=Master!$H$3,B628="2012-2013",E628&gt;1000,G628="NPN05"),H628,"")</f>
        <v/>
      </c>
      <c r="AV628" s="44" t="str">
        <f>IF(AND(C628=Master!$H$3,B628="2012-2013",E628="",G628="NPN05"),H628,"")</f>
        <v/>
      </c>
      <c r="AW628" s="44" t="str">
        <f>IF(AND(C628=Master!$H$4,B628="2012-2013",E628&gt;1000,G628="NPN05"),H628,"")</f>
        <v/>
      </c>
      <c r="AX628" s="44" t="str">
        <f>IF(AND(C628=Master!$H$4,B628="2012-2013",E628="",G628="NPN05"),H628,"")</f>
        <v/>
      </c>
      <c r="AY628" s="44" t="str">
        <f>IF(AND(C628=Master!$H$5,B628="2012-2013",E628&gt;1000,G628="NPN05"),H628,"")</f>
        <v/>
      </c>
      <c r="AZ628" s="44" t="str">
        <f>IF(AND(C628=Master!$H$5,B628="2012-2013",E628="",G628="NPN05"),H628,"")</f>
        <v/>
      </c>
      <c r="BA628" s="44" t="str">
        <f>IF(AND(C628=Master!$H$6,B628="2012-2013",E628&gt;1000,G628="NPN05"),H628,"")</f>
        <v/>
      </c>
      <c r="BB628" s="44" t="str">
        <f>IF(AND(C628=Master!$H$6,B628="2012-2013",E628="",G628="NPN05"),H628,"")</f>
        <v/>
      </c>
      <c r="BC628" s="44" t="str">
        <f>IF(AND(C628=Master!$H$7,B628="2012-2013",E628&gt;1000,G628="NPN05"),H628,"")</f>
        <v/>
      </c>
      <c r="BD628" s="44" t="str">
        <f>IF(AND(C628=Master!$H$7,B628="2012-2013",E628="",G628="NPN05"),H628,"")</f>
        <v/>
      </c>
      <c r="BE628" s="44" t="str">
        <f>IF(AND(C628=Master!$H$8,B628="2012-2013",E628&gt;1000,G628="NPN05"),H628,"")</f>
        <v/>
      </c>
      <c r="BF628" s="44" t="str">
        <f>IF(AND(C628=Master!$H$8,B628="2012-2013",E628="",G628="NPN05"),H628,"")</f>
        <v/>
      </c>
      <c r="BG628" s="44" t="str">
        <f>IF(AND(C628=Master!$H$9,B628="2012-2013",E628&gt;1000,G628="NPN05"),H628,"")</f>
        <v/>
      </c>
      <c r="BH628" s="44" t="str">
        <f>IF(AND(C628=Master!$H$9,B628="2012-2013",E628="",G628="NPN05"),H628,"")</f>
        <v/>
      </c>
    </row>
    <row r="629" spans="1:60" x14ac:dyDescent="0.25">
      <c r="A629" s="3">
        <v>627</v>
      </c>
      <c r="B629" s="12"/>
      <c r="C629" s="12"/>
      <c r="D629" s="31"/>
      <c r="E629" s="4"/>
      <c r="F629" s="13"/>
      <c r="G629" s="21"/>
      <c r="H629" s="35"/>
      <c r="I629" s="21"/>
      <c r="J629" s="25" t="str">
        <f>IF(NOT(I629=""),INDEX(Master!$B$1:$B$46,MATCH(I629,Master!$A$1:$A$46,0)),"")</f>
        <v/>
      </c>
      <c r="K629" s="18"/>
      <c r="L629" s="86"/>
      <c r="M629" s="13"/>
      <c r="N629" s="13"/>
      <c r="O629" s="18"/>
      <c r="P629" s="35"/>
      <c r="Q629" s="21"/>
      <c r="R629" s="21"/>
      <c r="S629" s="13"/>
      <c r="T629" s="12"/>
      <c r="U629" s="12"/>
      <c r="V629" s="12"/>
      <c r="W629" s="14"/>
      <c r="Y629" s="42" t="str">
        <f>IF(AND(C629=Master!$H$1,B629="2012-2013",E629&gt;1000,G629="PLN03"),H629,"")</f>
        <v/>
      </c>
      <c r="Z629" s="42" t="str">
        <f>IF(AND(C629=Master!$H$1,B629="2012-2013",E629="",G629="PLN03"),H629,"")</f>
        <v/>
      </c>
      <c r="AA629" s="42" t="str">
        <f>IF(AND(C629=Master!$H$2,B629="2012-2013",E629&gt;1000,G629="PLN03"),H629,"")</f>
        <v/>
      </c>
      <c r="AB629" s="42" t="str">
        <f>IF(AND(C629=Master!$H$2,B629="2012-2013",E629="",G629="PLN03"),H629,"")</f>
        <v/>
      </c>
      <c r="AC629" s="42" t="str">
        <f>IF(AND(C629=Master!$H$3,B629="2012-2013",E629&gt;1000,G629="PLN03"),H629,"")</f>
        <v/>
      </c>
      <c r="AD629" s="42" t="str">
        <f>IF(AND(C629=Master!$H$3,B629="2012-2013",E629="",G629="PLN03"),H629,"")</f>
        <v/>
      </c>
      <c r="AE629" s="42" t="str">
        <f>IF(AND(C629=Master!$H$4,B629="2012-2013",E629&gt;1000,G629="PLN03"),H629,"")</f>
        <v/>
      </c>
      <c r="AF629" s="42" t="str">
        <f>IF(AND(C629=Master!$H$4,B629="2012-2013",E629="",G629="PLN03"),H629,"")</f>
        <v/>
      </c>
      <c r="AG629" s="42" t="str">
        <f>IF(AND(C629=Master!$H$5,B629="2012-2013",E629&gt;1000,G629="PLN03"),H629,"")</f>
        <v/>
      </c>
      <c r="AH629" s="42" t="str">
        <f>IF(AND(C629=Master!$H$5,B629="2012-2013",E629="",G629="PLN03"),H629,"")</f>
        <v/>
      </c>
      <c r="AI629" s="42" t="str">
        <f>IF(AND(C629=Master!$H$6,B629="2012-2013",E629&gt;1000,G629="PLN03"),H629,"")</f>
        <v/>
      </c>
      <c r="AJ629" s="42" t="str">
        <f>IF(AND(C629=Master!$H$6,B629="2012-2013",E629="",G629="PLN03"),H629,"")</f>
        <v/>
      </c>
      <c r="AK629" s="42" t="str">
        <f>IF(AND(C629=Master!$H$7,B629="2012-2013",E629&gt;1000,G629="PLN03"),H629,"")</f>
        <v/>
      </c>
      <c r="AL629" s="42" t="str">
        <f>IF(AND(C629=Master!$H$7,B629="2012-2013",E629="",G629="PLN03"),H629,"")</f>
        <v/>
      </c>
      <c r="AM629" s="42" t="str">
        <f>IF(AND(C629=Master!$H$8,B629="2012-2013",E629&gt;1000,G629="PLN03"),H629,"")</f>
        <v/>
      </c>
      <c r="AN629" s="42" t="str">
        <f>IF(AND(C629=Master!$H$8,B629="2012-2013",E629="",G629="PLN03"),H629,"")</f>
        <v/>
      </c>
      <c r="AO629" s="42" t="str">
        <f>IF(AND(C629=Master!$H$9,B629="2012-2013",E629&gt;1000,G629="PLN03"),H629,"")</f>
        <v/>
      </c>
      <c r="AP629" s="42" t="str">
        <f>IF(AND(C629=Master!$H$9,B629="2012-2013",E629="",G629="PLN03"),H629,"")</f>
        <v/>
      </c>
      <c r="AQ629" s="44" t="str">
        <f>IF(AND(C629=Master!$H$1,B629="2012-2013",E629&gt;1000,G629="NPN05"),H629,"")</f>
        <v/>
      </c>
      <c r="AR629" s="44" t="str">
        <f>IF(AND(C629=Master!$H$1,B629="2012-2013",E629="",G629="NPN05"),H629,"")</f>
        <v/>
      </c>
      <c r="AS629" s="44" t="str">
        <f>IF(AND(C629=Master!$H$2,B629="2012-2013",E629&gt;1000,G629="NPN05"),H629,"")</f>
        <v/>
      </c>
      <c r="AT629" s="44" t="str">
        <f>IF(AND(C629=Master!$H$2,B629="2012-2013",E629="",G629="NPN05"),H629,"")</f>
        <v/>
      </c>
      <c r="AU629" s="44" t="str">
        <f>IF(AND(C629=Master!$H$3,B629="2012-2013",E629&gt;1000,G629="NPN05"),H629,"")</f>
        <v/>
      </c>
      <c r="AV629" s="44" t="str">
        <f>IF(AND(C629=Master!$H$3,B629="2012-2013",E629="",G629="NPN05"),H629,"")</f>
        <v/>
      </c>
      <c r="AW629" s="44" t="str">
        <f>IF(AND(C629=Master!$H$4,B629="2012-2013",E629&gt;1000,G629="NPN05"),H629,"")</f>
        <v/>
      </c>
      <c r="AX629" s="44" t="str">
        <f>IF(AND(C629=Master!$H$4,B629="2012-2013",E629="",G629="NPN05"),H629,"")</f>
        <v/>
      </c>
      <c r="AY629" s="44" t="str">
        <f>IF(AND(C629=Master!$H$5,B629="2012-2013",E629&gt;1000,G629="NPN05"),H629,"")</f>
        <v/>
      </c>
      <c r="AZ629" s="44" t="str">
        <f>IF(AND(C629=Master!$H$5,B629="2012-2013",E629="",G629="NPN05"),H629,"")</f>
        <v/>
      </c>
      <c r="BA629" s="44" t="str">
        <f>IF(AND(C629=Master!$H$6,B629="2012-2013",E629&gt;1000,G629="NPN05"),H629,"")</f>
        <v/>
      </c>
      <c r="BB629" s="44" t="str">
        <f>IF(AND(C629=Master!$H$6,B629="2012-2013",E629="",G629="NPN05"),H629,"")</f>
        <v/>
      </c>
      <c r="BC629" s="44" t="str">
        <f>IF(AND(C629=Master!$H$7,B629="2012-2013",E629&gt;1000,G629="NPN05"),H629,"")</f>
        <v/>
      </c>
      <c r="BD629" s="44" t="str">
        <f>IF(AND(C629=Master!$H$7,B629="2012-2013",E629="",G629="NPN05"),H629,"")</f>
        <v/>
      </c>
      <c r="BE629" s="44" t="str">
        <f>IF(AND(C629=Master!$H$8,B629="2012-2013",E629&gt;1000,G629="NPN05"),H629,"")</f>
        <v/>
      </c>
      <c r="BF629" s="44" t="str">
        <f>IF(AND(C629=Master!$H$8,B629="2012-2013",E629="",G629="NPN05"),H629,"")</f>
        <v/>
      </c>
      <c r="BG629" s="44" t="str">
        <f>IF(AND(C629=Master!$H$9,B629="2012-2013",E629&gt;1000,G629="NPN05"),H629,"")</f>
        <v/>
      </c>
      <c r="BH629" s="44" t="str">
        <f>IF(AND(C629=Master!$H$9,B629="2012-2013",E629="",G629="NPN05"),H629,"")</f>
        <v/>
      </c>
    </row>
    <row r="630" spans="1:60" x14ac:dyDescent="0.25">
      <c r="A630" s="3">
        <v>628</v>
      </c>
      <c r="B630" s="12"/>
      <c r="C630" s="12"/>
      <c r="D630" s="31"/>
      <c r="E630" s="4"/>
      <c r="F630" s="13"/>
      <c r="G630" s="21"/>
      <c r="H630" s="35"/>
      <c r="I630" s="21"/>
      <c r="J630" s="25" t="str">
        <f>IF(NOT(I630=""),INDEX(Master!$B$1:$B$46,MATCH(I630,Master!$A$1:$A$46,0)),"")</f>
        <v/>
      </c>
      <c r="K630" s="18"/>
      <c r="L630" s="86"/>
      <c r="M630" s="13"/>
      <c r="N630" s="13"/>
      <c r="O630" s="18"/>
      <c r="P630" s="35"/>
      <c r="Q630" s="21"/>
      <c r="R630" s="21"/>
      <c r="S630" s="13"/>
      <c r="T630" s="12"/>
      <c r="U630" s="12"/>
      <c r="V630" s="12"/>
      <c r="W630" s="14"/>
      <c r="Y630" s="42" t="str">
        <f>IF(AND(C630=Master!$H$1,B630="2012-2013",E630&gt;1000,G630="PLN03"),H630,"")</f>
        <v/>
      </c>
      <c r="Z630" s="42" t="str">
        <f>IF(AND(C630=Master!$H$1,B630="2012-2013",E630="",G630="PLN03"),H630,"")</f>
        <v/>
      </c>
      <c r="AA630" s="42" t="str">
        <f>IF(AND(C630=Master!$H$2,B630="2012-2013",E630&gt;1000,G630="PLN03"),H630,"")</f>
        <v/>
      </c>
      <c r="AB630" s="42" t="str">
        <f>IF(AND(C630=Master!$H$2,B630="2012-2013",E630="",G630="PLN03"),H630,"")</f>
        <v/>
      </c>
      <c r="AC630" s="42" t="str">
        <f>IF(AND(C630=Master!$H$3,B630="2012-2013",E630&gt;1000,G630="PLN03"),H630,"")</f>
        <v/>
      </c>
      <c r="AD630" s="42" t="str">
        <f>IF(AND(C630=Master!$H$3,B630="2012-2013",E630="",G630="PLN03"),H630,"")</f>
        <v/>
      </c>
      <c r="AE630" s="42" t="str">
        <f>IF(AND(C630=Master!$H$4,B630="2012-2013",E630&gt;1000,G630="PLN03"),H630,"")</f>
        <v/>
      </c>
      <c r="AF630" s="42" t="str">
        <f>IF(AND(C630=Master!$H$4,B630="2012-2013",E630="",G630="PLN03"),H630,"")</f>
        <v/>
      </c>
      <c r="AG630" s="42" t="str">
        <f>IF(AND(C630=Master!$H$5,B630="2012-2013",E630&gt;1000,G630="PLN03"),H630,"")</f>
        <v/>
      </c>
      <c r="AH630" s="42" t="str">
        <f>IF(AND(C630=Master!$H$5,B630="2012-2013",E630="",G630="PLN03"),H630,"")</f>
        <v/>
      </c>
      <c r="AI630" s="42" t="str">
        <f>IF(AND(C630=Master!$H$6,B630="2012-2013",E630&gt;1000,G630="PLN03"),H630,"")</f>
        <v/>
      </c>
      <c r="AJ630" s="42" t="str">
        <f>IF(AND(C630=Master!$H$6,B630="2012-2013",E630="",G630="PLN03"),H630,"")</f>
        <v/>
      </c>
      <c r="AK630" s="42" t="str">
        <f>IF(AND(C630=Master!$H$7,B630="2012-2013",E630&gt;1000,G630="PLN03"),H630,"")</f>
        <v/>
      </c>
      <c r="AL630" s="42" t="str">
        <f>IF(AND(C630=Master!$H$7,B630="2012-2013",E630="",G630="PLN03"),H630,"")</f>
        <v/>
      </c>
      <c r="AM630" s="42" t="str">
        <f>IF(AND(C630=Master!$H$8,B630="2012-2013",E630&gt;1000,G630="PLN03"),H630,"")</f>
        <v/>
      </c>
      <c r="AN630" s="42" t="str">
        <f>IF(AND(C630=Master!$H$8,B630="2012-2013",E630="",G630="PLN03"),H630,"")</f>
        <v/>
      </c>
      <c r="AO630" s="42" t="str">
        <f>IF(AND(C630=Master!$H$9,B630="2012-2013",E630&gt;1000,G630="PLN03"),H630,"")</f>
        <v/>
      </c>
      <c r="AP630" s="42" t="str">
        <f>IF(AND(C630=Master!$H$9,B630="2012-2013",E630="",G630="PLN03"),H630,"")</f>
        <v/>
      </c>
      <c r="AQ630" s="44" t="str">
        <f>IF(AND(C630=Master!$H$1,B630="2012-2013",E630&gt;1000,G630="NPN05"),H630,"")</f>
        <v/>
      </c>
      <c r="AR630" s="44" t="str">
        <f>IF(AND(C630=Master!$H$1,B630="2012-2013",E630="",G630="NPN05"),H630,"")</f>
        <v/>
      </c>
      <c r="AS630" s="44" t="str">
        <f>IF(AND(C630=Master!$H$2,B630="2012-2013",E630&gt;1000,G630="NPN05"),H630,"")</f>
        <v/>
      </c>
      <c r="AT630" s="44" t="str">
        <f>IF(AND(C630=Master!$H$2,B630="2012-2013",E630="",G630="NPN05"),H630,"")</f>
        <v/>
      </c>
      <c r="AU630" s="44" t="str">
        <f>IF(AND(C630=Master!$H$3,B630="2012-2013",E630&gt;1000,G630="NPN05"),H630,"")</f>
        <v/>
      </c>
      <c r="AV630" s="44" t="str">
        <f>IF(AND(C630=Master!$H$3,B630="2012-2013",E630="",G630="NPN05"),H630,"")</f>
        <v/>
      </c>
      <c r="AW630" s="44" t="str">
        <f>IF(AND(C630=Master!$H$4,B630="2012-2013",E630&gt;1000,G630="NPN05"),H630,"")</f>
        <v/>
      </c>
      <c r="AX630" s="44" t="str">
        <f>IF(AND(C630=Master!$H$4,B630="2012-2013",E630="",G630="NPN05"),H630,"")</f>
        <v/>
      </c>
      <c r="AY630" s="44" t="str">
        <f>IF(AND(C630=Master!$H$5,B630="2012-2013",E630&gt;1000,G630="NPN05"),H630,"")</f>
        <v/>
      </c>
      <c r="AZ630" s="44" t="str">
        <f>IF(AND(C630=Master!$H$5,B630="2012-2013",E630="",G630="NPN05"),H630,"")</f>
        <v/>
      </c>
      <c r="BA630" s="44" t="str">
        <f>IF(AND(C630=Master!$H$6,B630="2012-2013",E630&gt;1000,G630="NPN05"),H630,"")</f>
        <v/>
      </c>
      <c r="BB630" s="44" t="str">
        <f>IF(AND(C630=Master!$H$6,B630="2012-2013",E630="",G630="NPN05"),H630,"")</f>
        <v/>
      </c>
      <c r="BC630" s="44" t="str">
        <f>IF(AND(C630=Master!$H$7,B630="2012-2013",E630&gt;1000,G630="NPN05"),H630,"")</f>
        <v/>
      </c>
      <c r="BD630" s="44" t="str">
        <f>IF(AND(C630=Master!$H$7,B630="2012-2013",E630="",G630="NPN05"),H630,"")</f>
        <v/>
      </c>
      <c r="BE630" s="44" t="str">
        <f>IF(AND(C630=Master!$H$8,B630="2012-2013",E630&gt;1000,G630="NPN05"),H630,"")</f>
        <v/>
      </c>
      <c r="BF630" s="44" t="str">
        <f>IF(AND(C630=Master!$H$8,B630="2012-2013",E630="",G630="NPN05"),H630,"")</f>
        <v/>
      </c>
      <c r="BG630" s="44" t="str">
        <f>IF(AND(C630=Master!$H$9,B630="2012-2013",E630&gt;1000,G630="NPN05"),H630,"")</f>
        <v/>
      </c>
      <c r="BH630" s="44" t="str">
        <f>IF(AND(C630=Master!$H$9,B630="2012-2013",E630="",G630="NPN05"),H630,"")</f>
        <v/>
      </c>
    </row>
    <row r="631" spans="1:60" x14ac:dyDescent="0.25">
      <c r="A631" s="3">
        <v>629</v>
      </c>
      <c r="B631" s="12"/>
      <c r="C631" s="12"/>
      <c r="D631" s="31"/>
      <c r="E631" s="4"/>
      <c r="F631" s="13"/>
      <c r="G631" s="21"/>
      <c r="H631" s="35"/>
      <c r="I631" s="21"/>
      <c r="J631" s="25" t="str">
        <f>IF(NOT(I631=""),INDEX(Master!$B$1:$B$46,MATCH(I631,Master!$A$1:$A$46,0)),"")</f>
        <v/>
      </c>
      <c r="K631" s="18"/>
      <c r="L631" s="86"/>
      <c r="M631" s="13"/>
      <c r="N631" s="13"/>
      <c r="O631" s="18"/>
      <c r="P631" s="35"/>
      <c r="Q631" s="21"/>
      <c r="R631" s="21"/>
      <c r="S631" s="13"/>
      <c r="T631" s="12"/>
      <c r="U631" s="12"/>
      <c r="V631" s="12"/>
      <c r="W631" s="14"/>
      <c r="Y631" s="42" t="str">
        <f>IF(AND(C631=Master!$H$1,B631="2012-2013",E631&gt;1000,G631="PLN03"),H631,"")</f>
        <v/>
      </c>
      <c r="Z631" s="42" t="str">
        <f>IF(AND(C631=Master!$H$1,B631="2012-2013",E631="",G631="PLN03"),H631,"")</f>
        <v/>
      </c>
      <c r="AA631" s="42" t="str">
        <f>IF(AND(C631=Master!$H$2,B631="2012-2013",E631&gt;1000,G631="PLN03"),H631,"")</f>
        <v/>
      </c>
      <c r="AB631" s="42" t="str">
        <f>IF(AND(C631=Master!$H$2,B631="2012-2013",E631="",G631="PLN03"),H631,"")</f>
        <v/>
      </c>
      <c r="AC631" s="42" t="str">
        <f>IF(AND(C631=Master!$H$3,B631="2012-2013",E631&gt;1000,G631="PLN03"),H631,"")</f>
        <v/>
      </c>
      <c r="AD631" s="42" t="str">
        <f>IF(AND(C631=Master!$H$3,B631="2012-2013",E631="",G631="PLN03"),H631,"")</f>
        <v/>
      </c>
      <c r="AE631" s="42" t="str">
        <f>IF(AND(C631=Master!$H$4,B631="2012-2013",E631&gt;1000,G631="PLN03"),H631,"")</f>
        <v/>
      </c>
      <c r="AF631" s="42" t="str">
        <f>IF(AND(C631=Master!$H$4,B631="2012-2013",E631="",G631="PLN03"),H631,"")</f>
        <v/>
      </c>
      <c r="AG631" s="42" t="str">
        <f>IF(AND(C631=Master!$H$5,B631="2012-2013",E631&gt;1000,G631="PLN03"),H631,"")</f>
        <v/>
      </c>
      <c r="AH631" s="42" t="str">
        <f>IF(AND(C631=Master!$H$5,B631="2012-2013",E631="",G631="PLN03"),H631,"")</f>
        <v/>
      </c>
      <c r="AI631" s="42" t="str">
        <f>IF(AND(C631=Master!$H$6,B631="2012-2013",E631&gt;1000,G631="PLN03"),H631,"")</f>
        <v/>
      </c>
      <c r="AJ631" s="42" t="str">
        <f>IF(AND(C631=Master!$H$6,B631="2012-2013",E631="",G631="PLN03"),H631,"")</f>
        <v/>
      </c>
      <c r="AK631" s="42" t="str">
        <f>IF(AND(C631=Master!$H$7,B631="2012-2013",E631&gt;1000,G631="PLN03"),H631,"")</f>
        <v/>
      </c>
      <c r="AL631" s="42" t="str">
        <f>IF(AND(C631=Master!$H$7,B631="2012-2013",E631="",G631="PLN03"),H631,"")</f>
        <v/>
      </c>
      <c r="AM631" s="42" t="str">
        <f>IF(AND(C631=Master!$H$8,B631="2012-2013",E631&gt;1000,G631="PLN03"),H631,"")</f>
        <v/>
      </c>
      <c r="AN631" s="42" t="str">
        <f>IF(AND(C631=Master!$H$8,B631="2012-2013",E631="",G631="PLN03"),H631,"")</f>
        <v/>
      </c>
      <c r="AO631" s="42" t="str">
        <f>IF(AND(C631=Master!$H$9,B631="2012-2013",E631&gt;1000,G631="PLN03"),H631,"")</f>
        <v/>
      </c>
      <c r="AP631" s="42" t="str">
        <f>IF(AND(C631=Master!$H$9,B631="2012-2013",E631="",G631="PLN03"),H631,"")</f>
        <v/>
      </c>
      <c r="AQ631" s="44" t="str">
        <f>IF(AND(C631=Master!$H$1,B631="2012-2013",E631&gt;1000,G631="NPN05"),H631,"")</f>
        <v/>
      </c>
      <c r="AR631" s="44" t="str">
        <f>IF(AND(C631=Master!$H$1,B631="2012-2013",E631="",G631="NPN05"),H631,"")</f>
        <v/>
      </c>
      <c r="AS631" s="44" t="str">
        <f>IF(AND(C631=Master!$H$2,B631="2012-2013",E631&gt;1000,G631="NPN05"),H631,"")</f>
        <v/>
      </c>
      <c r="AT631" s="44" t="str">
        <f>IF(AND(C631=Master!$H$2,B631="2012-2013",E631="",G631="NPN05"),H631,"")</f>
        <v/>
      </c>
      <c r="AU631" s="44" t="str">
        <f>IF(AND(C631=Master!$H$3,B631="2012-2013",E631&gt;1000,G631="NPN05"),H631,"")</f>
        <v/>
      </c>
      <c r="AV631" s="44" t="str">
        <f>IF(AND(C631=Master!$H$3,B631="2012-2013",E631="",G631="NPN05"),H631,"")</f>
        <v/>
      </c>
      <c r="AW631" s="44" t="str">
        <f>IF(AND(C631=Master!$H$4,B631="2012-2013",E631&gt;1000,G631="NPN05"),H631,"")</f>
        <v/>
      </c>
      <c r="AX631" s="44" t="str">
        <f>IF(AND(C631=Master!$H$4,B631="2012-2013",E631="",G631="NPN05"),H631,"")</f>
        <v/>
      </c>
      <c r="AY631" s="44" t="str">
        <f>IF(AND(C631=Master!$H$5,B631="2012-2013",E631&gt;1000,G631="NPN05"),H631,"")</f>
        <v/>
      </c>
      <c r="AZ631" s="44" t="str">
        <f>IF(AND(C631=Master!$H$5,B631="2012-2013",E631="",G631="NPN05"),H631,"")</f>
        <v/>
      </c>
      <c r="BA631" s="44" t="str">
        <f>IF(AND(C631=Master!$H$6,B631="2012-2013",E631&gt;1000,G631="NPN05"),H631,"")</f>
        <v/>
      </c>
      <c r="BB631" s="44" t="str">
        <f>IF(AND(C631=Master!$H$6,B631="2012-2013",E631="",G631="NPN05"),H631,"")</f>
        <v/>
      </c>
      <c r="BC631" s="44" t="str">
        <f>IF(AND(C631=Master!$H$7,B631="2012-2013",E631&gt;1000,G631="NPN05"),H631,"")</f>
        <v/>
      </c>
      <c r="BD631" s="44" t="str">
        <f>IF(AND(C631=Master!$H$7,B631="2012-2013",E631="",G631="NPN05"),H631,"")</f>
        <v/>
      </c>
      <c r="BE631" s="44" t="str">
        <f>IF(AND(C631=Master!$H$8,B631="2012-2013",E631&gt;1000,G631="NPN05"),H631,"")</f>
        <v/>
      </c>
      <c r="BF631" s="44" t="str">
        <f>IF(AND(C631=Master!$H$8,B631="2012-2013",E631="",G631="NPN05"),H631,"")</f>
        <v/>
      </c>
      <c r="BG631" s="44" t="str">
        <f>IF(AND(C631=Master!$H$9,B631="2012-2013",E631&gt;1000,G631="NPN05"),H631,"")</f>
        <v/>
      </c>
      <c r="BH631" s="44" t="str">
        <f>IF(AND(C631=Master!$H$9,B631="2012-2013",E631="",G631="NPN05"),H631,"")</f>
        <v/>
      </c>
    </row>
    <row r="632" spans="1:60" x14ac:dyDescent="0.25">
      <c r="A632" s="3">
        <v>630</v>
      </c>
      <c r="B632" s="12"/>
      <c r="C632" s="12"/>
      <c r="D632" s="31"/>
      <c r="E632" s="4"/>
      <c r="F632" s="13"/>
      <c r="G632" s="21"/>
      <c r="H632" s="35"/>
      <c r="I632" s="21"/>
      <c r="J632" s="25" t="str">
        <f>IF(NOT(I632=""),INDEX(Master!$B$1:$B$46,MATCH(I632,Master!$A$1:$A$46,0)),"")</f>
        <v/>
      </c>
      <c r="K632" s="18"/>
      <c r="L632" s="86"/>
      <c r="M632" s="13"/>
      <c r="N632" s="13"/>
      <c r="O632" s="18"/>
      <c r="P632" s="35"/>
      <c r="Q632" s="21"/>
      <c r="R632" s="21"/>
      <c r="S632" s="13"/>
      <c r="T632" s="12"/>
      <c r="U632" s="12"/>
      <c r="V632" s="12"/>
      <c r="W632" s="14"/>
      <c r="Y632" s="42" t="str">
        <f>IF(AND(C632=Master!$H$1,B632="2012-2013",E632&gt;1000,G632="PLN03"),H632,"")</f>
        <v/>
      </c>
      <c r="Z632" s="42" t="str">
        <f>IF(AND(C632=Master!$H$1,B632="2012-2013",E632="",G632="PLN03"),H632,"")</f>
        <v/>
      </c>
      <c r="AA632" s="42" t="str">
        <f>IF(AND(C632=Master!$H$2,B632="2012-2013",E632&gt;1000,G632="PLN03"),H632,"")</f>
        <v/>
      </c>
      <c r="AB632" s="42" t="str">
        <f>IF(AND(C632=Master!$H$2,B632="2012-2013",E632="",G632="PLN03"),H632,"")</f>
        <v/>
      </c>
      <c r="AC632" s="42" t="str">
        <f>IF(AND(C632=Master!$H$3,B632="2012-2013",E632&gt;1000,G632="PLN03"),H632,"")</f>
        <v/>
      </c>
      <c r="AD632" s="42" t="str">
        <f>IF(AND(C632=Master!$H$3,B632="2012-2013",E632="",G632="PLN03"),H632,"")</f>
        <v/>
      </c>
      <c r="AE632" s="42" t="str">
        <f>IF(AND(C632=Master!$H$4,B632="2012-2013",E632&gt;1000,G632="PLN03"),H632,"")</f>
        <v/>
      </c>
      <c r="AF632" s="42" t="str">
        <f>IF(AND(C632=Master!$H$4,B632="2012-2013",E632="",G632="PLN03"),H632,"")</f>
        <v/>
      </c>
      <c r="AG632" s="42" t="str">
        <f>IF(AND(C632=Master!$H$5,B632="2012-2013",E632&gt;1000,G632="PLN03"),H632,"")</f>
        <v/>
      </c>
      <c r="AH632" s="42" t="str">
        <f>IF(AND(C632=Master!$H$5,B632="2012-2013",E632="",G632="PLN03"),H632,"")</f>
        <v/>
      </c>
      <c r="AI632" s="42" t="str">
        <f>IF(AND(C632=Master!$H$6,B632="2012-2013",E632&gt;1000,G632="PLN03"),H632,"")</f>
        <v/>
      </c>
      <c r="AJ632" s="42" t="str">
        <f>IF(AND(C632=Master!$H$6,B632="2012-2013",E632="",G632="PLN03"),H632,"")</f>
        <v/>
      </c>
      <c r="AK632" s="42" t="str">
        <f>IF(AND(C632=Master!$H$7,B632="2012-2013",E632&gt;1000,G632="PLN03"),H632,"")</f>
        <v/>
      </c>
      <c r="AL632" s="42" t="str">
        <f>IF(AND(C632=Master!$H$7,B632="2012-2013",E632="",G632="PLN03"),H632,"")</f>
        <v/>
      </c>
      <c r="AM632" s="42" t="str">
        <f>IF(AND(C632=Master!$H$8,B632="2012-2013",E632&gt;1000,G632="PLN03"),H632,"")</f>
        <v/>
      </c>
      <c r="AN632" s="42" t="str">
        <f>IF(AND(C632=Master!$H$8,B632="2012-2013",E632="",G632="PLN03"),H632,"")</f>
        <v/>
      </c>
      <c r="AO632" s="42" t="str">
        <f>IF(AND(C632=Master!$H$9,B632="2012-2013",E632&gt;1000,G632="PLN03"),H632,"")</f>
        <v/>
      </c>
      <c r="AP632" s="42" t="str">
        <f>IF(AND(C632=Master!$H$9,B632="2012-2013",E632="",G632="PLN03"),H632,"")</f>
        <v/>
      </c>
      <c r="AQ632" s="44" t="str">
        <f>IF(AND(C632=Master!$H$1,B632="2012-2013",E632&gt;1000,G632="NPN05"),H632,"")</f>
        <v/>
      </c>
      <c r="AR632" s="44" t="str">
        <f>IF(AND(C632=Master!$H$1,B632="2012-2013",E632="",G632="NPN05"),H632,"")</f>
        <v/>
      </c>
      <c r="AS632" s="44" t="str">
        <f>IF(AND(C632=Master!$H$2,B632="2012-2013",E632&gt;1000,G632="NPN05"),H632,"")</f>
        <v/>
      </c>
      <c r="AT632" s="44" t="str">
        <f>IF(AND(C632=Master!$H$2,B632="2012-2013",E632="",G632="NPN05"),H632,"")</f>
        <v/>
      </c>
      <c r="AU632" s="44" t="str">
        <f>IF(AND(C632=Master!$H$3,B632="2012-2013",E632&gt;1000,G632="NPN05"),H632,"")</f>
        <v/>
      </c>
      <c r="AV632" s="44" t="str">
        <f>IF(AND(C632=Master!$H$3,B632="2012-2013",E632="",G632="NPN05"),H632,"")</f>
        <v/>
      </c>
      <c r="AW632" s="44" t="str">
        <f>IF(AND(C632=Master!$H$4,B632="2012-2013",E632&gt;1000,G632="NPN05"),H632,"")</f>
        <v/>
      </c>
      <c r="AX632" s="44" t="str">
        <f>IF(AND(C632=Master!$H$4,B632="2012-2013",E632="",G632="NPN05"),H632,"")</f>
        <v/>
      </c>
      <c r="AY632" s="44" t="str">
        <f>IF(AND(C632=Master!$H$5,B632="2012-2013",E632&gt;1000,G632="NPN05"),H632,"")</f>
        <v/>
      </c>
      <c r="AZ632" s="44" t="str">
        <f>IF(AND(C632=Master!$H$5,B632="2012-2013",E632="",G632="NPN05"),H632,"")</f>
        <v/>
      </c>
      <c r="BA632" s="44" t="str">
        <f>IF(AND(C632=Master!$H$6,B632="2012-2013",E632&gt;1000,G632="NPN05"),H632,"")</f>
        <v/>
      </c>
      <c r="BB632" s="44" t="str">
        <f>IF(AND(C632=Master!$H$6,B632="2012-2013",E632="",G632="NPN05"),H632,"")</f>
        <v/>
      </c>
      <c r="BC632" s="44" t="str">
        <f>IF(AND(C632=Master!$H$7,B632="2012-2013",E632&gt;1000,G632="NPN05"),H632,"")</f>
        <v/>
      </c>
      <c r="BD632" s="44" t="str">
        <f>IF(AND(C632=Master!$H$7,B632="2012-2013",E632="",G632="NPN05"),H632,"")</f>
        <v/>
      </c>
      <c r="BE632" s="44" t="str">
        <f>IF(AND(C632=Master!$H$8,B632="2012-2013",E632&gt;1000,G632="NPN05"),H632,"")</f>
        <v/>
      </c>
      <c r="BF632" s="44" t="str">
        <f>IF(AND(C632=Master!$H$8,B632="2012-2013",E632="",G632="NPN05"),H632,"")</f>
        <v/>
      </c>
      <c r="BG632" s="44" t="str">
        <f>IF(AND(C632=Master!$H$9,B632="2012-2013",E632&gt;1000,G632="NPN05"),H632,"")</f>
        <v/>
      </c>
      <c r="BH632" s="44" t="str">
        <f>IF(AND(C632=Master!$H$9,B632="2012-2013",E632="",G632="NPN05"),H632,"")</f>
        <v/>
      </c>
    </row>
    <row r="633" spans="1:60" x14ac:dyDescent="0.25">
      <c r="A633" s="3">
        <v>631</v>
      </c>
      <c r="B633" s="12"/>
      <c r="C633" s="12"/>
      <c r="D633" s="31"/>
      <c r="E633" s="4"/>
      <c r="F633" s="13"/>
      <c r="G633" s="21"/>
      <c r="H633" s="35"/>
      <c r="I633" s="21"/>
      <c r="J633" s="25" t="str">
        <f>IF(NOT(I633=""),INDEX(Master!$B$1:$B$46,MATCH(I633,Master!$A$1:$A$46,0)),"")</f>
        <v/>
      </c>
      <c r="K633" s="18"/>
      <c r="L633" s="86"/>
      <c r="M633" s="13"/>
      <c r="N633" s="13"/>
      <c r="O633" s="18"/>
      <c r="P633" s="35"/>
      <c r="Q633" s="21"/>
      <c r="R633" s="21"/>
      <c r="S633" s="13"/>
      <c r="T633" s="12"/>
      <c r="U633" s="12"/>
      <c r="V633" s="12"/>
      <c r="W633" s="14"/>
      <c r="Y633" s="42" t="str">
        <f>IF(AND(C633=Master!$H$1,B633="2012-2013",E633&gt;1000,G633="PLN03"),H633,"")</f>
        <v/>
      </c>
      <c r="Z633" s="42" t="str">
        <f>IF(AND(C633=Master!$H$1,B633="2012-2013",E633="",G633="PLN03"),H633,"")</f>
        <v/>
      </c>
      <c r="AA633" s="42" t="str">
        <f>IF(AND(C633=Master!$H$2,B633="2012-2013",E633&gt;1000,G633="PLN03"),H633,"")</f>
        <v/>
      </c>
      <c r="AB633" s="42" t="str">
        <f>IF(AND(C633=Master!$H$2,B633="2012-2013",E633="",G633="PLN03"),H633,"")</f>
        <v/>
      </c>
      <c r="AC633" s="42" t="str">
        <f>IF(AND(C633=Master!$H$3,B633="2012-2013",E633&gt;1000,G633="PLN03"),H633,"")</f>
        <v/>
      </c>
      <c r="AD633" s="42" t="str">
        <f>IF(AND(C633=Master!$H$3,B633="2012-2013",E633="",G633="PLN03"),H633,"")</f>
        <v/>
      </c>
      <c r="AE633" s="42" t="str">
        <f>IF(AND(C633=Master!$H$4,B633="2012-2013",E633&gt;1000,G633="PLN03"),H633,"")</f>
        <v/>
      </c>
      <c r="AF633" s="42" t="str">
        <f>IF(AND(C633=Master!$H$4,B633="2012-2013",E633="",G633="PLN03"),H633,"")</f>
        <v/>
      </c>
      <c r="AG633" s="42" t="str">
        <f>IF(AND(C633=Master!$H$5,B633="2012-2013",E633&gt;1000,G633="PLN03"),H633,"")</f>
        <v/>
      </c>
      <c r="AH633" s="42" t="str">
        <f>IF(AND(C633=Master!$H$5,B633="2012-2013",E633="",G633="PLN03"),H633,"")</f>
        <v/>
      </c>
      <c r="AI633" s="42" t="str">
        <f>IF(AND(C633=Master!$H$6,B633="2012-2013",E633&gt;1000,G633="PLN03"),H633,"")</f>
        <v/>
      </c>
      <c r="AJ633" s="42" t="str">
        <f>IF(AND(C633=Master!$H$6,B633="2012-2013",E633="",G633="PLN03"),H633,"")</f>
        <v/>
      </c>
      <c r="AK633" s="42" t="str">
        <f>IF(AND(C633=Master!$H$7,B633="2012-2013",E633&gt;1000,G633="PLN03"),H633,"")</f>
        <v/>
      </c>
      <c r="AL633" s="42" t="str">
        <f>IF(AND(C633=Master!$H$7,B633="2012-2013",E633="",G633="PLN03"),H633,"")</f>
        <v/>
      </c>
      <c r="AM633" s="42" t="str">
        <f>IF(AND(C633=Master!$H$8,B633="2012-2013",E633&gt;1000,G633="PLN03"),H633,"")</f>
        <v/>
      </c>
      <c r="AN633" s="42" t="str">
        <f>IF(AND(C633=Master!$H$8,B633="2012-2013",E633="",G633="PLN03"),H633,"")</f>
        <v/>
      </c>
      <c r="AO633" s="42" t="str">
        <f>IF(AND(C633=Master!$H$9,B633="2012-2013",E633&gt;1000,G633="PLN03"),H633,"")</f>
        <v/>
      </c>
      <c r="AP633" s="42" t="str">
        <f>IF(AND(C633=Master!$H$9,B633="2012-2013",E633="",G633="PLN03"),H633,"")</f>
        <v/>
      </c>
      <c r="AQ633" s="44" t="str">
        <f>IF(AND(C633=Master!$H$1,B633="2012-2013",E633&gt;1000,G633="NPN05"),H633,"")</f>
        <v/>
      </c>
      <c r="AR633" s="44" t="str">
        <f>IF(AND(C633=Master!$H$1,B633="2012-2013",E633="",G633="NPN05"),H633,"")</f>
        <v/>
      </c>
      <c r="AS633" s="44" t="str">
        <f>IF(AND(C633=Master!$H$2,B633="2012-2013",E633&gt;1000,G633="NPN05"),H633,"")</f>
        <v/>
      </c>
      <c r="AT633" s="44" t="str">
        <f>IF(AND(C633=Master!$H$2,B633="2012-2013",E633="",G633="NPN05"),H633,"")</f>
        <v/>
      </c>
      <c r="AU633" s="44" t="str">
        <f>IF(AND(C633=Master!$H$3,B633="2012-2013",E633&gt;1000,G633="NPN05"),H633,"")</f>
        <v/>
      </c>
      <c r="AV633" s="44" t="str">
        <f>IF(AND(C633=Master!$H$3,B633="2012-2013",E633="",G633="NPN05"),H633,"")</f>
        <v/>
      </c>
      <c r="AW633" s="44" t="str">
        <f>IF(AND(C633=Master!$H$4,B633="2012-2013",E633&gt;1000,G633="NPN05"),H633,"")</f>
        <v/>
      </c>
      <c r="AX633" s="44" t="str">
        <f>IF(AND(C633=Master!$H$4,B633="2012-2013",E633="",G633="NPN05"),H633,"")</f>
        <v/>
      </c>
      <c r="AY633" s="44" t="str">
        <f>IF(AND(C633=Master!$H$5,B633="2012-2013",E633&gt;1000,G633="NPN05"),H633,"")</f>
        <v/>
      </c>
      <c r="AZ633" s="44" t="str">
        <f>IF(AND(C633=Master!$H$5,B633="2012-2013",E633="",G633="NPN05"),H633,"")</f>
        <v/>
      </c>
      <c r="BA633" s="44" t="str">
        <f>IF(AND(C633=Master!$H$6,B633="2012-2013",E633&gt;1000,G633="NPN05"),H633,"")</f>
        <v/>
      </c>
      <c r="BB633" s="44" t="str">
        <f>IF(AND(C633=Master!$H$6,B633="2012-2013",E633="",G633="NPN05"),H633,"")</f>
        <v/>
      </c>
      <c r="BC633" s="44" t="str">
        <f>IF(AND(C633=Master!$H$7,B633="2012-2013",E633&gt;1000,G633="NPN05"),H633,"")</f>
        <v/>
      </c>
      <c r="BD633" s="44" t="str">
        <f>IF(AND(C633=Master!$H$7,B633="2012-2013",E633="",G633="NPN05"),H633,"")</f>
        <v/>
      </c>
      <c r="BE633" s="44" t="str">
        <f>IF(AND(C633=Master!$H$8,B633="2012-2013",E633&gt;1000,G633="NPN05"),H633,"")</f>
        <v/>
      </c>
      <c r="BF633" s="44" t="str">
        <f>IF(AND(C633=Master!$H$8,B633="2012-2013",E633="",G633="NPN05"),H633,"")</f>
        <v/>
      </c>
      <c r="BG633" s="44" t="str">
        <f>IF(AND(C633=Master!$H$9,B633="2012-2013",E633&gt;1000,G633="NPN05"),H633,"")</f>
        <v/>
      </c>
      <c r="BH633" s="44" t="str">
        <f>IF(AND(C633=Master!$H$9,B633="2012-2013",E633="",G633="NPN05"),H633,"")</f>
        <v/>
      </c>
    </row>
    <row r="634" spans="1:60" x14ac:dyDescent="0.25">
      <c r="A634" s="5">
        <v>632</v>
      </c>
      <c r="B634" s="12"/>
      <c r="C634" s="12"/>
      <c r="D634" s="31"/>
      <c r="E634" s="4"/>
      <c r="F634" s="13"/>
      <c r="G634" s="21"/>
      <c r="H634" s="35"/>
      <c r="I634" s="21"/>
      <c r="J634" s="25" t="str">
        <f>IF(NOT(I634=""),INDEX(Master!$B$1:$B$46,MATCH(I634,Master!$A$1:$A$46,0)),"")</f>
        <v/>
      </c>
      <c r="K634" s="18"/>
      <c r="L634" s="86"/>
      <c r="M634" s="13"/>
      <c r="N634" s="13"/>
      <c r="O634" s="18"/>
      <c r="P634" s="35"/>
      <c r="Q634" s="21"/>
      <c r="R634" s="21"/>
      <c r="S634" s="13"/>
      <c r="T634" s="12"/>
      <c r="U634" s="12"/>
      <c r="V634" s="12"/>
      <c r="W634" s="14"/>
      <c r="Y634" s="42" t="str">
        <f>IF(AND(C634=Master!$H$1,B634="2012-2013",E634&gt;1000,G634="PLN03"),H634,"")</f>
        <v/>
      </c>
      <c r="Z634" s="42" t="str">
        <f>IF(AND(C634=Master!$H$1,B634="2012-2013",E634="",G634="PLN03"),H634,"")</f>
        <v/>
      </c>
      <c r="AA634" s="42" t="str">
        <f>IF(AND(C634=Master!$H$2,B634="2012-2013",E634&gt;1000,G634="PLN03"),H634,"")</f>
        <v/>
      </c>
      <c r="AB634" s="42" t="str">
        <f>IF(AND(C634=Master!$H$2,B634="2012-2013",E634="",G634="PLN03"),H634,"")</f>
        <v/>
      </c>
      <c r="AC634" s="42" t="str">
        <f>IF(AND(C634=Master!$H$3,B634="2012-2013",E634&gt;1000,G634="PLN03"),H634,"")</f>
        <v/>
      </c>
      <c r="AD634" s="42" t="str">
        <f>IF(AND(C634=Master!$H$3,B634="2012-2013",E634="",G634="PLN03"),H634,"")</f>
        <v/>
      </c>
      <c r="AE634" s="42" t="str">
        <f>IF(AND(C634=Master!$H$4,B634="2012-2013",E634&gt;1000,G634="PLN03"),H634,"")</f>
        <v/>
      </c>
      <c r="AF634" s="42" t="str">
        <f>IF(AND(C634=Master!$H$4,B634="2012-2013",E634="",G634="PLN03"),H634,"")</f>
        <v/>
      </c>
      <c r="AG634" s="42" t="str">
        <f>IF(AND(C634=Master!$H$5,B634="2012-2013",E634&gt;1000,G634="PLN03"),H634,"")</f>
        <v/>
      </c>
      <c r="AH634" s="42" t="str">
        <f>IF(AND(C634=Master!$H$5,B634="2012-2013",E634="",G634="PLN03"),H634,"")</f>
        <v/>
      </c>
      <c r="AI634" s="42" t="str">
        <f>IF(AND(C634=Master!$H$6,B634="2012-2013",E634&gt;1000,G634="PLN03"),H634,"")</f>
        <v/>
      </c>
      <c r="AJ634" s="42" t="str">
        <f>IF(AND(C634=Master!$H$6,B634="2012-2013",E634="",G634="PLN03"),H634,"")</f>
        <v/>
      </c>
      <c r="AK634" s="42" t="str">
        <f>IF(AND(C634=Master!$H$7,B634="2012-2013",E634&gt;1000,G634="PLN03"),H634,"")</f>
        <v/>
      </c>
      <c r="AL634" s="42" t="str">
        <f>IF(AND(C634=Master!$H$7,B634="2012-2013",E634="",G634="PLN03"),H634,"")</f>
        <v/>
      </c>
      <c r="AM634" s="42" t="str">
        <f>IF(AND(C634=Master!$H$8,B634="2012-2013",E634&gt;1000,G634="PLN03"),H634,"")</f>
        <v/>
      </c>
      <c r="AN634" s="42" t="str">
        <f>IF(AND(C634=Master!$H$8,B634="2012-2013",E634="",G634="PLN03"),H634,"")</f>
        <v/>
      </c>
      <c r="AO634" s="42" t="str">
        <f>IF(AND(C634=Master!$H$9,B634="2012-2013",E634&gt;1000,G634="PLN03"),H634,"")</f>
        <v/>
      </c>
      <c r="AP634" s="42" t="str">
        <f>IF(AND(C634=Master!$H$9,B634="2012-2013",E634="",G634="PLN03"),H634,"")</f>
        <v/>
      </c>
      <c r="AQ634" s="44" t="str">
        <f>IF(AND(C634=Master!$H$1,B634="2012-2013",E634&gt;1000,G634="NPN05"),H634,"")</f>
        <v/>
      </c>
      <c r="AR634" s="44" t="str">
        <f>IF(AND(C634=Master!$H$1,B634="2012-2013",E634="",G634="NPN05"),H634,"")</f>
        <v/>
      </c>
      <c r="AS634" s="44" t="str">
        <f>IF(AND(C634=Master!$H$2,B634="2012-2013",E634&gt;1000,G634="NPN05"),H634,"")</f>
        <v/>
      </c>
      <c r="AT634" s="44" t="str">
        <f>IF(AND(C634=Master!$H$2,B634="2012-2013",E634="",G634="NPN05"),H634,"")</f>
        <v/>
      </c>
      <c r="AU634" s="44" t="str">
        <f>IF(AND(C634=Master!$H$3,B634="2012-2013",E634&gt;1000,G634="NPN05"),H634,"")</f>
        <v/>
      </c>
      <c r="AV634" s="44" t="str">
        <f>IF(AND(C634=Master!$H$3,B634="2012-2013",E634="",G634="NPN05"),H634,"")</f>
        <v/>
      </c>
      <c r="AW634" s="44" t="str">
        <f>IF(AND(C634=Master!$H$4,B634="2012-2013",E634&gt;1000,G634="NPN05"),H634,"")</f>
        <v/>
      </c>
      <c r="AX634" s="44" t="str">
        <f>IF(AND(C634=Master!$H$4,B634="2012-2013",E634="",G634="NPN05"),H634,"")</f>
        <v/>
      </c>
      <c r="AY634" s="44" t="str">
        <f>IF(AND(C634=Master!$H$5,B634="2012-2013",E634&gt;1000,G634="NPN05"),H634,"")</f>
        <v/>
      </c>
      <c r="AZ634" s="44" t="str">
        <f>IF(AND(C634=Master!$H$5,B634="2012-2013",E634="",G634="NPN05"),H634,"")</f>
        <v/>
      </c>
      <c r="BA634" s="44" t="str">
        <f>IF(AND(C634=Master!$H$6,B634="2012-2013",E634&gt;1000,G634="NPN05"),H634,"")</f>
        <v/>
      </c>
      <c r="BB634" s="44" t="str">
        <f>IF(AND(C634=Master!$H$6,B634="2012-2013",E634="",G634="NPN05"),H634,"")</f>
        <v/>
      </c>
      <c r="BC634" s="44" t="str">
        <f>IF(AND(C634=Master!$H$7,B634="2012-2013",E634&gt;1000,G634="NPN05"),H634,"")</f>
        <v/>
      </c>
      <c r="BD634" s="44" t="str">
        <f>IF(AND(C634=Master!$H$7,B634="2012-2013",E634="",G634="NPN05"),H634,"")</f>
        <v/>
      </c>
      <c r="BE634" s="44" t="str">
        <f>IF(AND(C634=Master!$H$8,B634="2012-2013",E634&gt;1000,G634="NPN05"),H634,"")</f>
        <v/>
      </c>
      <c r="BF634" s="44" t="str">
        <f>IF(AND(C634=Master!$H$8,B634="2012-2013",E634="",G634="NPN05"),H634,"")</f>
        <v/>
      </c>
      <c r="BG634" s="44" t="str">
        <f>IF(AND(C634=Master!$H$9,B634="2012-2013",E634&gt;1000,G634="NPN05"),H634,"")</f>
        <v/>
      </c>
      <c r="BH634" s="44" t="str">
        <f>IF(AND(C634=Master!$H$9,B634="2012-2013",E634="",G634="NPN05"),H634,"")</f>
        <v/>
      </c>
    </row>
    <row r="635" spans="1:60" x14ac:dyDescent="0.25">
      <c r="A635" s="3">
        <v>633</v>
      </c>
      <c r="B635" s="12"/>
      <c r="C635" s="12"/>
      <c r="D635" s="31"/>
      <c r="E635" s="4"/>
      <c r="F635" s="13"/>
      <c r="G635" s="21"/>
      <c r="H635" s="35"/>
      <c r="I635" s="21"/>
      <c r="J635" s="25" t="str">
        <f>IF(NOT(I635=""),INDEX(Master!$B$1:$B$46,MATCH(I635,Master!$A$1:$A$46,0)),"")</f>
        <v/>
      </c>
      <c r="K635" s="18"/>
      <c r="L635" s="86"/>
      <c r="M635" s="13"/>
      <c r="N635" s="13"/>
      <c r="O635" s="18"/>
      <c r="P635" s="35"/>
      <c r="Q635" s="21"/>
      <c r="R635" s="21"/>
      <c r="S635" s="13"/>
      <c r="T635" s="12"/>
      <c r="U635" s="12"/>
      <c r="V635" s="12"/>
      <c r="W635" s="14"/>
      <c r="Y635" s="42" t="str">
        <f>IF(AND(C635=Master!$H$1,B635="2012-2013",E635&gt;1000,G635="PLN03"),H635,"")</f>
        <v/>
      </c>
      <c r="Z635" s="42" t="str">
        <f>IF(AND(C635=Master!$H$1,B635="2012-2013",E635="",G635="PLN03"),H635,"")</f>
        <v/>
      </c>
      <c r="AA635" s="42" t="str">
        <f>IF(AND(C635=Master!$H$2,B635="2012-2013",E635&gt;1000,G635="PLN03"),H635,"")</f>
        <v/>
      </c>
      <c r="AB635" s="42" t="str">
        <f>IF(AND(C635=Master!$H$2,B635="2012-2013",E635="",G635="PLN03"),H635,"")</f>
        <v/>
      </c>
      <c r="AC635" s="42" t="str">
        <f>IF(AND(C635=Master!$H$3,B635="2012-2013",E635&gt;1000,G635="PLN03"),H635,"")</f>
        <v/>
      </c>
      <c r="AD635" s="42" t="str">
        <f>IF(AND(C635=Master!$H$3,B635="2012-2013",E635="",G635="PLN03"),H635,"")</f>
        <v/>
      </c>
      <c r="AE635" s="42" t="str">
        <f>IF(AND(C635=Master!$H$4,B635="2012-2013",E635&gt;1000,G635="PLN03"),H635,"")</f>
        <v/>
      </c>
      <c r="AF635" s="42" t="str">
        <f>IF(AND(C635=Master!$H$4,B635="2012-2013",E635="",G635="PLN03"),H635,"")</f>
        <v/>
      </c>
      <c r="AG635" s="42" t="str">
        <f>IF(AND(C635=Master!$H$5,B635="2012-2013",E635&gt;1000,G635="PLN03"),H635,"")</f>
        <v/>
      </c>
      <c r="AH635" s="42" t="str">
        <f>IF(AND(C635=Master!$H$5,B635="2012-2013",E635="",G635="PLN03"),H635,"")</f>
        <v/>
      </c>
      <c r="AI635" s="42" t="str">
        <f>IF(AND(C635=Master!$H$6,B635="2012-2013",E635&gt;1000,G635="PLN03"),H635,"")</f>
        <v/>
      </c>
      <c r="AJ635" s="42" t="str">
        <f>IF(AND(C635=Master!$H$6,B635="2012-2013",E635="",G635="PLN03"),H635,"")</f>
        <v/>
      </c>
      <c r="AK635" s="42" t="str">
        <f>IF(AND(C635=Master!$H$7,B635="2012-2013",E635&gt;1000,G635="PLN03"),H635,"")</f>
        <v/>
      </c>
      <c r="AL635" s="42" t="str">
        <f>IF(AND(C635=Master!$H$7,B635="2012-2013",E635="",G635="PLN03"),H635,"")</f>
        <v/>
      </c>
      <c r="AM635" s="42" t="str">
        <f>IF(AND(C635=Master!$H$8,B635="2012-2013",E635&gt;1000,G635="PLN03"),H635,"")</f>
        <v/>
      </c>
      <c r="AN635" s="42" t="str">
        <f>IF(AND(C635=Master!$H$8,B635="2012-2013",E635="",G635="PLN03"),H635,"")</f>
        <v/>
      </c>
      <c r="AO635" s="42" t="str">
        <f>IF(AND(C635=Master!$H$9,B635="2012-2013",E635&gt;1000,G635="PLN03"),H635,"")</f>
        <v/>
      </c>
      <c r="AP635" s="42" t="str">
        <f>IF(AND(C635=Master!$H$9,B635="2012-2013",E635="",G635="PLN03"),H635,"")</f>
        <v/>
      </c>
      <c r="AQ635" s="44" t="str">
        <f>IF(AND(C635=Master!$H$1,B635="2012-2013",E635&gt;1000,G635="NPN05"),H635,"")</f>
        <v/>
      </c>
      <c r="AR635" s="44" t="str">
        <f>IF(AND(C635=Master!$H$1,B635="2012-2013",E635="",G635="NPN05"),H635,"")</f>
        <v/>
      </c>
      <c r="AS635" s="44" t="str">
        <f>IF(AND(C635=Master!$H$2,B635="2012-2013",E635&gt;1000,G635="NPN05"),H635,"")</f>
        <v/>
      </c>
      <c r="AT635" s="44" t="str">
        <f>IF(AND(C635=Master!$H$2,B635="2012-2013",E635="",G635="NPN05"),H635,"")</f>
        <v/>
      </c>
      <c r="AU635" s="44" t="str">
        <f>IF(AND(C635=Master!$H$3,B635="2012-2013",E635&gt;1000,G635="NPN05"),H635,"")</f>
        <v/>
      </c>
      <c r="AV635" s="44" t="str">
        <f>IF(AND(C635=Master!$H$3,B635="2012-2013",E635="",G635="NPN05"),H635,"")</f>
        <v/>
      </c>
      <c r="AW635" s="44" t="str">
        <f>IF(AND(C635=Master!$H$4,B635="2012-2013",E635&gt;1000,G635="NPN05"),H635,"")</f>
        <v/>
      </c>
      <c r="AX635" s="44" t="str">
        <f>IF(AND(C635=Master!$H$4,B635="2012-2013",E635="",G635="NPN05"),H635,"")</f>
        <v/>
      </c>
      <c r="AY635" s="44" t="str">
        <f>IF(AND(C635=Master!$H$5,B635="2012-2013",E635&gt;1000,G635="NPN05"),H635,"")</f>
        <v/>
      </c>
      <c r="AZ635" s="44" t="str">
        <f>IF(AND(C635=Master!$H$5,B635="2012-2013",E635="",G635="NPN05"),H635,"")</f>
        <v/>
      </c>
      <c r="BA635" s="44" t="str">
        <f>IF(AND(C635=Master!$H$6,B635="2012-2013",E635&gt;1000,G635="NPN05"),H635,"")</f>
        <v/>
      </c>
      <c r="BB635" s="44" t="str">
        <f>IF(AND(C635=Master!$H$6,B635="2012-2013",E635="",G635="NPN05"),H635,"")</f>
        <v/>
      </c>
      <c r="BC635" s="44" t="str">
        <f>IF(AND(C635=Master!$H$7,B635="2012-2013",E635&gt;1000,G635="NPN05"),H635,"")</f>
        <v/>
      </c>
      <c r="BD635" s="44" t="str">
        <f>IF(AND(C635=Master!$H$7,B635="2012-2013",E635="",G635="NPN05"),H635,"")</f>
        <v/>
      </c>
      <c r="BE635" s="44" t="str">
        <f>IF(AND(C635=Master!$H$8,B635="2012-2013",E635&gt;1000,G635="NPN05"),H635,"")</f>
        <v/>
      </c>
      <c r="BF635" s="44" t="str">
        <f>IF(AND(C635=Master!$H$8,B635="2012-2013",E635="",G635="NPN05"),H635,"")</f>
        <v/>
      </c>
      <c r="BG635" s="44" t="str">
        <f>IF(AND(C635=Master!$H$9,B635="2012-2013",E635&gt;1000,G635="NPN05"),H635,"")</f>
        <v/>
      </c>
      <c r="BH635" s="44" t="str">
        <f>IF(AND(C635=Master!$H$9,B635="2012-2013",E635="",G635="NPN05"),H635,"")</f>
        <v/>
      </c>
    </row>
    <row r="636" spans="1:60" x14ac:dyDescent="0.25">
      <c r="A636" s="3">
        <v>634</v>
      </c>
      <c r="B636" s="12"/>
      <c r="C636" s="12"/>
      <c r="D636" s="31"/>
      <c r="E636" s="4"/>
      <c r="F636" s="13"/>
      <c r="G636" s="21"/>
      <c r="H636" s="35"/>
      <c r="I636" s="21"/>
      <c r="J636" s="25" t="str">
        <f>IF(NOT(I636=""),INDEX(Master!$B$1:$B$46,MATCH(I636,Master!$A$1:$A$46,0)),"")</f>
        <v/>
      </c>
      <c r="K636" s="18"/>
      <c r="L636" s="86"/>
      <c r="M636" s="13"/>
      <c r="N636" s="13"/>
      <c r="O636" s="18"/>
      <c r="P636" s="35"/>
      <c r="Q636" s="21"/>
      <c r="R636" s="21"/>
      <c r="S636" s="13"/>
      <c r="T636" s="12"/>
      <c r="U636" s="12"/>
      <c r="V636" s="12"/>
      <c r="W636" s="14"/>
      <c r="Y636" s="42" t="str">
        <f>IF(AND(C636=Master!$H$1,B636="2012-2013",E636&gt;1000,G636="PLN03"),H636,"")</f>
        <v/>
      </c>
      <c r="Z636" s="42" t="str">
        <f>IF(AND(C636=Master!$H$1,B636="2012-2013",E636="",G636="PLN03"),H636,"")</f>
        <v/>
      </c>
      <c r="AA636" s="42" t="str">
        <f>IF(AND(C636=Master!$H$2,B636="2012-2013",E636&gt;1000,G636="PLN03"),H636,"")</f>
        <v/>
      </c>
      <c r="AB636" s="42" t="str">
        <f>IF(AND(C636=Master!$H$2,B636="2012-2013",E636="",G636="PLN03"),H636,"")</f>
        <v/>
      </c>
      <c r="AC636" s="42" t="str">
        <f>IF(AND(C636=Master!$H$3,B636="2012-2013",E636&gt;1000,G636="PLN03"),H636,"")</f>
        <v/>
      </c>
      <c r="AD636" s="42" t="str">
        <f>IF(AND(C636=Master!$H$3,B636="2012-2013",E636="",G636="PLN03"),H636,"")</f>
        <v/>
      </c>
      <c r="AE636" s="42" t="str">
        <f>IF(AND(C636=Master!$H$4,B636="2012-2013",E636&gt;1000,G636="PLN03"),H636,"")</f>
        <v/>
      </c>
      <c r="AF636" s="42" t="str">
        <f>IF(AND(C636=Master!$H$4,B636="2012-2013",E636="",G636="PLN03"),H636,"")</f>
        <v/>
      </c>
      <c r="AG636" s="42" t="str">
        <f>IF(AND(C636=Master!$H$5,B636="2012-2013",E636&gt;1000,G636="PLN03"),H636,"")</f>
        <v/>
      </c>
      <c r="AH636" s="42" t="str">
        <f>IF(AND(C636=Master!$H$5,B636="2012-2013",E636="",G636="PLN03"),H636,"")</f>
        <v/>
      </c>
      <c r="AI636" s="42" t="str">
        <f>IF(AND(C636=Master!$H$6,B636="2012-2013",E636&gt;1000,G636="PLN03"),H636,"")</f>
        <v/>
      </c>
      <c r="AJ636" s="42" t="str">
        <f>IF(AND(C636=Master!$H$6,B636="2012-2013",E636="",G636="PLN03"),H636,"")</f>
        <v/>
      </c>
      <c r="AK636" s="42" t="str">
        <f>IF(AND(C636=Master!$H$7,B636="2012-2013",E636&gt;1000,G636="PLN03"),H636,"")</f>
        <v/>
      </c>
      <c r="AL636" s="42" t="str">
        <f>IF(AND(C636=Master!$H$7,B636="2012-2013",E636="",G636="PLN03"),H636,"")</f>
        <v/>
      </c>
      <c r="AM636" s="42" t="str">
        <f>IF(AND(C636=Master!$H$8,B636="2012-2013",E636&gt;1000,G636="PLN03"),H636,"")</f>
        <v/>
      </c>
      <c r="AN636" s="42" t="str">
        <f>IF(AND(C636=Master!$H$8,B636="2012-2013",E636="",G636="PLN03"),H636,"")</f>
        <v/>
      </c>
      <c r="AO636" s="42" t="str">
        <f>IF(AND(C636=Master!$H$9,B636="2012-2013",E636&gt;1000,G636="PLN03"),H636,"")</f>
        <v/>
      </c>
      <c r="AP636" s="42" t="str">
        <f>IF(AND(C636=Master!$H$9,B636="2012-2013",E636="",G636="PLN03"),H636,"")</f>
        <v/>
      </c>
      <c r="AQ636" s="44" t="str">
        <f>IF(AND(C636=Master!$H$1,B636="2012-2013",E636&gt;1000,G636="NPN05"),H636,"")</f>
        <v/>
      </c>
      <c r="AR636" s="44" t="str">
        <f>IF(AND(C636=Master!$H$1,B636="2012-2013",E636="",G636="NPN05"),H636,"")</f>
        <v/>
      </c>
      <c r="AS636" s="44" t="str">
        <f>IF(AND(C636=Master!$H$2,B636="2012-2013",E636&gt;1000,G636="NPN05"),H636,"")</f>
        <v/>
      </c>
      <c r="AT636" s="44" t="str">
        <f>IF(AND(C636=Master!$H$2,B636="2012-2013",E636="",G636="NPN05"),H636,"")</f>
        <v/>
      </c>
      <c r="AU636" s="44" t="str">
        <f>IF(AND(C636=Master!$H$3,B636="2012-2013",E636&gt;1000,G636="NPN05"),H636,"")</f>
        <v/>
      </c>
      <c r="AV636" s="44" t="str">
        <f>IF(AND(C636=Master!$H$3,B636="2012-2013",E636="",G636="NPN05"),H636,"")</f>
        <v/>
      </c>
      <c r="AW636" s="44" t="str">
        <f>IF(AND(C636=Master!$H$4,B636="2012-2013",E636&gt;1000,G636="NPN05"),H636,"")</f>
        <v/>
      </c>
      <c r="AX636" s="44" t="str">
        <f>IF(AND(C636=Master!$H$4,B636="2012-2013",E636="",G636="NPN05"),H636,"")</f>
        <v/>
      </c>
      <c r="AY636" s="44" t="str">
        <f>IF(AND(C636=Master!$H$5,B636="2012-2013",E636&gt;1000,G636="NPN05"),H636,"")</f>
        <v/>
      </c>
      <c r="AZ636" s="44" t="str">
        <f>IF(AND(C636=Master!$H$5,B636="2012-2013",E636="",G636="NPN05"),H636,"")</f>
        <v/>
      </c>
      <c r="BA636" s="44" t="str">
        <f>IF(AND(C636=Master!$H$6,B636="2012-2013",E636&gt;1000,G636="NPN05"),H636,"")</f>
        <v/>
      </c>
      <c r="BB636" s="44" t="str">
        <f>IF(AND(C636=Master!$H$6,B636="2012-2013",E636="",G636="NPN05"),H636,"")</f>
        <v/>
      </c>
      <c r="BC636" s="44" t="str">
        <f>IF(AND(C636=Master!$H$7,B636="2012-2013",E636&gt;1000,G636="NPN05"),H636,"")</f>
        <v/>
      </c>
      <c r="BD636" s="44" t="str">
        <f>IF(AND(C636=Master!$H$7,B636="2012-2013",E636="",G636="NPN05"),H636,"")</f>
        <v/>
      </c>
      <c r="BE636" s="44" t="str">
        <f>IF(AND(C636=Master!$H$8,B636="2012-2013",E636&gt;1000,G636="NPN05"),H636,"")</f>
        <v/>
      </c>
      <c r="BF636" s="44" t="str">
        <f>IF(AND(C636=Master!$H$8,B636="2012-2013",E636="",G636="NPN05"),H636,"")</f>
        <v/>
      </c>
      <c r="BG636" s="44" t="str">
        <f>IF(AND(C636=Master!$H$9,B636="2012-2013",E636&gt;1000,G636="NPN05"),H636,"")</f>
        <v/>
      </c>
      <c r="BH636" s="44" t="str">
        <f>IF(AND(C636=Master!$H$9,B636="2012-2013",E636="",G636="NPN05"),H636,"")</f>
        <v/>
      </c>
    </row>
    <row r="637" spans="1:60" x14ac:dyDescent="0.25">
      <c r="A637" s="3">
        <v>635</v>
      </c>
      <c r="B637" s="12"/>
      <c r="C637" s="12"/>
      <c r="D637" s="31"/>
      <c r="E637" s="4"/>
      <c r="F637" s="13"/>
      <c r="G637" s="21"/>
      <c r="H637" s="35"/>
      <c r="I637" s="21"/>
      <c r="J637" s="25" t="str">
        <f>IF(NOT(I637=""),INDEX(Master!$B$1:$B$46,MATCH(I637,Master!$A$1:$A$46,0)),"")</f>
        <v/>
      </c>
      <c r="K637" s="18"/>
      <c r="L637" s="86"/>
      <c r="M637" s="13"/>
      <c r="N637" s="13"/>
      <c r="O637" s="18"/>
      <c r="P637" s="35"/>
      <c r="Q637" s="21"/>
      <c r="R637" s="21"/>
      <c r="S637" s="13"/>
      <c r="T637" s="12"/>
      <c r="U637" s="12"/>
      <c r="V637" s="12"/>
      <c r="W637" s="14"/>
      <c r="Y637" s="42" t="str">
        <f>IF(AND(C637=Master!$H$1,B637="2012-2013",E637&gt;1000,G637="PLN03"),H637,"")</f>
        <v/>
      </c>
      <c r="Z637" s="42" t="str">
        <f>IF(AND(C637=Master!$H$1,B637="2012-2013",E637="",G637="PLN03"),H637,"")</f>
        <v/>
      </c>
      <c r="AA637" s="42" t="str">
        <f>IF(AND(C637=Master!$H$2,B637="2012-2013",E637&gt;1000,G637="PLN03"),H637,"")</f>
        <v/>
      </c>
      <c r="AB637" s="42" t="str">
        <f>IF(AND(C637=Master!$H$2,B637="2012-2013",E637="",G637="PLN03"),H637,"")</f>
        <v/>
      </c>
      <c r="AC637" s="42" t="str">
        <f>IF(AND(C637=Master!$H$3,B637="2012-2013",E637&gt;1000,G637="PLN03"),H637,"")</f>
        <v/>
      </c>
      <c r="AD637" s="42" t="str">
        <f>IF(AND(C637=Master!$H$3,B637="2012-2013",E637="",G637="PLN03"),H637,"")</f>
        <v/>
      </c>
      <c r="AE637" s="42" t="str">
        <f>IF(AND(C637=Master!$H$4,B637="2012-2013",E637&gt;1000,G637="PLN03"),H637,"")</f>
        <v/>
      </c>
      <c r="AF637" s="42" t="str">
        <f>IF(AND(C637=Master!$H$4,B637="2012-2013",E637="",G637="PLN03"),H637,"")</f>
        <v/>
      </c>
      <c r="AG637" s="42" t="str">
        <f>IF(AND(C637=Master!$H$5,B637="2012-2013",E637&gt;1000,G637="PLN03"),H637,"")</f>
        <v/>
      </c>
      <c r="AH637" s="42" t="str">
        <f>IF(AND(C637=Master!$H$5,B637="2012-2013",E637="",G637="PLN03"),H637,"")</f>
        <v/>
      </c>
      <c r="AI637" s="42" t="str">
        <f>IF(AND(C637=Master!$H$6,B637="2012-2013",E637&gt;1000,G637="PLN03"),H637,"")</f>
        <v/>
      </c>
      <c r="AJ637" s="42" t="str">
        <f>IF(AND(C637=Master!$H$6,B637="2012-2013",E637="",G637="PLN03"),H637,"")</f>
        <v/>
      </c>
      <c r="AK637" s="42" t="str">
        <f>IF(AND(C637=Master!$H$7,B637="2012-2013",E637&gt;1000,G637="PLN03"),H637,"")</f>
        <v/>
      </c>
      <c r="AL637" s="42" t="str">
        <f>IF(AND(C637=Master!$H$7,B637="2012-2013",E637="",G637="PLN03"),H637,"")</f>
        <v/>
      </c>
      <c r="AM637" s="42" t="str">
        <f>IF(AND(C637=Master!$H$8,B637="2012-2013",E637&gt;1000,G637="PLN03"),H637,"")</f>
        <v/>
      </c>
      <c r="AN637" s="42" t="str">
        <f>IF(AND(C637=Master!$H$8,B637="2012-2013",E637="",G637="PLN03"),H637,"")</f>
        <v/>
      </c>
      <c r="AO637" s="42" t="str">
        <f>IF(AND(C637=Master!$H$9,B637="2012-2013",E637&gt;1000,G637="PLN03"),H637,"")</f>
        <v/>
      </c>
      <c r="AP637" s="42" t="str">
        <f>IF(AND(C637=Master!$H$9,B637="2012-2013",E637="",G637="PLN03"),H637,"")</f>
        <v/>
      </c>
      <c r="AQ637" s="44" t="str">
        <f>IF(AND(C637=Master!$H$1,B637="2012-2013",E637&gt;1000,G637="NPN05"),H637,"")</f>
        <v/>
      </c>
      <c r="AR637" s="44" t="str">
        <f>IF(AND(C637=Master!$H$1,B637="2012-2013",E637="",G637="NPN05"),H637,"")</f>
        <v/>
      </c>
      <c r="AS637" s="44" t="str">
        <f>IF(AND(C637=Master!$H$2,B637="2012-2013",E637&gt;1000,G637="NPN05"),H637,"")</f>
        <v/>
      </c>
      <c r="AT637" s="44" t="str">
        <f>IF(AND(C637=Master!$H$2,B637="2012-2013",E637="",G637="NPN05"),H637,"")</f>
        <v/>
      </c>
      <c r="AU637" s="44" t="str">
        <f>IF(AND(C637=Master!$H$3,B637="2012-2013",E637&gt;1000,G637="NPN05"),H637,"")</f>
        <v/>
      </c>
      <c r="AV637" s="44" t="str">
        <f>IF(AND(C637=Master!$H$3,B637="2012-2013",E637="",G637="NPN05"),H637,"")</f>
        <v/>
      </c>
      <c r="AW637" s="44" t="str">
        <f>IF(AND(C637=Master!$H$4,B637="2012-2013",E637&gt;1000,G637="NPN05"),H637,"")</f>
        <v/>
      </c>
      <c r="AX637" s="44" t="str">
        <f>IF(AND(C637=Master!$H$4,B637="2012-2013",E637="",G637="NPN05"),H637,"")</f>
        <v/>
      </c>
      <c r="AY637" s="44" t="str">
        <f>IF(AND(C637=Master!$H$5,B637="2012-2013",E637&gt;1000,G637="NPN05"),H637,"")</f>
        <v/>
      </c>
      <c r="AZ637" s="44" t="str">
        <f>IF(AND(C637=Master!$H$5,B637="2012-2013",E637="",G637="NPN05"),H637,"")</f>
        <v/>
      </c>
      <c r="BA637" s="44" t="str">
        <f>IF(AND(C637=Master!$H$6,B637="2012-2013",E637&gt;1000,G637="NPN05"),H637,"")</f>
        <v/>
      </c>
      <c r="BB637" s="44" t="str">
        <f>IF(AND(C637=Master!$H$6,B637="2012-2013",E637="",G637="NPN05"),H637,"")</f>
        <v/>
      </c>
      <c r="BC637" s="44" t="str">
        <f>IF(AND(C637=Master!$H$7,B637="2012-2013",E637&gt;1000,G637="NPN05"),H637,"")</f>
        <v/>
      </c>
      <c r="BD637" s="44" t="str">
        <f>IF(AND(C637=Master!$H$7,B637="2012-2013",E637="",G637="NPN05"),H637,"")</f>
        <v/>
      </c>
      <c r="BE637" s="44" t="str">
        <f>IF(AND(C637=Master!$H$8,B637="2012-2013",E637&gt;1000,G637="NPN05"),H637,"")</f>
        <v/>
      </c>
      <c r="BF637" s="44" t="str">
        <f>IF(AND(C637=Master!$H$8,B637="2012-2013",E637="",G637="NPN05"),H637,"")</f>
        <v/>
      </c>
      <c r="BG637" s="44" t="str">
        <f>IF(AND(C637=Master!$H$9,B637="2012-2013",E637&gt;1000,G637="NPN05"),H637,"")</f>
        <v/>
      </c>
      <c r="BH637" s="44" t="str">
        <f>IF(AND(C637=Master!$H$9,B637="2012-2013",E637="",G637="NPN05"),H637,"")</f>
        <v/>
      </c>
    </row>
    <row r="638" spans="1:60" x14ac:dyDescent="0.25">
      <c r="A638" s="3">
        <v>636</v>
      </c>
      <c r="B638" s="12"/>
      <c r="C638" s="12"/>
      <c r="D638" s="31"/>
      <c r="E638" s="4"/>
      <c r="F638" s="13"/>
      <c r="G638" s="21"/>
      <c r="H638" s="35"/>
      <c r="I638" s="21"/>
      <c r="J638" s="25" t="str">
        <f>IF(NOT(I638=""),INDEX(Master!$B$1:$B$46,MATCH(I638,Master!$A$1:$A$46,0)),"")</f>
        <v/>
      </c>
      <c r="K638" s="18"/>
      <c r="L638" s="86"/>
      <c r="M638" s="13"/>
      <c r="N638" s="13"/>
      <c r="O638" s="18"/>
      <c r="P638" s="35"/>
      <c r="Q638" s="21"/>
      <c r="R638" s="21"/>
      <c r="S638" s="13"/>
      <c r="T638" s="12"/>
      <c r="U638" s="12"/>
      <c r="V638" s="12"/>
      <c r="W638" s="14"/>
      <c r="Y638" s="42" t="str">
        <f>IF(AND(C638=Master!$H$1,B638="2012-2013",E638&gt;1000,G638="PLN03"),H638,"")</f>
        <v/>
      </c>
      <c r="Z638" s="42" t="str">
        <f>IF(AND(C638=Master!$H$1,B638="2012-2013",E638="",G638="PLN03"),H638,"")</f>
        <v/>
      </c>
      <c r="AA638" s="42" t="str">
        <f>IF(AND(C638=Master!$H$2,B638="2012-2013",E638&gt;1000,G638="PLN03"),H638,"")</f>
        <v/>
      </c>
      <c r="AB638" s="42" t="str">
        <f>IF(AND(C638=Master!$H$2,B638="2012-2013",E638="",G638="PLN03"),H638,"")</f>
        <v/>
      </c>
      <c r="AC638" s="42" t="str">
        <f>IF(AND(C638=Master!$H$3,B638="2012-2013",E638&gt;1000,G638="PLN03"),H638,"")</f>
        <v/>
      </c>
      <c r="AD638" s="42" t="str">
        <f>IF(AND(C638=Master!$H$3,B638="2012-2013",E638="",G638="PLN03"),H638,"")</f>
        <v/>
      </c>
      <c r="AE638" s="42" t="str">
        <f>IF(AND(C638=Master!$H$4,B638="2012-2013",E638&gt;1000,G638="PLN03"),H638,"")</f>
        <v/>
      </c>
      <c r="AF638" s="42" t="str">
        <f>IF(AND(C638=Master!$H$4,B638="2012-2013",E638="",G638="PLN03"),H638,"")</f>
        <v/>
      </c>
      <c r="AG638" s="42" t="str">
        <f>IF(AND(C638=Master!$H$5,B638="2012-2013",E638&gt;1000,G638="PLN03"),H638,"")</f>
        <v/>
      </c>
      <c r="AH638" s="42" t="str">
        <f>IF(AND(C638=Master!$H$5,B638="2012-2013",E638="",G638="PLN03"),H638,"")</f>
        <v/>
      </c>
      <c r="AI638" s="42" t="str">
        <f>IF(AND(C638=Master!$H$6,B638="2012-2013",E638&gt;1000,G638="PLN03"),H638,"")</f>
        <v/>
      </c>
      <c r="AJ638" s="42" t="str">
        <f>IF(AND(C638=Master!$H$6,B638="2012-2013",E638="",G638="PLN03"),H638,"")</f>
        <v/>
      </c>
      <c r="AK638" s="42" t="str">
        <f>IF(AND(C638=Master!$H$7,B638="2012-2013",E638&gt;1000,G638="PLN03"),H638,"")</f>
        <v/>
      </c>
      <c r="AL638" s="42" t="str">
        <f>IF(AND(C638=Master!$H$7,B638="2012-2013",E638="",G638="PLN03"),H638,"")</f>
        <v/>
      </c>
      <c r="AM638" s="42" t="str">
        <f>IF(AND(C638=Master!$H$8,B638="2012-2013",E638&gt;1000,G638="PLN03"),H638,"")</f>
        <v/>
      </c>
      <c r="AN638" s="42" t="str">
        <f>IF(AND(C638=Master!$H$8,B638="2012-2013",E638="",G638="PLN03"),H638,"")</f>
        <v/>
      </c>
      <c r="AO638" s="42" t="str">
        <f>IF(AND(C638=Master!$H$9,B638="2012-2013",E638&gt;1000,G638="PLN03"),H638,"")</f>
        <v/>
      </c>
      <c r="AP638" s="42" t="str">
        <f>IF(AND(C638=Master!$H$9,B638="2012-2013",E638="",G638="PLN03"),H638,"")</f>
        <v/>
      </c>
      <c r="AQ638" s="44" t="str">
        <f>IF(AND(C638=Master!$H$1,B638="2012-2013",E638&gt;1000,G638="NPN05"),H638,"")</f>
        <v/>
      </c>
      <c r="AR638" s="44" t="str">
        <f>IF(AND(C638=Master!$H$1,B638="2012-2013",E638="",G638="NPN05"),H638,"")</f>
        <v/>
      </c>
      <c r="AS638" s="44" t="str">
        <f>IF(AND(C638=Master!$H$2,B638="2012-2013",E638&gt;1000,G638="NPN05"),H638,"")</f>
        <v/>
      </c>
      <c r="AT638" s="44" t="str">
        <f>IF(AND(C638=Master!$H$2,B638="2012-2013",E638="",G638="NPN05"),H638,"")</f>
        <v/>
      </c>
      <c r="AU638" s="44" t="str">
        <f>IF(AND(C638=Master!$H$3,B638="2012-2013",E638&gt;1000,G638="NPN05"),H638,"")</f>
        <v/>
      </c>
      <c r="AV638" s="44" t="str">
        <f>IF(AND(C638=Master!$H$3,B638="2012-2013",E638="",G638="NPN05"),H638,"")</f>
        <v/>
      </c>
      <c r="AW638" s="44" t="str">
        <f>IF(AND(C638=Master!$H$4,B638="2012-2013",E638&gt;1000,G638="NPN05"),H638,"")</f>
        <v/>
      </c>
      <c r="AX638" s="44" t="str">
        <f>IF(AND(C638=Master!$H$4,B638="2012-2013",E638="",G638="NPN05"),H638,"")</f>
        <v/>
      </c>
      <c r="AY638" s="44" t="str">
        <f>IF(AND(C638=Master!$H$5,B638="2012-2013",E638&gt;1000,G638="NPN05"),H638,"")</f>
        <v/>
      </c>
      <c r="AZ638" s="44" t="str">
        <f>IF(AND(C638=Master!$H$5,B638="2012-2013",E638="",G638="NPN05"),H638,"")</f>
        <v/>
      </c>
      <c r="BA638" s="44" t="str">
        <f>IF(AND(C638=Master!$H$6,B638="2012-2013",E638&gt;1000,G638="NPN05"),H638,"")</f>
        <v/>
      </c>
      <c r="BB638" s="44" t="str">
        <f>IF(AND(C638=Master!$H$6,B638="2012-2013",E638="",G638="NPN05"),H638,"")</f>
        <v/>
      </c>
      <c r="BC638" s="44" t="str">
        <f>IF(AND(C638=Master!$H$7,B638="2012-2013",E638&gt;1000,G638="NPN05"),H638,"")</f>
        <v/>
      </c>
      <c r="BD638" s="44" t="str">
        <f>IF(AND(C638=Master!$H$7,B638="2012-2013",E638="",G638="NPN05"),H638,"")</f>
        <v/>
      </c>
      <c r="BE638" s="44" t="str">
        <f>IF(AND(C638=Master!$H$8,B638="2012-2013",E638&gt;1000,G638="NPN05"),H638,"")</f>
        <v/>
      </c>
      <c r="BF638" s="44" t="str">
        <f>IF(AND(C638=Master!$H$8,B638="2012-2013",E638="",G638="NPN05"),H638,"")</f>
        <v/>
      </c>
      <c r="BG638" s="44" t="str">
        <f>IF(AND(C638=Master!$H$9,B638="2012-2013",E638&gt;1000,G638="NPN05"),H638,"")</f>
        <v/>
      </c>
      <c r="BH638" s="44" t="str">
        <f>IF(AND(C638=Master!$H$9,B638="2012-2013",E638="",G638="NPN05"),H638,"")</f>
        <v/>
      </c>
    </row>
    <row r="639" spans="1:60" x14ac:dyDescent="0.25">
      <c r="A639" s="3">
        <v>637</v>
      </c>
      <c r="B639" s="12"/>
      <c r="C639" s="12"/>
      <c r="D639" s="31"/>
      <c r="E639" s="4"/>
      <c r="F639" s="13"/>
      <c r="G639" s="21"/>
      <c r="H639" s="35"/>
      <c r="I639" s="21"/>
      <c r="J639" s="25" t="str">
        <f>IF(NOT(I639=""),INDEX(Master!$B$1:$B$46,MATCH(I639,Master!$A$1:$A$46,0)),"")</f>
        <v/>
      </c>
      <c r="K639" s="18"/>
      <c r="L639" s="86"/>
      <c r="M639" s="13"/>
      <c r="N639" s="13"/>
      <c r="O639" s="18"/>
      <c r="P639" s="35"/>
      <c r="Q639" s="21"/>
      <c r="R639" s="21"/>
      <c r="S639" s="13"/>
      <c r="T639" s="12"/>
      <c r="U639" s="12"/>
      <c r="V639" s="12"/>
      <c r="W639" s="14"/>
      <c r="Y639" s="42" t="str">
        <f>IF(AND(C639=Master!$H$1,B639="2012-2013",E639&gt;1000,G639="PLN03"),H639,"")</f>
        <v/>
      </c>
      <c r="Z639" s="42" t="str">
        <f>IF(AND(C639=Master!$H$1,B639="2012-2013",E639="",G639="PLN03"),H639,"")</f>
        <v/>
      </c>
      <c r="AA639" s="42" t="str">
        <f>IF(AND(C639=Master!$H$2,B639="2012-2013",E639&gt;1000,G639="PLN03"),H639,"")</f>
        <v/>
      </c>
      <c r="AB639" s="42" t="str">
        <f>IF(AND(C639=Master!$H$2,B639="2012-2013",E639="",G639="PLN03"),H639,"")</f>
        <v/>
      </c>
      <c r="AC639" s="42" t="str">
        <f>IF(AND(C639=Master!$H$3,B639="2012-2013",E639&gt;1000,G639="PLN03"),H639,"")</f>
        <v/>
      </c>
      <c r="AD639" s="42" t="str">
        <f>IF(AND(C639=Master!$H$3,B639="2012-2013",E639="",G639="PLN03"),H639,"")</f>
        <v/>
      </c>
      <c r="AE639" s="42" t="str">
        <f>IF(AND(C639=Master!$H$4,B639="2012-2013",E639&gt;1000,G639="PLN03"),H639,"")</f>
        <v/>
      </c>
      <c r="AF639" s="42" t="str">
        <f>IF(AND(C639=Master!$H$4,B639="2012-2013",E639="",G639="PLN03"),H639,"")</f>
        <v/>
      </c>
      <c r="AG639" s="42" t="str">
        <f>IF(AND(C639=Master!$H$5,B639="2012-2013",E639&gt;1000,G639="PLN03"),H639,"")</f>
        <v/>
      </c>
      <c r="AH639" s="42" t="str">
        <f>IF(AND(C639=Master!$H$5,B639="2012-2013",E639="",G639="PLN03"),H639,"")</f>
        <v/>
      </c>
      <c r="AI639" s="42" t="str">
        <f>IF(AND(C639=Master!$H$6,B639="2012-2013",E639&gt;1000,G639="PLN03"),H639,"")</f>
        <v/>
      </c>
      <c r="AJ639" s="42" t="str">
        <f>IF(AND(C639=Master!$H$6,B639="2012-2013",E639="",G639="PLN03"),H639,"")</f>
        <v/>
      </c>
      <c r="AK639" s="42" t="str">
        <f>IF(AND(C639=Master!$H$7,B639="2012-2013",E639&gt;1000,G639="PLN03"),H639,"")</f>
        <v/>
      </c>
      <c r="AL639" s="42" t="str">
        <f>IF(AND(C639=Master!$H$7,B639="2012-2013",E639="",G639="PLN03"),H639,"")</f>
        <v/>
      </c>
      <c r="AM639" s="42" t="str">
        <f>IF(AND(C639=Master!$H$8,B639="2012-2013",E639&gt;1000,G639="PLN03"),H639,"")</f>
        <v/>
      </c>
      <c r="AN639" s="42" t="str">
        <f>IF(AND(C639=Master!$H$8,B639="2012-2013",E639="",G639="PLN03"),H639,"")</f>
        <v/>
      </c>
      <c r="AO639" s="42" t="str">
        <f>IF(AND(C639=Master!$H$9,B639="2012-2013",E639&gt;1000,G639="PLN03"),H639,"")</f>
        <v/>
      </c>
      <c r="AP639" s="42" t="str">
        <f>IF(AND(C639=Master!$H$9,B639="2012-2013",E639="",G639="PLN03"),H639,"")</f>
        <v/>
      </c>
      <c r="AQ639" s="44" t="str">
        <f>IF(AND(C639=Master!$H$1,B639="2012-2013",E639&gt;1000,G639="NPN05"),H639,"")</f>
        <v/>
      </c>
      <c r="AR639" s="44" t="str">
        <f>IF(AND(C639=Master!$H$1,B639="2012-2013",E639="",G639="NPN05"),H639,"")</f>
        <v/>
      </c>
      <c r="AS639" s="44" t="str">
        <f>IF(AND(C639=Master!$H$2,B639="2012-2013",E639&gt;1000,G639="NPN05"),H639,"")</f>
        <v/>
      </c>
      <c r="AT639" s="44" t="str">
        <f>IF(AND(C639=Master!$H$2,B639="2012-2013",E639="",G639="NPN05"),H639,"")</f>
        <v/>
      </c>
      <c r="AU639" s="44" t="str">
        <f>IF(AND(C639=Master!$H$3,B639="2012-2013",E639&gt;1000,G639="NPN05"),H639,"")</f>
        <v/>
      </c>
      <c r="AV639" s="44" t="str">
        <f>IF(AND(C639=Master!$H$3,B639="2012-2013",E639="",G639="NPN05"),H639,"")</f>
        <v/>
      </c>
      <c r="AW639" s="44" t="str">
        <f>IF(AND(C639=Master!$H$4,B639="2012-2013",E639&gt;1000,G639="NPN05"),H639,"")</f>
        <v/>
      </c>
      <c r="AX639" s="44" t="str">
        <f>IF(AND(C639=Master!$H$4,B639="2012-2013",E639="",G639="NPN05"),H639,"")</f>
        <v/>
      </c>
      <c r="AY639" s="44" t="str">
        <f>IF(AND(C639=Master!$H$5,B639="2012-2013",E639&gt;1000,G639="NPN05"),H639,"")</f>
        <v/>
      </c>
      <c r="AZ639" s="44" t="str">
        <f>IF(AND(C639=Master!$H$5,B639="2012-2013",E639="",G639="NPN05"),H639,"")</f>
        <v/>
      </c>
      <c r="BA639" s="44" t="str">
        <f>IF(AND(C639=Master!$H$6,B639="2012-2013",E639&gt;1000,G639="NPN05"),H639,"")</f>
        <v/>
      </c>
      <c r="BB639" s="44" t="str">
        <f>IF(AND(C639=Master!$H$6,B639="2012-2013",E639="",G639="NPN05"),H639,"")</f>
        <v/>
      </c>
      <c r="BC639" s="44" t="str">
        <f>IF(AND(C639=Master!$H$7,B639="2012-2013",E639&gt;1000,G639="NPN05"),H639,"")</f>
        <v/>
      </c>
      <c r="BD639" s="44" t="str">
        <f>IF(AND(C639=Master!$H$7,B639="2012-2013",E639="",G639="NPN05"),H639,"")</f>
        <v/>
      </c>
      <c r="BE639" s="44" t="str">
        <f>IF(AND(C639=Master!$H$8,B639="2012-2013",E639&gt;1000,G639="NPN05"),H639,"")</f>
        <v/>
      </c>
      <c r="BF639" s="44" t="str">
        <f>IF(AND(C639=Master!$H$8,B639="2012-2013",E639="",G639="NPN05"),H639,"")</f>
        <v/>
      </c>
      <c r="BG639" s="44" t="str">
        <f>IF(AND(C639=Master!$H$9,B639="2012-2013",E639&gt;1000,G639="NPN05"),H639,"")</f>
        <v/>
      </c>
      <c r="BH639" s="44" t="str">
        <f>IF(AND(C639=Master!$H$9,B639="2012-2013",E639="",G639="NPN05"),H639,"")</f>
        <v/>
      </c>
    </row>
    <row r="640" spans="1:60" x14ac:dyDescent="0.25">
      <c r="A640" s="3">
        <v>638</v>
      </c>
      <c r="B640" s="12"/>
      <c r="C640" s="12"/>
      <c r="D640" s="31"/>
      <c r="E640" s="4"/>
      <c r="F640" s="13"/>
      <c r="G640" s="21"/>
      <c r="H640" s="35"/>
      <c r="I640" s="21"/>
      <c r="J640" s="25" t="str">
        <f>IF(NOT(I640=""),INDEX(Master!$B$1:$B$46,MATCH(I640,Master!$A$1:$A$46,0)),"")</f>
        <v/>
      </c>
      <c r="K640" s="18"/>
      <c r="L640" s="86"/>
      <c r="M640" s="13"/>
      <c r="N640" s="13"/>
      <c r="O640" s="18"/>
      <c r="P640" s="35"/>
      <c r="Q640" s="21"/>
      <c r="R640" s="21"/>
      <c r="S640" s="13"/>
      <c r="T640" s="12"/>
      <c r="U640" s="12"/>
      <c r="V640" s="12"/>
      <c r="W640" s="14"/>
      <c r="Y640" s="42" t="str">
        <f>IF(AND(C640=Master!$H$1,B640="2012-2013",E640&gt;1000,G640="PLN03"),H640,"")</f>
        <v/>
      </c>
      <c r="Z640" s="42" t="str">
        <f>IF(AND(C640=Master!$H$1,B640="2012-2013",E640="",G640="PLN03"),H640,"")</f>
        <v/>
      </c>
      <c r="AA640" s="42" t="str">
        <f>IF(AND(C640=Master!$H$2,B640="2012-2013",E640&gt;1000,G640="PLN03"),H640,"")</f>
        <v/>
      </c>
      <c r="AB640" s="42" t="str">
        <f>IF(AND(C640=Master!$H$2,B640="2012-2013",E640="",G640="PLN03"),H640,"")</f>
        <v/>
      </c>
      <c r="AC640" s="42" t="str">
        <f>IF(AND(C640=Master!$H$3,B640="2012-2013",E640&gt;1000,G640="PLN03"),H640,"")</f>
        <v/>
      </c>
      <c r="AD640" s="42" t="str">
        <f>IF(AND(C640=Master!$H$3,B640="2012-2013",E640="",G640="PLN03"),H640,"")</f>
        <v/>
      </c>
      <c r="AE640" s="42" t="str">
        <f>IF(AND(C640=Master!$H$4,B640="2012-2013",E640&gt;1000,G640="PLN03"),H640,"")</f>
        <v/>
      </c>
      <c r="AF640" s="42" t="str">
        <f>IF(AND(C640=Master!$H$4,B640="2012-2013",E640="",G640="PLN03"),H640,"")</f>
        <v/>
      </c>
      <c r="AG640" s="42" t="str">
        <f>IF(AND(C640=Master!$H$5,B640="2012-2013",E640&gt;1000,G640="PLN03"),H640,"")</f>
        <v/>
      </c>
      <c r="AH640" s="42" t="str">
        <f>IF(AND(C640=Master!$H$5,B640="2012-2013",E640="",G640="PLN03"),H640,"")</f>
        <v/>
      </c>
      <c r="AI640" s="42" t="str">
        <f>IF(AND(C640=Master!$H$6,B640="2012-2013",E640&gt;1000,G640="PLN03"),H640,"")</f>
        <v/>
      </c>
      <c r="AJ640" s="42" t="str">
        <f>IF(AND(C640=Master!$H$6,B640="2012-2013",E640="",G640="PLN03"),H640,"")</f>
        <v/>
      </c>
      <c r="AK640" s="42" t="str">
        <f>IF(AND(C640=Master!$H$7,B640="2012-2013",E640&gt;1000,G640="PLN03"),H640,"")</f>
        <v/>
      </c>
      <c r="AL640" s="42" t="str">
        <f>IF(AND(C640=Master!$H$7,B640="2012-2013",E640="",G640="PLN03"),H640,"")</f>
        <v/>
      </c>
      <c r="AM640" s="42" t="str">
        <f>IF(AND(C640=Master!$H$8,B640="2012-2013",E640&gt;1000,G640="PLN03"),H640,"")</f>
        <v/>
      </c>
      <c r="AN640" s="42" t="str">
        <f>IF(AND(C640=Master!$H$8,B640="2012-2013",E640="",G640="PLN03"),H640,"")</f>
        <v/>
      </c>
      <c r="AO640" s="42" t="str">
        <f>IF(AND(C640=Master!$H$9,B640="2012-2013",E640&gt;1000,G640="PLN03"),H640,"")</f>
        <v/>
      </c>
      <c r="AP640" s="42" t="str">
        <f>IF(AND(C640=Master!$H$9,B640="2012-2013",E640="",G640="PLN03"),H640,"")</f>
        <v/>
      </c>
      <c r="AQ640" s="44" t="str">
        <f>IF(AND(C640=Master!$H$1,B640="2012-2013",E640&gt;1000,G640="NPN05"),H640,"")</f>
        <v/>
      </c>
      <c r="AR640" s="44" t="str">
        <f>IF(AND(C640=Master!$H$1,B640="2012-2013",E640="",G640="NPN05"),H640,"")</f>
        <v/>
      </c>
      <c r="AS640" s="44" t="str">
        <f>IF(AND(C640=Master!$H$2,B640="2012-2013",E640&gt;1000,G640="NPN05"),H640,"")</f>
        <v/>
      </c>
      <c r="AT640" s="44" t="str">
        <f>IF(AND(C640=Master!$H$2,B640="2012-2013",E640="",G640="NPN05"),H640,"")</f>
        <v/>
      </c>
      <c r="AU640" s="44" t="str">
        <f>IF(AND(C640=Master!$H$3,B640="2012-2013",E640&gt;1000,G640="NPN05"),H640,"")</f>
        <v/>
      </c>
      <c r="AV640" s="44" t="str">
        <f>IF(AND(C640=Master!$H$3,B640="2012-2013",E640="",G640="NPN05"),H640,"")</f>
        <v/>
      </c>
      <c r="AW640" s="44" t="str">
        <f>IF(AND(C640=Master!$H$4,B640="2012-2013",E640&gt;1000,G640="NPN05"),H640,"")</f>
        <v/>
      </c>
      <c r="AX640" s="44" t="str">
        <f>IF(AND(C640=Master!$H$4,B640="2012-2013",E640="",G640="NPN05"),H640,"")</f>
        <v/>
      </c>
      <c r="AY640" s="44" t="str">
        <f>IF(AND(C640=Master!$H$5,B640="2012-2013",E640&gt;1000,G640="NPN05"),H640,"")</f>
        <v/>
      </c>
      <c r="AZ640" s="44" t="str">
        <f>IF(AND(C640=Master!$H$5,B640="2012-2013",E640="",G640="NPN05"),H640,"")</f>
        <v/>
      </c>
      <c r="BA640" s="44" t="str">
        <f>IF(AND(C640=Master!$H$6,B640="2012-2013",E640&gt;1000,G640="NPN05"),H640,"")</f>
        <v/>
      </c>
      <c r="BB640" s="44" t="str">
        <f>IF(AND(C640=Master!$H$6,B640="2012-2013",E640="",G640="NPN05"),H640,"")</f>
        <v/>
      </c>
      <c r="BC640" s="44" t="str">
        <f>IF(AND(C640=Master!$H$7,B640="2012-2013",E640&gt;1000,G640="NPN05"),H640,"")</f>
        <v/>
      </c>
      <c r="BD640" s="44" t="str">
        <f>IF(AND(C640=Master!$H$7,B640="2012-2013",E640="",G640="NPN05"),H640,"")</f>
        <v/>
      </c>
      <c r="BE640" s="44" t="str">
        <f>IF(AND(C640=Master!$H$8,B640="2012-2013",E640&gt;1000,G640="NPN05"),H640,"")</f>
        <v/>
      </c>
      <c r="BF640" s="44" t="str">
        <f>IF(AND(C640=Master!$H$8,B640="2012-2013",E640="",G640="NPN05"),H640,"")</f>
        <v/>
      </c>
      <c r="BG640" s="44" t="str">
        <f>IF(AND(C640=Master!$H$9,B640="2012-2013",E640&gt;1000,G640="NPN05"),H640,"")</f>
        <v/>
      </c>
      <c r="BH640" s="44" t="str">
        <f>IF(AND(C640=Master!$H$9,B640="2012-2013",E640="",G640="NPN05"),H640,"")</f>
        <v/>
      </c>
    </row>
    <row r="641" spans="1:60" x14ac:dyDescent="0.25">
      <c r="A641" s="3">
        <v>639</v>
      </c>
      <c r="B641" s="12"/>
      <c r="C641" s="12"/>
      <c r="D641" s="31"/>
      <c r="E641" s="4"/>
      <c r="F641" s="13"/>
      <c r="G641" s="21"/>
      <c r="H641" s="35"/>
      <c r="I641" s="21"/>
      <c r="J641" s="25" t="str">
        <f>IF(NOT(I641=""),INDEX(Master!$B$1:$B$46,MATCH(I641,Master!$A$1:$A$46,0)),"")</f>
        <v/>
      </c>
      <c r="K641" s="18"/>
      <c r="L641" s="86"/>
      <c r="M641" s="13"/>
      <c r="N641" s="13"/>
      <c r="O641" s="18"/>
      <c r="P641" s="35"/>
      <c r="Q641" s="21"/>
      <c r="R641" s="21"/>
      <c r="S641" s="13"/>
      <c r="T641" s="12"/>
      <c r="U641" s="12"/>
      <c r="V641" s="12"/>
      <c r="W641" s="14"/>
      <c r="Y641" s="42" t="str">
        <f>IF(AND(C641=Master!$H$1,B641="2012-2013",E641&gt;1000,G641="PLN03"),H641,"")</f>
        <v/>
      </c>
      <c r="Z641" s="42" t="str">
        <f>IF(AND(C641=Master!$H$1,B641="2012-2013",E641="",G641="PLN03"),H641,"")</f>
        <v/>
      </c>
      <c r="AA641" s="42" t="str">
        <f>IF(AND(C641=Master!$H$2,B641="2012-2013",E641&gt;1000,G641="PLN03"),H641,"")</f>
        <v/>
      </c>
      <c r="AB641" s="42" t="str">
        <f>IF(AND(C641=Master!$H$2,B641="2012-2013",E641="",G641="PLN03"),H641,"")</f>
        <v/>
      </c>
      <c r="AC641" s="42" t="str">
        <f>IF(AND(C641=Master!$H$3,B641="2012-2013",E641&gt;1000,G641="PLN03"),H641,"")</f>
        <v/>
      </c>
      <c r="AD641" s="42" t="str">
        <f>IF(AND(C641=Master!$H$3,B641="2012-2013",E641="",G641="PLN03"),H641,"")</f>
        <v/>
      </c>
      <c r="AE641" s="42" t="str">
        <f>IF(AND(C641=Master!$H$4,B641="2012-2013",E641&gt;1000,G641="PLN03"),H641,"")</f>
        <v/>
      </c>
      <c r="AF641" s="42" t="str">
        <f>IF(AND(C641=Master!$H$4,B641="2012-2013",E641="",G641="PLN03"),H641,"")</f>
        <v/>
      </c>
      <c r="AG641" s="42" t="str">
        <f>IF(AND(C641=Master!$H$5,B641="2012-2013",E641&gt;1000,G641="PLN03"),H641,"")</f>
        <v/>
      </c>
      <c r="AH641" s="42" t="str">
        <f>IF(AND(C641=Master!$H$5,B641="2012-2013",E641="",G641="PLN03"),H641,"")</f>
        <v/>
      </c>
      <c r="AI641" s="42" t="str">
        <f>IF(AND(C641=Master!$H$6,B641="2012-2013",E641&gt;1000,G641="PLN03"),H641,"")</f>
        <v/>
      </c>
      <c r="AJ641" s="42" t="str">
        <f>IF(AND(C641=Master!$H$6,B641="2012-2013",E641="",G641="PLN03"),H641,"")</f>
        <v/>
      </c>
      <c r="AK641" s="42" t="str">
        <f>IF(AND(C641=Master!$H$7,B641="2012-2013",E641&gt;1000,G641="PLN03"),H641,"")</f>
        <v/>
      </c>
      <c r="AL641" s="42" t="str">
        <f>IF(AND(C641=Master!$H$7,B641="2012-2013",E641="",G641="PLN03"),H641,"")</f>
        <v/>
      </c>
      <c r="AM641" s="42" t="str">
        <f>IF(AND(C641=Master!$H$8,B641="2012-2013",E641&gt;1000,G641="PLN03"),H641,"")</f>
        <v/>
      </c>
      <c r="AN641" s="42" t="str">
        <f>IF(AND(C641=Master!$H$8,B641="2012-2013",E641="",G641="PLN03"),H641,"")</f>
        <v/>
      </c>
      <c r="AO641" s="42" t="str">
        <f>IF(AND(C641=Master!$H$9,B641="2012-2013",E641&gt;1000,G641="PLN03"),H641,"")</f>
        <v/>
      </c>
      <c r="AP641" s="42" t="str">
        <f>IF(AND(C641=Master!$H$9,B641="2012-2013",E641="",G641="PLN03"),H641,"")</f>
        <v/>
      </c>
      <c r="AQ641" s="44" t="str">
        <f>IF(AND(C641=Master!$H$1,B641="2012-2013",E641&gt;1000,G641="NPN05"),H641,"")</f>
        <v/>
      </c>
      <c r="AR641" s="44" t="str">
        <f>IF(AND(C641=Master!$H$1,B641="2012-2013",E641="",G641="NPN05"),H641,"")</f>
        <v/>
      </c>
      <c r="AS641" s="44" t="str">
        <f>IF(AND(C641=Master!$H$2,B641="2012-2013",E641&gt;1000,G641="NPN05"),H641,"")</f>
        <v/>
      </c>
      <c r="AT641" s="44" t="str">
        <f>IF(AND(C641=Master!$H$2,B641="2012-2013",E641="",G641="NPN05"),H641,"")</f>
        <v/>
      </c>
      <c r="AU641" s="44" t="str">
        <f>IF(AND(C641=Master!$H$3,B641="2012-2013",E641&gt;1000,G641="NPN05"),H641,"")</f>
        <v/>
      </c>
      <c r="AV641" s="44" t="str">
        <f>IF(AND(C641=Master!$H$3,B641="2012-2013",E641="",G641="NPN05"),H641,"")</f>
        <v/>
      </c>
      <c r="AW641" s="44" t="str">
        <f>IF(AND(C641=Master!$H$4,B641="2012-2013",E641&gt;1000,G641="NPN05"),H641,"")</f>
        <v/>
      </c>
      <c r="AX641" s="44" t="str">
        <f>IF(AND(C641=Master!$H$4,B641="2012-2013",E641="",G641="NPN05"),H641,"")</f>
        <v/>
      </c>
      <c r="AY641" s="44" t="str">
        <f>IF(AND(C641=Master!$H$5,B641="2012-2013",E641&gt;1000,G641="NPN05"),H641,"")</f>
        <v/>
      </c>
      <c r="AZ641" s="44" t="str">
        <f>IF(AND(C641=Master!$H$5,B641="2012-2013",E641="",G641="NPN05"),H641,"")</f>
        <v/>
      </c>
      <c r="BA641" s="44" t="str">
        <f>IF(AND(C641=Master!$H$6,B641="2012-2013",E641&gt;1000,G641="NPN05"),H641,"")</f>
        <v/>
      </c>
      <c r="BB641" s="44" t="str">
        <f>IF(AND(C641=Master!$H$6,B641="2012-2013",E641="",G641="NPN05"),H641,"")</f>
        <v/>
      </c>
      <c r="BC641" s="44" t="str">
        <f>IF(AND(C641=Master!$H$7,B641="2012-2013",E641&gt;1000,G641="NPN05"),H641,"")</f>
        <v/>
      </c>
      <c r="BD641" s="44" t="str">
        <f>IF(AND(C641=Master!$H$7,B641="2012-2013",E641="",G641="NPN05"),H641,"")</f>
        <v/>
      </c>
      <c r="BE641" s="44" t="str">
        <f>IF(AND(C641=Master!$H$8,B641="2012-2013",E641&gt;1000,G641="NPN05"),H641,"")</f>
        <v/>
      </c>
      <c r="BF641" s="44" t="str">
        <f>IF(AND(C641=Master!$H$8,B641="2012-2013",E641="",G641="NPN05"),H641,"")</f>
        <v/>
      </c>
      <c r="BG641" s="44" t="str">
        <f>IF(AND(C641=Master!$H$9,B641="2012-2013",E641&gt;1000,G641="NPN05"),H641,"")</f>
        <v/>
      </c>
      <c r="BH641" s="44" t="str">
        <f>IF(AND(C641=Master!$H$9,B641="2012-2013",E641="",G641="NPN05"),H641,"")</f>
        <v/>
      </c>
    </row>
    <row r="642" spans="1:60" x14ac:dyDescent="0.25">
      <c r="A642" s="3">
        <v>640</v>
      </c>
      <c r="B642" s="12"/>
      <c r="C642" s="12"/>
      <c r="D642" s="31"/>
      <c r="E642" s="4"/>
      <c r="F642" s="13"/>
      <c r="G642" s="21"/>
      <c r="H642" s="35"/>
      <c r="I642" s="21"/>
      <c r="J642" s="25" t="str">
        <f>IF(NOT(I642=""),INDEX(Master!$B$1:$B$46,MATCH(I642,Master!$A$1:$A$46,0)),"")</f>
        <v/>
      </c>
      <c r="K642" s="18"/>
      <c r="L642" s="86"/>
      <c r="M642" s="13"/>
      <c r="N642" s="13"/>
      <c r="O642" s="18"/>
      <c r="P642" s="35"/>
      <c r="Q642" s="21"/>
      <c r="R642" s="21"/>
      <c r="S642" s="13"/>
      <c r="T642" s="12"/>
      <c r="U642" s="12"/>
      <c r="V642" s="12"/>
      <c r="W642" s="14"/>
      <c r="Y642" s="42" t="str">
        <f>IF(AND(C642=Master!$H$1,B642="2012-2013",E642&gt;1000,G642="PLN03"),H642,"")</f>
        <v/>
      </c>
      <c r="Z642" s="42" t="str">
        <f>IF(AND(C642=Master!$H$1,B642="2012-2013",E642="",G642="PLN03"),H642,"")</f>
        <v/>
      </c>
      <c r="AA642" s="42" t="str">
        <f>IF(AND(C642=Master!$H$2,B642="2012-2013",E642&gt;1000,G642="PLN03"),H642,"")</f>
        <v/>
      </c>
      <c r="AB642" s="42" t="str">
        <f>IF(AND(C642=Master!$H$2,B642="2012-2013",E642="",G642="PLN03"),H642,"")</f>
        <v/>
      </c>
      <c r="AC642" s="42" t="str">
        <f>IF(AND(C642=Master!$H$3,B642="2012-2013",E642&gt;1000,G642="PLN03"),H642,"")</f>
        <v/>
      </c>
      <c r="AD642" s="42" t="str">
        <f>IF(AND(C642=Master!$H$3,B642="2012-2013",E642="",G642="PLN03"),H642,"")</f>
        <v/>
      </c>
      <c r="AE642" s="42" t="str">
        <f>IF(AND(C642=Master!$H$4,B642="2012-2013",E642&gt;1000,G642="PLN03"),H642,"")</f>
        <v/>
      </c>
      <c r="AF642" s="42" t="str">
        <f>IF(AND(C642=Master!$H$4,B642="2012-2013",E642="",G642="PLN03"),H642,"")</f>
        <v/>
      </c>
      <c r="AG642" s="42" t="str">
        <f>IF(AND(C642=Master!$H$5,B642="2012-2013",E642&gt;1000,G642="PLN03"),H642,"")</f>
        <v/>
      </c>
      <c r="AH642" s="42" t="str">
        <f>IF(AND(C642=Master!$H$5,B642="2012-2013",E642="",G642="PLN03"),H642,"")</f>
        <v/>
      </c>
      <c r="AI642" s="42" t="str">
        <f>IF(AND(C642=Master!$H$6,B642="2012-2013",E642&gt;1000,G642="PLN03"),H642,"")</f>
        <v/>
      </c>
      <c r="AJ642" s="42" t="str">
        <f>IF(AND(C642=Master!$H$6,B642="2012-2013",E642="",G642="PLN03"),H642,"")</f>
        <v/>
      </c>
      <c r="AK642" s="42" t="str">
        <f>IF(AND(C642=Master!$H$7,B642="2012-2013",E642&gt;1000,G642="PLN03"),H642,"")</f>
        <v/>
      </c>
      <c r="AL642" s="42" t="str">
        <f>IF(AND(C642=Master!$H$7,B642="2012-2013",E642="",G642="PLN03"),H642,"")</f>
        <v/>
      </c>
      <c r="AM642" s="42" t="str">
        <f>IF(AND(C642=Master!$H$8,B642="2012-2013",E642&gt;1000,G642="PLN03"),H642,"")</f>
        <v/>
      </c>
      <c r="AN642" s="42" t="str">
        <f>IF(AND(C642=Master!$H$8,B642="2012-2013",E642="",G642="PLN03"),H642,"")</f>
        <v/>
      </c>
      <c r="AO642" s="42" t="str">
        <f>IF(AND(C642=Master!$H$9,B642="2012-2013",E642&gt;1000,G642="PLN03"),H642,"")</f>
        <v/>
      </c>
      <c r="AP642" s="42" t="str">
        <f>IF(AND(C642=Master!$H$9,B642="2012-2013",E642="",G642="PLN03"),H642,"")</f>
        <v/>
      </c>
      <c r="AQ642" s="44" t="str">
        <f>IF(AND(C642=Master!$H$1,B642="2012-2013",E642&gt;1000,G642="NPN05"),H642,"")</f>
        <v/>
      </c>
      <c r="AR642" s="44" t="str">
        <f>IF(AND(C642=Master!$H$1,B642="2012-2013",E642="",G642="NPN05"),H642,"")</f>
        <v/>
      </c>
      <c r="AS642" s="44" t="str">
        <f>IF(AND(C642=Master!$H$2,B642="2012-2013",E642&gt;1000,G642="NPN05"),H642,"")</f>
        <v/>
      </c>
      <c r="AT642" s="44" t="str">
        <f>IF(AND(C642=Master!$H$2,B642="2012-2013",E642="",G642="NPN05"),H642,"")</f>
        <v/>
      </c>
      <c r="AU642" s="44" t="str">
        <f>IF(AND(C642=Master!$H$3,B642="2012-2013",E642&gt;1000,G642="NPN05"),H642,"")</f>
        <v/>
      </c>
      <c r="AV642" s="44" t="str">
        <f>IF(AND(C642=Master!$H$3,B642="2012-2013",E642="",G642="NPN05"),H642,"")</f>
        <v/>
      </c>
      <c r="AW642" s="44" t="str">
        <f>IF(AND(C642=Master!$H$4,B642="2012-2013",E642&gt;1000,G642="NPN05"),H642,"")</f>
        <v/>
      </c>
      <c r="AX642" s="44" t="str">
        <f>IF(AND(C642=Master!$H$4,B642="2012-2013",E642="",G642="NPN05"),H642,"")</f>
        <v/>
      </c>
      <c r="AY642" s="44" t="str">
        <f>IF(AND(C642=Master!$H$5,B642="2012-2013",E642&gt;1000,G642="NPN05"),H642,"")</f>
        <v/>
      </c>
      <c r="AZ642" s="44" t="str">
        <f>IF(AND(C642=Master!$H$5,B642="2012-2013",E642="",G642="NPN05"),H642,"")</f>
        <v/>
      </c>
      <c r="BA642" s="44" t="str">
        <f>IF(AND(C642=Master!$H$6,B642="2012-2013",E642&gt;1000,G642="NPN05"),H642,"")</f>
        <v/>
      </c>
      <c r="BB642" s="44" t="str">
        <f>IF(AND(C642=Master!$H$6,B642="2012-2013",E642="",G642="NPN05"),H642,"")</f>
        <v/>
      </c>
      <c r="BC642" s="44" t="str">
        <f>IF(AND(C642=Master!$H$7,B642="2012-2013",E642&gt;1000,G642="NPN05"),H642,"")</f>
        <v/>
      </c>
      <c r="BD642" s="44" t="str">
        <f>IF(AND(C642=Master!$H$7,B642="2012-2013",E642="",G642="NPN05"),H642,"")</f>
        <v/>
      </c>
      <c r="BE642" s="44" t="str">
        <f>IF(AND(C642=Master!$H$8,B642="2012-2013",E642&gt;1000,G642="NPN05"),H642,"")</f>
        <v/>
      </c>
      <c r="BF642" s="44" t="str">
        <f>IF(AND(C642=Master!$H$8,B642="2012-2013",E642="",G642="NPN05"),H642,"")</f>
        <v/>
      </c>
      <c r="BG642" s="44" t="str">
        <f>IF(AND(C642=Master!$H$9,B642="2012-2013",E642&gt;1000,G642="NPN05"),H642,"")</f>
        <v/>
      </c>
      <c r="BH642" s="44" t="str">
        <f>IF(AND(C642=Master!$H$9,B642="2012-2013",E642="",G642="NPN05"),H642,"")</f>
        <v/>
      </c>
    </row>
    <row r="643" spans="1:60" x14ac:dyDescent="0.25">
      <c r="A643" s="5">
        <v>641</v>
      </c>
      <c r="B643" s="12"/>
      <c r="C643" s="12"/>
      <c r="D643" s="31"/>
      <c r="E643" s="4"/>
      <c r="F643" s="13"/>
      <c r="G643" s="21"/>
      <c r="H643" s="35"/>
      <c r="I643" s="21"/>
      <c r="J643" s="25" t="str">
        <f>IF(NOT(I643=""),INDEX(Master!$B$1:$B$46,MATCH(I643,Master!$A$1:$A$46,0)),"")</f>
        <v/>
      </c>
      <c r="K643" s="18"/>
      <c r="L643" s="86"/>
      <c r="M643" s="13"/>
      <c r="N643" s="13"/>
      <c r="O643" s="18"/>
      <c r="P643" s="35"/>
      <c r="Q643" s="21"/>
      <c r="R643" s="21"/>
      <c r="S643" s="13"/>
      <c r="T643" s="12"/>
      <c r="U643" s="12"/>
      <c r="V643" s="12"/>
      <c r="W643" s="14"/>
      <c r="Y643" s="42" t="str">
        <f>IF(AND(C643=Master!$H$1,B643="2012-2013",E643&gt;1000,G643="PLN03"),H643,"")</f>
        <v/>
      </c>
      <c r="Z643" s="42" t="str">
        <f>IF(AND(C643=Master!$H$1,B643="2012-2013",E643="",G643="PLN03"),H643,"")</f>
        <v/>
      </c>
      <c r="AA643" s="42" t="str">
        <f>IF(AND(C643=Master!$H$2,B643="2012-2013",E643&gt;1000,G643="PLN03"),H643,"")</f>
        <v/>
      </c>
      <c r="AB643" s="42" t="str">
        <f>IF(AND(C643=Master!$H$2,B643="2012-2013",E643="",G643="PLN03"),H643,"")</f>
        <v/>
      </c>
      <c r="AC643" s="42" t="str">
        <f>IF(AND(C643=Master!$H$3,B643="2012-2013",E643&gt;1000,G643="PLN03"),H643,"")</f>
        <v/>
      </c>
      <c r="AD643" s="42" t="str">
        <f>IF(AND(C643=Master!$H$3,B643="2012-2013",E643="",G643="PLN03"),H643,"")</f>
        <v/>
      </c>
      <c r="AE643" s="42" t="str">
        <f>IF(AND(C643=Master!$H$4,B643="2012-2013",E643&gt;1000,G643="PLN03"),H643,"")</f>
        <v/>
      </c>
      <c r="AF643" s="42" t="str">
        <f>IF(AND(C643=Master!$H$4,B643="2012-2013",E643="",G643="PLN03"),H643,"")</f>
        <v/>
      </c>
      <c r="AG643" s="42" t="str">
        <f>IF(AND(C643=Master!$H$5,B643="2012-2013",E643&gt;1000,G643="PLN03"),H643,"")</f>
        <v/>
      </c>
      <c r="AH643" s="42" t="str">
        <f>IF(AND(C643=Master!$H$5,B643="2012-2013",E643="",G643="PLN03"),H643,"")</f>
        <v/>
      </c>
      <c r="AI643" s="42" t="str">
        <f>IF(AND(C643=Master!$H$6,B643="2012-2013",E643&gt;1000,G643="PLN03"),H643,"")</f>
        <v/>
      </c>
      <c r="AJ643" s="42" t="str">
        <f>IF(AND(C643=Master!$H$6,B643="2012-2013",E643="",G643="PLN03"),H643,"")</f>
        <v/>
      </c>
      <c r="AK643" s="42" t="str">
        <f>IF(AND(C643=Master!$H$7,B643="2012-2013",E643&gt;1000,G643="PLN03"),H643,"")</f>
        <v/>
      </c>
      <c r="AL643" s="42" t="str">
        <f>IF(AND(C643=Master!$H$7,B643="2012-2013",E643="",G643="PLN03"),H643,"")</f>
        <v/>
      </c>
      <c r="AM643" s="42" t="str">
        <f>IF(AND(C643=Master!$H$8,B643="2012-2013",E643&gt;1000,G643="PLN03"),H643,"")</f>
        <v/>
      </c>
      <c r="AN643" s="42" t="str">
        <f>IF(AND(C643=Master!$H$8,B643="2012-2013",E643="",G643="PLN03"),H643,"")</f>
        <v/>
      </c>
      <c r="AO643" s="42" t="str">
        <f>IF(AND(C643=Master!$H$9,B643="2012-2013",E643&gt;1000,G643="PLN03"),H643,"")</f>
        <v/>
      </c>
      <c r="AP643" s="42" t="str">
        <f>IF(AND(C643=Master!$H$9,B643="2012-2013",E643="",G643="PLN03"),H643,"")</f>
        <v/>
      </c>
      <c r="AQ643" s="44" t="str">
        <f>IF(AND(C643=Master!$H$1,B643="2012-2013",E643&gt;1000,G643="NPN05"),H643,"")</f>
        <v/>
      </c>
      <c r="AR643" s="44" t="str">
        <f>IF(AND(C643=Master!$H$1,B643="2012-2013",E643="",G643="NPN05"),H643,"")</f>
        <v/>
      </c>
      <c r="AS643" s="44" t="str">
        <f>IF(AND(C643=Master!$H$2,B643="2012-2013",E643&gt;1000,G643="NPN05"),H643,"")</f>
        <v/>
      </c>
      <c r="AT643" s="44" t="str">
        <f>IF(AND(C643=Master!$H$2,B643="2012-2013",E643="",G643="NPN05"),H643,"")</f>
        <v/>
      </c>
      <c r="AU643" s="44" t="str">
        <f>IF(AND(C643=Master!$H$3,B643="2012-2013",E643&gt;1000,G643="NPN05"),H643,"")</f>
        <v/>
      </c>
      <c r="AV643" s="44" t="str">
        <f>IF(AND(C643=Master!$H$3,B643="2012-2013",E643="",G643="NPN05"),H643,"")</f>
        <v/>
      </c>
      <c r="AW643" s="44" t="str">
        <f>IF(AND(C643=Master!$H$4,B643="2012-2013",E643&gt;1000,G643="NPN05"),H643,"")</f>
        <v/>
      </c>
      <c r="AX643" s="44" t="str">
        <f>IF(AND(C643=Master!$H$4,B643="2012-2013",E643="",G643="NPN05"),H643,"")</f>
        <v/>
      </c>
      <c r="AY643" s="44" t="str">
        <f>IF(AND(C643=Master!$H$5,B643="2012-2013",E643&gt;1000,G643="NPN05"),H643,"")</f>
        <v/>
      </c>
      <c r="AZ643" s="44" t="str">
        <f>IF(AND(C643=Master!$H$5,B643="2012-2013",E643="",G643="NPN05"),H643,"")</f>
        <v/>
      </c>
      <c r="BA643" s="44" t="str">
        <f>IF(AND(C643=Master!$H$6,B643="2012-2013",E643&gt;1000,G643="NPN05"),H643,"")</f>
        <v/>
      </c>
      <c r="BB643" s="44" t="str">
        <f>IF(AND(C643=Master!$H$6,B643="2012-2013",E643="",G643="NPN05"),H643,"")</f>
        <v/>
      </c>
      <c r="BC643" s="44" t="str">
        <f>IF(AND(C643=Master!$H$7,B643="2012-2013",E643&gt;1000,G643="NPN05"),H643,"")</f>
        <v/>
      </c>
      <c r="BD643" s="44" t="str">
        <f>IF(AND(C643=Master!$H$7,B643="2012-2013",E643="",G643="NPN05"),H643,"")</f>
        <v/>
      </c>
      <c r="BE643" s="44" t="str">
        <f>IF(AND(C643=Master!$H$8,B643="2012-2013",E643&gt;1000,G643="NPN05"),H643,"")</f>
        <v/>
      </c>
      <c r="BF643" s="44" t="str">
        <f>IF(AND(C643=Master!$H$8,B643="2012-2013",E643="",G643="NPN05"),H643,"")</f>
        <v/>
      </c>
      <c r="BG643" s="44" t="str">
        <f>IF(AND(C643=Master!$H$9,B643="2012-2013",E643&gt;1000,G643="NPN05"),H643,"")</f>
        <v/>
      </c>
      <c r="BH643" s="44" t="str">
        <f>IF(AND(C643=Master!$H$9,B643="2012-2013",E643="",G643="NPN05"),H643,"")</f>
        <v/>
      </c>
    </row>
    <row r="644" spans="1:60" x14ac:dyDescent="0.25">
      <c r="A644" s="3">
        <v>642</v>
      </c>
      <c r="B644" s="12"/>
      <c r="C644" s="12"/>
      <c r="D644" s="31"/>
      <c r="E644" s="4"/>
      <c r="F644" s="13"/>
      <c r="G644" s="21"/>
      <c r="H644" s="35"/>
      <c r="I644" s="21"/>
      <c r="J644" s="25" t="str">
        <f>IF(NOT(I644=""),INDEX(Master!$B$1:$B$46,MATCH(I644,Master!$A$1:$A$46,0)),"")</f>
        <v/>
      </c>
      <c r="K644" s="18"/>
      <c r="L644" s="86"/>
      <c r="M644" s="13"/>
      <c r="N644" s="13"/>
      <c r="O644" s="18"/>
      <c r="P644" s="35"/>
      <c r="Q644" s="21"/>
      <c r="R644" s="21"/>
      <c r="S644" s="13"/>
      <c r="T644" s="12"/>
      <c r="U644" s="12"/>
      <c r="V644" s="12"/>
      <c r="W644" s="14"/>
      <c r="Y644" s="42" t="str">
        <f>IF(AND(C644=Master!$H$1,B644="2012-2013",E644&gt;1000,G644="PLN03"),H644,"")</f>
        <v/>
      </c>
      <c r="Z644" s="42" t="str">
        <f>IF(AND(C644=Master!$H$1,B644="2012-2013",E644="",G644="PLN03"),H644,"")</f>
        <v/>
      </c>
      <c r="AA644" s="42" t="str">
        <f>IF(AND(C644=Master!$H$2,B644="2012-2013",E644&gt;1000,G644="PLN03"),H644,"")</f>
        <v/>
      </c>
      <c r="AB644" s="42" t="str">
        <f>IF(AND(C644=Master!$H$2,B644="2012-2013",E644="",G644="PLN03"),H644,"")</f>
        <v/>
      </c>
      <c r="AC644" s="42" t="str">
        <f>IF(AND(C644=Master!$H$3,B644="2012-2013",E644&gt;1000,G644="PLN03"),H644,"")</f>
        <v/>
      </c>
      <c r="AD644" s="42" t="str">
        <f>IF(AND(C644=Master!$H$3,B644="2012-2013",E644="",G644="PLN03"),H644,"")</f>
        <v/>
      </c>
      <c r="AE644" s="42" t="str">
        <f>IF(AND(C644=Master!$H$4,B644="2012-2013",E644&gt;1000,G644="PLN03"),H644,"")</f>
        <v/>
      </c>
      <c r="AF644" s="42" t="str">
        <f>IF(AND(C644=Master!$H$4,B644="2012-2013",E644="",G644="PLN03"),H644,"")</f>
        <v/>
      </c>
      <c r="AG644" s="42" t="str">
        <f>IF(AND(C644=Master!$H$5,B644="2012-2013",E644&gt;1000,G644="PLN03"),H644,"")</f>
        <v/>
      </c>
      <c r="AH644" s="42" t="str">
        <f>IF(AND(C644=Master!$H$5,B644="2012-2013",E644="",G644="PLN03"),H644,"")</f>
        <v/>
      </c>
      <c r="AI644" s="42" t="str">
        <f>IF(AND(C644=Master!$H$6,B644="2012-2013",E644&gt;1000,G644="PLN03"),H644,"")</f>
        <v/>
      </c>
      <c r="AJ644" s="42" t="str">
        <f>IF(AND(C644=Master!$H$6,B644="2012-2013",E644="",G644="PLN03"),H644,"")</f>
        <v/>
      </c>
      <c r="AK644" s="42" t="str">
        <f>IF(AND(C644=Master!$H$7,B644="2012-2013",E644&gt;1000,G644="PLN03"),H644,"")</f>
        <v/>
      </c>
      <c r="AL644" s="42" t="str">
        <f>IF(AND(C644=Master!$H$7,B644="2012-2013",E644="",G644="PLN03"),H644,"")</f>
        <v/>
      </c>
      <c r="AM644" s="42" t="str">
        <f>IF(AND(C644=Master!$H$8,B644="2012-2013",E644&gt;1000,G644="PLN03"),H644,"")</f>
        <v/>
      </c>
      <c r="AN644" s="42" t="str">
        <f>IF(AND(C644=Master!$H$8,B644="2012-2013",E644="",G644="PLN03"),H644,"")</f>
        <v/>
      </c>
      <c r="AO644" s="42" t="str">
        <f>IF(AND(C644=Master!$H$9,B644="2012-2013",E644&gt;1000,G644="PLN03"),H644,"")</f>
        <v/>
      </c>
      <c r="AP644" s="42" t="str">
        <f>IF(AND(C644=Master!$H$9,B644="2012-2013",E644="",G644="PLN03"),H644,"")</f>
        <v/>
      </c>
      <c r="AQ644" s="44" t="str">
        <f>IF(AND(C644=Master!$H$1,B644="2012-2013",E644&gt;1000,G644="NPN05"),H644,"")</f>
        <v/>
      </c>
      <c r="AR644" s="44" t="str">
        <f>IF(AND(C644=Master!$H$1,B644="2012-2013",E644="",G644="NPN05"),H644,"")</f>
        <v/>
      </c>
      <c r="AS644" s="44" t="str">
        <f>IF(AND(C644=Master!$H$2,B644="2012-2013",E644&gt;1000,G644="NPN05"),H644,"")</f>
        <v/>
      </c>
      <c r="AT644" s="44" t="str">
        <f>IF(AND(C644=Master!$H$2,B644="2012-2013",E644="",G644="NPN05"),H644,"")</f>
        <v/>
      </c>
      <c r="AU644" s="44" t="str">
        <f>IF(AND(C644=Master!$H$3,B644="2012-2013",E644&gt;1000,G644="NPN05"),H644,"")</f>
        <v/>
      </c>
      <c r="AV644" s="44" t="str">
        <f>IF(AND(C644=Master!$H$3,B644="2012-2013",E644="",G644="NPN05"),H644,"")</f>
        <v/>
      </c>
      <c r="AW644" s="44" t="str">
        <f>IF(AND(C644=Master!$H$4,B644="2012-2013",E644&gt;1000,G644="NPN05"),H644,"")</f>
        <v/>
      </c>
      <c r="AX644" s="44" t="str">
        <f>IF(AND(C644=Master!$H$4,B644="2012-2013",E644="",G644="NPN05"),H644,"")</f>
        <v/>
      </c>
      <c r="AY644" s="44" t="str">
        <f>IF(AND(C644=Master!$H$5,B644="2012-2013",E644&gt;1000,G644="NPN05"),H644,"")</f>
        <v/>
      </c>
      <c r="AZ644" s="44" t="str">
        <f>IF(AND(C644=Master!$H$5,B644="2012-2013",E644="",G644="NPN05"),H644,"")</f>
        <v/>
      </c>
      <c r="BA644" s="44" t="str">
        <f>IF(AND(C644=Master!$H$6,B644="2012-2013",E644&gt;1000,G644="NPN05"),H644,"")</f>
        <v/>
      </c>
      <c r="BB644" s="44" t="str">
        <f>IF(AND(C644=Master!$H$6,B644="2012-2013",E644="",G644="NPN05"),H644,"")</f>
        <v/>
      </c>
      <c r="BC644" s="44" t="str">
        <f>IF(AND(C644=Master!$H$7,B644="2012-2013",E644&gt;1000,G644="NPN05"),H644,"")</f>
        <v/>
      </c>
      <c r="BD644" s="44" t="str">
        <f>IF(AND(C644=Master!$H$7,B644="2012-2013",E644="",G644="NPN05"),H644,"")</f>
        <v/>
      </c>
      <c r="BE644" s="44" t="str">
        <f>IF(AND(C644=Master!$H$8,B644="2012-2013",E644&gt;1000,G644="NPN05"),H644,"")</f>
        <v/>
      </c>
      <c r="BF644" s="44" t="str">
        <f>IF(AND(C644=Master!$H$8,B644="2012-2013",E644="",G644="NPN05"),H644,"")</f>
        <v/>
      </c>
      <c r="BG644" s="44" t="str">
        <f>IF(AND(C644=Master!$H$9,B644="2012-2013",E644&gt;1000,G644="NPN05"),H644,"")</f>
        <v/>
      </c>
      <c r="BH644" s="44" t="str">
        <f>IF(AND(C644=Master!$H$9,B644="2012-2013",E644="",G644="NPN05"),H644,"")</f>
        <v/>
      </c>
    </row>
    <row r="645" spans="1:60" x14ac:dyDescent="0.25">
      <c r="A645" s="3">
        <v>643</v>
      </c>
      <c r="B645" s="12"/>
      <c r="C645" s="12"/>
      <c r="D645" s="31"/>
      <c r="E645" s="4"/>
      <c r="F645" s="13"/>
      <c r="G645" s="21"/>
      <c r="H645" s="35"/>
      <c r="I645" s="21"/>
      <c r="J645" s="25" t="str">
        <f>IF(NOT(I645=""),INDEX(Master!$B$1:$B$46,MATCH(I645,Master!$A$1:$A$46,0)),"")</f>
        <v/>
      </c>
      <c r="K645" s="18"/>
      <c r="L645" s="86"/>
      <c r="M645" s="13"/>
      <c r="N645" s="13"/>
      <c r="O645" s="18"/>
      <c r="P645" s="35"/>
      <c r="Q645" s="21"/>
      <c r="R645" s="21"/>
      <c r="S645" s="13"/>
      <c r="T645" s="12"/>
      <c r="U645" s="12"/>
      <c r="V645" s="12"/>
      <c r="W645" s="14"/>
      <c r="Y645" s="42" t="str">
        <f>IF(AND(C645=Master!$H$1,B645="2012-2013",E645&gt;1000,G645="PLN03"),H645,"")</f>
        <v/>
      </c>
      <c r="Z645" s="42" t="str">
        <f>IF(AND(C645=Master!$H$1,B645="2012-2013",E645="",G645="PLN03"),H645,"")</f>
        <v/>
      </c>
      <c r="AA645" s="42" t="str">
        <f>IF(AND(C645=Master!$H$2,B645="2012-2013",E645&gt;1000,G645="PLN03"),H645,"")</f>
        <v/>
      </c>
      <c r="AB645" s="42" t="str">
        <f>IF(AND(C645=Master!$H$2,B645="2012-2013",E645="",G645="PLN03"),H645,"")</f>
        <v/>
      </c>
      <c r="AC645" s="42" t="str">
        <f>IF(AND(C645=Master!$H$3,B645="2012-2013",E645&gt;1000,G645="PLN03"),H645,"")</f>
        <v/>
      </c>
      <c r="AD645" s="42" t="str">
        <f>IF(AND(C645=Master!$H$3,B645="2012-2013",E645="",G645="PLN03"),H645,"")</f>
        <v/>
      </c>
      <c r="AE645" s="42" t="str">
        <f>IF(AND(C645=Master!$H$4,B645="2012-2013",E645&gt;1000,G645="PLN03"),H645,"")</f>
        <v/>
      </c>
      <c r="AF645" s="42" t="str">
        <f>IF(AND(C645=Master!$H$4,B645="2012-2013",E645="",G645="PLN03"),H645,"")</f>
        <v/>
      </c>
      <c r="AG645" s="42" t="str">
        <f>IF(AND(C645=Master!$H$5,B645="2012-2013",E645&gt;1000,G645="PLN03"),H645,"")</f>
        <v/>
      </c>
      <c r="AH645" s="42" t="str">
        <f>IF(AND(C645=Master!$H$5,B645="2012-2013",E645="",G645="PLN03"),H645,"")</f>
        <v/>
      </c>
      <c r="AI645" s="42" t="str">
        <f>IF(AND(C645=Master!$H$6,B645="2012-2013",E645&gt;1000,G645="PLN03"),H645,"")</f>
        <v/>
      </c>
      <c r="AJ645" s="42" t="str">
        <f>IF(AND(C645=Master!$H$6,B645="2012-2013",E645="",G645="PLN03"),H645,"")</f>
        <v/>
      </c>
      <c r="AK645" s="42" t="str">
        <f>IF(AND(C645=Master!$H$7,B645="2012-2013",E645&gt;1000,G645="PLN03"),H645,"")</f>
        <v/>
      </c>
      <c r="AL645" s="42" t="str">
        <f>IF(AND(C645=Master!$H$7,B645="2012-2013",E645="",G645="PLN03"),H645,"")</f>
        <v/>
      </c>
      <c r="AM645" s="42" t="str">
        <f>IF(AND(C645=Master!$H$8,B645="2012-2013",E645&gt;1000,G645="PLN03"),H645,"")</f>
        <v/>
      </c>
      <c r="AN645" s="42" t="str">
        <f>IF(AND(C645=Master!$H$8,B645="2012-2013",E645="",G645="PLN03"),H645,"")</f>
        <v/>
      </c>
      <c r="AO645" s="42" t="str">
        <f>IF(AND(C645=Master!$H$9,B645="2012-2013",E645&gt;1000,G645="PLN03"),H645,"")</f>
        <v/>
      </c>
      <c r="AP645" s="42" t="str">
        <f>IF(AND(C645=Master!$H$9,B645="2012-2013",E645="",G645="PLN03"),H645,"")</f>
        <v/>
      </c>
      <c r="AQ645" s="44" t="str">
        <f>IF(AND(C645=Master!$H$1,B645="2012-2013",E645&gt;1000,G645="NPN05"),H645,"")</f>
        <v/>
      </c>
      <c r="AR645" s="44" t="str">
        <f>IF(AND(C645=Master!$H$1,B645="2012-2013",E645="",G645="NPN05"),H645,"")</f>
        <v/>
      </c>
      <c r="AS645" s="44" t="str">
        <f>IF(AND(C645=Master!$H$2,B645="2012-2013",E645&gt;1000,G645="NPN05"),H645,"")</f>
        <v/>
      </c>
      <c r="AT645" s="44" t="str">
        <f>IF(AND(C645=Master!$H$2,B645="2012-2013",E645="",G645="NPN05"),H645,"")</f>
        <v/>
      </c>
      <c r="AU645" s="44" t="str">
        <f>IF(AND(C645=Master!$H$3,B645="2012-2013",E645&gt;1000,G645="NPN05"),H645,"")</f>
        <v/>
      </c>
      <c r="AV645" s="44" t="str">
        <f>IF(AND(C645=Master!$H$3,B645="2012-2013",E645="",G645="NPN05"),H645,"")</f>
        <v/>
      </c>
      <c r="AW645" s="44" t="str">
        <f>IF(AND(C645=Master!$H$4,B645="2012-2013",E645&gt;1000,G645="NPN05"),H645,"")</f>
        <v/>
      </c>
      <c r="AX645" s="44" t="str">
        <f>IF(AND(C645=Master!$H$4,B645="2012-2013",E645="",G645="NPN05"),H645,"")</f>
        <v/>
      </c>
      <c r="AY645" s="44" t="str">
        <f>IF(AND(C645=Master!$H$5,B645="2012-2013",E645&gt;1000,G645="NPN05"),H645,"")</f>
        <v/>
      </c>
      <c r="AZ645" s="44" t="str">
        <f>IF(AND(C645=Master!$H$5,B645="2012-2013",E645="",G645="NPN05"),H645,"")</f>
        <v/>
      </c>
      <c r="BA645" s="44" t="str">
        <f>IF(AND(C645=Master!$H$6,B645="2012-2013",E645&gt;1000,G645="NPN05"),H645,"")</f>
        <v/>
      </c>
      <c r="BB645" s="44" t="str">
        <f>IF(AND(C645=Master!$H$6,B645="2012-2013",E645="",G645="NPN05"),H645,"")</f>
        <v/>
      </c>
      <c r="BC645" s="44" t="str">
        <f>IF(AND(C645=Master!$H$7,B645="2012-2013",E645&gt;1000,G645="NPN05"),H645,"")</f>
        <v/>
      </c>
      <c r="BD645" s="44" t="str">
        <f>IF(AND(C645=Master!$H$7,B645="2012-2013",E645="",G645="NPN05"),H645,"")</f>
        <v/>
      </c>
      <c r="BE645" s="44" t="str">
        <f>IF(AND(C645=Master!$H$8,B645="2012-2013",E645&gt;1000,G645="NPN05"),H645,"")</f>
        <v/>
      </c>
      <c r="BF645" s="44" t="str">
        <f>IF(AND(C645=Master!$H$8,B645="2012-2013",E645="",G645="NPN05"),H645,"")</f>
        <v/>
      </c>
      <c r="BG645" s="44" t="str">
        <f>IF(AND(C645=Master!$H$9,B645="2012-2013",E645&gt;1000,G645="NPN05"),H645,"")</f>
        <v/>
      </c>
      <c r="BH645" s="44" t="str">
        <f>IF(AND(C645=Master!$H$9,B645="2012-2013",E645="",G645="NPN05"),H645,"")</f>
        <v/>
      </c>
    </row>
    <row r="646" spans="1:60" x14ac:dyDescent="0.25">
      <c r="A646" s="3">
        <v>644</v>
      </c>
      <c r="B646" s="12"/>
      <c r="C646" s="12"/>
      <c r="D646" s="31"/>
      <c r="E646" s="4"/>
      <c r="F646" s="13"/>
      <c r="G646" s="21"/>
      <c r="H646" s="35"/>
      <c r="I646" s="21"/>
      <c r="J646" s="25" t="str">
        <f>IF(NOT(I646=""),INDEX(Master!$B$1:$B$46,MATCH(I646,Master!$A$1:$A$46,0)),"")</f>
        <v/>
      </c>
      <c r="K646" s="18"/>
      <c r="L646" s="86"/>
      <c r="M646" s="13"/>
      <c r="N646" s="13"/>
      <c r="O646" s="18"/>
      <c r="P646" s="35"/>
      <c r="Q646" s="21"/>
      <c r="R646" s="21"/>
      <c r="S646" s="13"/>
      <c r="T646" s="12"/>
      <c r="U646" s="12"/>
      <c r="V646" s="12"/>
      <c r="W646" s="14"/>
      <c r="Y646" s="42" t="str">
        <f>IF(AND(C646=Master!$H$1,B646="2012-2013",E646&gt;1000,G646="PLN03"),H646,"")</f>
        <v/>
      </c>
      <c r="Z646" s="42" t="str">
        <f>IF(AND(C646=Master!$H$1,B646="2012-2013",E646="",G646="PLN03"),H646,"")</f>
        <v/>
      </c>
      <c r="AA646" s="42" t="str">
        <f>IF(AND(C646=Master!$H$2,B646="2012-2013",E646&gt;1000,G646="PLN03"),H646,"")</f>
        <v/>
      </c>
      <c r="AB646" s="42" t="str">
        <f>IF(AND(C646=Master!$H$2,B646="2012-2013",E646="",G646="PLN03"),H646,"")</f>
        <v/>
      </c>
      <c r="AC646" s="42" t="str">
        <f>IF(AND(C646=Master!$H$3,B646="2012-2013",E646&gt;1000,G646="PLN03"),H646,"")</f>
        <v/>
      </c>
      <c r="AD646" s="42" t="str">
        <f>IF(AND(C646=Master!$H$3,B646="2012-2013",E646="",G646="PLN03"),H646,"")</f>
        <v/>
      </c>
      <c r="AE646" s="42" t="str">
        <f>IF(AND(C646=Master!$H$4,B646="2012-2013",E646&gt;1000,G646="PLN03"),H646,"")</f>
        <v/>
      </c>
      <c r="AF646" s="42" t="str">
        <f>IF(AND(C646=Master!$H$4,B646="2012-2013",E646="",G646="PLN03"),H646,"")</f>
        <v/>
      </c>
      <c r="AG646" s="42" t="str">
        <f>IF(AND(C646=Master!$H$5,B646="2012-2013",E646&gt;1000,G646="PLN03"),H646,"")</f>
        <v/>
      </c>
      <c r="AH646" s="42" t="str">
        <f>IF(AND(C646=Master!$H$5,B646="2012-2013",E646="",G646="PLN03"),H646,"")</f>
        <v/>
      </c>
      <c r="AI646" s="42" t="str">
        <f>IF(AND(C646=Master!$H$6,B646="2012-2013",E646&gt;1000,G646="PLN03"),H646,"")</f>
        <v/>
      </c>
      <c r="AJ646" s="42" t="str">
        <f>IF(AND(C646=Master!$H$6,B646="2012-2013",E646="",G646="PLN03"),H646,"")</f>
        <v/>
      </c>
      <c r="AK646" s="42" t="str">
        <f>IF(AND(C646=Master!$H$7,B646="2012-2013",E646&gt;1000,G646="PLN03"),H646,"")</f>
        <v/>
      </c>
      <c r="AL646" s="42" t="str">
        <f>IF(AND(C646=Master!$H$7,B646="2012-2013",E646="",G646="PLN03"),H646,"")</f>
        <v/>
      </c>
      <c r="AM646" s="42" t="str">
        <f>IF(AND(C646=Master!$H$8,B646="2012-2013",E646&gt;1000,G646="PLN03"),H646,"")</f>
        <v/>
      </c>
      <c r="AN646" s="42" t="str">
        <f>IF(AND(C646=Master!$H$8,B646="2012-2013",E646="",G646="PLN03"),H646,"")</f>
        <v/>
      </c>
      <c r="AO646" s="42" t="str">
        <f>IF(AND(C646=Master!$H$9,B646="2012-2013",E646&gt;1000,G646="PLN03"),H646,"")</f>
        <v/>
      </c>
      <c r="AP646" s="42" t="str">
        <f>IF(AND(C646=Master!$H$9,B646="2012-2013",E646="",G646="PLN03"),H646,"")</f>
        <v/>
      </c>
      <c r="AQ646" s="44" t="str">
        <f>IF(AND(C646=Master!$H$1,B646="2012-2013",E646&gt;1000,G646="NPN05"),H646,"")</f>
        <v/>
      </c>
      <c r="AR646" s="44" t="str">
        <f>IF(AND(C646=Master!$H$1,B646="2012-2013",E646="",G646="NPN05"),H646,"")</f>
        <v/>
      </c>
      <c r="AS646" s="44" t="str">
        <f>IF(AND(C646=Master!$H$2,B646="2012-2013",E646&gt;1000,G646="NPN05"),H646,"")</f>
        <v/>
      </c>
      <c r="AT646" s="44" t="str">
        <f>IF(AND(C646=Master!$H$2,B646="2012-2013",E646="",G646="NPN05"),H646,"")</f>
        <v/>
      </c>
      <c r="AU646" s="44" t="str">
        <f>IF(AND(C646=Master!$H$3,B646="2012-2013",E646&gt;1000,G646="NPN05"),H646,"")</f>
        <v/>
      </c>
      <c r="AV646" s="44" t="str">
        <f>IF(AND(C646=Master!$H$3,B646="2012-2013",E646="",G646="NPN05"),H646,"")</f>
        <v/>
      </c>
      <c r="AW646" s="44" t="str">
        <f>IF(AND(C646=Master!$H$4,B646="2012-2013",E646&gt;1000,G646="NPN05"),H646,"")</f>
        <v/>
      </c>
      <c r="AX646" s="44" t="str">
        <f>IF(AND(C646=Master!$H$4,B646="2012-2013",E646="",G646="NPN05"),H646,"")</f>
        <v/>
      </c>
      <c r="AY646" s="44" t="str">
        <f>IF(AND(C646=Master!$H$5,B646="2012-2013",E646&gt;1000,G646="NPN05"),H646,"")</f>
        <v/>
      </c>
      <c r="AZ646" s="44" t="str">
        <f>IF(AND(C646=Master!$H$5,B646="2012-2013",E646="",G646="NPN05"),H646,"")</f>
        <v/>
      </c>
      <c r="BA646" s="44" t="str">
        <f>IF(AND(C646=Master!$H$6,B646="2012-2013",E646&gt;1000,G646="NPN05"),H646,"")</f>
        <v/>
      </c>
      <c r="BB646" s="44" t="str">
        <f>IF(AND(C646=Master!$H$6,B646="2012-2013",E646="",G646="NPN05"),H646,"")</f>
        <v/>
      </c>
      <c r="BC646" s="44" t="str">
        <f>IF(AND(C646=Master!$H$7,B646="2012-2013",E646&gt;1000,G646="NPN05"),H646,"")</f>
        <v/>
      </c>
      <c r="BD646" s="44" t="str">
        <f>IF(AND(C646=Master!$H$7,B646="2012-2013",E646="",G646="NPN05"),H646,"")</f>
        <v/>
      </c>
      <c r="BE646" s="44" t="str">
        <f>IF(AND(C646=Master!$H$8,B646="2012-2013",E646&gt;1000,G646="NPN05"),H646,"")</f>
        <v/>
      </c>
      <c r="BF646" s="44" t="str">
        <f>IF(AND(C646=Master!$H$8,B646="2012-2013",E646="",G646="NPN05"),H646,"")</f>
        <v/>
      </c>
      <c r="BG646" s="44" t="str">
        <f>IF(AND(C646=Master!$H$9,B646="2012-2013",E646&gt;1000,G646="NPN05"),H646,"")</f>
        <v/>
      </c>
      <c r="BH646" s="44" t="str">
        <f>IF(AND(C646=Master!$H$9,B646="2012-2013",E646="",G646="NPN05"),H646,"")</f>
        <v/>
      </c>
    </row>
    <row r="647" spans="1:60" x14ac:dyDescent="0.25">
      <c r="A647" s="3">
        <v>645</v>
      </c>
      <c r="B647" s="12"/>
      <c r="C647" s="12"/>
      <c r="D647" s="31"/>
      <c r="E647" s="4"/>
      <c r="F647" s="13"/>
      <c r="G647" s="21"/>
      <c r="H647" s="35"/>
      <c r="I647" s="21"/>
      <c r="J647" s="25" t="str">
        <f>IF(NOT(I647=""),INDEX(Master!$B$1:$B$46,MATCH(I647,Master!$A$1:$A$46,0)),"")</f>
        <v/>
      </c>
      <c r="K647" s="18"/>
      <c r="L647" s="86"/>
      <c r="M647" s="13"/>
      <c r="N647" s="13"/>
      <c r="O647" s="18"/>
      <c r="P647" s="35"/>
      <c r="Q647" s="21"/>
      <c r="R647" s="21"/>
      <c r="S647" s="13"/>
      <c r="T647" s="12"/>
      <c r="U647" s="12"/>
      <c r="V647" s="12"/>
      <c r="W647" s="14"/>
      <c r="Y647" s="42" t="str">
        <f>IF(AND(C647=Master!$H$1,B647="2012-2013",E647&gt;1000,G647="PLN03"),H647,"")</f>
        <v/>
      </c>
      <c r="Z647" s="42" t="str">
        <f>IF(AND(C647=Master!$H$1,B647="2012-2013",E647="",G647="PLN03"),H647,"")</f>
        <v/>
      </c>
      <c r="AA647" s="42" t="str">
        <f>IF(AND(C647=Master!$H$2,B647="2012-2013",E647&gt;1000,G647="PLN03"),H647,"")</f>
        <v/>
      </c>
      <c r="AB647" s="42" t="str">
        <f>IF(AND(C647=Master!$H$2,B647="2012-2013",E647="",G647="PLN03"),H647,"")</f>
        <v/>
      </c>
      <c r="AC647" s="42" t="str">
        <f>IF(AND(C647=Master!$H$3,B647="2012-2013",E647&gt;1000,G647="PLN03"),H647,"")</f>
        <v/>
      </c>
      <c r="AD647" s="42" t="str">
        <f>IF(AND(C647=Master!$H$3,B647="2012-2013",E647="",G647="PLN03"),H647,"")</f>
        <v/>
      </c>
      <c r="AE647" s="42" t="str">
        <f>IF(AND(C647=Master!$H$4,B647="2012-2013",E647&gt;1000,G647="PLN03"),H647,"")</f>
        <v/>
      </c>
      <c r="AF647" s="42" t="str">
        <f>IF(AND(C647=Master!$H$4,B647="2012-2013",E647="",G647="PLN03"),H647,"")</f>
        <v/>
      </c>
      <c r="AG647" s="42" t="str">
        <f>IF(AND(C647=Master!$H$5,B647="2012-2013",E647&gt;1000,G647="PLN03"),H647,"")</f>
        <v/>
      </c>
      <c r="AH647" s="42" t="str">
        <f>IF(AND(C647=Master!$H$5,B647="2012-2013",E647="",G647="PLN03"),H647,"")</f>
        <v/>
      </c>
      <c r="AI647" s="42" t="str">
        <f>IF(AND(C647=Master!$H$6,B647="2012-2013",E647&gt;1000,G647="PLN03"),H647,"")</f>
        <v/>
      </c>
      <c r="AJ647" s="42" t="str">
        <f>IF(AND(C647=Master!$H$6,B647="2012-2013",E647="",G647="PLN03"),H647,"")</f>
        <v/>
      </c>
      <c r="AK647" s="42" t="str">
        <f>IF(AND(C647=Master!$H$7,B647="2012-2013",E647&gt;1000,G647="PLN03"),H647,"")</f>
        <v/>
      </c>
      <c r="AL647" s="42" t="str">
        <f>IF(AND(C647=Master!$H$7,B647="2012-2013",E647="",G647="PLN03"),H647,"")</f>
        <v/>
      </c>
      <c r="AM647" s="42" t="str">
        <f>IF(AND(C647=Master!$H$8,B647="2012-2013",E647&gt;1000,G647="PLN03"),H647,"")</f>
        <v/>
      </c>
      <c r="AN647" s="42" t="str">
        <f>IF(AND(C647=Master!$H$8,B647="2012-2013",E647="",G647="PLN03"),H647,"")</f>
        <v/>
      </c>
      <c r="AO647" s="42" t="str">
        <f>IF(AND(C647=Master!$H$9,B647="2012-2013",E647&gt;1000,G647="PLN03"),H647,"")</f>
        <v/>
      </c>
      <c r="AP647" s="42" t="str">
        <f>IF(AND(C647=Master!$H$9,B647="2012-2013",E647="",G647="PLN03"),H647,"")</f>
        <v/>
      </c>
      <c r="AQ647" s="44" t="str">
        <f>IF(AND(C647=Master!$H$1,B647="2012-2013",E647&gt;1000,G647="NPN05"),H647,"")</f>
        <v/>
      </c>
      <c r="AR647" s="44" t="str">
        <f>IF(AND(C647=Master!$H$1,B647="2012-2013",E647="",G647="NPN05"),H647,"")</f>
        <v/>
      </c>
      <c r="AS647" s="44" t="str">
        <f>IF(AND(C647=Master!$H$2,B647="2012-2013",E647&gt;1000,G647="NPN05"),H647,"")</f>
        <v/>
      </c>
      <c r="AT647" s="44" t="str">
        <f>IF(AND(C647=Master!$H$2,B647="2012-2013",E647="",G647="NPN05"),H647,"")</f>
        <v/>
      </c>
      <c r="AU647" s="44" t="str">
        <f>IF(AND(C647=Master!$H$3,B647="2012-2013",E647&gt;1000,G647="NPN05"),H647,"")</f>
        <v/>
      </c>
      <c r="AV647" s="44" t="str">
        <f>IF(AND(C647=Master!$H$3,B647="2012-2013",E647="",G647="NPN05"),H647,"")</f>
        <v/>
      </c>
      <c r="AW647" s="44" t="str">
        <f>IF(AND(C647=Master!$H$4,B647="2012-2013",E647&gt;1000,G647="NPN05"),H647,"")</f>
        <v/>
      </c>
      <c r="AX647" s="44" t="str">
        <f>IF(AND(C647=Master!$H$4,B647="2012-2013",E647="",G647="NPN05"),H647,"")</f>
        <v/>
      </c>
      <c r="AY647" s="44" t="str">
        <f>IF(AND(C647=Master!$H$5,B647="2012-2013",E647&gt;1000,G647="NPN05"),H647,"")</f>
        <v/>
      </c>
      <c r="AZ647" s="44" t="str">
        <f>IF(AND(C647=Master!$H$5,B647="2012-2013",E647="",G647="NPN05"),H647,"")</f>
        <v/>
      </c>
      <c r="BA647" s="44" t="str">
        <f>IF(AND(C647=Master!$H$6,B647="2012-2013",E647&gt;1000,G647="NPN05"),H647,"")</f>
        <v/>
      </c>
      <c r="BB647" s="44" t="str">
        <f>IF(AND(C647=Master!$H$6,B647="2012-2013",E647="",G647="NPN05"),H647,"")</f>
        <v/>
      </c>
      <c r="BC647" s="44" t="str">
        <f>IF(AND(C647=Master!$H$7,B647="2012-2013",E647&gt;1000,G647="NPN05"),H647,"")</f>
        <v/>
      </c>
      <c r="BD647" s="44" t="str">
        <f>IF(AND(C647=Master!$H$7,B647="2012-2013",E647="",G647="NPN05"),H647,"")</f>
        <v/>
      </c>
      <c r="BE647" s="44" t="str">
        <f>IF(AND(C647=Master!$H$8,B647="2012-2013",E647&gt;1000,G647="NPN05"),H647,"")</f>
        <v/>
      </c>
      <c r="BF647" s="44" t="str">
        <f>IF(AND(C647=Master!$H$8,B647="2012-2013",E647="",G647="NPN05"),H647,"")</f>
        <v/>
      </c>
      <c r="BG647" s="44" t="str">
        <f>IF(AND(C647=Master!$H$9,B647="2012-2013",E647&gt;1000,G647="NPN05"),H647,"")</f>
        <v/>
      </c>
      <c r="BH647" s="44" t="str">
        <f>IF(AND(C647=Master!$H$9,B647="2012-2013",E647="",G647="NPN05"),H647,"")</f>
        <v/>
      </c>
    </row>
    <row r="648" spans="1:60" x14ac:dyDescent="0.25">
      <c r="A648" s="3">
        <v>646</v>
      </c>
      <c r="B648" s="12"/>
      <c r="C648" s="12"/>
      <c r="D648" s="31"/>
      <c r="E648" s="4"/>
      <c r="F648" s="13"/>
      <c r="G648" s="21"/>
      <c r="H648" s="35"/>
      <c r="I648" s="21"/>
      <c r="J648" s="25" t="str">
        <f>IF(NOT(I648=""),INDEX(Master!$B$1:$B$46,MATCH(I648,Master!$A$1:$A$46,0)),"")</f>
        <v/>
      </c>
      <c r="K648" s="18"/>
      <c r="L648" s="86"/>
      <c r="M648" s="13"/>
      <c r="N648" s="13"/>
      <c r="O648" s="18"/>
      <c r="P648" s="35"/>
      <c r="Q648" s="21"/>
      <c r="R648" s="21"/>
      <c r="S648" s="13"/>
      <c r="T648" s="12"/>
      <c r="U648" s="12"/>
      <c r="V648" s="12"/>
      <c r="W648" s="14"/>
      <c r="Y648" s="42" t="str">
        <f>IF(AND(C648=Master!$H$1,B648="2012-2013",E648&gt;1000,G648="PLN03"),H648,"")</f>
        <v/>
      </c>
      <c r="Z648" s="42" t="str">
        <f>IF(AND(C648=Master!$H$1,B648="2012-2013",E648="",G648="PLN03"),H648,"")</f>
        <v/>
      </c>
      <c r="AA648" s="42" t="str">
        <f>IF(AND(C648=Master!$H$2,B648="2012-2013",E648&gt;1000,G648="PLN03"),H648,"")</f>
        <v/>
      </c>
      <c r="AB648" s="42" t="str">
        <f>IF(AND(C648=Master!$H$2,B648="2012-2013",E648="",G648="PLN03"),H648,"")</f>
        <v/>
      </c>
      <c r="AC648" s="42" t="str">
        <f>IF(AND(C648=Master!$H$3,B648="2012-2013",E648&gt;1000,G648="PLN03"),H648,"")</f>
        <v/>
      </c>
      <c r="AD648" s="42" t="str">
        <f>IF(AND(C648=Master!$H$3,B648="2012-2013",E648="",G648="PLN03"),H648,"")</f>
        <v/>
      </c>
      <c r="AE648" s="42" t="str">
        <f>IF(AND(C648=Master!$H$4,B648="2012-2013",E648&gt;1000,G648="PLN03"),H648,"")</f>
        <v/>
      </c>
      <c r="AF648" s="42" t="str">
        <f>IF(AND(C648=Master!$H$4,B648="2012-2013",E648="",G648="PLN03"),H648,"")</f>
        <v/>
      </c>
      <c r="AG648" s="42" t="str">
        <f>IF(AND(C648=Master!$H$5,B648="2012-2013",E648&gt;1000,G648="PLN03"),H648,"")</f>
        <v/>
      </c>
      <c r="AH648" s="42" t="str">
        <f>IF(AND(C648=Master!$H$5,B648="2012-2013",E648="",G648="PLN03"),H648,"")</f>
        <v/>
      </c>
      <c r="AI648" s="42" t="str">
        <f>IF(AND(C648=Master!$H$6,B648="2012-2013",E648&gt;1000,G648="PLN03"),H648,"")</f>
        <v/>
      </c>
      <c r="AJ648" s="42" t="str">
        <f>IF(AND(C648=Master!$H$6,B648="2012-2013",E648="",G648="PLN03"),H648,"")</f>
        <v/>
      </c>
      <c r="AK648" s="42" t="str">
        <f>IF(AND(C648=Master!$H$7,B648="2012-2013",E648&gt;1000,G648="PLN03"),H648,"")</f>
        <v/>
      </c>
      <c r="AL648" s="42" t="str">
        <f>IF(AND(C648=Master!$H$7,B648="2012-2013",E648="",G648="PLN03"),H648,"")</f>
        <v/>
      </c>
      <c r="AM648" s="42" t="str">
        <f>IF(AND(C648=Master!$H$8,B648="2012-2013",E648&gt;1000,G648="PLN03"),H648,"")</f>
        <v/>
      </c>
      <c r="AN648" s="42" t="str">
        <f>IF(AND(C648=Master!$H$8,B648="2012-2013",E648="",G648="PLN03"),H648,"")</f>
        <v/>
      </c>
      <c r="AO648" s="42" t="str">
        <f>IF(AND(C648=Master!$H$9,B648="2012-2013",E648&gt;1000,G648="PLN03"),H648,"")</f>
        <v/>
      </c>
      <c r="AP648" s="42" t="str">
        <f>IF(AND(C648=Master!$H$9,B648="2012-2013",E648="",G648="PLN03"),H648,"")</f>
        <v/>
      </c>
      <c r="AQ648" s="44" t="str">
        <f>IF(AND(C648=Master!$H$1,B648="2012-2013",E648&gt;1000,G648="NPN05"),H648,"")</f>
        <v/>
      </c>
      <c r="AR648" s="44" t="str">
        <f>IF(AND(C648=Master!$H$1,B648="2012-2013",E648="",G648="NPN05"),H648,"")</f>
        <v/>
      </c>
      <c r="AS648" s="44" t="str">
        <f>IF(AND(C648=Master!$H$2,B648="2012-2013",E648&gt;1000,G648="NPN05"),H648,"")</f>
        <v/>
      </c>
      <c r="AT648" s="44" t="str">
        <f>IF(AND(C648=Master!$H$2,B648="2012-2013",E648="",G648="NPN05"),H648,"")</f>
        <v/>
      </c>
      <c r="AU648" s="44" t="str">
        <f>IF(AND(C648=Master!$H$3,B648="2012-2013",E648&gt;1000,G648="NPN05"),H648,"")</f>
        <v/>
      </c>
      <c r="AV648" s="44" t="str">
        <f>IF(AND(C648=Master!$H$3,B648="2012-2013",E648="",G648="NPN05"),H648,"")</f>
        <v/>
      </c>
      <c r="AW648" s="44" t="str">
        <f>IF(AND(C648=Master!$H$4,B648="2012-2013",E648&gt;1000,G648="NPN05"),H648,"")</f>
        <v/>
      </c>
      <c r="AX648" s="44" t="str">
        <f>IF(AND(C648=Master!$H$4,B648="2012-2013",E648="",G648="NPN05"),H648,"")</f>
        <v/>
      </c>
      <c r="AY648" s="44" t="str">
        <f>IF(AND(C648=Master!$H$5,B648="2012-2013",E648&gt;1000,G648="NPN05"),H648,"")</f>
        <v/>
      </c>
      <c r="AZ648" s="44" t="str">
        <f>IF(AND(C648=Master!$H$5,B648="2012-2013",E648="",G648="NPN05"),H648,"")</f>
        <v/>
      </c>
      <c r="BA648" s="44" t="str">
        <f>IF(AND(C648=Master!$H$6,B648="2012-2013",E648&gt;1000,G648="NPN05"),H648,"")</f>
        <v/>
      </c>
      <c r="BB648" s="44" t="str">
        <f>IF(AND(C648=Master!$H$6,B648="2012-2013",E648="",G648="NPN05"),H648,"")</f>
        <v/>
      </c>
      <c r="BC648" s="44" t="str">
        <f>IF(AND(C648=Master!$H$7,B648="2012-2013",E648&gt;1000,G648="NPN05"),H648,"")</f>
        <v/>
      </c>
      <c r="BD648" s="44" t="str">
        <f>IF(AND(C648=Master!$H$7,B648="2012-2013",E648="",G648="NPN05"),H648,"")</f>
        <v/>
      </c>
      <c r="BE648" s="44" t="str">
        <f>IF(AND(C648=Master!$H$8,B648="2012-2013",E648&gt;1000,G648="NPN05"),H648,"")</f>
        <v/>
      </c>
      <c r="BF648" s="44" t="str">
        <f>IF(AND(C648=Master!$H$8,B648="2012-2013",E648="",G648="NPN05"),H648,"")</f>
        <v/>
      </c>
      <c r="BG648" s="44" t="str">
        <f>IF(AND(C648=Master!$H$9,B648="2012-2013",E648&gt;1000,G648="NPN05"),H648,"")</f>
        <v/>
      </c>
      <c r="BH648" s="44" t="str">
        <f>IF(AND(C648=Master!$H$9,B648="2012-2013",E648="",G648="NPN05"),H648,"")</f>
        <v/>
      </c>
    </row>
    <row r="649" spans="1:60" x14ac:dyDescent="0.25">
      <c r="A649" s="3">
        <v>647</v>
      </c>
      <c r="B649" s="12"/>
      <c r="C649" s="12"/>
      <c r="D649" s="31"/>
      <c r="E649" s="4"/>
      <c r="F649" s="13"/>
      <c r="G649" s="21"/>
      <c r="H649" s="35"/>
      <c r="I649" s="21"/>
      <c r="J649" s="25" t="str">
        <f>IF(NOT(I649=""),INDEX(Master!$B$1:$B$46,MATCH(I649,Master!$A$1:$A$46,0)),"")</f>
        <v/>
      </c>
      <c r="K649" s="18"/>
      <c r="L649" s="86"/>
      <c r="M649" s="13"/>
      <c r="N649" s="13"/>
      <c r="O649" s="18"/>
      <c r="P649" s="35"/>
      <c r="Q649" s="21"/>
      <c r="R649" s="21"/>
      <c r="S649" s="13"/>
      <c r="T649" s="12"/>
      <c r="U649" s="12"/>
      <c r="V649" s="12"/>
      <c r="W649" s="14"/>
      <c r="Y649" s="42" t="str">
        <f>IF(AND(C649=Master!$H$1,B649="2012-2013",E649&gt;1000,G649="PLN03"),H649,"")</f>
        <v/>
      </c>
      <c r="Z649" s="42" t="str">
        <f>IF(AND(C649=Master!$H$1,B649="2012-2013",E649="",G649="PLN03"),H649,"")</f>
        <v/>
      </c>
      <c r="AA649" s="42" t="str">
        <f>IF(AND(C649=Master!$H$2,B649="2012-2013",E649&gt;1000,G649="PLN03"),H649,"")</f>
        <v/>
      </c>
      <c r="AB649" s="42" t="str">
        <f>IF(AND(C649=Master!$H$2,B649="2012-2013",E649="",G649="PLN03"),H649,"")</f>
        <v/>
      </c>
      <c r="AC649" s="42" t="str">
        <f>IF(AND(C649=Master!$H$3,B649="2012-2013",E649&gt;1000,G649="PLN03"),H649,"")</f>
        <v/>
      </c>
      <c r="AD649" s="42" t="str">
        <f>IF(AND(C649=Master!$H$3,B649="2012-2013",E649="",G649="PLN03"),H649,"")</f>
        <v/>
      </c>
      <c r="AE649" s="42" t="str">
        <f>IF(AND(C649=Master!$H$4,B649="2012-2013",E649&gt;1000,G649="PLN03"),H649,"")</f>
        <v/>
      </c>
      <c r="AF649" s="42" t="str">
        <f>IF(AND(C649=Master!$H$4,B649="2012-2013",E649="",G649="PLN03"),H649,"")</f>
        <v/>
      </c>
      <c r="AG649" s="42" t="str">
        <f>IF(AND(C649=Master!$H$5,B649="2012-2013",E649&gt;1000,G649="PLN03"),H649,"")</f>
        <v/>
      </c>
      <c r="AH649" s="42" t="str">
        <f>IF(AND(C649=Master!$H$5,B649="2012-2013",E649="",G649="PLN03"),H649,"")</f>
        <v/>
      </c>
      <c r="AI649" s="42" t="str">
        <f>IF(AND(C649=Master!$H$6,B649="2012-2013",E649&gt;1000,G649="PLN03"),H649,"")</f>
        <v/>
      </c>
      <c r="AJ649" s="42" t="str">
        <f>IF(AND(C649=Master!$H$6,B649="2012-2013",E649="",G649="PLN03"),H649,"")</f>
        <v/>
      </c>
      <c r="AK649" s="42" t="str">
        <f>IF(AND(C649=Master!$H$7,B649="2012-2013",E649&gt;1000,G649="PLN03"),H649,"")</f>
        <v/>
      </c>
      <c r="AL649" s="42" t="str">
        <f>IF(AND(C649=Master!$H$7,B649="2012-2013",E649="",G649="PLN03"),H649,"")</f>
        <v/>
      </c>
      <c r="AM649" s="42" t="str">
        <f>IF(AND(C649=Master!$H$8,B649="2012-2013",E649&gt;1000,G649="PLN03"),H649,"")</f>
        <v/>
      </c>
      <c r="AN649" s="42" t="str">
        <f>IF(AND(C649=Master!$H$8,B649="2012-2013",E649="",G649="PLN03"),H649,"")</f>
        <v/>
      </c>
      <c r="AO649" s="42" t="str">
        <f>IF(AND(C649=Master!$H$9,B649="2012-2013",E649&gt;1000,G649="PLN03"),H649,"")</f>
        <v/>
      </c>
      <c r="AP649" s="42" t="str">
        <f>IF(AND(C649=Master!$H$9,B649="2012-2013",E649="",G649="PLN03"),H649,"")</f>
        <v/>
      </c>
      <c r="AQ649" s="44" t="str">
        <f>IF(AND(C649=Master!$H$1,B649="2012-2013",E649&gt;1000,G649="NPN05"),H649,"")</f>
        <v/>
      </c>
      <c r="AR649" s="44" t="str">
        <f>IF(AND(C649=Master!$H$1,B649="2012-2013",E649="",G649="NPN05"),H649,"")</f>
        <v/>
      </c>
      <c r="AS649" s="44" t="str">
        <f>IF(AND(C649=Master!$H$2,B649="2012-2013",E649&gt;1000,G649="NPN05"),H649,"")</f>
        <v/>
      </c>
      <c r="AT649" s="44" t="str">
        <f>IF(AND(C649=Master!$H$2,B649="2012-2013",E649="",G649="NPN05"),H649,"")</f>
        <v/>
      </c>
      <c r="AU649" s="44" t="str">
        <f>IF(AND(C649=Master!$H$3,B649="2012-2013",E649&gt;1000,G649="NPN05"),H649,"")</f>
        <v/>
      </c>
      <c r="AV649" s="44" t="str">
        <f>IF(AND(C649=Master!$H$3,B649="2012-2013",E649="",G649="NPN05"),H649,"")</f>
        <v/>
      </c>
      <c r="AW649" s="44" t="str">
        <f>IF(AND(C649=Master!$H$4,B649="2012-2013",E649&gt;1000,G649="NPN05"),H649,"")</f>
        <v/>
      </c>
      <c r="AX649" s="44" t="str">
        <f>IF(AND(C649=Master!$H$4,B649="2012-2013",E649="",G649="NPN05"),H649,"")</f>
        <v/>
      </c>
      <c r="AY649" s="44" t="str">
        <f>IF(AND(C649=Master!$H$5,B649="2012-2013",E649&gt;1000,G649="NPN05"),H649,"")</f>
        <v/>
      </c>
      <c r="AZ649" s="44" t="str">
        <f>IF(AND(C649=Master!$H$5,B649="2012-2013",E649="",G649="NPN05"),H649,"")</f>
        <v/>
      </c>
      <c r="BA649" s="44" t="str">
        <f>IF(AND(C649=Master!$H$6,B649="2012-2013",E649&gt;1000,G649="NPN05"),H649,"")</f>
        <v/>
      </c>
      <c r="BB649" s="44" t="str">
        <f>IF(AND(C649=Master!$H$6,B649="2012-2013",E649="",G649="NPN05"),H649,"")</f>
        <v/>
      </c>
      <c r="BC649" s="44" t="str">
        <f>IF(AND(C649=Master!$H$7,B649="2012-2013",E649&gt;1000,G649="NPN05"),H649,"")</f>
        <v/>
      </c>
      <c r="BD649" s="44" t="str">
        <f>IF(AND(C649=Master!$H$7,B649="2012-2013",E649="",G649="NPN05"),H649,"")</f>
        <v/>
      </c>
      <c r="BE649" s="44" t="str">
        <f>IF(AND(C649=Master!$H$8,B649="2012-2013",E649&gt;1000,G649="NPN05"),H649,"")</f>
        <v/>
      </c>
      <c r="BF649" s="44" t="str">
        <f>IF(AND(C649=Master!$H$8,B649="2012-2013",E649="",G649="NPN05"),H649,"")</f>
        <v/>
      </c>
      <c r="BG649" s="44" t="str">
        <f>IF(AND(C649=Master!$H$9,B649="2012-2013",E649&gt;1000,G649="NPN05"),H649,"")</f>
        <v/>
      </c>
      <c r="BH649" s="44" t="str">
        <f>IF(AND(C649=Master!$H$9,B649="2012-2013",E649="",G649="NPN05"),H649,"")</f>
        <v/>
      </c>
    </row>
    <row r="650" spans="1:60" x14ac:dyDescent="0.25">
      <c r="A650" s="3">
        <v>648</v>
      </c>
      <c r="B650" s="12"/>
      <c r="C650" s="12"/>
      <c r="D650" s="31"/>
      <c r="E650" s="4"/>
      <c r="F650" s="13"/>
      <c r="G650" s="21"/>
      <c r="H650" s="35"/>
      <c r="I650" s="21"/>
      <c r="J650" s="25" t="str">
        <f>IF(NOT(I650=""),INDEX(Master!$B$1:$B$46,MATCH(I650,Master!$A$1:$A$46,0)),"")</f>
        <v/>
      </c>
      <c r="K650" s="18"/>
      <c r="L650" s="86"/>
      <c r="M650" s="13"/>
      <c r="N650" s="13"/>
      <c r="O650" s="18"/>
      <c r="P650" s="35"/>
      <c r="Q650" s="21"/>
      <c r="R650" s="21"/>
      <c r="S650" s="13"/>
      <c r="T650" s="12"/>
      <c r="U650" s="12"/>
      <c r="V650" s="12"/>
      <c r="W650" s="14"/>
      <c r="Y650" s="42" t="str">
        <f>IF(AND(C650=Master!$H$1,B650="2012-2013",E650&gt;1000,G650="PLN03"),H650,"")</f>
        <v/>
      </c>
      <c r="Z650" s="42" t="str">
        <f>IF(AND(C650=Master!$H$1,B650="2012-2013",E650="",G650="PLN03"),H650,"")</f>
        <v/>
      </c>
      <c r="AA650" s="42" t="str">
        <f>IF(AND(C650=Master!$H$2,B650="2012-2013",E650&gt;1000,G650="PLN03"),H650,"")</f>
        <v/>
      </c>
      <c r="AB650" s="42" t="str">
        <f>IF(AND(C650=Master!$H$2,B650="2012-2013",E650="",G650="PLN03"),H650,"")</f>
        <v/>
      </c>
      <c r="AC650" s="42" t="str">
        <f>IF(AND(C650=Master!$H$3,B650="2012-2013",E650&gt;1000,G650="PLN03"),H650,"")</f>
        <v/>
      </c>
      <c r="AD650" s="42" t="str">
        <f>IF(AND(C650=Master!$H$3,B650="2012-2013",E650="",G650="PLN03"),H650,"")</f>
        <v/>
      </c>
      <c r="AE650" s="42" t="str">
        <f>IF(AND(C650=Master!$H$4,B650="2012-2013",E650&gt;1000,G650="PLN03"),H650,"")</f>
        <v/>
      </c>
      <c r="AF650" s="42" t="str">
        <f>IF(AND(C650=Master!$H$4,B650="2012-2013",E650="",G650="PLN03"),H650,"")</f>
        <v/>
      </c>
      <c r="AG650" s="42" t="str">
        <f>IF(AND(C650=Master!$H$5,B650="2012-2013",E650&gt;1000,G650="PLN03"),H650,"")</f>
        <v/>
      </c>
      <c r="AH650" s="42" t="str">
        <f>IF(AND(C650=Master!$H$5,B650="2012-2013",E650="",G650="PLN03"),H650,"")</f>
        <v/>
      </c>
      <c r="AI650" s="42" t="str">
        <f>IF(AND(C650=Master!$H$6,B650="2012-2013",E650&gt;1000,G650="PLN03"),H650,"")</f>
        <v/>
      </c>
      <c r="AJ650" s="42" t="str">
        <f>IF(AND(C650=Master!$H$6,B650="2012-2013",E650="",G650="PLN03"),H650,"")</f>
        <v/>
      </c>
      <c r="AK650" s="42" t="str">
        <f>IF(AND(C650=Master!$H$7,B650="2012-2013",E650&gt;1000,G650="PLN03"),H650,"")</f>
        <v/>
      </c>
      <c r="AL650" s="42" t="str">
        <f>IF(AND(C650=Master!$H$7,B650="2012-2013",E650="",G650="PLN03"),H650,"")</f>
        <v/>
      </c>
      <c r="AM650" s="42" t="str">
        <f>IF(AND(C650=Master!$H$8,B650="2012-2013",E650&gt;1000,G650="PLN03"),H650,"")</f>
        <v/>
      </c>
      <c r="AN650" s="42" t="str">
        <f>IF(AND(C650=Master!$H$8,B650="2012-2013",E650="",G650="PLN03"),H650,"")</f>
        <v/>
      </c>
      <c r="AO650" s="42" t="str">
        <f>IF(AND(C650=Master!$H$9,B650="2012-2013",E650&gt;1000,G650="PLN03"),H650,"")</f>
        <v/>
      </c>
      <c r="AP650" s="42" t="str">
        <f>IF(AND(C650=Master!$H$9,B650="2012-2013",E650="",G650="PLN03"),H650,"")</f>
        <v/>
      </c>
      <c r="AQ650" s="44" t="str">
        <f>IF(AND(C650=Master!$H$1,B650="2012-2013",E650&gt;1000,G650="NPN05"),H650,"")</f>
        <v/>
      </c>
      <c r="AR650" s="44" t="str">
        <f>IF(AND(C650=Master!$H$1,B650="2012-2013",E650="",G650="NPN05"),H650,"")</f>
        <v/>
      </c>
      <c r="AS650" s="44" t="str">
        <f>IF(AND(C650=Master!$H$2,B650="2012-2013",E650&gt;1000,G650="NPN05"),H650,"")</f>
        <v/>
      </c>
      <c r="AT650" s="44" t="str">
        <f>IF(AND(C650=Master!$H$2,B650="2012-2013",E650="",G650="NPN05"),H650,"")</f>
        <v/>
      </c>
      <c r="AU650" s="44" t="str">
        <f>IF(AND(C650=Master!$H$3,B650="2012-2013",E650&gt;1000,G650="NPN05"),H650,"")</f>
        <v/>
      </c>
      <c r="AV650" s="44" t="str">
        <f>IF(AND(C650=Master!$H$3,B650="2012-2013",E650="",G650="NPN05"),H650,"")</f>
        <v/>
      </c>
      <c r="AW650" s="44" t="str">
        <f>IF(AND(C650=Master!$H$4,B650="2012-2013",E650&gt;1000,G650="NPN05"),H650,"")</f>
        <v/>
      </c>
      <c r="AX650" s="44" t="str">
        <f>IF(AND(C650=Master!$H$4,B650="2012-2013",E650="",G650="NPN05"),H650,"")</f>
        <v/>
      </c>
      <c r="AY650" s="44" t="str">
        <f>IF(AND(C650=Master!$H$5,B650="2012-2013",E650&gt;1000,G650="NPN05"),H650,"")</f>
        <v/>
      </c>
      <c r="AZ650" s="44" t="str">
        <f>IF(AND(C650=Master!$H$5,B650="2012-2013",E650="",G650="NPN05"),H650,"")</f>
        <v/>
      </c>
      <c r="BA650" s="44" t="str">
        <f>IF(AND(C650=Master!$H$6,B650="2012-2013",E650&gt;1000,G650="NPN05"),H650,"")</f>
        <v/>
      </c>
      <c r="BB650" s="44" t="str">
        <f>IF(AND(C650=Master!$H$6,B650="2012-2013",E650="",G650="NPN05"),H650,"")</f>
        <v/>
      </c>
      <c r="BC650" s="44" t="str">
        <f>IF(AND(C650=Master!$H$7,B650="2012-2013",E650&gt;1000,G650="NPN05"),H650,"")</f>
        <v/>
      </c>
      <c r="BD650" s="44" t="str">
        <f>IF(AND(C650=Master!$H$7,B650="2012-2013",E650="",G650="NPN05"),H650,"")</f>
        <v/>
      </c>
      <c r="BE650" s="44" t="str">
        <f>IF(AND(C650=Master!$H$8,B650="2012-2013",E650&gt;1000,G650="NPN05"),H650,"")</f>
        <v/>
      </c>
      <c r="BF650" s="44" t="str">
        <f>IF(AND(C650=Master!$H$8,B650="2012-2013",E650="",G650="NPN05"),H650,"")</f>
        <v/>
      </c>
      <c r="BG650" s="44" t="str">
        <f>IF(AND(C650=Master!$H$9,B650="2012-2013",E650&gt;1000,G650="NPN05"),H650,"")</f>
        <v/>
      </c>
      <c r="BH650" s="44" t="str">
        <f>IF(AND(C650=Master!$H$9,B650="2012-2013",E650="",G650="NPN05"),H650,"")</f>
        <v/>
      </c>
    </row>
    <row r="651" spans="1:60" x14ac:dyDescent="0.25">
      <c r="A651" s="3">
        <v>649</v>
      </c>
      <c r="B651" s="12"/>
      <c r="C651" s="12"/>
      <c r="D651" s="31"/>
      <c r="E651" s="4"/>
      <c r="F651" s="13"/>
      <c r="G651" s="21"/>
      <c r="H651" s="35"/>
      <c r="I651" s="21"/>
      <c r="J651" s="25" t="str">
        <f>IF(NOT(I651=""),INDEX(Master!$B$1:$B$46,MATCH(I651,Master!$A$1:$A$46,0)),"")</f>
        <v/>
      </c>
      <c r="K651" s="18"/>
      <c r="L651" s="86"/>
      <c r="M651" s="13"/>
      <c r="N651" s="13"/>
      <c r="O651" s="18"/>
      <c r="P651" s="35"/>
      <c r="Q651" s="21"/>
      <c r="R651" s="21"/>
      <c r="S651" s="13"/>
      <c r="T651" s="12"/>
      <c r="U651" s="12"/>
      <c r="V651" s="12"/>
      <c r="W651" s="14"/>
      <c r="Y651" s="42" t="str">
        <f>IF(AND(C651=Master!$H$1,B651="2012-2013",E651&gt;1000,G651="PLN03"),H651,"")</f>
        <v/>
      </c>
      <c r="Z651" s="42" t="str">
        <f>IF(AND(C651=Master!$H$1,B651="2012-2013",E651="",G651="PLN03"),H651,"")</f>
        <v/>
      </c>
      <c r="AA651" s="42" t="str">
        <f>IF(AND(C651=Master!$H$2,B651="2012-2013",E651&gt;1000,G651="PLN03"),H651,"")</f>
        <v/>
      </c>
      <c r="AB651" s="42" t="str">
        <f>IF(AND(C651=Master!$H$2,B651="2012-2013",E651="",G651="PLN03"),H651,"")</f>
        <v/>
      </c>
      <c r="AC651" s="42" t="str">
        <f>IF(AND(C651=Master!$H$3,B651="2012-2013",E651&gt;1000,G651="PLN03"),H651,"")</f>
        <v/>
      </c>
      <c r="AD651" s="42" t="str">
        <f>IF(AND(C651=Master!$H$3,B651="2012-2013",E651="",G651="PLN03"),H651,"")</f>
        <v/>
      </c>
      <c r="AE651" s="42" t="str">
        <f>IF(AND(C651=Master!$H$4,B651="2012-2013",E651&gt;1000,G651="PLN03"),H651,"")</f>
        <v/>
      </c>
      <c r="AF651" s="42" t="str">
        <f>IF(AND(C651=Master!$H$4,B651="2012-2013",E651="",G651="PLN03"),H651,"")</f>
        <v/>
      </c>
      <c r="AG651" s="42" t="str">
        <f>IF(AND(C651=Master!$H$5,B651="2012-2013",E651&gt;1000,G651="PLN03"),H651,"")</f>
        <v/>
      </c>
      <c r="AH651" s="42" t="str">
        <f>IF(AND(C651=Master!$H$5,B651="2012-2013",E651="",G651="PLN03"),H651,"")</f>
        <v/>
      </c>
      <c r="AI651" s="42" t="str">
        <f>IF(AND(C651=Master!$H$6,B651="2012-2013",E651&gt;1000,G651="PLN03"),H651,"")</f>
        <v/>
      </c>
      <c r="AJ651" s="42" t="str">
        <f>IF(AND(C651=Master!$H$6,B651="2012-2013",E651="",G651="PLN03"),H651,"")</f>
        <v/>
      </c>
      <c r="AK651" s="42" t="str">
        <f>IF(AND(C651=Master!$H$7,B651="2012-2013",E651&gt;1000,G651="PLN03"),H651,"")</f>
        <v/>
      </c>
      <c r="AL651" s="42" t="str">
        <f>IF(AND(C651=Master!$H$7,B651="2012-2013",E651="",G651="PLN03"),H651,"")</f>
        <v/>
      </c>
      <c r="AM651" s="42" t="str">
        <f>IF(AND(C651=Master!$H$8,B651="2012-2013",E651&gt;1000,G651="PLN03"),H651,"")</f>
        <v/>
      </c>
      <c r="AN651" s="42" t="str">
        <f>IF(AND(C651=Master!$H$8,B651="2012-2013",E651="",G651="PLN03"),H651,"")</f>
        <v/>
      </c>
      <c r="AO651" s="42" t="str">
        <f>IF(AND(C651=Master!$H$9,B651="2012-2013",E651&gt;1000,G651="PLN03"),H651,"")</f>
        <v/>
      </c>
      <c r="AP651" s="42" t="str">
        <f>IF(AND(C651=Master!$H$9,B651="2012-2013",E651="",G651="PLN03"),H651,"")</f>
        <v/>
      </c>
      <c r="AQ651" s="44" t="str">
        <f>IF(AND(C651=Master!$H$1,B651="2012-2013",E651&gt;1000,G651="NPN05"),H651,"")</f>
        <v/>
      </c>
      <c r="AR651" s="44" t="str">
        <f>IF(AND(C651=Master!$H$1,B651="2012-2013",E651="",G651="NPN05"),H651,"")</f>
        <v/>
      </c>
      <c r="AS651" s="44" t="str">
        <f>IF(AND(C651=Master!$H$2,B651="2012-2013",E651&gt;1000,G651="NPN05"),H651,"")</f>
        <v/>
      </c>
      <c r="AT651" s="44" t="str">
        <f>IF(AND(C651=Master!$H$2,B651="2012-2013",E651="",G651="NPN05"),H651,"")</f>
        <v/>
      </c>
      <c r="AU651" s="44" t="str">
        <f>IF(AND(C651=Master!$H$3,B651="2012-2013",E651&gt;1000,G651="NPN05"),H651,"")</f>
        <v/>
      </c>
      <c r="AV651" s="44" t="str">
        <f>IF(AND(C651=Master!$H$3,B651="2012-2013",E651="",G651="NPN05"),H651,"")</f>
        <v/>
      </c>
      <c r="AW651" s="44" t="str">
        <f>IF(AND(C651=Master!$H$4,B651="2012-2013",E651&gt;1000,G651="NPN05"),H651,"")</f>
        <v/>
      </c>
      <c r="AX651" s="44" t="str">
        <f>IF(AND(C651=Master!$H$4,B651="2012-2013",E651="",G651="NPN05"),H651,"")</f>
        <v/>
      </c>
      <c r="AY651" s="44" t="str">
        <f>IF(AND(C651=Master!$H$5,B651="2012-2013",E651&gt;1000,G651="NPN05"),H651,"")</f>
        <v/>
      </c>
      <c r="AZ651" s="44" t="str">
        <f>IF(AND(C651=Master!$H$5,B651="2012-2013",E651="",G651="NPN05"),H651,"")</f>
        <v/>
      </c>
      <c r="BA651" s="44" t="str">
        <f>IF(AND(C651=Master!$H$6,B651="2012-2013",E651&gt;1000,G651="NPN05"),H651,"")</f>
        <v/>
      </c>
      <c r="BB651" s="44" t="str">
        <f>IF(AND(C651=Master!$H$6,B651="2012-2013",E651="",G651="NPN05"),H651,"")</f>
        <v/>
      </c>
      <c r="BC651" s="44" t="str">
        <f>IF(AND(C651=Master!$H$7,B651="2012-2013",E651&gt;1000,G651="NPN05"),H651,"")</f>
        <v/>
      </c>
      <c r="BD651" s="44" t="str">
        <f>IF(AND(C651=Master!$H$7,B651="2012-2013",E651="",G651="NPN05"),H651,"")</f>
        <v/>
      </c>
      <c r="BE651" s="44" t="str">
        <f>IF(AND(C651=Master!$H$8,B651="2012-2013",E651&gt;1000,G651="NPN05"),H651,"")</f>
        <v/>
      </c>
      <c r="BF651" s="44" t="str">
        <f>IF(AND(C651=Master!$H$8,B651="2012-2013",E651="",G651="NPN05"),H651,"")</f>
        <v/>
      </c>
      <c r="BG651" s="44" t="str">
        <f>IF(AND(C651=Master!$H$9,B651="2012-2013",E651&gt;1000,G651="NPN05"),H651,"")</f>
        <v/>
      </c>
      <c r="BH651" s="44" t="str">
        <f>IF(AND(C651=Master!$H$9,B651="2012-2013",E651="",G651="NPN05"),H651,"")</f>
        <v/>
      </c>
    </row>
    <row r="652" spans="1:60" x14ac:dyDescent="0.25">
      <c r="A652" s="5">
        <v>650</v>
      </c>
      <c r="B652" s="12"/>
      <c r="C652" s="12"/>
      <c r="D652" s="31"/>
      <c r="E652" s="4"/>
      <c r="F652" s="13"/>
      <c r="G652" s="21"/>
      <c r="H652" s="35"/>
      <c r="I652" s="21"/>
      <c r="J652" s="25" t="str">
        <f>IF(NOT(I652=""),INDEX(Master!$B$1:$B$46,MATCH(I652,Master!$A$1:$A$46,0)),"")</f>
        <v/>
      </c>
      <c r="K652" s="18"/>
      <c r="L652" s="86"/>
      <c r="M652" s="13"/>
      <c r="N652" s="13"/>
      <c r="O652" s="18"/>
      <c r="P652" s="35"/>
      <c r="Q652" s="21"/>
      <c r="R652" s="21"/>
      <c r="S652" s="13"/>
      <c r="T652" s="12"/>
      <c r="U652" s="12"/>
      <c r="V652" s="12"/>
      <c r="W652" s="14"/>
      <c r="Y652" s="42" t="str">
        <f>IF(AND(C652=Master!$H$1,B652="2012-2013",E652&gt;1000,G652="PLN03"),H652,"")</f>
        <v/>
      </c>
      <c r="Z652" s="42" t="str">
        <f>IF(AND(C652=Master!$H$1,B652="2012-2013",E652="",G652="PLN03"),H652,"")</f>
        <v/>
      </c>
      <c r="AA652" s="42" t="str">
        <f>IF(AND(C652=Master!$H$2,B652="2012-2013",E652&gt;1000,G652="PLN03"),H652,"")</f>
        <v/>
      </c>
      <c r="AB652" s="42" t="str">
        <f>IF(AND(C652=Master!$H$2,B652="2012-2013",E652="",G652="PLN03"),H652,"")</f>
        <v/>
      </c>
      <c r="AC652" s="42" t="str">
        <f>IF(AND(C652=Master!$H$3,B652="2012-2013",E652&gt;1000,G652="PLN03"),H652,"")</f>
        <v/>
      </c>
      <c r="AD652" s="42" t="str">
        <f>IF(AND(C652=Master!$H$3,B652="2012-2013",E652="",G652="PLN03"),H652,"")</f>
        <v/>
      </c>
      <c r="AE652" s="42" t="str">
        <f>IF(AND(C652=Master!$H$4,B652="2012-2013",E652&gt;1000,G652="PLN03"),H652,"")</f>
        <v/>
      </c>
      <c r="AF652" s="42" t="str">
        <f>IF(AND(C652=Master!$H$4,B652="2012-2013",E652="",G652="PLN03"),H652,"")</f>
        <v/>
      </c>
      <c r="AG652" s="42" t="str">
        <f>IF(AND(C652=Master!$H$5,B652="2012-2013",E652&gt;1000,G652="PLN03"),H652,"")</f>
        <v/>
      </c>
      <c r="AH652" s="42" t="str">
        <f>IF(AND(C652=Master!$H$5,B652="2012-2013",E652="",G652="PLN03"),H652,"")</f>
        <v/>
      </c>
      <c r="AI652" s="42" t="str">
        <f>IF(AND(C652=Master!$H$6,B652="2012-2013",E652&gt;1000,G652="PLN03"),H652,"")</f>
        <v/>
      </c>
      <c r="AJ652" s="42" t="str">
        <f>IF(AND(C652=Master!$H$6,B652="2012-2013",E652="",G652="PLN03"),H652,"")</f>
        <v/>
      </c>
      <c r="AK652" s="42" t="str">
        <f>IF(AND(C652=Master!$H$7,B652="2012-2013",E652&gt;1000,G652="PLN03"),H652,"")</f>
        <v/>
      </c>
      <c r="AL652" s="42" t="str">
        <f>IF(AND(C652=Master!$H$7,B652="2012-2013",E652="",G652="PLN03"),H652,"")</f>
        <v/>
      </c>
      <c r="AM652" s="42" t="str">
        <f>IF(AND(C652=Master!$H$8,B652="2012-2013",E652&gt;1000,G652="PLN03"),H652,"")</f>
        <v/>
      </c>
      <c r="AN652" s="42" t="str">
        <f>IF(AND(C652=Master!$H$8,B652="2012-2013",E652="",G652="PLN03"),H652,"")</f>
        <v/>
      </c>
      <c r="AO652" s="42" t="str">
        <f>IF(AND(C652=Master!$H$9,B652="2012-2013",E652&gt;1000,G652="PLN03"),H652,"")</f>
        <v/>
      </c>
      <c r="AP652" s="42" t="str">
        <f>IF(AND(C652=Master!$H$9,B652="2012-2013",E652="",G652="PLN03"),H652,"")</f>
        <v/>
      </c>
      <c r="AQ652" s="44" t="str">
        <f>IF(AND(C652=Master!$H$1,B652="2012-2013",E652&gt;1000,G652="NPN05"),H652,"")</f>
        <v/>
      </c>
      <c r="AR652" s="44" t="str">
        <f>IF(AND(C652=Master!$H$1,B652="2012-2013",E652="",G652="NPN05"),H652,"")</f>
        <v/>
      </c>
      <c r="AS652" s="44" t="str">
        <f>IF(AND(C652=Master!$H$2,B652="2012-2013",E652&gt;1000,G652="NPN05"),H652,"")</f>
        <v/>
      </c>
      <c r="AT652" s="44" t="str">
        <f>IF(AND(C652=Master!$H$2,B652="2012-2013",E652="",G652="NPN05"),H652,"")</f>
        <v/>
      </c>
      <c r="AU652" s="44" t="str">
        <f>IF(AND(C652=Master!$H$3,B652="2012-2013",E652&gt;1000,G652="NPN05"),H652,"")</f>
        <v/>
      </c>
      <c r="AV652" s="44" t="str">
        <f>IF(AND(C652=Master!$H$3,B652="2012-2013",E652="",G652="NPN05"),H652,"")</f>
        <v/>
      </c>
      <c r="AW652" s="44" t="str">
        <f>IF(AND(C652=Master!$H$4,B652="2012-2013",E652&gt;1000,G652="NPN05"),H652,"")</f>
        <v/>
      </c>
      <c r="AX652" s="44" t="str">
        <f>IF(AND(C652=Master!$H$4,B652="2012-2013",E652="",G652="NPN05"),H652,"")</f>
        <v/>
      </c>
      <c r="AY652" s="44" t="str">
        <f>IF(AND(C652=Master!$H$5,B652="2012-2013",E652&gt;1000,G652="NPN05"),H652,"")</f>
        <v/>
      </c>
      <c r="AZ652" s="44" t="str">
        <f>IF(AND(C652=Master!$H$5,B652="2012-2013",E652="",G652="NPN05"),H652,"")</f>
        <v/>
      </c>
      <c r="BA652" s="44" t="str">
        <f>IF(AND(C652=Master!$H$6,B652="2012-2013",E652&gt;1000,G652="NPN05"),H652,"")</f>
        <v/>
      </c>
      <c r="BB652" s="44" t="str">
        <f>IF(AND(C652=Master!$H$6,B652="2012-2013",E652="",G652="NPN05"),H652,"")</f>
        <v/>
      </c>
      <c r="BC652" s="44" t="str">
        <f>IF(AND(C652=Master!$H$7,B652="2012-2013",E652&gt;1000,G652="NPN05"),H652,"")</f>
        <v/>
      </c>
      <c r="BD652" s="44" t="str">
        <f>IF(AND(C652=Master!$H$7,B652="2012-2013",E652="",G652="NPN05"),H652,"")</f>
        <v/>
      </c>
      <c r="BE652" s="44" t="str">
        <f>IF(AND(C652=Master!$H$8,B652="2012-2013",E652&gt;1000,G652="NPN05"),H652,"")</f>
        <v/>
      </c>
      <c r="BF652" s="44" t="str">
        <f>IF(AND(C652=Master!$H$8,B652="2012-2013",E652="",G652="NPN05"),H652,"")</f>
        <v/>
      </c>
      <c r="BG652" s="44" t="str">
        <f>IF(AND(C652=Master!$H$9,B652="2012-2013",E652&gt;1000,G652="NPN05"),H652,"")</f>
        <v/>
      </c>
      <c r="BH652" s="44" t="str">
        <f>IF(AND(C652=Master!$H$9,B652="2012-2013",E652="",G652="NPN05"),H652,"")</f>
        <v/>
      </c>
    </row>
    <row r="653" spans="1:60" x14ac:dyDescent="0.25">
      <c r="A653" s="3">
        <v>651</v>
      </c>
      <c r="B653" s="12"/>
      <c r="C653" s="12"/>
      <c r="D653" s="31"/>
      <c r="E653" s="4"/>
      <c r="F653" s="13"/>
      <c r="G653" s="21"/>
      <c r="H653" s="35"/>
      <c r="I653" s="21"/>
      <c r="J653" s="25" t="str">
        <f>IF(NOT(I653=""),INDEX(Master!$B$1:$B$46,MATCH(I653,Master!$A$1:$A$46,0)),"")</f>
        <v/>
      </c>
      <c r="K653" s="18"/>
      <c r="L653" s="86"/>
      <c r="M653" s="13"/>
      <c r="N653" s="13"/>
      <c r="O653" s="18"/>
      <c r="P653" s="35"/>
      <c r="Q653" s="21"/>
      <c r="R653" s="21"/>
      <c r="S653" s="13"/>
      <c r="T653" s="12"/>
      <c r="U653" s="12"/>
      <c r="V653" s="12"/>
      <c r="W653" s="14"/>
      <c r="Y653" s="42" t="str">
        <f>IF(AND(C653=Master!$H$1,B653="2012-2013",E653&gt;1000,G653="PLN03"),H653,"")</f>
        <v/>
      </c>
      <c r="Z653" s="42" t="str">
        <f>IF(AND(C653=Master!$H$1,B653="2012-2013",E653="",G653="PLN03"),H653,"")</f>
        <v/>
      </c>
      <c r="AA653" s="42" t="str">
        <f>IF(AND(C653=Master!$H$2,B653="2012-2013",E653&gt;1000,G653="PLN03"),H653,"")</f>
        <v/>
      </c>
      <c r="AB653" s="42" t="str">
        <f>IF(AND(C653=Master!$H$2,B653="2012-2013",E653="",G653="PLN03"),H653,"")</f>
        <v/>
      </c>
      <c r="AC653" s="42" t="str">
        <f>IF(AND(C653=Master!$H$3,B653="2012-2013",E653&gt;1000,G653="PLN03"),H653,"")</f>
        <v/>
      </c>
      <c r="AD653" s="42" t="str">
        <f>IF(AND(C653=Master!$H$3,B653="2012-2013",E653="",G653="PLN03"),H653,"")</f>
        <v/>
      </c>
      <c r="AE653" s="42" t="str">
        <f>IF(AND(C653=Master!$H$4,B653="2012-2013",E653&gt;1000,G653="PLN03"),H653,"")</f>
        <v/>
      </c>
      <c r="AF653" s="42" t="str">
        <f>IF(AND(C653=Master!$H$4,B653="2012-2013",E653="",G653="PLN03"),H653,"")</f>
        <v/>
      </c>
      <c r="AG653" s="42" t="str">
        <f>IF(AND(C653=Master!$H$5,B653="2012-2013",E653&gt;1000,G653="PLN03"),H653,"")</f>
        <v/>
      </c>
      <c r="AH653" s="42" t="str">
        <f>IF(AND(C653=Master!$H$5,B653="2012-2013",E653="",G653="PLN03"),H653,"")</f>
        <v/>
      </c>
      <c r="AI653" s="42" t="str">
        <f>IF(AND(C653=Master!$H$6,B653="2012-2013",E653&gt;1000,G653="PLN03"),H653,"")</f>
        <v/>
      </c>
      <c r="AJ653" s="42" t="str">
        <f>IF(AND(C653=Master!$H$6,B653="2012-2013",E653="",G653="PLN03"),H653,"")</f>
        <v/>
      </c>
      <c r="AK653" s="42" t="str">
        <f>IF(AND(C653=Master!$H$7,B653="2012-2013",E653&gt;1000,G653="PLN03"),H653,"")</f>
        <v/>
      </c>
      <c r="AL653" s="42" t="str">
        <f>IF(AND(C653=Master!$H$7,B653="2012-2013",E653="",G653="PLN03"),H653,"")</f>
        <v/>
      </c>
      <c r="AM653" s="42" t="str">
        <f>IF(AND(C653=Master!$H$8,B653="2012-2013",E653&gt;1000,G653="PLN03"),H653,"")</f>
        <v/>
      </c>
      <c r="AN653" s="42" t="str">
        <f>IF(AND(C653=Master!$H$8,B653="2012-2013",E653="",G653="PLN03"),H653,"")</f>
        <v/>
      </c>
      <c r="AO653" s="42" t="str">
        <f>IF(AND(C653=Master!$H$9,B653="2012-2013",E653&gt;1000,G653="PLN03"),H653,"")</f>
        <v/>
      </c>
      <c r="AP653" s="42" t="str">
        <f>IF(AND(C653=Master!$H$9,B653="2012-2013",E653="",G653="PLN03"),H653,"")</f>
        <v/>
      </c>
      <c r="AQ653" s="44" t="str">
        <f>IF(AND(C653=Master!$H$1,B653="2012-2013",E653&gt;1000,G653="NPN05"),H653,"")</f>
        <v/>
      </c>
      <c r="AR653" s="44" t="str">
        <f>IF(AND(C653=Master!$H$1,B653="2012-2013",E653="",G653="NPN05"),H653,"")</f>
        <v/>
      </c>
      <c r="AS653" s="44" t="str">
        <f>IF(AND(C653=Master!$H$2,B653="2012-2013",E653&gt;1000,G653="NPN05"),H653,"")</f>
        <v/>
      </c>
      <c r="AT653" s="44" t="str">
        <f>IF(AND(C653=Master!$H$2,B653="2012-2013",E653="",G653="NPN05"),H653,"")</f>
        <v/>
      </c>
      <c r="AU653" s="44" t="str">
        <f>IF(AND(C653=Master!$H$3,B653="2012-2013",E653&gt;1000,G653="NPN05"),H653,"")</f>
        <v/>
      </c>
      <c r="AV653" s="44" t="str">
        <f>IF(AND(C653=Master!$H$3,B653="2012-2013",E653="",G653="NPN05"),H653,"")</f>
        <v/>
      </c>
      <c r="AW653" s="44" t="str">
        <f>IF(AND(C653=Master!$H$4,B653="2012-2013",E653&gt;1000,G653="NPN05"),H653,"")</f>
        <v/>
      </c>
      <c r="AX653" s="44" t="str">
        <f>IF(AND(C653=Master!$H$4,B653="2012-2013",E653="",G653="NPN05"),H653,"")</f>
        <v/>
      </c>
      <c r="AY653" s="44" t="str">
        <f>IF(AND(C653=Master!$H$5,B653="2012-2013",E653&gt;1000,G653="NPN05"),H653,"")</f>
        <v/>
      </c>
      <c r="AZ653" s="44" t="str">
        <f>IF(AND(C653=Master!$H$5,B653="2012-2013",E653="",G653="NPN05"),H653,"")</f>
        <v/>
      </c>
      <c r="BA653" s="44" t="str">
        <f>IF(AND(C653=Master!$H$6,B653="2012-2013",E653&gt;1000,G653="NPN05"),H653,"")</f>
        <v/>
      </c>
      <c r="BB653" s="44" t="str">
        <f>IF(AND(C653=Master!$H$6,B653="2012-2013",E653="",G653="NPN05"),H653,"")</f>
        <v/>
      </c>
      <c r="BC653" s="44" t="str">
        <f>IF(AND(C653=Master!$H$7,B653="2012-2013",E653&gt;1000,G653="NPN05"),H653,"")</f>
        <v/>
      </c>
      <c r="BD653" s="44" t="str">
        <f>IF(AND(C653=Master!$H$7,B653="2012-2013",E653="",G653="NPN05"),H653,"")</f>
        <v/>
      </c>
      <c r="BE653" s="44" t="str">
        <f>IF(AND(C653=Master!$H$8,B653="2012-2013",E653&gt;1000,G653="NPN05"),H653,"")</f>
        <v/>
      </c>
      <c r="BF653" s="44" t="str">
        <f>IF(AND(C653=Master!$H$8,B653="2012-2013",E653="",G653="NPN05"),H653,"")</f>
        <v/>
      </c>
      <c r="BG653" s="44" t="str">
        <f>IF(AND(C653=Master!$H$9,B653="2012-2013",E653&gt;1000,G653="NPN05"),H653,"")</f>
        <v/>
      </c>
      <c r="BH653" s="44" t="str">
        <f>IF(AND(C653=Master!$H$9,B653="2012-2013",E653="",G653="NPN05"),H653,"")</f>
        <v/>
      </c>
    </row>
    <row r="654" spans="1:60" x14ac:dyDescent="0.25">
      <c r="A654" s="3">
        <v>652</v>
      </c>
      <c r="B654" s="12"/>
      <c r="C654" s="12"/>
      <c r="D654" s="31"/>
      <c r="E654" s="4"/>
      <c r="F654" s="13"/>
      <c r="G654" s="21"/>
      <c r="H654" s="35"/>
      <c r="I654" s="21"/>
      <c r="J654" s="25" t="str">
        <f>IF(NOT(I654=""),INDEX(Master!$B$1:$B$46,MATCH(I654,Master!$A$1:$A$46,0)),"")</f>
        <v/>
      </c>
      <c r="K654" s="18"/>
      <c r="L654" s="86"/>
      <c r="M654" s="13"/>
      <c r="N654" s="13"/>
      <c r="O654" s="18"/>
      <c r="P654" s="35"/>
      <c r="Q654" s="21"/>
      <c r="R654" s="21"/>
      <c r="S654" s="13"/>
      <c r="T654" s="12"/>
      <c r="U654" s="12"/>
      <c r="V654" s="12"/>
      <c r="W654" s="14"/>
      <c r="Y654" s="42" t="str">
        <f>IF(AND(C654=Master!$H$1,B654="2012-2013",E654&gt;1000,G654="PLN03"),H654,"")</f>
        <v/>
      </c>
      <c r="Z654" s="42" t="str">
        <f>IF(AND(C654=Master!$H$1,B654="2012-2013",E654="",G654="PLN03"),H654,"")</f>
        <v/>
      </c>
      <c r="AA654" s="42" t="str">
        <f>IF(AND(C654=Master!$H$2,B654="2012-2013",E654&gt;1000,G654="PLN03"),H654,"")</f>
        <v/>
      </c>
      <c r="AB654" s="42" t="str">
        <f>IF(AND(C654=Master!$H$2,B654="2012-2013",E654="",G654="PLN03"),H654,"")</f>
        <v/>
      </c>
      <c r="AC654" s="42" t="str">
        <f>IF(AND(C654=Master!$H$3,B654="2012-2013",E654&gt;1000,G654="PLN03"),H654,"")</f>
        <v/>
      </c>
      <c r="AD654" s="42" t="str">
        <f>IF(AND(C654=Master!$H$3,B654="2012-2013",E654="",G654="PLN03"),H654,"")</f>
        <v/>
      </c>
      <c r="AE654" s="42" t="str">
        <f>IF(AND(C654=Master!$H$4,B654="2012-2013",E654&gt;1000,G654="PLN03"),H654,"")</f>
        <v/>
      </c>
      <c r="AF654" s="42" t="str">
        <f>IF(AND(C654=Master!$H$4,B654="2012-2013",E654="",G654="PLN03"),H654,"")</f>
        <v/>
      </c>
      <c r="AG654" s="42" t="str">
        <f>IF(AND(C654=Master!$H$5,B654="2012-2013",E654&gt;1000,G654="PLN03"),H654,"")</f>
        <v/>
      </c>
      <c r="AH654" s="42" t="str">
        <f>IF(AND(C654=Master!$H$5,B654="2012-2013",E654="",G654="PLN03"),H654,"")</f>
        <v/>
      </c>
      <c r="AI654" s="42" t="str">
        <f>IF(AND(C654=Master!$H$6,B654="2012-2013",E654&gt;1000,G654="PLN03"),H654,"")</f>
        <v/>
      </c>
      <c r="AJ654" s="42" t="str">
        <f>IF(AND(C654=Master!$H$6,B654="2012-2013",E654="",G654="PLN03"),H654,"")</f>
        <v/>
      </c>
      <c r="AK654" s="42" t="str">
        <f>IF(AND(C654=Master!$H$7,B654="2012-2013",E654&gt;1000,G654="PLN03"),H654,"")</f>
        <v/>
      </c>
      <c r="AL654" s="42" t="str">
        <f>IF(AND(C654=Master!$H$7,B654="2012-2013",E654="",G654="PLN03"),H654,"")</f>
        <v/>
      </c>
      <c r="AM654" s="42" t="str">
        <f>IF(AND(C654=Master!$H$8,B654="2012-2013",E654&gt;1000,G654="PLN03"),H654,"")</f>
        <v/>
      </c>
      <c r="AN654" s="42" t="str">
        <f>IF(AND(C654=Master!$H$8,B654="2012-2013",E654="",G654="PLN03"),H654,"")</f>
        <v/>
      </c>
      <c r="AO654" s="42" t="str">
        <f>IF(AND(C654=Master!$H$9,B654="2012-2013",E654&gt;1000,G654="PLN03"),H654,"")</f>
        <v/>
      </c>
      <c r="AP654" s="42" t="str">
        <f>IF(AND(C654=Master!$H$9,B654="2012-2013",E654="",G654="PLN03"),H654,"")</f>
        <v/>
      </c>
      <c r="AQ654" s="44" t="str">
        <f>IF(AND(C654=Master!$H$1,B654="2012-2013",E654&gt;1000,G654="NPN05"),H654,"")</f>
        <v/>
      </c>
      <c r="AR654" s="44" t="str">
        <f>IF(AND(C654=Master!$H$1,B654="2012-2013",E654="",G654="NPN05"),H654,"")</f>
        <v/>
      </c>
      <c r="AS654" s="44" t="str">
        <f>IF(AND(C654=Master!$H$2,B654="2012-2013",E654&gt;1000,G654="NPN05"),H654,"")</f>
        <v/>
      </c>
      <c r="AT654" s="44" t="str">
        <f>IF(AND(C654=Master!$H$2,B654="2012-2013",E654="",G654="NPN05"),H654,"")</f>
        <v/>
      </c>
      <c r="AU654" s="44" t="str">
        <f>IF(AND(C654=Master!$H$3,B654="2012-2013",E654&gt;1000,G654="NPN05"),H654,"")</f>
        <v/>
      </c>
      <c r="AV654" s="44" t="str">
        <f>IF(AND(C654=Master!$H$3,B654="2012-2013",E654="",G654="NPN05"),H654,"")</f>
        <v/>
      </c>
      <c r="AW654" s="44" t="str">
        <f>IF(AND(C654=Master!$H$4,B654="2012-2013",E654&gt;1000,G654="NPN05"),H654,"")</f>
        <v/>
      </c>
      <c r="AX654" s="44" t="str">
        <f>IF(AND(C654=Master!$H$4,B654="2012-2013",E654="",G654="NPN05"),H654,"")</f>
        <v/>
      </c>
      <c r="AY654" s="44" t="str">
        <f>IF(AND(C654=Master!$H$5,B654="2012-2013",E654&gt;1000,G654="NPN05"),H654,"")</f>
        <v/>
      </c>
      <c r="AZ654" s="44" t="str">
        <f>IF(AND(C654=Master!$H$5,B654="2012-2013",E654="",G654="NPN05"),H654,"")</f>
        <v/>
      </c>
      <c r="BA654" s="44" t="str">
        <f>IF(AND(C654=Master!$H$6,B654="2012-2013",E654&gt;1000,G654="NPN05"),H654,"")</f>
        <v/>
      </c>
      <c r="BB654" s="44" t="str">
        <f>IF(AND(C654=Master!$H$6,B654="2012-2013",E654="",G654="NPN05"),H654,"")</f>
        <v/>
      </c>
      <c r="BC654" s="44" t="str">
        <f>IF(AND(C654=Master!$H$7,B654="2012-2013",E654&gt;1000,G654="NPN05"),H654,"")</f>
        <v/>
      </c>
      <c r="BD654" s="44" t="str">
        <f>IF(AND(C654=Master!$H$7,B654="2012-2013",E654="",G654="NPN05"),H654,"")</f>
        <v/>
      </c>
      <c r="BE654" s="44" t="str">
        <f>IF(AND(C654=Master!$H$8,B654="2012-2013",E654&gt;1000,G654="NPN05"),H654,"")</f>
        <v/>
      </c>
      <c r="BF654" s="44" t="str">
        <f>IF(AND(C654=Master!$H$8,B654="2012-2013",E654="",G654="NPN05"),H654,"")</f>
        <v/>
      </c>
      <c r="BG654" s="44" t="str">
        <f>IF(AND(C654=Master!$H$9,B654="2012-2013",E654&gt;1000,G654="NPN05"),H654,"")</f>
        <v/>
      </c>
      <c r="BH654" s="44" t="str">
        <f>IF(AND(C654=Master!$H$9,B654="2012-2013",E654="",G654="NPN05"),H654,"")</f>
        <v/>
      </c>
    </row>
    <row r="655" spans="1:60" x14ac:dyDescent="0.25">
      <c r="A655" s="3">
        <v>653</v>
      </c>
      <c r="B655" s="12"/>
      <c r="C655" s="12"/>
      <c r="D655" s="31"/>
      <c r="E655" s="4"/>
      <c r="F655" s="13"/>
      <c r="G655" s="21"/>
      <c r="H655" s="35"/>
      <c r="I655" s="21"/>
      <c r="J655" s="25" t="str">
        <f>IF(NOT(I655=""),INDEX(Master!$B$1:$B$46,MATCH(I655,Master!$A$1:$A$46,0)),"")</f>
        <v/>
      </c>
      <c r="K655" s="18"/>
      <c r="L655" s="86"/>
      <c r="M655" s="13"/>
      <c r="N655" s="13"/>
      <c r="O655" s="18"/>
      <c r="P655" s="35"/>
      <c r="Q655" s="21"/>
      <c r="R655" s="21"/>
      <c r="S655" s="13"/>
      <c r="T655" s="12"/>
      <c r="U655" s="12"/>
      <c r="V655" s="12"/>
      <c r="W655" s="14"/>
      <c r="Y655" s="42" t="str">
        <f>IF(AND(C655=Master!$H$1,B655="2012-2013",E655&gt;1000,G655="PLN03"),H655,"")</f>
        <v/>
      </c>
      <c r="Z655" s="42" t="str">
        <f>IF(AND(C655=Master!$H$1,B655="2012-2013",E655="",G655="PLN03"),H655,"")</f>
        <v/>
      </c>
      <c r="AA655" s="42" t="str">
        <f>IF(AND(C655=Master!$H$2,B655="2012-2013",E655&gt;1000,G655="PLN03"),H655,"")</f>
        <v/>
      </c>
      <c r="AB655" s="42" t="str">
        <f>IF(AND(C655=Master!$H$2,B655="2012-2013",E655="",G655="PLN03"),H655,"")</f>
        <v/>
      </c>
      <c r="AC655" s="42" t="str">
        <f>IF(AND(C655=Master!$H$3,B655="2012-2013",E655&gt;1000,G655="PLN03"),H655,"")</f>
        <v/>
      </c>
      <c r="AD655" s="42" t="str">
        <f>IF(AND(C655=Master!$H$3,B655="2012-2013",E655="",G655="PLN03"),H655,"")</f>
        <v/>
      </c>
      <c r="AE655" s="42" t="str">
        <f>IF(AND(C655=Master!$H$4,B655="2012-2013",E655&gt;1000,G655="PLN03"),H655,"")</f>
        <v/>
      </c>
      <c r="AF655" s="42" t="str">
        <f>IF(AND(C655=Master!$H$4,B655="2012-2013",E655="",G655="PLN03"),H655,"")</f>
        <v/>
      </c>
      <c r="AG655" s="42" t="str">
        <f>IF(AND(C655=Master!$H$5,B655="2012-2013",E655&gt;1000,G655="PLN03"),H655,"")</f>
        <v/>
      </c>
      <c r="AH655" s="42" t="str">
        <f>IF(AND(C655=Master!$H$5,B655="2012-2013",E655="",G655="PLN03"),H655,"")</f>
        <v/>
      </c>
      <c r="AI655" s="42" t="str">
        <f>IF(AND(C655=Master!$H$6,B655="2012-2013",E655&gt;1000,G655="PLN03"),H655,"")</f>
        <v/>
      </c>
      <c r="AJ655" s="42" t="str">
        <f>IF(AND(C655=Master!$H$6,B655="2012-2013",E655="",G655="PLN03"),H655,"")</f>
        <v/>
      </c>
      <c r="AK655" s="42" t="str">
        <f>IF(AND(C655=Master!$H$7,B655="2012-2013",E655&gt;1000,G655="PLN03"),H655,"")</f>
        <v/>
      </c>
      <c r="AL655" s="42" t="str">
        <f>IF(AND(C655=Master!$H$7,B655="2012-2013",E655="",G655="PLN03"),H655,"")</f>
        <v/>
      </c>
      <c r="AM655" s="42" t="str">
        <f>IF(AND(C655=Master!$H$8,B655="2012-2013",E655&gt;1000,G655="PLN03"),H655,"")</f>
        <v/>
      </c>
      <c r="AN655" s="42" t="str">
        <f>IF(AND(C655=Master!$H$8,B655="2012-2013",E655="",G655="PLN03"),H655,"")</f>
        <v/>
      </c>
      <c r="AO655" s="42" t="str">
        <f>IF(AND(C655=Master!$H$9,B655="2012-2013",E655&gt;1000,G655="PLN03"),H655,"")</f>
        <v/>
      </c>
      <c r="AP655" s="42" t="str">
        <f>IF(AND(C655=Master!$H$9,B655="2012-2013",E655="",G655="PLN03"),H655,"")</f>
        <v/>
      </c>
      <c r="AQ655" s="44" t="str">
        <f>IF(AND(C655=Master!$H$1,B655="2012-2013",E655&gt;1000,G655="NPN05"),H655,"")</f>
        <v/>
      </c>
      <c r="AR655" s="44" t="str">
        <f>IF(AND(C655=Master!$H$1,B655="2012-2013",E655="",G655="NPN05"),H655,"")</f>
        <v/>
      </c>
      <c r="AS655" s="44" t="str">
        <f>IF(AND(C655=Master!$H$2,B655="2012-2013",E655&gt;1000,G655="NPN05"),H655,"")</f>
        <v/>
      </c>
      <c r="AT655" s="44" t="str">
        <f>IF(AND(C655=Master!$H$2,B655="2012-2013",E655="",G655="NPN05"),H655,"")</f>
        <v/>
      </c>
      <c r="AU655" s="44" t="str">
        <f>IF(AND(C655=Master!$H$3,B655="2012-2013",E655&gt;1000,G655="NPN05"),H655,"")</f>
        <v/>
      </c>
      <c r="AV655" s="44" t="str">
        <f>IF(AND(C655=Master!$H$3,B655="2012-2013",E655="",G655="NPN05"),H655,"")</f>
        <v/>
      </c>
      <c r="AW655" s="44" t="str">
        <f>IF(AND(C655=Master!$H$4,B655="2012-2013",E655&gt;1000,G655="NPN05"),H655,"")</f>
        <v/>
      </c>
      <c r="AX655" s="44" t="str">
        <f>IF(AND(C655=Master!$H$4,B655="2012-2013",E655="",G655="NPN05"),H655,"")</f>
        <v/>
      </c>
      <c r="AY655" s="44" t="str">
        <f>IF(AND(C655=Master!$H$5,B655="2012-2013",E655&gt;1000,G655="NPN05"),H655,"")</f>
        <v/>
      </c>
      <c r="AZ655" s="44" t="str">
        <f>IF(AND(C655=Master!$H$5,B655="2012-2013",E655="",G655="NPN05"),H655,"")</f>
        <v/>
      </c>
      <c r="BA655" s="44" t="str">
        <f>IF(AND(C655=Master!$H$6,B655="2012-2013",E655&gt;1000,G655="NPN05"),H655,"")</f>
        <v/>
      </c>
      <c r="BB655" s="44" t="str">
        <f>IF(AND(C655=Master!$H$6,B655="2012-2013",E655="",G655="NPN05"),H655,"")</f>
        <v/>
      </c>
      <c r="BC655" s="44" t="str">
        <f>IF(AND(C655=Master!$H$7,B655="2012-2013",E655&gt;1000,G655="NPN05"),H655,"")</f>
        <v/>
      </c>
      <c r="BD655" s="44" t="str">
        <f>IF(AND(C655=Master!$H$7,B655="2012-2013",E655="",G655="NPN05"),H655,"")</f>
        <v/>
      </c>
      <c r="BE655" s="44" t="str">
        <f>IF(AND(C655=Master!$H$8,B655="2012-2013",E655&gt;1000,G655="NPN05"),H655,"")</f>
        <v/>
      </c>
      <c r="BF655" s="44" t="str">
        <f>IF(AND(C655=Master!$H$8,B655="2012-2013",E655="",G655="NPN05"),H655,"")</f>
        <v/>
      </c>
      <c r="BG655" s="44" t="str">
        <f>IF(AND(C655=Master!$H$9,B655="2012-2013",E655&gt;1000,G655="NPN05"),H655,"")</f>
        <v/>
      </c>
      <c r="BH655" s="44" t="str">
        <f>IF(AND(C655=Master!$H$9,B655="2012-2013",E655="",G655="NPN05"),H655,"")</f>
        <v/>
      </c>
    </row>
    <row r="656" spans="1:60" x14ac:dyDescent="0.25">
      <c r="A656" s="3">
        <v>654</v>
      </c>
      <c r="B656" s="12"/>
      <c r="C656" s="12"/>
      <c r="D656" s="31"/>
      <c r="E656" s="4"/>
      <c r="F656" s="13"/>
      <c r="G656" s="21"/>
      <c r="H656" s="35"/>
      <c r="I656" s="21"/>
      <c r="J656" s="25" t="str">
        <f>IF(NOT(I656=""),INDEX(Master!$B$1:$B$46,MATCH(I656,Master!$A$1:$A$46,0)),"")</f>
        <v/>
      </c>
      <c r="K656" s="18"/>
      <c r="L656" s="86"/>
      <c r="M656" s="13"/>
      <c r="N656" s="13"/>
      <c r="O656" s="18"/>
      <c r="P656" s="35"/>
      <c r="Q656" s="21"/>
      <c r="R656" s="21"/>
      <c r="S656" s="13"/>
      <c r="T656" s="12"/>
      <c r="U656" s="12"/>
      <c r="V656" s="12"/>
      <c r="W656" s="14"/>
      <c r="Y656" s="42" t="str">
        <f>IF(AND(C656=Master!$H$1,B656="2012-2013",E656&gt;1000,G656="PLN03"),H656,"")</f>
        <v/>
      </c>
      <c r="Z656" s="42" t="str">
        <f>IF(AND(C656=Master!$H$1,B656="2012-2013",E656="",G656="PLN03"),H656,"")</f>
        <v/>
      </c>
      <c r="AA656" s="42" t="str">
        <f>IF(AND(C656=Master!$H$2,B656="2012-2013",E656&gt;1000,G656="PLN03"),H656,"")</f>
        <v/>
      </c>
      <c r="AB656" s="42" t="str">
        <f>IF(AND(C656=Master!$H$2,B656="2012-2013",E656="",G656="PLN03"),H656,"")</f>
        <v/>
      </c>
      <c r="AC656" s="42" t="str">
        <f>IF(AND(C656=Master!$H$3,B656="2012-2013",E656&gt;1000,G656="PLN03"),H656,"")</f>
        <v/>
      </c>
      <c r="AD656" s="42" t="str">
        <f>IF(AND(C656=Master!$H$3,B656="2012-2013",E656="",G656="PLN03"),H656,"")</f>
        <v/>
      </c>
      <c r="AE656" s="42" t="str">
        <f>IF(AND(C656=Master!$H$4,B656="2012-2013",E656&gt;1000,G656="PLN03"),H656,"")</f>
        <v/>
      </c>
      <c r="AF656" s="42" t="str">
        <f>IF(AND(C656=Master!$H$4,B656="2012-2013",E656="",G656="PLN03"),H656,"")</f>
        <v/>
      </c>
      <c r="AG656" s="42" t="str">
        <f>IF(AND(C656=Master!$H$5,B656="2012-2013",E656&gt;1000,G656="PLN03"),H656,"")</f>
        <v/>
      </c>
      <c r="AH656" s="42" t="str">
        <f>IF(AND(C656=Master!$H$5,B656="2012-2013",E656="",G656="PLN03"),H656,"")</f>
        <v/>
      </c>
      <c r="AI656" s="42" t="str">
        <f>IF(AND(C656=Master!$H$6,B656="2012-2013",E656&gt;1000,G656="PLN03"),H656,"")</f>
        <v/>
      </c>
      <c r="AJ656" s="42" t="str">
        <f>IF(AND(C656=Master!$H$6,B656="2012-2013",E656="",G656="PLN03"),H656,"")</f>
        <v/>
      </c>
      <c r="AK656" s="42" t="str">
        <f>IF(AND(C656=Master!$H$7,B656="2012-2013",E656&gt;1000,G656="PLN03"),H656,"")</f>
        <v/>
      </c>
      <c r="AL656" s="42" t="str">
        <f>IF(AND(C656=Master!$H$7,B656="2012-2013",E656="",G656="PLN03"),H656,"")</f>
        <v/>
      </c>
      <c r="AM656" s="42" t="str">
        <f>IF(AND(C656=Master!$H$8,B656="2012-2013",E656&gt;1000,G656="PLN03"),H656,"")</f>
        <v/>
      </c>
      <c r="AN656" s="42" t="str">
        <f>IF(AND(C656=Master!$H$8,B656="2012-2013",E656="",G656="PLN03"),H656,"")</f>
        <v/>
      </c>
      <c r="AO656" s="42" t="str">
        <f>IF(AND(C656=Master!$H$9,B656="2012-2013",E656&gt;1000,G656="PLN03"),H656,"")</f>
        <v/>
      </c>
      <c r="AP656" s="42" t="str">
        <f>IF(AND(C656=Master!$H$9,B656="2012-2013",E656="",G656="PLN03"),H656,"")</f>
        <v/>
      </c>
      <c r="AQ656" s="44" t="str">
        <f>IF(AND(C656=Master!$H$1,B656="2012-2013",E656&gt;1000,G656="NPN05"),H656,"")</f>
        <v/>
      </c>
      <c r="AR656" s="44" t="str">
        <f>IF(AND(C656=Master!$H$1,B656="2012-2013",E656="",G656="NPN05"),H656,"")</f>
        <v/>
      </c>
      <c r="AS656" s="44" t="str">
        <f>IF(AND(C656=Master!$H$2,B656="2012-2013",E656&gt;1000,G656="NPN05"),H656,"")</f>
        <v/>
      </c>
      <c r="AT656" s="44" t="str">
        <f>IF(AND(C656=Master!$H$2,B656="2012-2013",E656="",G656="NPN05"),H656,"")</f>
        <v/>
      </c>
      <c r="AU656" s="44" t="str">
        <f>IF(AND(C656=Master!$H$3,B656="2012-2013",E656&gt;1000,G656="NPN05"),H656,"")</f>
        <v/>
      </c>
      <c r="AV656" s="44" t="str">
        <f>IF(AND(C656=Master!$H$3,B656="2012-2013",E656="",G656="NPN05"),H656,"")</f>
        <v/>
      </c>
      <c r="AW656" s="44" t="str">
        <f>IF(AND(C656=Master!$H$4,B656="2012-2013",E656&gt;1000,G656="NPN05"),H656,"")</f>
        <v/>
      </c>
      <c r="AX656" s="44" t="str">
        <f>IF(AND(C656=Master!$H$4,B656="2012-2013",E656="",G656="NPN05"),H656,"")</f>
        <v/>
      </c>
      <c r="AY656" s="44" t="str">
        <f>IF(AND(C656=Master!$H$5,B656="2012-2013",E656&gt;1000,G656="NPN05"),H656,"")</f>
        <v/>
      </c>
      <c r="AZ656" s="44" t="str">
        <f>IF(AND(C656=Master!$H$5,B656="2012-2013",E656="",G656="NPN05"),H656,"")</f>
        <v/>
      </c>
      <c r="BA656" s="44" t="str">
        <f>IF(AND(C656=Master!$H$6,B656="2012-2013",E656&gt;1000,G656="NPN05"),H656,"")</f>
        <v/>
      </c>
      <c r="BB656" s="44" t="str">
        <f>IF(AND(C656=Master!$H$6,B656="2012-2013",E656="",G656="NPN05"),H656,"")</f>
        <v/>
      </c>
      <c r="BC656" s="44" t="str">
        <f>IF(AND(C656=Master!$H$7,B656="2012-2013",E656&gt;1000,G656="NPN05"),H656,"")</f>
        <v/>
      </c>
      <c r="BD656" s="44" t="str">
        <f>IF(AND(C656=Master!$H$7,B656="2012-2013",E656="",G656="NPN05"),H656,"")</f>
        <v/>
      </c>
      <c r="BE656" s="44" t="str">
        <f>IF(AND(C656=Master!$H$8,B656="2012-2013",E656&gt;1000,G656="NPN05"),H656,"")</f>
        <v/>
      </c>
      <c r="BF656" s="44" t="str">
        <f>IF(AND(C656=Master!$H$8,B656="2012-2013",E656="",G656="NPN05"),H656,"")</f>
        <v/>
      </c>
      <c r="BG656" s="44" t="str">
        <f>IF(AND(C656=Master!$H$9,B656="2012-2013",E656&gt;1000,G656="NPN05"),H656,"")</f>
        <v/>
      </c>
      <c r="BH656" s="44" t="str">
        <f>IF(AND(C656=Master!$H$9,B656="2012-2013",E656="",G656="NPN05"),H656,"")</f>
        <v/>
      </c>
    </row>
    <row r="657" spans="1:60" x14ac:dyDescent="0.25">
      <c r="A657" s="3">
        <v>655</v>
      </c>
      <c r="B657" s="12"/>
      <c r="C657" s="12"/>
      <c r="D657" s="31"/>
      <c r="E657" s="4"/>
      <c r="F657" s="13"/>
      <c r="G657" s="21"/>
      <c r="H657" s="35"/>
      <c r="I657" s="21"/>
      <c r="J657" s="25" t="str">
        <f>IF(NOT(I657=""),INDEX(Master!$B$1:$B$46,MATCH(I657,Master!$A$1:$A$46,0)),"")</f>
        <v/>
      </c>
      <c r="K657" s="18"/>
      <c r="L657" s="86"/>
      <c r="M657" s="13"/>
      <c r="N657" s="13"/>
      <c r="O657" s="18"/>
      <c r="P657" s="35"/>
      <c r="Q657" s="21"/>
      <c r="R657" s="21"/>
      <c r="S657" s="13"/>
      <c r="T657" s="12"/>
      <c r="U657" s="12"/>
      <c r="V657" s="12"/>
      <c r="W657" s="14"/>
      <c r="Y657" s="42" t="str">
        <f>IF(AND(C657=Master!$H$1,B657="2012-2013",E657&gt;1000,G657="PLN03"),H657,"")</f>
        <v/>
      </c>
      <c r="Z657" s="42" t="str">
        <f>IF(AND(C657=Master!$H$1,B657="2012-2013",E657="",G657="PLN03"),H657,"")</f>
        <v/>
      </c>
      <c r="AA657" s="42" t="str">
        <f>IF(AND(C657=Master!$H$2,B657="2012-2013",E657&gt;1000,G657="PLN03"),H657,"")</f>
        <v/>
      </c>
      <c r="AB657" s="42" t="str">
        <f>IF(AND(C657=Master!$H$2,B657="2012-2013",E657="",G657="PLN03"),H657,"")</f>
        <v/>
      </c>
      <c r="AC657" s="42" t="str">
        <f>IF(AND(C657=Master!$H$3,B657="2012-2013",E657&gt;1000,G657="PLN03"),H657,"")</f>
        <v/>
      </c>
      <c r="AD657" s="42" t="str">
        <f>IF(AND(C657=Master!$H$3,B657="2012-2013",E657="",G657="PLN03"),H657,"")</f>
        <v/>
      </c>
      <c r="AE657" s="42" t="str">
        <f>IF(AND(C657=Master!$H$4,B657="2012-2013",E657&gt;1000,G657="PLN03"),H657,"")</f>
        <v/>
      </c>
      <c r="AF657" s="42" t="str">
        <f>IF(AND(C657=Master!$H$4,B657="2012-2013",E657="",G657="PLN03"),H657,"")</f>
        <v/>
      </c>
      <c r="AG657" s="42" t="str">
        <f>IF(AND(C657=Master!$H$5,B657="2012-2013",E657&gt;1000,G657="PLN03"),H657,"")</f>
        <v/>
      </c>
      <c r="AH657" s="42" t="str">
        <f>IF(AND(C657=Master!$H$5,B657="2012-2013",E657="",G657="PLN03"),H657,"")</f>
        <v/>
      </c>
      <c r="AI657" s="42" t="str">
        <f>IF(AND(C657=Master!$H$6,B657="2012-2013",E657&gt;1000,G657="PLN03"),H657,"")</f>
        <v/>
      </c>
      <c r="AJ657" s="42" t="str">
        <f>IF(AND(C657=Master!$H$6,B657="2012-2013",E657="",G657="PLN03"),H657,"")</f>
        <v/>
      </c>
      <c r="AK657" s="42" t="str">
        <f>IF(AND(C657=Master!$H$7,B657="2012-2013",E657&gt;1000,G657="PLN03"),H657,"")</f>
        <v/>
      </c>
      <c r="AL657" s="42" t="str">
        <f>IF(AND(C657=Master!$H$7,B657="2012-2013",E657="",G657="PLN03"),H657,"")</f>
        <v/>
      </c>
      <c r="AM657" s="42" t="str">
        <f>IF(AND(C657=Master!$H$8,B657="2012-2013",E657&gt;1000,G657="PLN03"),H657,"")</f>
        <v/>
      </c>
      <c r="AN657" s="42" t="str">
        <f>IF(AND(C657=Master!$H$8,B657="2012-2013",E657="",G657="PLN03"),H657,"")</f>
        <v/>
      </c>
      <c r="AO657" s="42" t="str">
        <f>IF(AND(C657=Master!$H$9,B657="2012-2013",E657&gt;1000,G657="PLN03"),H657,"")</f>
        <v/>
      </c>
      <c r="AP657" s="42" t="str">
        <f>IF(AND(C657=Master!$H$9,B657="2012-2013",E657="",G657="PLN03"),H657,"")</f>
        <v/>
      </c>
      <c r="AQ657" s="44" t="str">
        <f>IF(AND(C657=Master!$H$1,B657="2012-2013",E657&gt;1000,G657="NPN05"),H657,"")</f>
        <v/>
      </c>
      <c r="AR657" s="44" t="str">
        <f>IF(AND(C657=Master!$H$1,B657="2012-2013",E657="",G657="NPN05"),H657,"")</f>
        <v/>
      </c>
      <c r="AS657" s="44" t="str">
        <f>IF(AND(C657=Master!$H$2,B657="2012-2013",E657&gt;1000,G657="NPN05"),H657,"")</f>
        <v/>
      </c>
      <c r="AT657" s="44" t="str">
        <f>IF(AND(C657=Master!$H$2,B657="2012-2013",E657="",G657="NPN05"),H657,"")</f>
        <v/>
      </c>
      <c r="AU657" s="44" t="str">
        <f>IF(AND(C657=Master!$H$3,B657="2012-2013",E657&gt;1000,G657="NPN05"),H657,"")</f>
        <v/>
      </c>
      <c r="AV657" s="44" t="str">
        <f>IF(AND(C657=Master!$H$3,B657="2012-2013",E657="",G657="NPN05"),H657,"")</f>
        <v/>
      </c>
      <c r="AW657" s="44" t="str">
        <f>IF(AND(C657=Master!$H$4,B657="2012-2013",E657&gt;1000,G657="NPN05"),H657,"")</f>
        <v/>
      </c>
      <c r="AX657" s="44" t="str">
        <f>IF(AND(C657=Master!$H$4,B657="2012-2013",E657="",G657="NPN05"),H657,"")</f>
        <v/>
      </c>
      <c r="AY657" s="44" t="str">
        <f>IF(AND(C657=Master!$H$5,B657="2012-2013",E657&gt;1000,G657="NPN05"),H657,"")</f>
        <v/>
      </c>
      <c r="AZ657" s="44" t="str">
        <f>IF(AND(C657=Master!$H$5,B657="2012-2013",E657="",G657="NPN05"),H657,"")</f>
        <v/>
      </c>
      <c r="BA657" s="44" t="str">
        <f>IF(AND(C657=Master!$H$6,B657="2012-2013",E657&gt;1000,G657="NPN05"),H657,"")</f>
        <v/>
      </c>
      <c r="BB657" s="44" t="str">
        <f>IF(AND(C657=Master!$H$6,B657="2012-2013",E657="",G657="NPN05"),H657,"")</f>
        <v/>
      </c>
      <c r="BC657" s="44" t="str">
        <f>IF(AND(C657=Master!$H$7,B657="2012-2013",E657&gt;1000,G657="NPN05"),H657,"")</f>
        <v/>
      </c>
      <c r="BD657" s="44" t="str">
        <f>IF(AND(C657=Master!$H$7,B657="2012-2013",E657="",G657="NPN05"),H657,"")</f>
        <v/>
      </c>
      <c r="BE657" s="44" t="str">
        <f>IF(AND(C657=Master!$H$8,B657="2012-2013",E657&gt;1000,G657="NPN05"),H657,"")</f>
        <v/>
      </c>
      <c r="BF657" s="44" t="str">
        <f>IF(AND(C657=Master!$H$8,B657="2012-2013",E657="",G657="NPN05"),H657,"")</f>
        <v/>
      </c>
      <c r="BG657" s="44" t="str">
        <f>IF(AND(C657=Master!$H$9,B657="2012-2013",E657&gt;1000,G657="NPN05"),H657,"")</f>
        <v/>
      </c>
      <c r="BH657" s="44" t="str">
        <f>IF(AND(C657=Master!$H$9,B657="2012-2013",E657="",G657="NPN05"),H657,"")</f>
        <v/>
      </c>
    </row>
    <row r="658" spans="1:60" x14ac:dyDescent="0.25">
      <c r="A658" s="3">
        <v>656</v>
      </c>
      <c r="B658" s="12"/>
      <c r="C658" s="12"/>
      <c r="D658" s="31"/>
      <c r="E658" s="4"/>
      <c r="F658" s="13"/>
      <c r="G658" s="21"/>
      <c r="H658" s="35"/>
      <c r="I658" s="21"/>
      <c r="J658" s="25" t="str">
        <f>IF(NOT(I658=""),INDEX(Master!$B$1:$B$46,MATCH(I658,Master!$A$1:$A$46,0)),"")</f>
        <v/>
      </c>
      <c r="K658" s="18"/>
      <c r="L658" s="86"/>
      <c r="M658" s="13"/>
      <c r="N658" s="13"/>
      <c r="O658" s="18"/>
      <c r="P658" s="35"/>
      <c r="Q658" s="21"/>
      <c r="R658" s="21"/>
      <c r="S658" s="13"/>
      <c r="T658" s="12"/>
      <c r="U658" s="12"/>
      <c r="V658" s="12"/>
      <c r="W658" s="14"/>
      <c r="Y658" s="42" t="str">
        <f>IF(AND(C658=Master!$H$1,B658="2012-2013",E658&gt;1000,G658="PLN03"),H658,"")</f>
        <v/>
      </c>
      <c r="Z658" s="42" t="str">
        <f>IF(AND(C658=Master!$H$1,B658="2012-2013",E658="",G658="PLN03"),H658,"")</f>
        <v/>
      </c>
      <c r="AA658" s="42" t="str">
        <f>IF(AND(C658=Master!$H$2,B658="2012-2013",E658&gt;1000,G658="PLN03"),H658,"")</f>
        <v/>
      </c>
      <c r="AB658" s="42" t="str">
        <f>IF(AND(C658=Master!$H$2,B658="2012-2013",E658="",G658="PLN03"),H658,"")</f>
        <v/>
      </c>
      <c r="AC658" s="42" t="str">
        <f>IF(AND(C658=Master!$H$3,B658="2012-2013",E658&gt;1000,G658="PLN03"),H658,"")</f>
        <v/>
      </c>
      <c r="AD658" s="42" t="str">
        <f>IF(AND(C658=Master!$H$3,B658="2012-2013",E658="",G658="PLN03"),H658,"")</f>
        <v/>
      </c>
      <c r="AE658" s="42" t="str">
        <f>IF(AND(C658=Master!$H$4,B658="2012-2013",E658&gt;1000,G658="PLN03"),H658,"")</f>
        <v/>
      </c>
      <c r="AF658" s="42" t="str">
        <f>IF(AND(C658=Master!$H$4,B658="2012-2013",E658="",G658="PLN03"),H658,"")</f>
        <v/>
      </c>
      <c r="AG658" s="42" t="str">
        <f>IF(AND(C658=Master!$H$5,B658="2012-2013",E658&gt;1000,G658="PLN03"),H658,"")</f>
        <v/>
      </c>
      <c r="AH658" s="42" t="str">
        <f>IF(AND(C658=Master!$H$5,B658="2012-2013",E658="",G658="PLN03"),H658,"")</f>
        <v/>
      </c>
      <c r="AI658" s="42" t="str">
        <f>IF(AND(C658=Master!$H$6,B658="2012-2013",E658&gt;1000,G658="PLN03"),H658,"")</f>
        <v/>
      </c>
      <c r="AJ658" s="42" t="str">
        <f>IF(AND(C658=Master!$H$6,B658="2012-2013",E658="",G658="PLN03"),H658,"")</f>
        <v/>
      </c>
      <c r="AK658" s="42" t="str">
        <f>IF(AND(C658=Master!$H$7,B658="2012-2013",E658&gt;1000,G658="PLN03"),H658,"")</f>
        <v/>
      </c>
      <c r="AL658" s="42" t="str">
        <f>IF(AND(C658=Master!$H$7,B658="2012-2013",E658="",G658="PLN03"),H658,"")</f>
        <v/>
      </c>
      <c r="AM658" s="42" t="str">
        <f>IF(AND(C658=Master!$H$8,B658="2012-2013",E658&gt;1000,G658="PLN03"),H658,"")</f>
        <v/>
      </c>
      <c r="AN658" s="42" t="str">
        <f>IF(AND(C658=Master!$H$8,B658="2012-2013",E658="",G658="PLN03"),H658,"")</f>
        <v/>
      </c>
      <c r="AO658" s="42" t="str">
        <f>IF(AND(C658=Master!$H$9,B658="2012-2013",E658&gt;1000,G658="PLN03"),H658,"")</f>
        <v/>
      </c>
      <c r="AP658" s="42" t="str">
        <f>IF(AND(C658=Master!$H$9,B658="2012-2013",E658="",G658="PLN03"),H658,"")</f>
        <v/>
      </c>
      <c r="AQ658" s="44" t="str">
        <f>IF(AND(C658=Master!$H$1,B658="2012-2013",E658&gt;1000,G658="NPN05"),H658,"")</f>
        <v/>
      </c>
      <c r="AR658" s="44" t="str">
        <f>IF(AND(C658=Master!$H$1,B658="2012-2013",E658="",G658="NPN05"),H658,"")</f>
        <v/>
      </c>
      <c r="AS658" s="44" t="str">
        <f>IF(AND(C658=Master!$H$2,B658="2012-2013",E658&gt;1000,G658="NPN05"),H658,"")</f>
        <v/>
      </c>
      <c r="AT658" s="44" t="str">
        <f>IF(AND(C658=Master!$H$2,B658="2012-2013",E658="",G658="NPN05"),H658,"")</f>
        <v/>
      </c>
      <c r="AU658" s="44" t="str">
        <f>IF(AND(C658=Master!$H$3,B658="2012-2013",E658&gt;1000,G658="NPN05"),H658,"")</f>
        <v/>
      </c>
      <c r="AV658" s="44" t="str">
        <f>IF(AND(C658=Master!$H$3,B658="2012-2013",E658="",G658="NPN05"),H658,"")</f>
        <v/>
      </c>
      <c r="AW658" s="44" t="str">
        <f>IF(AND(C658=Master!$H$4,B658="2012-2013",E658&gt;1000,G658="NPN05"),H658,"")</f>
        <v/>
      </c>
      <c r="AX658" s="44" t="str">
        <f>IF(AND(C658=Master!$H$4,B658="2012-2013",E658="",G658="NPN05"),H658,"")</f>
        <v/>
      </c>
      <c r="AY658" s="44" t="str">
        <f>IF(AND(C658=Master!$H$5,B658="2012-2013",E658&gt;1000,G658="NPN05"),H658,"")</f>
        <v/>
      </c>
      <c r="AZ658" s="44" t="str">
        <f>IF(AND(C658=Master!$H$5,B658="2012-2013",E658="",G658="NPN05"),H658,"")</f>
        <v/>
      </c>
      <c r="BA658" s="44" t="str">
        <f>IF(AND(C658=Master!$H$6,B658="2012-2013",E658&gt;1000,G658="NPN05"),H658,"")</f>
        <v/>
      </c>
      <c r="BB658" s="44" t="str">
        <f>IF(AND(C658=Master!$H$6,B658="2012-2013",E658="",G658="NPN05"),H658,"")</f>
        <v/>
      </c>
      <c r="BC658" s="44" t="str">
        <f>IF(AND(C658=Master!$H$7,B658="2012-2013",E658&gt;1000,G658="NPN05"),H658,"")</f>
        <v/>
      </c>
      <c r="BD658" s="44" t="str">
        <f>IF(AND(C658=Master!$H$7,B658="2012-2013",E658="",G658="NPN05"),H658,"")</f>
        <v/>
      </c>
      <c r="BE658" s="44" t="str">
        <f>IF(AND(C658=Master!$H$8,B658="2012-2013",E658&gt;1000,G658="NPN05"),H658,"")</f>
        <v/>
      </c>
      <c r="BF658" s="44" t="str">
        <f>IF(AND(C658=Master!$H$8,B658="2012-2013",E658="",G658="NPN05"),H658,"")</f>
        <v/>
      </c>
      <c r="BG658" s="44" t="str">
        <f>IF(AND(C658=Master!$H$9,B658="2012-2013",E658&gt;1000,G658="NPN05"),H658,"")</f>
        <v/>
      </c>
      <c r="BH658" s="44" t="str">
        <f>IF(AND(C658=Master!$H$9,B658="2012-2013",E658="",G658="NPN05"),H658,"")</f>
        <v/>
      </c>
    </row>
    <row r="659" spans="1:60" x14ac:dyDescent="0.25">
      <c r="A659" s="3">
        <v>657</v>
      </c>
      <c r="B659" s="12"/>
      <c r="C659" s="12"/>
      <c r="D659" s="31"/>
      <c r="E659" s="4"/>
      <c r="F659" s="13"/>
      <c r="G659" s="21"/>
      <c r="H659" s="35"/>
      <c r="I659" s="21"/>
      <c r="J659" s="25" t="str">
        <f>IF(NOT(I659=""),INDEX(Master!$B$1:$B$46,MATCH(I659,Master!$A$1:$A$46,0)),"")</f>
        <v/>
      </c>
      <c r="K659" s="18"/>
      <c r="L659" s="86"/>
      <c r="M659" s="13"/>
      <c r="N659" s="13"/>
      <c r="O659" s="18"/>
      <c r="P659" s="35"/>
      <c r="Q659" s="21"/>
      <c r="R659" s="21"/>
      <c r="S659" s="13"/>
      <c r="T659" s="12"/>
      <c r="U659" s="12"/>
      <c r="V659" s="12"/>
      <c r="W659" s="14"/>
      <c r="Y659" s="42" t="str">
        <f>IF(AND(C659=Master!$H$1,B659="2012-2013",E659&gt;1000,G659="PLN03"),H659,"")</f>
        <v/>
      </c>
      <c r="Z659" s="42" t="str">
        <f>IF(AND(C659=Master!$H$1,B659="2012-2013",E659="",G659="PLN03"),H659,"")</f>
        <v/>
      </c>
      <c r="AA659" s="42" t="str">
        <f>IF(AND(C659=Master!$H$2,B659="2012-2013",E659&gt;1000,G659="PLN03"),H659,"")</f>
        <v/>
      </c>
      <c r="AB659" s="42" t="str">
        <f>IF(AND(C659=Master!$H$2,B659="2012-2013",E659="",G659="PLN03"),H659,"")</f>
        <v/>
      </c>
      <c r="AC659" s="42" t="str">
        <f>IF(AND(C659=Master!$H$3,B659="2012-2013",E659&gt;1000,G659="PLN03"),H659,"")</f>
        <v/>
      </c>
      <c r="AD659" s="42" t="str">
        <f>IF(AND(C659=Master!$H$3,B659="2012-2013",E659="",G659="PLN03"),H659,"")</f>
        <v/>
      </c>
      <c r="AE659" s="42" t="str">
        <f>IF(AND(C659=Master!$H$4,B659="2012-2013",E659&gt;1000,G659="PLN03"),H659,"")</f>
        <v/>
      </c>
      <c r="AF659" s="42" t="str">
        <f>IF(AND(C659=Master!$H$4,B659="2012-2013",E659="",G659="PLN03"),H659,"")</f>
        <v/>
      </c>
      <c r="AG659" s="42" t="str">
        <f>IF(AND(C659=Master!$H$5,B659="2012-2013",E659&gt;1000,G659="PLN03"),H659,"")</f>
        <v/>
      </c>
      <c r="AH659" s="42" t="str">
        <f>IF(AND(C659=Master!$H$5,B659="2012-2013",E659="",G659="PLN03"),H659,"")</f>
        <v/>
      </c>
      <c r="AI659" s="42" t="str">
        <f>IF(AND(C659=Master!$H$6,B659="2012-2013",E659&gt;1000,G659="PLN03"),H659,"")</f>
        <v/>
      </c>
      <c r="AJ659" s="42" t="str">
        <f>IF(AND(C659=Master!$H$6,B659="2012-2013",E659="",G659="PLN03"),H659,"")</f>
        <v/>
      </c>
      <c r="AK659" s="42" t="str">
        <f>IF(AND(C659=Master!$H$7,B659="2012-2013",E659&gt;1000,G659="PLN03"),H659,"")</f>
        <v/>
      </c>
      <c r="AL659" s="42" t="str">
        <f>IF(AND(C659=Master!$H$7,B659="2012-2013",E659="",G659="PLN03"),H659,"")</f>
        <v/>
      </c>
      <c r="AM659" s="42" t="str">
        <f>IF(AND(C659=Master!$H$8,B659="2012-2013",E659&gt;1000,G659="PLN03"),H659,"")</f>
        <v/>
      </c>
      <c r="AN659" s="42" t="str">
        <f>IF(AND(C659=Master!$H$8,B659="2012-2013",E659="",G659="PLN03"),H659,"")</f>
        <v/>
      </c>
      <c r="AO659" s="42" t="str">
        <f>IF(AND(C659=Master!$H$9,B659="2012-2013",E659&gt;1000,G659="PLN03"),H659,"")</f>
        <v/>
      </c>
      <c r="AP659" s="42" t="str">
        <f>IF(AND(C659=Master!$H$9,B659="2012-2013",E659="",G659="PLN03"),H659,"")</f>
        <v/>
      </c>
      <c r="AQ659" s="44" t="str">
        <f>IF(AND(C659=Master!$H$1,B659="2012-2013",E659&gt;1000,G659="NPN05"),H659,"")</f>
        <v/>
      </c>
      <c r="AR659" s="44" t="str">
        <f>IF(AND(C659=Master!$H$1,B659="2012-2013",E659="",G659="NPN05"),H659,"")</f>
        <v/>
      </c>
      <c r="AS659" s="44" t="str">
        <f>IF(AND(C659=Master!$H$2,B659="2012-2013",E659&gt;1000,G659="NPN05"),H659,"")</f>
        <v/>
      </c>
      <c r="AT659" s="44" t="str">
        <f>IF(AND(C659=Master!$H$2,B659="2012-2013",E659="",G659="NPN05"),H659,"")</f>
        <v/>
      </c>
      <c r="AU659" s="44" t="str">
        <f>IF(AND(C659=Master!$H$3,B659="2012-2013",E659&gt;1000,G659="NPN05"),H659,"")</f>
        <v/>
      </c>
      <c r="AV659" s="44" t="str">
        <f>IF(AND(C659=Master!$H$3,B659="2012-2013",E659="",G659="NPN05"),H659,"")</f>
        <v/>
      </c>
      <c r="AW659" s="44" t="str">
        <f>IF(AND(C659=Master!$H$4,B659="2012-2013",E659&gt;1000,G659="NPN05"),H659,"")</f>
        <v/>
      </c>
      <c r="AX659" s="44" t="str">
        <f>IF(AND(C659=Master!$H$4,B659="2012-2013",E659="",G659="NPN05"),H659,"")</f>
        <v/>
      </c>
      <c r="AY659" s="44" t="str">
        <f>IF(AND(C659=Master!$H$5,B659="2012-2013",E659&gt;1000,G659="NPN05"),H659,"")</f>
        <v/>
      </c>
      <c r="AZ659" s="44" t="str">
        <f>IF(AND(C659=Master!$H$5,B659="2012-2013",E659="",G659="NPN05"),H659,"")</f>
        <v/>
      </c>
      <c r="BA659" s="44" t="str">
        <f>IF(AND(C659=Master!$H$6,B659="2012-2013",E659&gt;1000,G659="NPN05"),H659,"")</f>
        <v/>
      </c>
      <c r="BB659" s="44" t="str">
        <f>IF(AND(C659=Master!$H$6,B659="2012-2013",E659="",G659="NPN05"),H659,"")</f>
        <v/>
      </c>
      <c r="BC659" s="44" t="str">
        <f>IF(AND(C659=Master!$H$7,B659="2012-2013",E659&gt;1000,G659="NPN05"),H659,"")</f>
        <v/>
      </c>
      <c r="BD659" s="44" t="str">
        <f>IF(AND(C659=Master!$H$7,B659="2012-2013",E659="",G659="NPN05"),H659,"")</f>
        <v/>
      </c>
      <c r="BE659" s="44" t="str">
        <f>IF(AND(C659=Master!$H$8,B659="2012-2013",E659&gt;1000,G659="NPN05"),H659,"")</f>
        <v/>
      </c>
      <c r="BF659" s="44" t="str">
        <f>IF(AND(C659=Master!$H$8,B659="2012-2013",E659="",G659="NPN05"),H659,"")</f>
        <v/>
      </c>
      <c r="BG659" s="44" t="str">
        <f>IF(AND(C659=Master!$H$9,B659="2012-2013",E659&gt;1000,G659="NPN05"),H659,"")</f>
        <v/>
      </c>
      <c r="BH659" s="44" t="str">
        <f>IF(AND(C659=Master!$H$9,B659="2012-2013",E659="",G659="NPN05"),H659,"")</f>
        <v/>
      </c>
    </row>
    <row r="660" spans="1:60" x14ac:dyDescent="0.25">
      <c r="A660" s="3">
        <v>658</v>
      </c>
      <c r="B660" s="12"/>
      <c r="C660" s="12"/>
      <c r="D660" s="31"/>
      <c r="E660" s="4"/>
      <c r="F660" s="13"/>
      <c r="G660" s="21"/>
      <c r="H660" s="35"/>
      <c r="I660" s="21"/>
      <c r="J660" s="25" t="str">
        <f>IF(NOT(I660=""),INDEX(Master!$B$1:$B$46,MATCH(I660,Master!$A$1:$A$46,0)),"")</f>
        <v/>
      </c>
      <c r="K660" s="18"/>
      <c r="L660" s="86"/>
      <c r="M660" s="13"/>
      <c r="N660" s="13"/>
      <c r="O660" s="18"/>
      <c r="P660" s="35"/>
      <c r="Q660" s="21"/>
      <c r="R660" s="21"/>
      <c r="S660" s="13"/>
      <c r="T660" s="12"/>
      <c r="U660" s="12"/>
      <c r="V660" s="12"/>
      <c r="W660" s="14"/>
      <c r="Y660" s="42" t="str">
        <f>IF(AND(C660=Master!$H$1,B660="2012-2013",E660&gt;1000,G660="PLN03"),H660,"")</f>
        <v/>
      </c>
      <c r="Z660" s="42" t="str">
        <f>IF(AND(C660=Master!$H$1,B660="2012-2013",E660="",G660="PLN03"),H660,"")</f>
        <v/>
      </c>
      <c r="AA660" s="42" t="str">
        <f>IF(AND(C660=Master!$H$2,B660="2012-2013",E660&gt;1000,G660="PLN03"),H660,"")</f>
        <v/>
      </c>
      <c r="AB660" s="42" t="str">
        <f>IF(AND(C660=Master!$H$2,B660="2012-2013",E660="",G660="PLN03"),H660,"")</f>
        <v/>
      </c>
      <c r="AC660" s="42" t="str">
        <f>IF(AND(C660=Master!$H$3,B660="2012-2013",E660&gt;1000,G660="PLN03"),H660,"")</f>
        <v/>
      </c>
      <c r="AD660" s="42" t="str">
        <f>IF(AND(C660=Master!$H$3,B660="2012-2013",E660="",G660="PLN03"),H660,"")</f>
        <v/>
      </c>
      <c r="AE660" s="42" t="str">
        <f>IF(AND(C660=Master!$H$4,B660="2012-2013",E660&gt;1000,G660="PLN03"),H660,"")</f>
        <v/>
      </c>
      <c r="AF660" s="42" t="str">
        <f>IF(AND(C660=Master!$H$4,B660="2012-2013",E660="",G660="PLN03"),H660,"")</f>
        <v/>
      </c>
      <c r="AG660" s="42" t="str">
        <f>IF(AND(C660=Master!$H$5,B660="2012-2013",E660&gt;1000,G660="PLN03"),H660,"")</f>
        <v/>
      </c>
      <c r="AH660" s="42" t="str">
        <f>IF(AND(C660=Master!$H$5,B660="2012-2013",E660="",G660="PLN03"),H660,"")</f>
        <v/>
      </c>
      <c r="AI660" s="42" t="str">
        <f>IF(AND(C660=Master!$H$6,B660="2012-2013",E660&gt;1000,G660="PLN03"),H660,"")</f>
        <v/>
      </c>
      <c r="AJ660" s="42" t="str">
        <f>IF(AND(C660=Master!$H$6,B660="2012-2013",E660="",G660="PLN03"),H660,"")</f>
        <v/>
      </c>
      <c r="AK660" s="42" t="str">
        <f>IF(AND(C660=Master!$H$7,B660="2012-2013",E660&gt;1000,G660="PLN03"),H660,"")</f>
        <v/>
      </c>
      <c r="AL660" s="42" t="str">
        <f>IF(AND(C660=Master!$H$7,B660="2012-2013",E660="",G660="PLN03"),H660,"")</f>
        <v/>
      </c>
      <c r="AM660" s="42" t="str">
        <f>IF(AND(C660=Master!$H$8,B660="2012-2013",E660&gt;1000,G660="PLN03"),H660,"")</f>
        <v/>
      </c>
      <c r="AN660" s="42" t="str">
        <f>IF(AND(C660=Master!$H$8,B660="2012-2013",E660="",G660="PLN03"),H660,"")</f>
        <v/>
      </c>
      <c r="AO660" s="42" t="str">
        <f>IF(AND(C660=Master!$H$9,B660="2012-2013",E660&gt;1000,G660="PLN03"),H660,"")</f>
        <v/>
      </c>
      <c r="AP660" s="42" t="str">
        <f>IF(AND(C660=Master!$H$9,B660="2012-2013",E660="",G660="PLN03"),H660,"")</f>
        <v/>
      </c>
      <c r="AQ660" s="44" t="str">
        <f>IF(AND(C660=Master!$H$1,B660="2012-2013",E660&gt;1000,G660="NPN05"),H660,"")</f>
        <v/>
      </c>
      <c r="AR660" s="44" t="str">
        <f>IF(AND(C660=Master!$H$1,B660="2012-2013",E660="",G660="NPN05"),H660,"")</f>
        <v/>
      </c>
      <c r="AS660" s="44" t="str">
        <f>IF(AND(C660=Master!$H$2,B660="2012-2013",E660&gt;1000,G660="NPN05"),H660,"")</f>
        <v/>
      </c>
      <c r="AT660" s="44" t="str">
        <f>IF(AND(C660=Master!$H$2,B660="2012-2013",E660="",G660="NPN05"),H660,"")</f>
        <v/>
      </c>
      <c r="AU660" s="44" t="str">
        <f>IF(AND(C660=Master!$H$3,B660="2012-2013",E660&gt;1000,G660="NPN05"),H660,"")</f>
        <v/>
      </c>
      <c r="AV660" s="44" t="str">
        <f>IF(AND(C660=Master!$H$3,B660="2012-2013",E660="",G660="NPN05"),H660,"")</f>
        <v/>
      </c>
      <c r="AW660" s="44" t="str">
        <f>IF(AND(C660=Master!$H$4,B660="2012-2013",E660&gt;1000,G660="NPN05"),H660,"")</f>
        <v/>
      </c>
      <c r="AX660" s="44" t="str">
        <f>IF(AND(C660=Master!$H$4,B660="2012-2013",E660="",G660="NPN05"),H660,"")</f>
        <v/>
      </c>
      <c r="AY660" s="44" t="str">
        <f>IF(AND(C660=Master!$H$5,B660="2012-2013",E660&gt;1000,G660="NPN05"),H660,"")</f>
        <v/>
      </c>
      <c r="AZ660" s="44" t="str">
        <f>IF(AND(C660=Master!$H$5,B660="2012-2013",E660="",G660="NPN05"),H660,"")</f>
        <v/>
      </c>
      <c r="BA660" s="44" t="str">
        <f>IF(AND(C660=Master!$H$6,B660="2012-2013",E660&gt;1000,G660="NPN05"),H660,"")</f>
        <v/>
      </c>
      <c r="BB660" s="44" t="str">
        <f>IF(AND(C660=Master!$H$6,B660="2012-2013",E660="",G660="NPN05"),H660,"")</f>
        <v/>
      </c>
      <c r="BC660" s="44" t="str">
        <f>IF(AND(C660=Master!$H$7,B660="2012-2013",E660&gt;1000,G660="NPN05"),H660,"")</f>
        <v/>
      </c>
      <c r="BD660" s="44" t="str">
        <f>IF(AND(C660=Master!$H$7,B660="2012-2013",E660="",G660="NPN05"),H660,"")</f>
        <v/>
      </c>
      <c r="BE660" s="44" t="str">
        <f>IF(AND(C660=Master!$H$8,B660="2012-2013",E660&gt;1000,G660="NPN05"),H660,"")</f>
        <v/>
      </c>
      <c r="BF660" s="44" t="str">
        <f>IF(AND(C660=Master!$H$8,B660="2012-2013",E660="",G660="NPN05"),H660,"")</f>
        <v/>
      </c>
      <c r="BG660" s="44" t="str">
        <f>IF(AND(C660=Master!$H$9,B660="2012-2013",E660&gt;1000,G660="NPN05"),H660,"")</f>
        <v/>
      </c>
      <c r="BH660" s="44" t="str">
        <f>IF(AND(C660=Master!$H$9,B660="2012-2013",E660="",G660="NPN05"),H660,"")</f>
        <v/>
      </c>
    </row>
    <row r="661" spans="1:60" x14ac:dyDescent="0.25">
      <c r="A661" s="5">
        <v>659</v>
      </c>
      <c r="B661" s="12"/>
      <c r="C661" s="12"/>
      <c r="D661" s="31"/>
      <c r="E661" s="4"/>
      <c r="F661" s="13"/>
      <c r="G661" s="21"/>
      <c r="H661" s="35"/>
      <c r="I661" s="21"/>
      <c r="J661" s="25" t="str">
        <f>IF(NOT(I661=""),INDEX(Master!$B$1:$B$46,MATCH(I661,Master!$A$1:$A$46,0)),"")</f>
        <v/>
      </c>
      <c r="K661" s="18"/>
      <c r="L661" s="86"/>
      <c r="M661" s="13"/>
      <c r="N661" s="13"/>
      <c r="O661" s="18"/>
      <c r="P661" s="35"/>
      <c r="Q661" s="21"/>
      <c r="R661" s="21"/>
      <c r="S661" s="13"/>
      <c r="T661" s="12"/>
      <c r="U661" s="12"/>
      <c r="V661" s="12"/>
      <c r="W661" s="14"/>
      <c r="Y661" s="42" t="str">
        <f>IF(AND(C661=Master!$H$1,B661="2012-2013",E661&gt;1000,G661="PLN03"),H661,"")</f>
        <v/>
      </c>
      <c r="Z661" s="42" t="str">
        <f>IF(AND(C661=Master!$H$1,B661="2012-2013",E661="",G661="PLN03"),H661,"")</f>
        <v/>
      </c>
      <c r="AA661" s="42" t="str">
        <f>IF(AND(C661=Master!$H$2,B661="2012-2013",E661&gt;1000,G661="PLN03"),H661,"")</f>
        <v/>
      </c>
      <c r="AB661" s="42" t="str">
        <f>IF(AND(C661=Master!$H$2,B661="2012-2013",E661="",G661="PLN03"),H661,"")</f>
        <v/>
      </c>
      <c r="AC661" s="42" t="str">
        <f>IF(AND(C661=Master!$H$3,B661="2012-2013",E661&gt;1000,G661="PLN03"),H661,"")</f>
        <v/>
      </c>
      <c r="AD661" s="42" t="str">
        <f>IF(AND(C661=Master!$H$3,B661="2012-2013",E661="",G661="PLN03"),H661,"")</f>
        <v/>
      </c>
      <c r="AE661" s="42" t="str">
        <f>IF(AND(C661=Master!$H$4,B661="2012-2013",E661&gt;1000,G661="PLN03"),H661,"")</f>
        <v/>
      </c>
      <c r="AF661" s="42" t="str">
        <f>IF(AND(C661=Master!$H$4,B661="2012-2013",E661="",G661="PLN03"),H661,"")</f>
        <v/>
      </c>
      <c r="AG661" s="42" t="str">
        <f>IF(AND(C661=Master!$H$5,B661="2012-2013",E661&gt;1000,G661="PLN03"),H661,"")</f>
        <v/>
      </c>
      <c r="AH661" s="42" t="str">
        <f>IF(AND(C661=Master!$H$5,B661="2012-2013",E661="",G661="PLN03"),H661,"")</f>
        <v/>
      </c>
      <c r="AI661" s="42" t="str">
        <f>IF(AND(C661=Master!$H$6,B661="2012-2013",E661&gt;1000,G661="PLN03"),H661,"")</f>
        <v/>
      </c>
      <c r="AJ661" s="42" t="str">
        <f>IF(AND(C661=Master!$H$6,B661="2012-2013",E661="",G661="PLN03"),H661,"")</f>
        <v/>
      </c>
      <c r="AK661" s="42" t="str">
        <f>IF(AND(C661=Master!$H$7,B661="2012-2013",E661&gt;1000,G661="PLN03"),H661,"")</f>
        <v/>
      </c>
      <c r="AL661" s="42" t="str">
        <f>IF(AND(C661=Master!$H$7,B661="2012-2013",E661="",G661="PLN03"),H661,"")</f>
        <v/>
      </c>
      <c r="AM661" s="42" t="str">
        <f>IF(AND(C661=Master!$H$8,B661="2012-2013",E661&gt;1000,G661="PLN03"),H661,"")</f>
        <v/>
      </c>
      <c r="AN661" s="42" t="str">
        <f>IF(AND(C661=Master!$H$8,B661="2012-2013",E661="",G661="PLN03"),H661,"")</f>
        <v/>
      </c>
      <c r="AO661" s="42" t="str">
        <f>IF(AND(C661=Master!$H$9,B661="2012-2013",E661&gt;1000,G661="PLN03"),H661,"")</f>
        <v/>
      </c>
      <c r="AP661" s="42" t="str">
        <f>IF(AND(C661=Master!$H$9,B661="2012-2013",E661="",G661="PLN03"),H661,"")</f>
        <v/>
      </c>
      <c r="AQ661" s="44" t="str">
        <f>IF(AND(C661=Master!$H$1,B661="2012-2013",E661&gt;1000,G661="NPN05"),H661,"")</f>
        <v/>
      </c>
      <c r="AR661" s="44" t="str">
        <f>IF(AND(C661=Master!$H$1,B661="2012-2013",E661="",G661="NPN05"),H661,"")</f>
        <v/>
      </c>
      <c r="AS661" s="44" t="str">
        <f>IF(AND(C661=Master!$H$2,B661="2012-2013",E661&gt;1000,G661="NPN05"),H661,"")</f>
        <v/>
      </c>
      <c r="AT661" s="44" t="str">
        <f>IF(AND(C661=Master!$H$2,B661="2012-2013",E661="",G661="NPN05"),H661,"")</f>
        <v/>
      </c>
      <c r="AU661" s="44" t="str">
        <f>IF(AND(C661=Master!$H$3,B661="2012-2013",E661&gt;1000,G661="NPN05"),H661,"")</f>
        <v/>
      </c>
      <c r="AV661" s="44" t="str">
        <f>IF(AND(C661=Master!$H$3,B661="2012-2013",E661="",G661="NPN05"),H661,"")</f>
        <v/>
      </c>
      <c r="AW661" s="44" t="str">
        <f>IF(AND(C661=Master!$H$4,B661="2012-2013",E661&gt;1000,G661="NPN05"),H661,"")</f>
        <v/>
      </c>
      <c r="AX661" s="44" t="str">
        <f>IF(AND(C661=Master!$H$4,B661="2012-2013",E661="",G661="NPN05"),H661,"")</f>
        <v/>
      </c>
      <c r="AY661" s="44" t="str">
        <f>IF(AND(C661=Master!$H$5,B661="2012-2013",E661&gt;1000,G661="NPN05"),H661,"")</f>
        <v/>
      </c>
      <c r="AZ661" s="44" t="str">
        <f>IF(AND(C661=Master!$H$5,B661="2012-2013",E661="",G661="NPN05"),H661,"")</f>
        <v/>
      </c>
      <c r="BA661" s="44" t="str">
        <f>IF(AND(C661=Master!$H$6,B661="2012-2013",E661&gt;1000,G661="NPN05"),H661,"")</f>
        <v/>
      </c>
      <c r="BB661" s="44" t="str">
        <f>IF(AND(C661=Master!$H$6,B661="2012-2013",E661="",G661="NPN05"),H661,"")</f>
        <v/>
      </c>
      <c r="BC661" s="44" t="str">
        <f>IF(AND(C661=Master!$H$7,B661="2012-2013",E661&gt;1000,G661="NPN05"),H661,"")</f>
        <v/>
      </c>
      <c r="BD661" s="44" t="str">
        <f>IF(AND(C661=Master!$H$7,B661="2012-2013",E661="",G661="NPN05"),H661,"")</f>
        <v/>
      </c>
      <c r="BE661" s="44" t="str">
        <f>IF(AND(C661=Master!$H$8,B661="2012-2013",E661&gt;1000,G661="NPN05"),H661,"")</f>
        <v/>
      </c>
      <c r="BF661" s="44" t="str">
        <f>IF(AND(C661=Master!$H$8,B661="2012-2013",E661="",G661="NPN05"),H661,"")</f>
        <v/>
      </c>
      <c r="BG661" s="44" t="str">
        <f>IF(AND(C661=Master!$H$9,B661="2012-2013",E661&gt;1000,G661="NPN05"),H661,"")</f>
        <v/>
      </c>
      <c r="BH661" s="44" t="str">
        <f>IF(AND(C661=Master!$H$9,B661="2012-2013",E661="",G661="NPN05"),H661,"")</f>
        <v/>
      </c>
    </row>
    <row r="662" spans="1:60" x14ac:dyDescent="0.25">
      <c r="A662" s="3">
        <v>660</v>
      </c>
      <c r="B662" s="12"/>
      <c r="C662" s="12"/>
      <c r="D662" s="31"/>
      <c r="E662" s="4"/>
      <c r="F662" s="13"/>
      <c r="G662" s="21"/>
      <c r="H662" s="35"/>
      <c r="I662" s="21"/>
      <c r="J662" s="25" t="str">
        <f>IF(NOT(I662=""),INDEX(Master!$B$1:$B$46,MATCH(I662,Master!$A$1:$A$46,0)),"")</f>
        <v/>
      </c>
      <c r="K662" s="18"/>
      <c r="L662" s="86"/>
      <c r="M662" s="13"/>
      <c r="N662" s="13"/>
      <c r="O662" s="18"/>
      <c r="P662" s="35"/>
      <c r="Q662" s="21"/>
      <c r="R662" s="21"/>
      <c r="S662" s="13"/>
      <c r="T662" s="12"/>
      <c r="U662" s="12"/>
      <c r="V662" s="12"/>
      <c r="W662" s="14"/>
      <c r="Y662" s="42" t="str">
        <f>IF(AND(C662=Master!$H$1,B662="2012-2013",E662&gt;1000,G662="PLN03"),H662,"")</f>
        <v/>
      </c>
      <c r="Z662" s="42" t="str">
        <f>IF(AND(C662=Master!$H$1,B662="2012-2013",E662="",G662="PLN03"),H662,"")</f>
        <v/>
      </c>
      <c r="AA662" s="42" t="str">
        <f>IF(AND(C662=Master!$H$2,B662="2012-2013",E662&gt;1000,G662="PLN03"),H662,"")</f>
        <v/>
      </c>
      <c r="AB662" s="42" t="str">
        <f>IF(AND(C662=Master!$H$2,B662="2012-2013",E662="",G662="PLN03"),H662,"")</f>
        <v/>
      </c>
      <c r="AC662" s="42" t="str">
        <f>IF(AND(C662=Master!$H$3,B662="2012-2013",E662&gt;1000,G662="PLN03"),H662,"")</f>
        <v/>
      </c>
      <c r="AD662" s="42" t="str">
        <f>IF(AND(C662=Master!$H$3,B662="2012-2013",E662="",G662="PLN03"),H662,"")</f>
        <v/>
      </c>
      <c r="AE662" s="42" t="str">
        <f>IF(AND(C662=Master!$H$4,B662="2012-2013",E662&gt;1000,G662="PLN03"),H662,"")</f>
        <v/>
      </c>
      <c r="AF662" s="42" t="str">
        <f>IF(AND(C662=Master!$H$4,B662="2012-2013",E662="",G662="PLN03"),H662,"")</f>
        <v/>
      </c>
      <c r="AG662" s="42" t="str">
        <f>IF(AND(C662=Master!$H$5,B662="2012-2013",E662&gt;1000,G662="PLN03"),H662,"")</f>
        <v/>
      </c>
      <c r="AH662" s="42" t="str">
        <f>IF(AND(C662=Master!$H$5,B662="2012-2013",E662="",G662="PLN03"),H662,"")</f>
        <v/>
      </c>
      <c r="AI662" s="42" t="str">
        <f>IF(AND(C662=Master!$H$6,B662="2012-2013",E662&gt;1000,G662="PLN03"),H662,"")</f>
        <v/>
      </c>
      <c r="AJ662" s="42" t="str">
        <f>IF(AND(C662=Master!$H$6,B662="2012-2013",E662="",G662="PLN03"),H662,"")</f>
        <v/>
      </c>
      <c r="AK662" s="42" t="str">
        <f>IF(AND(C662=Master!$H$7,B662="2012-2013",E662&gt;1000,G662="PLN03"),H662,"")</f>
        <v/>
      </c>
      <c r="AL662" s="42" t="str">
        <f>IF(AND(C662=Master!$H$7,B662="2012-2013",E662="",G662="PLN03"),H662,"")</f>
        <v/>
      </c>
      <c r="AM662" s="42" t="str">
        <f>IF(AND(C662=Master!$H$8,B662="2012-2013",E662&gt;1000,G662="PLN03"),H662,"")</f>
        <v/>
      </c>
      <c r="AN662" s="42" t="str">
        <f>IF(AND(C662=Master!$H$8,B662="2012-2013",E662="",G662="PLN03"),H662,"")</f>
        <v/>
      </c>
      <c r="AO662" s="42" t="str">
        <f>IF(AND(C662=Master!$H$9,B662="2012-2013",E662&gt;1000,G662="PLN03"),H662,"")</f>
        <v/>
      </c>
      <c r="AP662" s="42" t="str">
        <f>IF(AND(C662=Master!$H$9,B662="2012-2013",E662="",G662="PLN03"),H662,"")</f>
        <v/>
      </c>
      <c r="AQ662" s="44" t="str">
        <f>IF(AND(C662=Master!$H$1,B662="2012-2013",E662&gt;1000,G662="NPN05"),H662,"")</f>
        <v/>
      </c>
      <c r="AR662" s="44" t="str">
        <f>IF(AND(C662=Master!$H$1,B662="2012-2013",E662="",G662="NPN05"),H662,"")</f>
        <v/>
      </c>
      <c r="AS662" s="44" t="str">
        <f>IF(AND(C662=Master!$H$2,B662="2012-2013",E662&gt;1000,G662="NPN05"),H662,"")</f>
        <v/>
      </c>
      <c r="AT662" s="44" t="str">
        <f>IF(AND(C662=Master!$H$2,B662="2012-2013",E662="",G662="NPN05"),H662,"")</f>
        <v/>
      </c>
      <c r="AU662" s="44" t="str">
        <f>IF(AND(C662=Master!$H$3,B662="2012-2013",E662&gt;1000,G662="NPN05"),H662,"")</f>
        <v/>
      </c>
      <c r="AV662" s="44" t="str">
        <f>IF(AND(C662=Master!$H$3,B662="2012-2013",E662="",G662="NPN05"),H662,"")</f>
        <v/>
      </c>
      <c r="AW662" s="44" t="str">
        <f>IF(AND(C662=Master!$H$4,B662="2012-2013",E662&gt;1000,G662="NPN05"),H662,"")</f>
        <v/>
      </c>
      <c r="AX662" s="44" t="str">
        <f>IF(AND(C662=Master!$H$4,B662="2012-2013",E662="",G662="NPN05"),H662,"")</f>
        <v/>
      </c>
      <c r="AY662" s="44" t="str">
        <f>IF(AND(C662=Master!$H$5,B662="2012-2013",E662&gt;1000,G662="NPN05"),H662,"")</f>
        <v/>
      </c>
      <c r="AZ662" s="44" t="str">
        <f>IF(AND(C662=Master!$H$5,B662="2012-2013",E662="",G662="NPN05"),H662,"")</f>
        <v/>
      </c>
      <c r="BA662" s="44" t="str">
        <f>IF(AND(C662=Master!$H$6,B662="2012-2013",E662&gt;1000,G662="NPN05"),H662,"")</f>
        <v/>
      </c>
      <c r="BB662" s="44" t="str">
        <f>IF(AND(C662=Master!$H$6,B662="2012-2013",E662="",G662="NPN05"),H662,"")</f>
        <v/>
      </c>
      <c r="BC662" s="44" t="str">
        <f>IF(AND(C662=Master!$H$7,B662="2012-2013",E662&gt;1000,G662="NPN05"),H662,"")</f>
        <v/>
      </c>
      <c r="BD662" s="44" t="str">
        <f>IF(AND(C662=Master!$H$7,B662="2012-2013",E662="",G662="NPN05"),H662,"")</f>
        <v/>
      </c>
      <c r="BE662" s="44" t="str">
        <f>IF(AND(C662=Master!$H$8,B662="2012-2013",E662&gt;1000,G662="NPN05"),H662,"")</f>
        <v/>
      </c>
      <c r="BF662" s="44" t="str">
        <f>IF(AND(C662=Master!$H$8,B662="2012-2013",E662="",G662="NPN05"),H662,"")</f>
        <v/>
      </c>
      <c r="BG662" s="44" t="str">
        <f>IF(AND(C662=Master!$H$9,B662="2012-2013",E662&gt;1000,G662="NPN05"),H662,"")</f>
        <v/>
      </c>
      <c r="BH662" s="44" t="str">
        <f>IF(AND(C662=Master!$H$9,B662="2012-2013",E662="",G662="NPN05"),H662,"")</f>
        <v/>
      </c>
    </row>
    <row r="663" spans="1:60" x14ac:dyDescent="0.25">
      <c r="A663" s="3">
        <v>661</v>
      </c>
      <c r="B663" s="12"/>
      <c r="C663" s="12"/>
      <c r="D663" s="31"/>
      <c r="E663" s="4"/>
      <c r="F663" s="13"/>
      <c r="G663" s="21"/>
      <c r="H663" s="35"/>
      <c r="I663" s="21"/>
      <c r="J663" s="25" t="str">
        <f>IF(NOT(I663=""),INDEX(Master!$B$1:$B$46,MATCH(I663,Master!$A$1:$A$46,0)),"")</f>
        <v/>
      </c>
      <c r="K663" s="18"/>
      <c r="L663" s="86"/>
      <c r="M663" s="13"/>
      <c r="N663" s="13"/>
      <c r="O663" s="18"/>
      <c r="P663" s="35"/>
      <c r="Q663" s="21"/>
      <c r="R663" s="21"/>
      <c r="S663" s="13"/>
      <c r="T663" s="12"/>
      <c r="U663" s="12"/>
      <c r="V663" s="12"/>
      <c r="W663" s="14"/>
      <c r="Y663" s="42" t="str">
        <f>IF(AND(C663=Master!$H$1,B663="2012-2013",E663&gt;1000,G663="PLN03"),H663,"")</f>
        <v/>
      </c>
      <c r="Z663" s="42" t="str">
        <f>IF(AND(C663=Master!$H$1,B663="2012-2013",E663="",G663="PLN03"),H663,"")</f>
        <v/>
      </c>
      <c r="AA663" s="42" t="str">
        <f>IF(AND(C663=Master!$H$2,B663="2012-2013",E663&gt;1000,G663="PLN03"),H663,"")</f>
        <v/>
      </c>
      <c r="AB663" s="42" t="str">
        <f>IF(AND(C663=Master!$H$2,B663="2012-2013",E663="",G663="PLN03"),H663,"")</f>
        <v/>
      </c>
      <c r="AC663" s="42" t="str">
        <f>IF(AND(C663=Master!$H$3,B663="2012-2013",E663&gt;1000,G663="PLN03"),H663,"")</f>
        <v/>
      </c>
      <c r="AD663" s="42" t="str">
        <f>IF(AND(C663=Master!$H$3,B663="2012-2013",E663="",G663="PLN03"),H663,"")</f>
        <v/>
      </c>
      <c r="AE663" s="42" t="str">
        <f>IF(AND(C663=Master!$H$4,B663="2012-2013",E663&gt;1000,G663="PLN03"),H663,"")</f>
        <v/>
      </c>
      <c r="AF663" s="42" t="str">
        <f>IF(AND(C663=Master!$H$4,B663="2012-2013",E663="",G663="PLN03"),H663,"")</f>
        <v/>
      </c>
      <c r="AG663" s="42" t="str">
        <f>IF(AND(C663=Master!$H$5,B663="2012-2013",E663&gt;1000,G663="PLN03"),H663,"")</f>
        <v/>
      </c>
      <c r="AH663" s="42" t="str">
        <f>IF(AND(C663=Master!$H$5,B663="2012-2013",E663="",G663="PLN03"),H663,"")</f>
        <v/>
      </c>
      <c r="AI663" s="42" t="str">
        <f>IF(AND(C663=Master!$H$6,B663="2012-2013",E663&gt;1000,G663="PLN03"),H663,"")</f>
        <v/>
      </c>
      <c r="AJ663" s="42" t="str">
        <f>IF(AND(C663=Master!$H$6,B663="2012-2013",E663="",G663="PLN03"),H663,"")</f>
        <v/>
      </c>
      <c r="AK663" s="42" t="str">
        <f>IF(AND(C663=Master!$H$7,B663="2012-2013",E663&gt;1000,G663="PLN03"),H663,"")</f>
        <v/>
      </c>
      <c r="AL663" s="42" t="str">
        <f>IF(AND(C663=Master!$H$7,B663="2012-2013",E663="",G663="PLN03"),H663,"")</f>
        <v/>
      </c>
      <c r="AM663" s="42" t="str">
        <f>IF(AND(C663=Master!$H$8,B663="2012-2013",E663&gt;1000,G663="PLN03"),H663,"")</f>
        <v/>
      </c>
      <c r="AN663" s="42" t="str">
        <f>IF(AND(C663=Master!$H$8,B663="2012-2013",E663="",G663="PLN03"),H663,"")</f>
        <v/>
      </c>
      <c r="AO663" s="42" t="str">
        <f>IF(AND(C663=Master!$H$9,B663="2012-2013",E663&gt;1000,G663="PLN03"),H663,"")</f>
        <v/>
      </c>
      <c r="AP663" s="42" t="str">
        <f>IF(AND(C663=Master!$H$9,B663="2012-2013",E663="",G663="PLN03"),H663,"")</f>
        <v/>
      </c>
      <c r="AQ663" s="44" t="str">
        <f>IF(AND(C663=Master!$H$1,B663="2012-2013",E663&gt;1000,G663="NPN05"),H663,"")</f>
        <v/>
      </c>
      <c r="AR663" s="44" t="str">
        <f>IF(AND(C663=Master!$H$1,B663="2012-2013",E663="",G663="NPN05"),H663,"")</f>
        <v/>
      </c>
      <c r="AS663" s="44" t="str">
        <f>IF(AND(C663=Master!$H$2,B663="2012-2013",E663&gt;1000,G663="NPN05"),H663,"")</f>
        <v/>
      </c>
      <c r="AT663" s="44" t="str">
        <f>IF(AND(C663=Master!$H$2,B663="2012-2013",E663="",G663="NPN05"),H663,"")</f>
        <v/>
      </c>
      <c r="AU663" s="44" t="str">
        <f>IF(AND(C663=Master!$H$3,B663="2012-2013",E663&gt;1000,G663="NPN05"),H663,"")</f>
        <v/>
      </c>
      <c r="AV663" s="44" t="str">
        <f>IF(AND(C663=Master!$H$3,B663="2012-2013",E663="",G663="NPN05"),H663,"")</f>
        <v/>
      </c>
      <c r="AW663" s="44" t="str">
        <f>IF(AND(C663=Master!$H$4,B663="2012-2013",E663&gt;1000,G663="NPN05"),H663,"")</f>
        <v/>
      </c>
      <c r="AX663" s="44" t="str">
        <f>IF(AND(C663=Master!$H$4,B663="2012-2013",E663="",G663="NPN05"),H663,"")</f>
        <v/>
      </c>
      <c r="AY663" s="44" t="str">
        <f>IF(AND(C663=Master!$H$5,B663="2012-2013",E663&gt;1000,G663="NPN05"),H663,"")</f>
        <v/>
      </c>
      <c r="AZ663" s="44" t="str">
        <f>IF(AND(C663=Master!$H$5,B663="2012-2013",E663="",G663="NPN05"),H663,"")</f>
        <v/>
      </c>
      <c r="BA663" s="44" t="str">
        <f>IF(AND(C663=Master!$H$6,B663="2012-2013",E663&gt;1000,G663="NPN05"),H663,"")</f>
        <v/>
      </c>
      <c r="BB663" s="44" t="str">
        <f>IF(AND(C663=Master!$H$6,B663="2012-2013",E663="",G663="NPN05"),H663,"")</f>
        <v/>
      </c>
      <c r="BC663" s="44" t="str">
        <f>IF(AND(C663=Master!$H$7,B663="2012-2013",E663&gt;1000,G663="NPN05"),H663,"")</f>
        <v/>
      </c>
      <c r="BD663" s="44" t="str">
        <f>IF(AND(C663=Master!$H$7,B663="2012-2013",E663="",G663="NPN05"),H663,"")</f>
        <v/>
      </c>
      <c r="BE663" s="44" t="str">
        <f>IF(AND(C663=Master!$H$8,B663="2012-2013",E663&gt;1000,G663="NPN05"),H663,"")</f>
        <v/>
      </c>
      <c r="BF663" s="44" t="str">
        <f>IF(AND(C663=Master!$H$8,B663="2012-2013",E663="",G663="NPN05"),H663,"")</f>
        <v/>
      </c>
      <c r="BG663" s="44" t="str">
        <f>IF(AND(C663=Master!$H$9,B663="2012-2013",E663&gt;1000,G663="NPN05"),H663,"")</f>
        <v/>
      </c>
      <c r="BH663" s="44" t="str">
        <f>IF(AND(C663=Master!$H$9,B663="2012-2013",E663="",G663="NPN05"),H663,"")</f>
        <v/>
      </c>
    </row>
    <row r="664" spans="1:60" x14ac:dyDescent="0.25">
      <c r="A664" s="3">
        <v>662</v>
      </c>
      <c r="B664" s="12"/>
      <c r="C664" s="12"/>
      <c r="D664" s="31"/>
      <c r="E664" s="4"/>
      <c r="F664" s="13"/>
      <c r="G664" s="21"/>
      <c r="H664" s="35"/>
      <c r="I664" s="21"/>
      <c r="J664" s="25" t="str">
        <f>IF(NOT(I664=""),INDEX(Master!$B$1:$B$46,MATCH(I664,Master!$A$1:$A$46,0)),"")</f>
        <v/>
      </c>
      <c r="K664" s="18"/>
      <c r="L664" s="86"/>
      <c r="M664" s="13"/>
      <c r="N664" s="13"/>
      <c r="O664" s="18"/>
      <c r="P664" s="35"/>
      <c r="Q664" s="21"/>
      <c r="R664" s="21"/>
      <c r="S664" s="13"/>
      <c r="T664" s="12"/>
      <c r="U664" s="12"/>
      <c r="V664" s="12"/>
      <c r="W664" s="14"/>
      <c r="Y664" s="42" t="str">
        <f>IF(AND(C664=Master!$H$1,B664="2012-2013",E664&gt;1000,G664="PLN03"),H664,"")</f>
        <v/>
      </c>
      <c r="Z664" s="42" t="str">
        <f>IF(AND(C664=Master!$H$1,B664="2012-2013",E664="",G664="PLN03"),H664,"")</f>
        <v/>
      </c>
      <c r="AA664" s="42" t="str">
        <f>IF(AND(C664=Master!$H$2,B664="2012-2013",E664&gt;1000,G664="PLN03"),H664,"")</f>
        <v/>
      </c>
      <c r="AB664" s="42" t="str">
        <f>IF(AND(C664=Master!$H$2,B664="2012-2013",E664="",G664="PLN03"),H664,"")</f>
        <v/>
      </c>
      <c r="AC664" s="42" t="str">
        <f>IF(AND(C664=Master!$H$3,B664="2012-2013",E664&gt;1000,G664="PLN03"),H664,"")</f>
        <v/>
      </c>
      <c r="AD664" s="42" t="str">
        <f>IF(AND(C664=Master!$H$3,B664="2012-2013",E664="",G664="PLN03"),H664,"")</f>
        <v/>
      </c>
      <c r="AE664" s="42" t="str">
        <f>IF(AND(C664=Master!$H$4,B664="2012-2013",E664&gt;1000,G664="PLN03"),H664,"")</f>
        <v/>
      </c>
      <c r="AF664" s="42" t="str">
        <f>IF(AND(C664=Master!$H$4,B664="2012-2013",E664="",G664="PLN03"),H664,"")</f>
        <v/>
      </c>
      <c r="AG664" s="42" t="str">
        <f>IF(AND(C664=Master!$H$5,B664="2012-2013",E664&gt;1000,G664="PLN03"),H664,"")</f>
        <v/>
      </c>
      <c r="AH664" s="42" t="str">
        <f>IF(AND(C664=Master!$H$5,B664="2012-2013",E664="",G664="PLN03"),H664,"")</f>
        <v/>
      </c>
      <c r="AI664" s="42" t="str">
        <f>IF(AND(C664=Master!$H$6,B664="2012-2013",E664&gt;1000,G664="PLN03"),H664,"")</f>
        <v/>
      </c>
      <c r="AJ664" s="42" t="str">
        <f>IF(AND(C664=Master!$H$6,B664="2012-2013",E664="",G664="PLN03"),H664,"")</f>
        <v/>
      </c>
      <c r="AK664" s="42" t="str">
        <f>IF(AND(C664=Master!$H$7,B664="2012-2013",E664&gt;1000,G664="PLN03"),H664,"")</f>
        <v/>
      </c>
      <c r="AL664" s="42" t="str">
        <f>IF(AND(C664=Master!$H$7,B664="2012-2013",E664="",G664="PLN03"),H664,"")</f>
        <v/>
      </c>
      <c r="AM664" s="42" t="str">
        <f>IF(AND(C664=Master!$H$8,B664="2012-2013",E664&gt;1000,G664="PLN03"),H664,"")</f>
        <v/>
      </c>
      <c r="AN664" s="42" t="str">
        <f>IF(AND(C664=Master!$H$8,B664="2012-2013",E664="",G664="PLN03"),H664,"")</f>
        <v/>
      </c>
      <c r="AO664" s="42" t="str">
        <f>IF(AND(C664=Master!$H$9,B664="2012-2013",E664&gt;1000,G664="PLN03"),H664,"")</f>
        <v/>
      </c>
      <c r="AP664" s="42" t="str">
        <f>IF(AND(C664=Master!$H$9,B664="2012-2013",E664="",G664="PLN03"),H664,"")</f>
        <v/>
      </c>
      <c r="AQ664" s="44" t="str">
        <f>IF(AND(C664=Master!$H$1,B664="2012-2013",E664&gt;1000,G664="NPN05"),H664,"")</f>
        <v/>
      </c>
      <c r="AR664" s="44" t="str">
        <f>IF(AND(C664=Master!$H$1,B664="2012-2013",E664="",G664="NPN05"),H664,"")</f>
        <v/>
      </c>
      <c r="AS664" s="44" t="str">
        <f>IF(AND(C664=Master!$H$2,B664="2012-2013",E664&gt;1000,G664="NPN05"),H664,"")</f>
        <v/>
      </c>
      <c r="AT664" s="44" t="str">
        <f>IF(AND(C664=Master!$H$2,B664="2012-2013",E664="",G664="NPN05"),H664,"")</f>
        <v/>
      </c>
      <c r="AU664" s="44" t="str">
        <f>IF(AND(C664=Master!$H$3,B664="2012-2013",E664&gt;1000,G664="NPN05"),H664,"")</f>
        <v/>
      </c>
      <c r="AV664" s="44" t="str">
        <f>IF(AND(C664=Master!$H$3,B664="2012-2013",E664="",G664="NPN05"),H664,"")</f>
        <v/>
      </c>
      <c r="AW664" s="44" t="str">
        <f>IF(AND(C664=Master!$H$4,B664="2012-2013",E664&gt;1000,G664="NPN05"),H664,"")</f>
        <v/>
      </c>
      <c r="AX664" s="44" t="str">
        <f>IF(AND(C664=Master!$H$4,B664="2012-2013",E664="",G664="NPN05"),H664,"")</f>
        <v/>
      </c>
      <c r="AY664" s="44" t="str">
        <f>IF(AND(C664=Master!$H$5,B664="2012-2013",E664&gt;1000,G664="NPN05"),H664,"")</f>
        <v/>
      </c>
      <c r="AZ664" s="44" t="str">
        <f>IF(AND(C664=Master!$H$5,B664="2012-2013",E664="",G664="NPN05"),H664,"")</f>
        <v/>
      </c>
      <c r="BA664" s="44" t="str">
        <f>IF(AND(C664=Master!$H$6,B664="2012-2013",E664&gt;1000,G664="NPN05"),H664,"")</f>
        <v/>
      </c>
      <c r="BB664" s="44" t="str">
        <f>IF(AND(C664=Master!$H$6,B664="2012-2013",E664="",G664="NPN05"),H664,"")</f>
        <v/>
      </c>
      <c r="BC664" s="44" t="str">
        <f>IF(AND(C664=Master!$H$7,B664="2012-2013",E664&gt;1000,G664="NPN05"),H664,"")</f>
        <v/>
      </c>
      <c r="BD664" s="44" t="str">
        <f>IF(AND(C664=Master!$H$7,B664="2012-2013",E664="",G664="NPN05"),H664,"")</f>
        <v/>
      </c>
      <c r="BE664" s="44" t="str">
        <f>IF(AND(C664=Master!$H$8,B664="2012-2013",E664&gt;1000,G664="NPN05"),H664,"")</f>
        <v/>
      </c>
      <c r="BF664" s="44" t="str">
        <f>IF(AND(C664=Master!$H$8,B664="2012-2013",E664="",G664="NPN05"),H664,"")</f>
        <v/>
      </c>
      <c r="BG664" s="44" t="str">
        <f>IF(AND(C664=Master!$H$9,B664="2012-2013",E664&gt;1000,G664="NPN05"),H664,"")</f>
        <v/>
      </c>
      <c r="BH664" s="44" t="str">
        <f>IF(AND(C664=Master!$H$9,B664="2012-2013",E664="",G664="NPN05"),H664,"")</f>
        <v/>
      </c>
    </row>
    <row r="665" spans="1:60" x14ac:dyDescent="0.25">
      <c r="A665" s="3">
        <v>663</v>
      </c>
      <c r="B665" s="12"/>
      <c r="C665" s="12"/>
      <c r="D665" s="31"/>
      <c r="E665" s="4"/>
      <c r="F665" s="13"/>
      <c r="G665" s="21"/>
      <c r="H665" s="35"/>
      <c r="I665" s="21"/>
      <c r="J665" s="25" t="str">
        <f>IF(NOT(I665=""),INDEX(Master!$B$1:$B$46,MATCH(I665,Master!$A$1:$A$46,0)),"")</f>
        <v/>
      </c>
      <c r="K665" s="18"/>
      <c r="L665" s="86"/>
      <c r="M665" s="13"/>
      <c r="N665" s="13"/>
      <c r="O665" s="18"/>
      <c r="P665" s="35"/>
      <c r="Q665" s="21"/>
      <c r="R665" s="21"/>
      <c r="S665" s="13"/>
      <c r="T665" s="12"/>
      <c r="U665" s="12"/>
      <c r="V665" s="12"/>
      <c r="W665" s="14"/>
      <c r="Y665" s="42" t="str">
        <f>IF(AND(C665=Master!$H$1,B665="2012-2013",E665&gt;1000,G665="PLN03"),H665,"")</f>
        <v/>
      </c>
      <c r="Z665" s="42" t="str">
        <f>IF(AND(C665=Master!$H$1,B665="2012-2013",E665="",G665="PLN03"),H665,"")</f>
        <v/>
      </c>
      <c r="AA665" s="42" t="str">
        <f>IF(AND(C665=Master!$H$2,B665="2012-2013",E665&gt;1000,G665="PLN03"),H665,"")</f>
        <v/>
      </c>
      <c r="AB665" s="42" t="str">
        <f>IF(AND(C665=Master!$H$2,B665="2012-2013",E665="",G665="PLN03"),H665,"")</f>
        <v/>
      </c>
      <c r="AC665" s="42" t="str">
        <f>IF(AND(C665=Master!$H$3,B665="2012-2013",E665&gt;1000,G665="PLN03"),H665,"")</f>
        <v/>
      </c>
      <c r="AD665" s="42" t="str">
        <f>IF(AND(C665=Master!$H$3,B665="2012-2013",E665="",G665="PLN03"),H665,"")</f>
        <v/>
      </c>
      <c r="AE665" s="42" t="str">
        <f>IF(AND(C665=Master!$H$4,B665="2012-2013",E665&gt;1000,G665="PLN03"),H665,"")</f>
        <v/>
      </c>
      <c r="AF665" s="42" t="str">
        <f>IF(AND(C665=Master!$H$4,B665="2012-2013",E665="",G665="PLN03"),H665,"")</f>
        <v/>
      </c>
      <c r="AG665" s="42" t="str">
        <f>IF(AND(C665=Master!$H$5,B665="2012-2013",E665&gt;1000,G665="PLN03"),H665,"")</f>
        <v/>
      </c>
      <c r="AH665" s="42" t="str">
        <f>IF(AND(C665=Master!$H$5,B665="2012-2013",E665="",G665="PLN03"),H665,"")</f>
        <v/>
      </c>
      <c r="AI665" s="42" t="str">
        <f>IF(AND(C665=Master!$H$6,B665="2012-2013",E665&gt;1000,G665="PLN03"),H665,"")</f>
        <v/>
      </c>
      <c r="AJ665" s="42" t="str">
        <f>IF(AND(C665=Master!$H$6,B665="2012-2013",E665="",G665="PLN03"),H665,"")</f>
        <v/>
      </c>
      <c r="AK665" s="42" t="str">
        <f>IF(AND(C665=Master!$H$7,B665="2012-2013",E665&gt;1000,G665="PLN03"),H665,"")</f>
        <v/>
      </c>
      <c r="AL665" s="42" t="str">
        <f>IF(AND(C665=Master!$H$7,B665="2012-2013",E665="",G665="PLN03"),H665,"")</f>
        <v/>
      </c>
      <c r="AM665" s="42" t="str">
        <f>IF(AND(C665=Master!$H$8,B665="2012-2013",E665&gt;1000,G665="PLN03"),H665,"")</f>
        <v/>
      </c>
      <c r="AN665" s="42" t="str">
        <f>IF(AND(C665=Master!$H$8,B665="2012-2013",E665="",G665="PLN03"),H665,"")</f>
        <v/>
      </c>
      <c r="AO665" s="42" t="str">
        <f>IF(AND(C665=Master!$H$9,B665="2012-2013",E665&gt;1000,G665="PLN03"),H665,"")</f>
        <v/>
      </c>
      <c r="AP665" s="42" t="str">
        <f>IF(AND(C665=Master!$H$9,B665="2012-2013",E665="",G665="PLN03"),H665,"")</f>
        <v/>
      </c>
      <c r="AQ665" s="44" t="str">
        <f>IF(AND(C665=Master!$H$1,B665="2012-2013",E665&gt;1000,G665="NPN05"),H665,"")</f>
        <v/>
      </c>
      <c r="AR665" s="44" t="str">
        <f>IF(AND(C665=Master!$H$1,B665="2012-2013",E665="",G665="NPN05"),H665,"")</f>
        <v/>
      </c>
      <c r="AS665" s="44" t="str">
        <f>IF(AND(C665=Master!$H$2,B665="2012-2013",E665&gt;1000,G665="NPN05"),H665,"")</f>
        <v/>
      </c>
      <c r="AT665" s="44" t="str">
        <f>IF(AND(C665=Master!$H$2,B665="2012-2013",E665="",G665="NPN05"),H665,"")</f>
        <v/>
      </c>
      <c r="AU665" s="44" t="str">
        <f>IF(AND(C665=Master!$H$3,B665="2012-2013",E665&gt;1000,G665="NPN05"),H665,"")</f>
        <v/>
      </c>
      <c r="AV665" s="44" t="str">
        <f>IF(AND(C665=Master!$H$3,B665="2012-2013",E665="",G665="NPN05"),H665,"")</f>
        <v/>
      </c>
      <c r="AW665" s="44" t="str">
        <f>IF(AND(C665=Master!$H$4,B665="2012-2013",E665&gt;1000,G665="NPN05"),H665,"")</f>
        <v/>
      </c>
      <c r="AX665" s="44" t="str">
        <f>IF(AND(C665=Master!$H$4,B665="2012-2013",E665="",G665="NPN05"),H665,"")</f>
        <v/>
      </c>
      <c r="AY665" s="44" t="str">
        <f>IF(AND(C665=Master!$H$5,B665="2012-2013",E665&gt;1000,G665="NPN05"),H665,"")</f>
        <v/>
      </c>
      <c r="AZ665" s="44" t="str">
        <f>IF(AND(C665=Master!$H$5,B665="2012-2013",E665="",G665="NPN05"),H665,"")</f>
        <v/>
      </c>
      <c r="BA665" s="44" t="str">
        <f>IF(AND(C665=Master!$H$6,B665="2012-2013",E665&gt;1000,G665="NPN05"),H665,"")</f>
        <v/>
      </c>
      <c r="BB665" s="44" t="str">
        <f>IF(AND(C665=Master!$H$6,B665="2012-2013",E665="",G665="NPN05"),H665,"")</f>
        <v/>
      </c>
      <c r="BC665" s="44" t="str">
        <f>IF(AND(C665=Master!$H$7,B665="2012-2013",E665&gt;1000,G665="NPN05"),H665,"")</f>
        <v/>
      </c>
      <c r="BD665" s="44" t="str">
        <f>IF(AND(C665=Master!$H$7,B665="2012-2013",E665="",G665="NPN05"),H665,"")</f>
        <v/>
      </c>
      <c r="BE665" s="44" t="str">
        <f>IF(AND(C665=Master!$H$8,B665="2012-2013",E665&gt;1000,G665="NPN05"),H665,"")</f>
        <v/>
      </c>
      <c r="BF665" s="44" t="str">
        <f>IF(AND(C665=Master!$H$8,B665="2012-2013",E665="",G665="NPN05"),H665,"")</f>
        <v/>
      </c>
      <c r="BG665" s="44" t="str">
        <f>IF(AND(C665=Master!$H$9,B665="2012-2013",E665&gt;1000,G665="NPN05"),H665,"")</f>
        <v/>
      </c>
      <c r="BH665" s="44" t="str">
        <f>IF(AND(C665=Master!$H$9,B665="2012-2013",E665="",G665="NPN05"),H665,"")</f>
        <v/>
      </c>
    </row>
    <row r="666" spans="1:60" x14ac:dyDescent="0.25">
      <c r="A666" s="3">
        <v>664</v>
      </c>
      <c r="B666" s="12"/>
      <c r="C666" s="12"/>
      <c r="D666" s="31"/>
      <c r="E666" s="4"/>
      <c r="F666" s="13"/>
      <c r="G666" s="21"/>
      <c r="H666" s="35"/>
      <c r="I666" s="21"/>
      <c r="J666" s="25" t="str">
        <f>IF(NOT(I666=""),INDEX(Master!$B$1:$B$46,MATCH(I666,Master!$A$1:$A$46,0)),"")</f>
        <v/>
      </c>
      <c r="K666" s="18"/>
      <c r="L666" s="86"/>
      <c r="M666" s="13"/>
      <c r="N666" s="13"/>
      <c r="O666" s="18"/>
      <c r="P666" s="35"/>
      <c r="Q666" s="21"/>
      <c r="R666" s="21"/>
      <c r="S666" s="13"/>
      <c r="T666" s="12"/>
      <c r="U666" s="12"/>
      <c r="V666" s="12"/>
      <c r="W666" s="14"/>
      <c r="Y666" s="42" t="str">
        <f>IF(AND(C666=Master!$H$1,B666="2012-2013",E666&gt;1000,G666="PLN03"),H666,"")</f>
        <v/>
      </c>
      <c r="Z666" s="42" t="str">
        <f>IF(AND(C666=Master!$H$1,B666="2012-2013",E666="",G666="PLN03"),H666,"")</f>
        <v/>
      </c>
      <c r="AA666" s="42" t="str">
        <f>IF(AND(C666=Master!$H$2,B666="2012-2013",E666&gt;1000,G666="PLN03"),H666,"")</f>
        <v/>
      </c>
      <c r="AB666" s="42" t="str">
        <f>IF(AND(C666=Master!$H$2,B666="2012-2013",E666="",G666="PLN03"),H666,"")</f>
        <v/>
      </c>
      <c r="AC666" s="42" t="str">
        <f>IF(AND(C666=Master!$H$3,B666="2012-2013",E666&gt;1000,G666="PLN03"),H666,"")</f>
        <v/>
      </c>
      <c r="AD666" s="42" t="str">
        <f>IF(AND(C666=Master!$H$3,B666="2012-2013",E666="",G666="PLN03"),H666,"")</f>
        <v/>
      </c>
      <c r="AE666" s="42" t="str">
        <f>IF(AND(C666=Master!$H$4,B666="2012-2013",E666&gt;1000,G666="PLN03"),H666,"")</f>
        <v/>
      </c>
      <c r="AF666" s="42" t="str">
        <f>IF(AND(C666=Master!$H$4,B666="2012-2013",E666="",G666="PLN03"),H666,"")</f>
        <v/>
      </c>
      <c r="AG666" s="42" t="str">
        <f>IF(AND(C666=Master!$H$5,B666="2012-2013",E666&gt;1000,G666="PLN03"),H666,"")</f>
        <v/>
      </c>
      <c r="AH666" s="42" t="str">
        <f>IF(AND(C666=Master!$H$5,B666="2012-2013",E666="",G666="PLN03"),H666,"")</f>
        <v/>
      </c>
      <c r="AI666" s="42" t="str">
        <f>IF(AND(C666=Master!$H$6,B666="2012-2013",E666&gt;1000,G666="PLN03"),H666,"")</f>
        <v/>
      </c>
      <c r="AJ666" s="42" t="str">
        <f>IF(AND(C666=Master!$H$6,B666="2012-2013",E666="",G666="PLN03"),H666,"")</f>
        <v/>
      </c>
      <c r="AK666" s="42" t="str">
        <f>IF(AND(C666=Master!$H$7,B666="2012-2013",E666&gt;1000,G666="PLN03"),H666,"")</f>
        <v/>
      </c>
      <c r="AL666" s="42" t="str">
        <f>IF(AND(C666=Master!$H$7,B666="2012-2013",E666="",G666="PLN03"),H666,"")</f>
        <v/>
      </c>
      <c r="AM666" s="42" t="str">
        <f>IF(AND(C666=Master!$H$8,B666="2012-2013",E666&gt;1000,G666="PLN03"),H666,"")</f>
        <v/>
      </c>
      <c r="AN666" s="42" t="str">
        <f>IF(AND(C666=Master!$H$8,B666="2012-2013",E666="",G666="PLN03"),H666,"")</f>
        <v/>
      </c>
      <c r="AO666" s="42" t="str">
        <f>IF(AND(C666=Master!$H$9,B666="2012-2013",E666&gt;1000,G666="PLN03"),H666,"")</f>
        <v/>
      </c>
      <c r="AP666" s="42" t="str">
        <f>IF(AND(C666=Master!$H$9,B666="2012-2013",E666="",G666="PLN03"),H666,"")</f>
        <v/>
      </c>
      <c r="AQ666" s="44" t="str">
        <f>IF(AND(C666=Master!$H$1,B666="2012-2013",E666&gt;1000,G666="NPN05"),H666,"")</f>
        <v/>
      </c>
      <c r="AR666" s="44" t="str">
        <f>IF(AND(C666=Master!$H$1,B666="2012-2013",E666="",G666="NPN05"),H666,"")</f>
        <v/>
      </c>
      <c r="AS666" s="44" t="str">
        <f>IF(AND(C666=Master!$H$2,B666="2012-2013",E666&gt;1000,G666="NPN05"),H666,"")</f>
        <v/>
      </c>
      <c r="AT666" s="44" t="str">
        <f>IF(AND(C666=Master!$H$2,B666="2012-2013",E666="",G666="NPN05"),H666,"")</f>
        <v/>
      </c>
      <c r="AU666" s="44" t="str">
        <f>IF(AND(C666=Master!$H$3,B666="2012-2013",E666&gt;1000,G666="NPN05"),H666,"")</f>
        <v/>
      </c>
      <c r="AV666" s="44" t="str">
        <f>IF(AND(C666=Master!$H$3,B666="2012-2013",E666="",G666="NPN05"),H666,"")</f>
        <v/>
      </c>
      <c r="AW666" s="44" t="str">
        <f>IF(AND(C666=Master!$H$4,B666="2012-2013",E666&gt;1000,G666="NPN05"),H666,"")</f>
        <v/>
      </c>
      <c r="AX666" s="44" t="str">
        <f>IF(AND(C666=Master!$H$4,B666="2012-2013",E666="",G666="NPN05"),H666,"")</f>
        <v/>
      </c>
      <c r="AY666" s="44" t="str">
        <f>IF(AND(C666=Master!$H$5,B666="2012-2013",E666&gt;1000,G666="NPN05"),H666,"")</f>
        <v/>
      </c>
      <c r="AZ666" s="44" t="str">
        <f>IF(AND(C666=Master!$H$5,B666="2012-2013",E666="",G666="NPN05"),H666,"")</f>
        <v/>
      </c>
      <c r="BA666" s="44" t="str">
        <f>IF(AND(C666=Master!$H$6,B666="2012-2013",E666&gt;1000,G666="NPN05"),H666,"")</f>
        <v/>
      </c>
      <c r="BB666" s="44" t="str">
        <f>IF(AND(C666=Master!$H$6,B666="2012-2013",E666="",G666="NPN05"),H666,"")</f>
        <v/>
      </c>
      <c r="BC666" s="44" t="str">
        <f>IF(AND(C666=Master!$H$7,B666="2012-2013",E666&gt;1000,G666="NPN05"),H666,"")</f>
        <v/>
      </c>
      <c r="BD666" s="44" t="str">
        <f>IF(AND(C666=Master!$H$7,B666="2012-2013",E666="",G666="NPN05"),H666,"")</f>
        <v/>
      </c>
      <c r="BE666" s="44" t="str">
        <f>IF(AND(C666=Master!$H$8,B666="2012-2013",E666&gt;1000,G666="NPN05"),H666,"")</f>
        <v/>
      </c>
      <c r="BF666" s="44" t="str">
        <f>IF(AND(C666=Master!$H$8,B666="2012-2013",E666="",G666="NPN05"),H666,"")</f>
        <v/>
      </c>
      <c r="BG666" s="44" t="str">
        <f>IF(AND(C666=Master!$H$9,B666="2012-2013",E666&gt;1000,G666="NPN05"),H666,"")</f>
        <v/>
      </c>
      <c r="BH666" s="44" t="str">
        <f>IF(AND(C666=Master!$H$9,B666="2012-2013",E666="",G666="NPN05"),H666,"")</f>
        <v/>
      </c>
    </row>
    <row r="667" spans="1:60" x14ac:dyDescent="0.25">
      <c r="A667" s="3">
        <v>665</v>
      </c>
      <c r="B667" s="12"/>
      <c r="C667" s="12"/>
      <c r="D667" s="31"/>
      <c r="E667" s="4"/>
      <c r="F667" s="13"/>
      <c r="G667" s="21"/>
      <c r="H667" s="35"/>
      <c r="I667" s="21"/>
      <c r="J667" s="25" t="str">
        <f>IF(NOT(I667=""),INDEX(Master!$B$1:$B$46,MATCH(I667,Master!$A$1:$A$46,0)),"")</f>
        <v/>
      </c>
      <c r="K667" s="18"/>
      <c r="L667" s="86"/>
      <c r="M667" s="13"/>
      <c r="N667" s="13"/>
      <c r="O667" s="18"/>
      <c r="P667" s="35"/>
      <c r="Q667" s="21"/>
      <c r="R667" s="21"/>
      <c r="S667" s="13"/>
      <c r="T667" s="12"/>
      <c r="U667" s="12"/>
      <c r="V667" s="12"/>
      <c r="W667" s="14"/>
      <c r="Y667" s="42" t="str">
        <f>IF(AND(C667=Master!$H$1,B667="2012-2013",E667&gt;1000,G667="PLN03"),H667,"")</f>
        <v/>
      </c>
      <c r="Z667" s="42" t="str">
        <f>IF(AND(C667=Master!$H$1,B667="2012-2013",E667="",G667="PLN03"),H667,"")</f>
        <v/>
      </c>
      <c r="AA667" s="42" t="str">
        <f>IF(AND(C667=Master!$H$2,B667="2012-2013",E667&gt;1000,G667="PLN03"),H667,"")</f>
        <v/>
      </c>
      <c r="AB667" s="42" t="str">
        <f>IF(AND(C667=Master!$H$2,B667="2012-2013",E667="",G667="PLN03"),H667,"")</f>
        <v/>
      </c>
      <c r="AC667" s="42" t="str">
        <f>IF(AND(C667=Master!$H$3,B667="2012-2013",E667&gt;1000,G667="PLN03"),H667,"")</f>
        <v/>
      </c>
      <c r="AD667" s="42" t="str">
        <f>IF(AND(C667=Master!$H$3,B667="2012-2013",E667="",G667="PLN03"),H667,"")</f>
        <v/>
      </c>
      <c r="AE667" s="42" t="str">
        <f>IF(AND(C667=Master!$H$4,B667="2012-2013",E667&gt;1000,G667="PLN03"),H667,"")</f>
        <v/>
      </c>
      <c r="AF667" s="42" t="str">
        <f>IF(AND(C667=Master!$H$4,B667="2012-2013",E667="",G667="PLN03"),H667,"")</f>
        <v/>
      </c>
      <c r="AG667" s="42" t="str">
        <f>IF(AND(C667=Master!$H$5,B667="2012-2013",E667&gt;1000,G667="PLN03"),H667,"")</f>
        <v/>
      </c>
      <c r="AH667" s="42" t="str">
        <f>IF(AND(C667=Master!$H$5,B667="2012-2013",E667="",G667="PLN03"),H667,"")</f>
        <v/>
      </c>
      <c r="AI667" s="42" t="str">
        <f>IF(AND(C667=Master!$H$6,B667="2012-2013",E667&gt;1000,G667="PLN03"),H667,"")</f>
        <v/>
      </c>
      <c r="AJ667" s="42" t="str">
        <f>IF(AND(C667=Master!$H$6,B667="2012-2013",E667="",G667="PLN03"),H667,"")</f>
        <v/>
      </c>
      <c r="AK667" s="42" t="str">
        <f>IF(AND(C667=Master!$H$7,B667="2012-2013",E667&gt;1000,G667="PLN03"),H667,"")</f>
        <v/>
      </c>
      <c r="AL667" s="42" t="str">
        <f>IF(AND(C667=Master!$H$7,B667="2012-2013",E667="",G667="PLN03"),H667,"")</f>
        <v/>
      </c>
      <c r="AM667" s="42" t="str">
        <f>IF(AND(C667=Master!$H$8,B667="2012-2013",E667&gt;1000,G667="PLN03"),H667,"")</f>
        <v/>
      </c>
      <c r="AN667" s="42" t="str">
        <f>IF(AND(C667=Master!$H$8,B667="2012-2013",E667="",G667="PLN03"),H667,"")</f>
        <v/>
      </c>
      <c r="AO667" s="42" t="str">
        <f>IF(AND(C667=Master!$H$9,B667="2012-2013",E667&gt;1000,G667="PLN03"),H667,"")</f>
        <v/>
      </c>
      <c r="AP667" s="42" t="str">
        <f>IF(AND(C667=Master!$H$9,B667="2012-2013",E667="",G667="PLN03"),H667,"")</f>
        <v/>
      </c>
      <c r="AQ667" s="44" t="str">
        <f>IF(AND(C667=Master!$H$1,B667="2012-2013",E667&gt;1000,G667="NPN05"),H667,"")</f>
        <v/>
      </c>
      <c r="AR667" s="44" t="str">
        <f>IF(AND(C667=Master!$H$1,B667="2012-2013",E667="",G667="NPN05"),H667,"")</f>
        <v/>
      </c>
      <c r="AS667" s="44" t="str">
        <f>IF(AND(C667=Master!$H$2,B667="2012-2013",E667&gt;1000,G667="NPN05"),H667,"")</f>
        <v/>
      </c>
      <c r="AT667" s="44" t="str">
        <f>IF(AND(C667=Master!$H$2,B667="2012-2013",E667="",G667="NPN05"),H667,"")</f>
        <v/>
      </c>
      <c r="AU667" s="44" t="str">
        <f>IF(AND(C667=Master!$H$3,B667="2012-2013",E667&gt;1000,G667="NPN05"),H667,"")</f>
        <v/>
      </c>
      <c r="AV667" s="44" t="str">
        <f>IF(AND(C667=Master!$H$3,B667="2012-2013",E667="",G667="NPN05"),H667,"")</f>
        <v/>
      </c>
      <c r="AW667" s="44" t="str">
        <f>IF(AND(C667=Master!$H$4,B667="2012-2013",E667&gt;1000,G667="NPN05"),H667,"")</f>
        <v/>
      </c>
      <c r="AX667" s="44" t="str">
        <f>IF(AND(C667=Master!$H$4,B667="2012-2013",E667="",G667="NPN05"),H667,"")</f>
        <v/>
      </c>
      <c r="AY667" s="44" t="str">
        <f>IF(AND(C667=Master!$H$5,B667="2012-2013",E667&gt;1000,G667="NPN05"),H667,"")</f>
        <v/>
      </c>
      <c r="AZ667" s="44" t="str">
        <f>IF(AND(C667=Master!$H$5,B667="2012-2013",E667="",G667="NPN05"),H667,"")</f>
        <v/>
      </c>
      <c r="BA667" s="44" t="str">
        <f>IF(AND(C667=Master!$H$6,B667="2012-2013",E667&gt;1000,G667="NPN05"),H667,"")</f>
        <v/>
      </c>
      <c r="BB667" s="44" t="str">
        <f>IF(AND(C667=Master!$H$6,B667="2012-2013",E667="",G667="NPN05"),H667,"")</f>
        <v/>
      </c>
      <c r="BC667" s="44" t="str">
        <f>IF(AND(C667=Master!$H$7,B667="2012-2013",E667&gt;1000,G667="NPN05"),H667,"")</f>
        <v/>
      </c>
      <c r="BD667" s="44" t="str">
        <f>IF(AND(C667=Master!$H$7,B667="2012-2013",E667="",G667="NPN05"),H667,"")</f>
        <v/>
      </c>
      <c r="BE667" s="44" t="str">
        <f>IF(AND(C667=Master!$H$8,B667="2012-2013",E667&gt;1000,G667="NPN05"),H667,"")</f>
        <v/>
      </c>
      <c r="BF667" s="44" t="str">
        <f>IF(AND(C667=Master!$H$8,B667="2012-2013",E667="",G667="NPN05"),H667,"")</f>
        <v/>
      </c>
      <c r="BG667" s="44" t="str">
        <f>IF(AND(C667=Master!$H$9,B667="2012-2013",E667&gt;1000,G667="NPN05"),H667,"")</f>
        <v/>
      </c>
      <c r="BH667" s="44" t="str">
        <f>IF(AND(C667=Master!$H$9,B667="2012-2013",E667="",G667="NPN05"),H667,"")</f>
        <v/>
      </c>
    </row>
    <row r="668" spans="1:60" x14ac:dyDescent="0.25">
      <c r="A668" s="3">
        <v>666</v>
      </c>
      <c r="B668" s="12"/>
      <c r="C668" s="12"/>
      <c r="D668" s="31"/>
      <c r="E668" s="4"/>
      <c r="F668" s="13"/>
      <c r="G668" s="21"/>
      <c r="H668" s="35"/>
      <c r="I668" s="21"/>
      <c r="J668" s="25" t="str">
        <f>IF(NOT(I668=""),INDEX(Master!$B$1:$B$46,MATCH(I668,Master!$A$1:$A$46,0)),"")</f>
        <v/>
      </c>
      <c r="K668" s="18"/>
      <c r="L668" s="86"/>
      <c r="M668" s="13"/>
      <c r="N668" s="13"/>
      <c r="O668" s="18"/>
      <c r="P668" s="35"/>
      <c r="Q668" s="21"/>
      <c r="R668" s="21"/>
      <c r="S668" s="13"/>
      <c r="T668" s="12"/>
      <c r="U668" s="12"/>
      <c r="V668" s="12"/>
      <c r="W668" s="14"/>
      <c r="Y668" s="42" t="str">
        <f>IF(AND(C668=Master!$H$1,B668="2012-2013",E668&gt;1000,G668="PLN03"),H668,"")</f>
        <v/>
      </c>
      <c r="Z668" s="42" t="str">
        <f>IF(AND(C668=Master!$H$1,B668="2012-2013",E668="",G668="PLN03"),H668,"")</f>
        <v/>
      </c>
      <c r="AA668" s="42" t="str">
        <f>IF(AND(C668=Master!$H$2,B668="2012-2013",E668&gt;1000,G668="PLN03"),H668,"")</f>
        <v/>
      </c>
      <c r="AB668" s="42" t="str">
        <f>IF(AND(C668=Master!$H$2,B668="2012-2013",E668="",G668="PLN03"),H668,"")</f>
        <v/>
      </c>
      <c r="AC668" s="42" t="str">
        <f>IF(AND(C668=Master!$H$3,B668="2012-2013",E668&gt;1000,G668="PLN03"),H668,"")</f>
        <v/>
      </c>
      <c r="AD668" s="42" t="str">
        <f>IF(AND(C668=Master!$H$3,B668="2012-2013",E668="",G668="PLN03"),H668,"")</f>
        <v/>
      </c>
      <c r="AE668" s="42" t="str">
        <f>IF(AND(C668=Master!$H$4,B668="2012-2013",E668&gt;1000,G668="PLN03"),H668,"")</f>
        <v/>
      </c>
      <c r="AF668" s="42" t="str">
        <f>IF(AND(C668=Master!$H$4,B668="2012-2013",E668="",G668="PLN03"),H668,"")</f>
        <v/>
      </c>
      <c r="AG668" s="42" t="str">
        <f>IF(AND(C668=Master!$H$5,B668="2012-2013",E668&gt;1000,G668="PLN03"),H668,"")</f>
        <v/>
      </c>
      <c r="AH668" s="42" t="str">
        <f>IF(AND(C668=Master!$H$5,B668="2012-2013",E668="",G668="PLN03"),H668,"")</f>
        <v/>
      </c>
      <c r="AI668" s="42" t="str">
        <f>IF(AND(C668=Master!$H$6,B668="2012-2013",E668&gt;1000,G668="PLN03"),H668,"")</f>
        <v/>
      </c>
      <c r="AJ668" s="42" t="str">
        <f>IF(AND(C668=Master!$H$6,B668="2012-2013",E668="",G668="PLN03"),H668,"")</f>
        <v/>
      </c>
      <c r="AK668" s="42" t="str">
        <f>IF(AND(C668=Master!$H$7,B668="2012-2013",E668&gt;1000,G668="PLN03"),H668,"")</f>
        <v/>
      </c>
      <c r="AL668" s="42" t="str">
        <f>IF(AND(C668=Master!$H$7,B668="2012-2013",E668="",G668="PLN03"),H668,"")</f>
        <v/>
      </c>
      <c r="AM668" s="42" t="str">
        <f>IF(AND(C668=Master!$H$8,B668="2012-2013",E668&gt;1000,G668="PLN03"),H668,"")</f>
        <v/>
      </c>
      <c r="AN668" s="42" t="str">
        <f>IF(AND(C668=Master!$H$8,B668="2012-2013",E668="",G668="PLN03"),H668,"")</f>
        <v/>
      </c>
      <c r="AO668" s="42" t="str">
        <f>IF(AND(C668=Master!$H$9,B668="2012-2013",E668&gt;1000,G668="PLN03"),H668,"")</f>
        <v/>
      </c>
      <c r="AP668" s="42" t="str">
        <f>IF(AND(C668=Master!$H$9,B668="2012-2013",E668="",G668="PLN03"),H668,"")</f>
        <v/>
      </c>
      <c r="AQ668" s="44" t="str">
        <f>IF(AND(C668=Master!$H$1,B668="2012-2013",E668&gt;1000,G668="NPN05"),H668,"")</f>
        <v/>
      </c>
      <c r="AR668" s="44" t="str">
        <f>IF(AND(C668=Master!$H$1,B668="2012-2013",E668="",G668="NPN05"),H668,"")</f>
        <v/>
      </c>
      <c r="AS668" s="44" t="str">
        <f>IF(AND(C668=Master!$H$2,B668="2012-2013",E668&gt;1000,G668="NPN05"),H668,"")</f>
        <v/>
      </c>
      <c r="AT668" s="44" t="str">
        <f>IF(AND(C668=Master!$H$2,B668="2012-2013",E668="",G668="NPN05"),H668,"")</f>
        <v/>
      </c>
      <c r="AU668" s="44" t="str">
        <f>IF(AND(C668=Master!$H$3,B668="2012-2013",E668&gt;1000,G668="NPN05"),H668,"")</f>
        <v/>
      </c>
      <c r="AV668" s="44" t="str">
        <f>IF(AND(C668=Master!$H$3,B668="2012-2013",E668="",G668="NPN05"),H668,"")</f>
        <v/>
      </c>
      <c r="AW668" s="44" t="str">
        <f>IF(AND(C668=Master!$H$4,B668="2012-2013",E668&gt;1000,G668="NPN05"),H668,"")</f>
        <v/>
      </c>
      <c r="AX668" s="44" t="str">
        <f>IF(AND(C668=Master!$H$4,B668="2012-2013",E668="",G668="NPN05"),H668,"")</f>
        <v/>
      </c>
      <c r="AY668" s="44" t="str">
        <f>IF(AND(C668=Master!$H$5,B668="2012-2013",E668&gt;1000,G668="NPN05"),H668,"")</f>
        <v/>
      </c>
      <c r="AZ668" s="44" t="str">
        <f>IF(AND(C668=Master!$H$5,B668="2012-2013",E668="",G668="NPN05"),H668,"")</f>
        <v/>
      </c>
      <c r="BA668" s="44" t="str">
        <f>IF(AND(C668=Master!$H$6,B668="2012-2013",E668&gt;1000,G668="NPN05"),H668,"")</f>
        <v/>
      </c>
      <c r="BB668" s="44" t="str">
        <f>IF(AND(C668=Master!$H$6,B668="2012-2013",E668="",G668="NPN05"),H668,"")</f>
        <v/>
      </c>
      <c r="BC668" s="44" t="str">
        <f>IF(AND(C668=Master!$H$7,B668="2012-2013",E668&gt;1000,G668="NPN05"),H668,"")</f>
        <v/>
      </c>
      <c r="BD668" s="44" t="str">
        <f>IF(AND(C668=Master!$H$7,B668="2012-2013",E668="",G668="NPN05"),H668,"")</f>
        <v/>
      </c>
      <c r="BE668" s="44" t="str">
        <f>IF(AND(C668=Master!$H$8,B668="2012-2013",E668&gt;1000,G668="NPN05"),H668,"")</f>
        <v/>
      </c>
      <c r="BF668" s="44" t="str">
        <f>IF(AND(C668=Master!$H$8,B668="2012-2013",E668="",G668="NPN05"),H668,"")</f>
        <v/>
      </c>
      <c r="BG668" s="44" t="str">
        <f>IF(AND(C668=Master!$H$9,B668="2012-2013",E668&gt;1000,G668="NPN05"),H668,"")</f>
        <v/>
      </c>
      <c r="BH668" s="44" t="str">
        <f>IF(AND(C668=Master!$H$9,B668="2012-2013",E668="",G668="NPN05"),H668,"")</f>
        <v/>
      </c>
    </row>
    <row r="669" spans="1:60" x14ac:dyDescent="0.25">
      <c r="A669" s="3">
        <v>667</v>
      </c>
      <c r="B669" s="12"/>
      <c r="C669" s="12"/>
      <c r="D669" s="31"/>
      <c r="E669" s="4"/>
      <c r="F669" s="13"/>
      <c r="G669" s="21"/>
      <c r="H669" s="35"/>
      <c r="I669" s="21"/>
      <c r="J669" s="25" t="str">
        <f>IF(NOT(I669=""),INDEX(Master!$B$1:$B$46,MATCH(I669,Master!$A$1:$A$46,0)),"")</f>
        <v/>
      </c>
      <c r="K669" s="18"/>
      <c r="L669" s="86"/>
      <c r="M669" s="13"/>
      <c r="N669" s="13"/>
      <c r="O669" s="18"/>
      <c r="P669" s="35"/>
      <c r="Q669" s="21"/>
      <c r="R669" s="21"/>
      <c r="S669" s="13"/>
      <c r="T669" s="12"/>
      <c r="U669" s="12"/>
      <c r="V669" s="12"/>
      <c r="W669" s="14"/>
      <c r="Y669" s="42" t="str">
        <f>IF(AND(C669=Master!$H$1,B669="2012-2013",E669&gt;1000,G669="PLN03"),H669,"")</f>
        <v/>
      </c>
      <c r="Z669" s="42" t="str">
        <f>IF(AND(C669=Master!$H$1,B669="2012-2013",E669="",G669="PLN03"),H669,"")</f>
        <v/>
      </c>
      <c r="AA669" s="42" t="str">
        <f>IF(AND(C669=Master!$H$2,B669="2012-2013",E669&gt;1000,G669="PLN03"),H669,"")</f>
        <v/>
      </c>
      <c r="AB669" s="42" t="str">
        <f>IF(AND(C669=Master!$H$2,B669="2012-2013",E669="",G669="PLN03"),H669,"")</f>
        <v/>
      </c>
      <c r="AC669" s="42" t="str">
        <f>IF(AND(C669=Master!$H$3,B669="2012-2013",E669&gt;1000,G669="PLN03"),H669,"")</f>
        <v/>
      </c>
      <c r="AD669" s="42" t="str">
        <f>IF(AND(C669=Master!$H$3,B669="2012-2013",E669="",G669="PLN03"),H669,"")</f>
        <v/>
      </c>
      <c r="AE669" s="42" t="str">
        <f>IF(AND(C669=Master!$H$4,B669="2012-2013",E669&gt;1000,G669="PLN03"),H669,"")</f>
        <v/>
      </c>
      <c r="AF669" s="42" t="str">
        <f>IF(AND(C669=Master!$H$4,B669="2012-2013",E669="",G669="PLN03"),H669,"")</f>
        <v/>
      </c>
      <c r="AG669" s="42" t="str">
        <f>IF(AND(C669=Master!$H$5,B669="2012-2013",E669&gt;1000,G669="PLN03"),H669,"")</f>
        <v/>
      </c>
      <c r="AH669" s="42" t="str">
        <f>IF(AND(C669=Master!$H$5,B669="2012-2013",E669="",G669="PLN03"),H669,"")</f>
        <v/>
      </c>
      <c r="AI669" s="42" t="str">
        <f>IF(AND(C669=Master!$H$6,B669="2012-2013",E669&gt;1000,G669="PLN03"),H669,"")</f>
        <v/>
      </c>
      <c r="AJ669" s="42" t="str">
        <f>IF(AND(C669=Master!$H$6,B669="2012-2013",E669="",G669="PLN03"),H669,"")</f>
        <v/>
      </c>
      <c r="AK669" s="42" t="str">
        <f>IF(AND(C669=Master!$H$7,B669="2012-2013",E669&gt;1000,G669="PLN03"),H669,"")</f>
        <v/>
      </c>
      <c r="AL669" s="42" t="str">
        <f>IF(AND(C669=Master!$H$7,B669="2012-2013",E669="",G669="PLN03"),H669,"")</f>
        <v/>
      </c>
      <c r="AM669" s="42" t="str">
        <f>IF(AND(C669=Master!$H$8,B669="2012-2013",E669&gt;1000,G669="PLN03"),H669,"")</f>
        <v/>
      </c>
      <c r="AN669" s="42" t="str">
        <f>IF(AND(C669=Master!$H$8,B669="2012-2013",E669="",G669="PLN03"),H669,"")</f>
        <v/>
      </c>
      <c r="AO669" s="42" t="str">
        <f>IF(AND(C669=Master!$H$9,B669="2012-2013",E669&gt;1000,G669="PLN03"),H669,"")</f>
        <v/>
      </c>
      <c r="AP669" s="42" t="str">
        <f>IF(AND(C669=Master!$H$9,B669="2012-2013",E669="",G669="PLN03"),H669,"")</f>
        <v/>
      </c>
      <c r="AQ669" s="44" t="str">
        <f>IF(AND(C669=Master!$H$1,B669="2012-2013",E669&gt;1000,G669="NPN05"),H669,"")</f>
        <v/>
      </c>
      <c r="AR669" s="44" t="str">
        <f>IF(AND(C669=Master!$H$1,B669="2012-2013",E669="",G669="NPN05"),H669,"")</f>
        <v/>
      </c>
      <c r="AS669" s="44" t="str">
        <f>IF(AND(C669=Master!$H$2,B669="2012-2013",E669&gt;1000,G669="NPN05"),H669,"")</f>
        <v/>
      </c>
      <c r="AT669" s="44" t="str">
        <f>IF(AND(C669=Master!$H$2,B669="2012-2013",E669="",G669="NPN05"),H669,"")</f>
        <v/>
      </c>
      <c r="AU669" s="44" t="str">
        <f>IF(AND(C669=Master!$H$3,B669="2012-2013",E669&gt;1000,G669="NPN05"),H669,"")</f>
        <v/>
      </c>
      <c r="AV669" s="44" t="str">
        <f>IF(AND(C669=Master!$H$3,B669="2012-2013",E669="",G669="NPN05"),H669,"")</f>
        <v/>
      </c>
      <c r="AW669" s="44" t="str">
        <f>IF(AND(C669=Master!$H$4,B669="2012-2013",E669&gt;1000,G669="NPN05"),H669,"")</f>
        <v/>
      </c>
      <c r="AX669" s="44" t="str">
        <f>IF(AND(C669=Master!$H$4,B669="2012-2013",E669="",G669="NPN05"),H669,"")</f>
        <v/>
      </c>
      <c r="AY669" s="44" t="str">
        <f>IF(AND(C669=Master!$H$5,B669="2012-2013",E669&gt;1000,G669="NPN05"),H669,"")</f>
        <v/>
      </c>
      <c r="AZ669" s="44" t="str">
        <f>IF(AND(C669=Master!$H$5,B669="2012-2013",E669="",G669="NPN05"),H669,"")</f>
        <v/>
      </c>
      <c r="BA669" s="44" t="str">
        <f>IF(AND(C669=Master!$H$6,B669="2012-2013",E669&gt;1000,G669="NPN05"),H669,"")</f>
        <v/>
      </c>
      <c r="BB669" s="44" t="str">
        <f>IF(AND(C669=Master!$H$6,B669="2012-2013",E669="",G669="NPN05"),H669,"")</f>
        <v/>
      </c>
      <c r="BC669" s="44" t="str">
        <f>IF(AND(C669=Master!$H$7,B669="2012-2013",E669&gt;1000,G669="NPN05"),H669,"")</f>
        <v/>
      </c>
      <c r="BD669" s="44" t="str">
        <f>IF(AND(C669=Master!$H$7,B669="2012-2013",E669="",G669="NPN05"),H669,"")</f>
        <v/>
      </c>
      <c r="BE669" s="44" t="str">
        <f>IF(AND(C669=Master!$H$8,B669="2012-2013",E669&gt;1000,G669="NPN05"),H669,"")</f>
        <v/>
      </c>
      <c r="BF669" s="44" t="str">
        <f>IF(AND(C669=Master!$H$8,B669="2012-2013",E669="",G669="NPN05"),H669,"")</f>
        <v/>
      </c>
      <c r="BG669" s="44" t="str">
        <f>IF(AND(C669=Master!$H$9,B669="2012-2013",E669&gt;1000,G669="NPN05"),H669,"")</f>
        <v/>
      </c>
      <c r="BH669" s="44" t="str">
        <f>IF(AND(C669=Master!$H$9,B669="2012-2013",E669="",G669="NPN05"),H669,"")</f>
        <v/>
      </c>
    </row>
    <row r="670" spans="1:60" x14ac:dyDescent="0.25">
      <c r="A670" s="5">
        <v>668</v>
      </c>
      <c r="B670" s="12"/>
      <c r="C670" s="12"/>
      <c r="D670" s="31"/>
      <c r="E670" s="4"/>
      <c r="F670" s="13"/>
      <c r="G670" s="21"/>
      <c r="H670" s="35"/>
      <c r="I670" s="21"/>
      <c r="J670" s="25" t="str">
        <f>IF(NOT(I670=""),INDEX(Master!$B$1:$B$46,MATCH(I670,Master!$A$1:$A$46,0)),"")</f>
        <v/>
      </c>
      <c r="K670" s="18"/>
      <c r="L670" s="86"/>
      <c r="M670" s="13"/>
      <c r="N670" s="13"/>
      <c r="O670" s="18"/>
      <c r="P670" s="35"/>
      <c r="Q670" s="21"/>
      <c r="R670" s="21"/>
      <c r="S670" s="13"/>
      <c r="T670" s="12"/>
      <c r="U670" s="12"/>
      <c r="V670" s="12"/>
      <c r="W670" s="14"/>
      <c r="Y670" s="42" t="str">
        <f>IF(AND(C670=Master!$H$1,B670="2012-2013",E670&gt;1000,G670="PLN03"),H670,"")</f>
        <v/>
      </c>
      <c r="Z670" s="42" t="str">
        <f>IF(AND(C670=Master!$H$1,B670="2012-2013",E670="",G670="PLN03"),H670,"")</f>
        <v/>
      </c>
      <c r="AA670" s="42" t="str">
        <f>IF(AND(C670=Master!$H$2,B670="2012-2013",E670&gt;1000,G670="PLN03"),H670,"")</f>
        <v/>
      </c>
      <c r="AB670" s="42" t="str">
        <f>IF(AND(C670=Master!$H$2,B670="2012-2013",E670="",G670="PLN03"),H670,"")</f>
        <v/>
      </c>
      <c r="AC670" s="42" t="str">
        <f>IF(AND(C670=Master!$H$3,B670="2012-2013",E670&gt;1000,G670="PLN03"),H670,"")</f>
        <v/>
      </c>
      <c r="AD670" s="42" t="str">
        <f>IF(AND(C670=Master!$H$3,B670="2012-2013",E670="",G670="PLN03"),H670,"")</f>
        <v/>
      </c>
      <c r="AE670" s="42" t="str">
        <f>IF(AND(C670=Master!$H$4,B670="2012-2013",E670&gt;1000,G670="PLN03"),H670,"")</f>
        <v/>
      </c>
      <c r="AF670" s="42" t="str">
        <f>IF(AND(C670=Master!$H$4,B670="2012-2013",E670="",G670="PLN03"),H670,"")</f>
        <v/>
      </c>
      <c r="AG670" s="42" t="str">
        <f>IF(AND(C670=Master!$H$5,B670="2012-2013",E670&gt;1000,G670="PLN03"),H670,"")</f>
        <v/>
      </c>
      <c r="AH670" s="42" t="str">
        <f>IF(AND(C670=Master!$H$5,B670="2012-2013",E670="",G670="PLN03"),H670,"")</f>
        <v/>
      </c>
      <c r="AI670" s="42" t="str">
        <f>IF(AND(C670=Master!$H$6,B670="2012-2013",E670&gt;1000,G670="PLN03"),H670,"")</f>
        <v/>
      </c>
      <c r="AJ670" s="42" t="str">
        <f>IF(AND(C670=Master!$H$6,B670="2012-2013",E670="",G670="PLN03"),H670,"")</f>
        <v/>
      </c>
      <c r="AK670" s="42" t="str">
        <f>IF(AND(C670=Master!$H$7,B670="2012-2013",E670&gt;1000,G670="PLN03"),H670,"")</f>
        <v/>
      </c>
      <c r="AL670" s="42" t="str">
        <f>IF(AND(C670=Master!$H$7,B670="2012-2013",E670="",G670="PLN03"),H670,"")</f>
        <v/>
      </c>
      <c r="AM670" s="42" t="str">
        <f>IF(AND(C670=Master!$H$8,B670="2012-2013",E670&gt;1000,G670="PLN03"),H670,"")</f>
        <v/>
      </c>
      <c r="AN670" s="42" t="str">
        <f>IF(AND(C670=Master!$H$8,B670="2012-2013",E670="",G670="PLN03"),H670,"")</f>
        <v/>
      </c>
      <c r="AO670" s="42" t="str">
        <f>IF(AND(C670=Master!$H$9,B670="2012-2013",E670&gt;1000,G670="PLN03"),H670,"")</f>
        <v/>
      </c>
      <c r="AP670" s="42" t="str">
        <f>IF(AND(C670=Master!$H$9,B670="2012-2013",E670="",G670="PLN03"),H670,"")</f>
        <v/>
      </c>
      <c r="AQ670" s="44" t="str">
        <f>IF(AND(C670=Master!$H$1,B670="2012-2013",E670&gt;1000,G670="NPN05"),H670,"")</f>
        <v/>
      </c>
      <c r="AR670" s="44" t="str">
        <f>IF(AND(C670=Master!$H$1,B670="2012-2013",E670="",G670="NPN05"),H670,"")</f>
        <v/>
      </c>
      <c r="AS670" s="44" t="str">
        <f>IF(AND(C670=Master!$H$2,B670="2012-2013",E670&gt;1000,G670="NPN05"),H670,"")</f>
        <v/>
      </c>
      <c r="AT670" s="44" t="str">
        <f>IF(AND(C670=Master!$H$2,B670="2012-2013",E670="",G670="NPN05"),H670,"")</f>
        <v/>
      </c>
      <c r="AU670" s="44" t="str">
        <f>IF(AND(C670=Master!$H$3,B670="2012-2013",E670&gt;1000,G670="NPN05"),H670,"")</f>
        <v/>
      </c>
      <c r="AV670" s="44" t="str">
        <f>IF(AND(C670=Master!$H$3,B670="2012-2013",E670="",G670="NPN05"),H670,"")</f>
        <v/>
      </c>
      <c r="AW670" s="44" t="str">
        <f>IF(AND(C670=Master!$H$4,B670="2012-2013",E670&gt;1000,G670="NPN05"),H670,"")</f>
        <v/>
      </c>
      <c r="AX670" s="44" t="str">
        <f>IF(AND(C670=Master!$H$4,B670="2012-2013",E670="",G670="NPN05"),H670,"")</f>
        <v/>
      </c>
      <c r="AY670" s="44" t="str">
        <f>IF(AND(C670=Master!$H$5,B670="2012-2013",E670&gt;1000,G670="NPN05"),H670,"")</f>
        <v/>
      </c>
      <c r="AZ670" s="44" t="str">
        <f>IF(AND(C670=Master!$H$5,B670="2012-2013",E670="",G670="NPN05"),H670,"")</f>
        <v/>
      </c>
      <c r="BA670" s="44" t="str">
        <f>IF(AND(C670=Master!$H$6,B670="2012-2013",E670&gt;1000,G670="NPN05"),H670,"")</f>
        <v/>
      </c>
      <c r="BB670" s="44" t="str">
        <f>IF(AND(C670=Master!$H$6,B670="2012-2013",E670="",G670="NPN05"),H670,"")</f>
        <v/>
      </c>
      <c r="BC670" s="44" t="str">
        <f>IF(AND(C670=Master!$H$7,B670="2012-2013",E670&gt;1000,G670="NPN05"),H670,"")</f>
        <v/>
      </c>
      <c r="BD670" s="44" t="str">
        <f>IF(AND(C670=Master!$H$7,B670="2012-2013",E670="",G670="NPN05"),H670,"")</f>
        <v/>
      </c>
      <c r="BE670" s="44" t="str">
        <f>IF(AND(C670=Master!$H$8,B670="2012-2013",E670&gt;1000,G670="NPN05"),H670,"")</f>
        <v/>
      </c>
      <c r="BF670" s="44" t="str">
        <f>IF(AND(C670=Master!$H$8,B670="2012-2013",E670="",G670="NPN05"),H670,"")</f>
        <v/>
      </c>
      <c r="BG670" s="44" t="str">
        <f>IF(AND(C670=Master!$H$9,B670="2012-2013",E670&gt;1000,G670="NPN05"),H670,"")</f>
        <v/>
      </c>
      <c r="BH670" s="44" t="str">
        <f>IF(AND(C670=Master!$H$9,B670="2012-2013",E670="",G670="NPN05"),H670,"")</f>
        <v/>
      </c>
    </row>
    <row r="671" spans="1:60" x14ac:dyDescent="0.25">
      <c r="A671" s="3">
        <v>669</v>
      </c>
      <c r="B671" s="12"/>
      <c r="C671" s="12"/>
      <c r="D671" s="31"/>
      <c r="E671" s="4"/>
      <c r="F671" s="13"/>
      <c r="G671" s="21"/>
      <c r="H671" s="35"/>
      <c r="I671" s="21"/>
      <c r="J671" s="25" t="str">
        <f>IF(NOT(I671=""),INDEX(Master!$B$1:$B$46,MATCH(I671,Master!$A$1:$A$46,0)),"")</f>
        <v/>
      </c>
      <c r="K671" s="18"/>
      <c r="L671" s="86"/>
      <c r="M671" s="13"/>
      <c r="N671" s="13"/>
      <c r="O671" s="18"/>
      <c r="P671" s="35"/>
      <c r="Q671" s="21"/>
      <c r="R671" s="21"/>
      <c r="S671" s="13"/>
      <c r="T671" s="12"/>
      <c r="U671" s="12"/>
      <c r="V671" s="12"/>
      <c r="W671" s="14"/>
      <c r="Y671" s="42" t="str">
        <f>IF(AND(C671=Master!$H$1,B671="2012-2013",E671&gt;1000,G671="PLN03"),H671,"")</f>
        <v/>
      </c>
      <c r="Z671" s="42" t="str">
        <f>IF(AND(C671=Master!$H$1,B671="2012-2013",E671="",G671="PLN03"),H671,"")</f>
        <v/>
      </c>
      <c r="AA671" s="42" t="str">
        <f>IF(AND(C671=Master!$H$2,B671="2012-2013",E671&gt;1000,G671="PLN03"),H671,"")</f>
        <v/>
      </c>
      <c r="AB671" s="42" t="str">
        <f>IF(AND(C671=Master!$H$2,B671="2012-2013",E671="",G671="PLN03"),H671,"")</f>
        <v/>
      </c>
      <c r="AC671" s="42" t="str">
        <f>IF(AND(C671=Master!$H$3,B671="2012-2013",E671&gt;1000,G671="PLN03"),H671,"")</f>
        <v/>
      </c>
      <c r="AD671" s="42" t="str">
        <f>IF(AND(C671=Master!$H$3,B671="2012-2013",E671="",G671="PLN03"),H671,"")</f>
        <v/>
      </c>
      <c r="AE671" s="42" t="str">
        <f>IF(AND(C671=Master!$H$4,B671="2012-2013",E671&gt;1000,G671="PLN03"),H671,"")</f>
        <v/>
      </c>
      <c r="AF671" s="42" t="str">
        <f>IF(AND(C671=Master!$H$4,B671="2012-2013",E671="",G671="PLN03"),H671,"")</f>
        <v/>
      </c>
      <c r="AG671" s="42" t="str">
        <f>IF(AND(C671=Master!$H$5,B671="2012-2013",E671&gt;1000,G671="PLN03"),H671,"")</f>
        <v/>
      </c>
      <c r="AH671" s="42" t="str">
        <f>IF(AND(C671=Master!$H$5,B671="2012-2013",E671="",G671="PLN03"),H671,"")</f>
        <v/>
      </c>
      <c r="AI671" s="42" t="str">
        <f>IF(AND(C671=Master!$H$6,B671="2012-2013",E671&gt;1000,G671="PLN03"),H671,"")</f>
        <v/>
      </c>
      <c r="AJ671" s="42" t="str">
        <f>IF(AND(C671=Master!$H$6,B671="2012-2013",E671="",G671="PLN03"),H671,"")</f>
        <v/>
      </c>
      <c r="AK671" s="42" t="str">
        <f>IF(AND(C671=Master!$H$7,B671="2012-2013",E671&gt;1000,G671="PLN03"),H671,"")</f>
        <v/>
      </c>
      <c r="AL671" s="42" t="str">
        <f>IF(AND(C671=Master!$H$7,B671="2012-2013",E671="",G671="PLN03"),H671,"")</f>
        <v/>
      </c>
      <c r="AM671" s="42" t="str">
        <f>IF(AND(C671=Master!$H$8,B671="2012-2013",E671&gt;1000,G671="PLN03"),H671,"")</f>
        <v/>
      </c>
      <c r="AN671" s="42" t="str">
        <f>IF(AND(C671=Master!$H$8,B671="2012-2013",E671="",G671="PLN03"),H671,"")</f>
        <v/>
      </c>
      <c r="AO671" s="42" t="str">
        <f>IF(AND(C671=Master!$H$9,B671="2012-2013",E671&gt;1000,G671="PLN03"),H671,"")</f>
        <v/>
      </c>
      <c r="AP671" s="42" t="str">
        <f>IF(AND(C671=Master!$H$9,B671="2012-2013",E671="",G671="PLN03"),H671,"")</f>
        <v/>
      </c>
      <c r="AQ671" s="44" t="str">
        <f>IF(AND(C671=Master!$H$1,B671="2012-2013",E671&gt;1000,G671="NPN05"),H671,"")</f>
        <v/>
      </c>
      <c r="AR671" s="44" t="str">
        <f>IF(AND(C671=Master!$H$1,B671="2012-2013",E671="",G671="NPN05"),H671,"")</f>
        <v/>
      </c>
      <c r="AS671" s="44" t="str">
        <f>IF(AND(C671=Master!$H$2,B671="2012-2013",E671&gt;1000,G671="NPN05"),H671,"")</f>
        <v/>
      </c>
      <c r="AT671" s="44" t="str">
        <f>IF(AND(C671=Master!$H$2,B671="2012-2013",E671="",G671="NPN05"),H671,"")</f>
        <v/>
      </c>
      <c r="AU671" s="44" t="str">
        <f>IF(AND(C671=Master!$H$3,B671="2012-2013",E671&gt;1000,G671="NPN05"),H671,"")</f>
        <v/>
      </c>
      <c r="AV671" s="44" t="str">
        <f>IF(AND(C671=Master!$H$3,B671="2012-2013",E671="",G671="NPN05"),H671,"")</f>
        <v/>
      </c>
      <c r="AW671" s="44" t="str">
        <f>IF(AND(C671=Master!$H$4,B671="2012-2013",E671&gt;1000,G671="NPN05"),H671,"")</f>
        <v/>
      </c>
      <c r="AX671" s="44" t="str">
        <f>IF(AND(C671=Master!$H$4,B671="2012-2013",E671="",G671="NPN05"),H671,"")</f>
        <v/>
      </c>
      <c r="AY671" s="44" t="str">
        <f>IF(AND(C671=Master!$H$5,B671="2012-2013",E671&gt;1000,G671="NPN05"),H671,"")</f>
        <v/>
      </c>
      <c r="AZ671" s="44" t="str">
        <f>IF(AND(C671=Master!$H$5,B671="2012-2013",E671="",G671="NPN05"),H671,"")</f>
        <v/>
      </c>
      <c r="BA671" s="44" t="str">
        <f>IF(AND(C671=Master!$H$6,B671="2012-2013",E671&gt;1000,G671="NPN05"),H671,"")</f>
        <v/>
      </c>
      <c r="BB671" s="44" t="str">
        <f>IF(AND(C671=Master!$H$6,B671="2012-2013",E671="",G671="NPN05"),H671,"")</f>
        <v/>
      </c>
      <c r="BC671" s="44" t="str">
        <f>IF(AND(C671=Master!$H$7,B671="2012-2013",E671&gt;1000,G671="NPN05"),H671,"")</f>
        <v/>
      </c>
      <c r="BD671" s="44" t="str">
        <f>IF(AND(C671=Master!$H$7,B671="2012-2013",E671="",G671="NPN05"),H671,"")</f>
        <v/>
      </c>
      <c r="BE671" s="44" t="str">
        <f>IF(AND(C671=Master!$H$8,B671="2012-2013",E671&gt;1000,G671="NPN05"),H671,"")</f>
        <v/>
      </c>
      <c r="BF671" s="44" t="str">
        <f>IF(AND(C671=Master!$H$8,B671="2012-2013",E671="",G671="NPN05"),H671,"")</f>
        <v/>
      </c>
      <c r="BG671" s="44" t="str">
        <f>IF(AND(C671=Master!$H$9,B671="2012-2013",E671&gt;1000,G671="NPN05"),H671,"")</f>
        <v/>
      </c>
      <c r="BH671" s="44" t="str">
        <f>IF(AND(C671=Master!$H$9,B671="2012-2013",E671="",G671="NPN05"),H671,"")</f>
        <v/>
      </c>
    </row>
    <row r="672" spans="1:60" x14ac:dyDescent="0.25">
      <c r="A672" s="3">
        <v>670</v>
      </c>
      <c r="B672" s="12"/>
      <c r="C672" s="12"/>
      <c r="D672" s="31"/>
      <c r="E672" s="4"/>
      <c r="F672" s="13"/>
      <c r="G672" s="21"/>
      <c r="H672" s="35"/>
      <c r="I672" s="21"/>
      <c r="J672" s="25" t="str">
        <f>IF(NOT(I672=""),INDEX(Master!$B$1:$B$46,MATCH(I672,Master!$A$1:$A$46,0)),"")</f>
        <v/>
      </c>
      <c r="K672" s="18"/>
      <c r="L672" s="86"/>
      <c r="M672" s="13"/>
      <c r="N672" s="13"/>
      <c r="O672" s="18"/>
      <c r="P672" s="35"/>
      <c r="Q672" s="21"/>
      <c r="R672" s="21"/>
      <c r="S672" s="13"/>
      <c r="T672" s="12"/>
      <c r="U672" s="12"/>
      <c r="V672" s="12"/>
      <c r="W672" s="14"/>
      <c r="Y672" s="42" t="str">
        <f>IF(AND(C672=Master!$H$1,B672="2012-2013",E672&gt;1000,G672="PLN03"),H672,"")</f>
        <v/>
      </c>
      <c r="Z672" s="42" t="str">
        <f>IF(AND(C672=Master!$H$1,B672="2012-2013",E672="",G672="PLN03"),H672,"")</f>
        <v/>
      </c>
      <c r="AA672" s="42" t="str">
        <f>IF(AND(C672=Master!$H$2,B672="2012-2013",E672&gt;1000,G672="PLN03"),H672,"")</f>
        <v/>
      </c>
      <c r="AB672" s="42" t="str">
        <f>IF(AND(C672=Master!$H$2,B672="2012-2013",E672="",G672="PLN03"),H672,"")</f>
        <v/>
      </c>
      <c r="AC672" s="42" t="str">
        <f>IF(AND(C672=Master!$H$3,B672="2012-2013",E672&gt;1000,G672="PLN03"),H672,"")</f>
        <v/>
      </c>
      <c r="AD672" s="42" t="str">
        <f>IF(AND(C672=Master!$H$3,B672="2012-2013",E672="",G672="PLN03"),H672,"")</f>
        <v/>
      </c>
      <c r="AE672" s="42" t="str">
        <f>IF(AND(C672=Master!$H$4,B672="2012-2013",E672&gt;1000,G672="PLN03"),H672,"")</f>
        <v/>
      </c>
      <c r="AF672" s="42" t="str">
        <f>IF(AND(C672=Master!$H$4,B672="2012-2013",E672="",G672="PLN03"),H672,"")</f>
        <v/>
      </c>
      <c r="AG672" s="42" t="str">
        <f>IF(AND(C672=Master!$H$5,B672="2012-2013",E672&gt;1000,G672="PLN03"),H672,"")</f>
        <v/>
      </c>
      <c r="AH672" s="42" t="str">
        <f>IF(AND(C672=Master!$H$5,B672="2012-2013",E672="",G672="PLN03"),H672,"")</f>
        <v/>
      </c>
      <c r="AI672" s="42" t="str">
        <f>IF(AND(C672=Master!$H$6,B672="2012-2013",E672&gt;1000,G672="PLN03"),H672,"")</f>
        <v/>
      </c>
      <c r="AJ672" s="42" t="str">
        <f>IF(AND(C672=Master!$H$6,B672="2012-2013",E672="",G672="PLN03"),H672,"")</f>
        <v/>
      </c>
      <c r="AK672" s="42" t="str">
        <f>IF(AND(C672=Master!$H$7,B672="2012-2013",E672&gt;1000,G672="PLN03"),H672,"")</f>
        <v/>
      </c>
      <c r="AL672" s="42" t="str">
        <f>IF(AND(C672=Master!$H$7,B672="2012-2013",E672="",G672="PLN03"),H672,"")</f>
        <v/>
      </c>
      <c r="AM672" s="42" t="str">
        <f>IF(AND(C672=Master!$H$8,B672="2012-2013",E672&gt;1000,G672="PLN03"),H672,"")</f>
        <v/>
      </c>
      <c r="AN672" s="42" t="str">
        <f>IF(AND(C672=Master!$H$8,B672="2012-2013",E672="",G672="PLN03"),H672,"")</f>
        <v/>
      </c>
      <c r="AO672" s="42" t="str">
        <f>IF(AND(C672=Master!$H$9,B672="2012-2013",E672&gt;1000,G672="PLN03"),H672,"")</f>
        <v/>
      </c>
      <c r="AP672" s="42" t="str">
        <f>IF(AND(C672=Master!$H$9,B672="2012-2013",E672="",G672="PLN03"),H672,"")</f>
        <v/>
      </c>
      <c r="AQ672" s="44" t="str">
        <f>IF(AND(C672=Master!$H$1,B672="2012-2013",E672&gt;1000,G672="NPN05"),H672,"")</f>
        <v/>
      </c>
      <c r="AR672" s="44" t="str">
        <f>IF(AND(C672=Master!$H$1,B672="2012-2013",E672="",G672="NPN05"),H672,"")</f>
        <v/>
      </c>
      <c r="AS672" s="44" t="str">
        <f>IF(AND(C672=Master!$H$2,B672="2012-2013",E672&gt;1000,G672="NPN05"),H672,"")</f>
        <v/>
      </c>
      <c r="AT672" s="44" t="str">
        <f>IF(AND(C672=Master!$H$2,B672="2012-2013",E672="",G672="NPN05"),H672,"")</f>
        <v/>
      </c>
      <c r="AU672" s="44" t="str">
        <f>IF(AND(C672=Master!$H$3,B672="2012-2013",E672&gt;1000,G672="NPN05"),H672,"")</f>
        <v/>
      </c>
      <c r="AV672" s="44" t="str">
        <f>IF(AND(C672=Master!$H$3,B672="2012-2013",E672="",G672="NPN05"),H672,"")</f>
        <v/>
      </c>
      <c r="AW672" s="44" t="str">
        <f>IF(AND(C672=Master!$H$4,B672="2012-2013",E672&gt;1000,G672="NPN05"),H672,"")</f>
        <v/>
      </c>
      <c r="AX672" s="44" t="str">
        <f>IF(AND(C672=Master!$H$4,B672="2012-2013",E672="",G672="NPN05"),H672,"")</f>
        <v/>
      </c>
      <c r="AY672" s="44" t="str">
        <f>IF(AND(C672=Master!$H$5,B672="2012-2013",E672&gt;1000,G672="NPN05"),H672,"")</f>
        <v/>
      </c>
      <c r="AZ672" s="44" t="str">
        <f>IF(AND(C672=Master!$H$5,B672="2012-2013",E672="",G672="NPN05"),H672,"")</f>
        <v/>
      </c>
      <c r="BA672" s="44" t="str">
        <f>IF(AND(C672=Master!$H$6,B672="2012-2013",E672&gt;1000,G672="NPN05"),H672,"")</f>
        <v/>
      </c>
      <c r="BB672" s="44" t="str">
        <f>IF(AND(C672=Master!$H$6,B672="2012-2013",E672="",G672="NPN05"),H672,"")</f>
        <v/>
      </c>
      <c r="BC672" s="44" t="str">
        <f>IF(AND(C672=Master!$H$7,B672="2012-2013",E672&gt;1000,G672="NPN05"),H672,"")</f>
        <v/>
      </c>
      <c r="BD672" s="44" t="str">
        <f>IF(AND(C672=Master!$H$7,B672="2012-2013",E672="",G672="NPN05"),H672,"")</f>
        <v/>
      </c>
      <c r="BE672" s="44" t="str">
        <f>IF(AND(C672=Master!$H$8,B672="2012-2013",E672&gt;1000,G672="NPN05"),H672,"")</f>
        <v/>
      </c>
      <c r="BF672" s="44" t="str">
        <f>IF(AND(C672=Master!$H$8,B672="2012-2013",E672="",G672="NPN05"),H672,"")</f>
        <v/>
      </c>
      <c r="BG672" s="44" t="str">
        <f>IF(AND(C672=Master!$H$9,B672="2012-2013",E672&gt;1000,G672="NPN05"),H672,"")</f>
        <v/>
      </c>
      <c r="BH672" s="44" t="str">
        <f>IF(AND(C672=Master!$H$9,B672="2012-2013",E672="",G672="NPN05"),H672,"")</f>
        <v/>
      </c>
    </row>
    <row r="673" spans="1:60" x14ac:dyDescent="0.25">
      <c r="A673" s="3">
        <v>671</v>
      </c>
      <c r="B673" s="12"/>
      <c r="C673" s="12"/>
      <c r="D673" s="31"/>
      <c r="E673" s="4"/>
      <c r="F673" s="13"/>
      <c r="G673" s="21"/>
      <c r="H673" s="35"/>
      <c r="I673" s="21"/>
      <c r="J673" s="25" t="str">
        <f>IF(NOT(I673=""),INDEX(Master!$B$1:$B$46,MATCH(I673,Master!$A$1:$A$46,0)),"")</f>
        <v/>
      </c>
      <c r="K673" s="18"/>
      <c r="L673" s="86"/>
      <c r="M673" s="13"/>
      <c r="N673" s="13"/>
      <c r="O673" s="18"/>
      <c r="P673" s="35"/>
      <c r="Q673" s="21"/>
      <c r="R673" s="21"/>
      <c r="S673" s="13"/>
      <c r="T673" s="12"/>
      <c r="U673" s="12"/>
      <c r="V673" s="12"/>
      <c r="W673" s="14"/>
      <c r="Y673" s="42" t="str">
        <f>IF(AND(C673=Master!$H$1,B673="2012-2013",E673&gt;1000,G673="PLN03"),H673,"")</f>
        <v/>
      </c>
      <c r="Z673" s="42" t="str">
        <f>IF(AND(C673=Master!$H$1,B673="2012-2013",E673="",G673="PLN03"),H673,"")</f>
        <v/>
      </c>
      <c r="AA673" s="42" t="str">
        <f>IF(AND(C673=Master!$H$2,B673="2012-2013",E673&gt;1000,G673="PLN03"),H673,"")</f>
        <v/>
      </c>
      <c r="AB673" s="42" t="str">
        <f>IF(AND(C673=Master!$H$2,B673="2012-2013",E673="",G673="PLN03"),H673,"")</f>
        <v/>
      </c>
      <c r="AC673" s="42" t="str">
        <f>IF(AND(C673=Master!$H$3,B673="2012-2013",E673&gt;1000,G673="PLN03"),H673,"")</f>
        <v/>
      </c>
      <c r="AD673" s="42" t="str">
        <f>IF(AND(C673=Master!$H$3,B673="2012-2013",E673="",G673="PLN03"),H673,"")</f>
        <v/>
      </c>
      <c r="AE673" s="42" t="str">
        <f>IF(AND(C673=Master!$H$4,B673="2012-2013",E673&gt;1000,G673="PLN03"),H673,"")</f>
        <v/>
      </c>
      <c r="AF673" s="42" t="str">
        <f>IF(AND(C673=Master!$H$4,B673="2012-2013",E673="",G673="PLN03"),H673,"")</f>
        <v/>
      </c>
      <c r="AG673" s="42" t="str">
        <f>IF(AND(C673=Master!$H$5,B673="2012-2013",E673&gt;1000,G673="PLN03"),H673,"")</f>
        <v/>
      </c>
      <c r="AH673" s="42" t="str">
        <f>IF(AND(C673=Master!$H$5,B673="2012-2013",E673="",G673="PLN03"),H673,"")</f>
        <v/>
      </c>
      <c r="AI673" s="42" t="str">
        <f>IF(AND(C673=Master!$H$6,B673="2012-2013",E673&gt;1000,G673="PLN03"),H673,"")</f>
        <v/>
      </c>
      <c r="AJ673" s="42" t="str">
        <f>IF(AND(C673=Master!$H$6,B673="2012-2013",E673="",G673="PLN03"),H673,"")</f>
        <v/>
      </c>
      <c r="AK673" s="42" t="str">
        <f>IF(AND(C673=Master!$H$7,B673="2012-2013",E673&gt;1000,G673="PLN03"),H673,"")</f>
        <v/>
      </c>
      <c r="AL673" s="42" t="str">
        <f>IF(AND(C673=Master!$H$7,B673="2012-2013",E673="",G673="PLN03"),H673,"")</f>
        <v/>
      </c>
      <c r="AM673" s="42" t="str">
        <f>IF(AND(C673=Master!$H$8,B673="2012-2013",E673&gt;1000,G673="PLN03"),H673,"")</f>
        <v/>
      </c>
      <c r="AN673" s="42" t="str">
        <f>IF(AND(C673=Master!$H$8,B673="2012-2013",E673="",G673="PLN03"),H673,"")</f>
        <v/>
      </c>
      <c r="AO673" s="42" t="str">
        <f>IF(AND(C673=Master!$H$9,B673="2012-2013",E673&gt;1000,G673="PLN03"),H673,"")</f>
        <v/>
      </c>
      <c r="AP673" s="42" t="str">
        <f>IF(AND(C673=Master!$H$9,B673="2012-2013",E673="",G673="PLN03"),H673,"")</f>
        <v/>
      </c>
      <c r="AQ673" s="44" t="str">
        <f>IF(AND(C673=Master!$H$1,B673="2012-2013",E673&gt;1000,G673="NPN05"),H673,"")</f>
        <v/>
      </c>
      <c r="AR673" s="44" t="str">
        <f>IF(AND(C673=Master!$H$1,B673="2012-2013",E673="",G673="NPN05"),H673,"")</f>
        <v/>
      </c>
      <c r="AS673" s="44" t="str">
        <f>IF(AND(C673=Master!$H$2,B673="2012-2013",E673&gt;1000,G673="NPN05"),H673,"")</f>
        <v/>
      </c>
      <c r="AT673" s="44" t="str">
        <f>IF(AND(C673=Master!$H$2,B673="2012-2013",E673="",G673="NPN05"),H673,"")</f>
        <v/>
      </c>
      <c r="AU673" s="44" t="str">
        <f>IF(AND(C673=Master!$H$3,B673="2012-2013",E673&gt;1000,G673="NPN05"),H673,"")</f>
        <v/>
      </c>
      <c r="AV673" s="44" t="str">
        <f>IF(AND(C673=Master!$H$3,B673="2012-2013",E673="",G673="NPN05"),H673,"")</f>
        <v/>
      </c>
      <c r="AW673" s="44" t="str">
        <f>IF(AND(C673=Master!$H$4,B673="2012-2013",E673&gt;1000,G673="NPN05"),H673,"")</f>
        <v/>
      </c>
      <c r="AX673" s="44" t="str">
        <f>IF(AND(C673=Master!$H$4,B673="2012-2013",E673="",G673="NPN05"),H673,"")</f>
        <v/>
      </c>
      <c r="AY673" s="44" t="str">
        <f>IF(AND(C673=Master!$H$5,B673="2012-2013",E673&gt;1000,G673="NPN05"),H673,"")</f>
        <v/>
      </c>
      <c r="AZ673" s="44" t="str">
        <f>IF(AND(C673=Master!$H$5,B673="2012-2013",E673="",G673="NPN05"),H673,"")</f>
        <v/>
      </c>
      <c r="BA673" s="44" t="str">
        <f>IF(AND(C673=Master!$H$6,B673="2012-2013",E673&gt;1000,G673="NPN05"),H673,"")</f>
        <v/>
      </c>
      <c r="BB673" s="44" t="str">
        <f>IF(AND(C673=Master!$H$6,B673="2012-2013",E673="",G673="NPN05"),H673,"")</f>
        <v/>
      </c>
      <c r="BC673" s="44" t="str">
        <f>IF(AND(C673=Master!$H$7,B673="2012-2013",E673&gt;1000,G673="NPN05"),H673,"")</f>
        <v/>
      </c>
      <c r="BD673" s="44" t="str">
        <f>IF(AND(C673=Master!$H$7,B673="2012-2013",E673="",G673="NPN05"),H673,"")</f>
        <v/>
      </c>
      <c r="BE673" s="44" t="str">
        <f>IF(AND(C673=Master!$H$8,B673="2012-2013",E673&gt;1000,G673="NPN05"),H673,"")</f>
        <v/>
      </c>
      <c r="BF673" s="44" t="str">
        <f>IF(AND(C673=Master!$H$8,B673="2012-2013",E673="",G673="NPN05"),H673,"")</f>
        <v/>
      </c>
      <c r="BG673" s="44" t="str">
        <f>IF(AND(C673=Master!$H$9,B673="2012-2013",E673&gt;1000,G673="NPN05"),H673,"")</f>
        <v/>
      </c>
      <c r="BH673" s="44" t="str">
        <f>IF(AND(C673=Master!$H$9,B673="2012-2013",E673="",G673="NPN05"),H673,"")</f>
        <v/>
      </c>
    </row>
    <row r="674" spans="1:60" x14ac:dyDescent="0.25">
      <c r="A674" s="3">
        <v>672</v>
      </c>
      <c r="B674" s="12"/>
      <c r="C674" s="12"/>
      <c r="D674" s="31"/>
      <c r="E674" s="4"/>
      <c r="F674" s="13"/>
      <c r="G674" s="21"/>
      <c r="H674" s="35"/>
      <c r="I674" s="21"/>
      <c r="J674" s="25" t="str">
        <f>IF(NOT(I674=""),INDEX(Master!$B$1:$B$46,MATCH(I674,Master!$A$1:$A$46,0)),"")</f>
        <v/>
      </c>
      <c r="K674" s="18"/>
      <c r="L674" s="86"/>
      <c r="M674" s="13"/>
      <c r="N674" s="13"/>
      <c r="O674" s="18"/>
      <c r="P674" s="35"/>
      <c r="Q674" s="21"/>
      <c r="R674" s="21"/>
      <c r="S674" s="13"/>
      <c r="T674" s="12"/>
      <c r="U674" s="12"/>
      <c r="V674" s="12"/>
      <c r="W674" s="14"/>
      <c r="Y674" s="42" t="str">
        <f>IF(AND(C674=Master!$H$1,B674="2012-2013",E674&gt;1000,G674="PLN03"),H674,"")</f>
        <v/>
      </c>
      <c r="Z674" s="42" t="str">
        <f>IF(AND(C674=Master!$H$1,B674="2012-2013",E674="",G674="PLN03"),H674,"")</f>
        <v/>
      </c>
      <c r="AA674" s="42" t="str">
        <f>IF(AND(C674=Master!$H$2,B674="2012-2013",E674&gt;1000,G674="PLN03"),H674,"")</f>
        <v/>
      </c>
      <c r="AB674" s="42" t="str">
        <f>IF(AND(C674=Master!$H$2,B674="2012-2013",E674="",G674="PLN03"),H674,"")</f>
        <v/>
      </c>
      <c r="AC674" s="42" t="str">
        <f>IF(AND(C674=Master!$H$3,B674="2012-2013",E674&gt;1000,G674="PLN03"),H674,"")</f>
        <v/>
      </c>
      <c r="AD674" s="42" t="str">
        <f>IF(AND(C674=Master!$H$3,B674="2012-2013",E674="",G674="PLN03"),H674,"")</f>
        <v/>
      </c>
      <c r="AE674" s="42" t="str">
        <f>IF(AND(C674=Master!$H$4,B674="2012-2013",E674&gt;1000,G674="PLN03"),H674,"")</f>
        <v/>
      </c>
      <c r="AF674" s="42" t="str">
        <f>IF(AND(C674=Master!$H$4,B674="2012-2013",E674="",G674="PLN03"),H674,"")</f>
        <v/>
      </c>
      <c r="AG674" s="42" t="str">
        <f>IF(AND(C674=Master!$H$5,B674="2012-2013",E674&gt;1000,G674="PLN03"),H674,"")</f>
        <v/>
      </c>
      <c r="AH674" s="42" t="str">
        <f>IF(AND(C674=Master!$H$5,B674="2012-2013",E674="",G674="PLN03"),H674,"")</f>
        <v/>
      </c>
      <c r="AI674" s="42" t="str">
        <f>IF(AND(C674=Master!$H$6,B674="2012-2013",E674&gt;1000,G674="PLN03"),H674,"")</f>
        <v/>
      </c>
      <c r="AJ674" s="42" t="str">
        <f>IF(AND(C674=Master!$H$6,B674="2012-2013",E674="",G674="PLN03"),H674,"")</f>
        <v/>
      </c>
      <c r="AK674" s="42" t="str">
        <f>IF(AND(C674=Master!$H$7,B674="2012-2013",E674&gt;1000,G674="PLN03"),H674,"")</f>
        <v/>
      </c>
      <c r="AL674" s="42" t="str">
        <f>IF(AND(C674=Master!$H$7,B674="2012-2013",E674="",G674="PLN03"),H674,"")</f>
        <v/>
      </c>
      <c r="AM674" s="42" t="str">
        <f>IF(AND(C674=Master!$H$8,B674="2012-2013",E674&gt;1000,G674="PLN03"),H674,"")</f>
        <v/>
      </c>
      <c r="AN674" s="42" t="str">
        <f>IF(AND(C674=Master!$H$8,B674="2012-2013",E674="",G674="PLN03"),H674,"")</f>
        <v/>
      </c>
      <c r="AO674" s="42" t="str">
        <f>IF(AND(C674=Master!$H$9,B674="2012-2013",E674&gt;1000,G674="PLN03"),H674,"")</f>
        <v/>
      </c>
      <c r="AP674" s="42" t="str">
        <f>IF(AND(C674=Master!$H$9,B674="2012-2013",E674="",G674="PLN03"),H674,"")</f>
        <v/>
      </c>
      <c r="AQ674" s="44" t="str">
        <f>IF(AND(C674=Master!$H$1,B674="2012-2013",E674&gt;1000,G674="NPN05"),H674,"")</f>
        <v/>
      </c>
      <c r="AR674" s="44" t="str">
        <f>IF(AND(C674=Master!$H$1,B674="2012-2013",E674="",G674="NPN05"),H674,"")</f>
        <v/>
      </c>
      <c r="AS674" s="44" t="str">
        <f>IF(AND(C674=Master!$H$2,B674="2012-2013",E674&gt;1000,G674="NPN05"),H674,"")</f>
        <v/>
      </c>
      <c r="AT674" s="44" t="str">
        <f>IF(AND(C674=Master!$H$2,B674="2012-2013",E674="",G674="NPN05"),H674,"")</f>
        <v/>
      </c>
      <c r="AU674" s="44" t="str">
        <f>IF(AND(C674=Master!$H$3,B674="2012-2013",E674&gt;1000,G674="NPN05"),H674,"")</f>
        <v/>
      </c>
      <c r="AV674" s="44" t="str">
        <f>IF(AND(C674=Master!$H$3,B674="2012-2013",E674="",G674="NPN05"),H674,"")</f>
        <v/>
      </c>
      <c r="AW674" s="44" t="str">
        <f>IF(AND(C674=Master!$H$4,B674="2012-2013",E674&gt;1000,G674="NPN05"),H674,"")</f>
        <v/>
      </c>
      <c r="AX674" s="44" t="str">
        <f>IF(AND(C674=Master!$H$4,B674="2012-2013",E674="",G674="NPN05"),H674,"")</f>
        <v/>
      </c>
      <c r="AY674" s="44" t="str">
        <f>IF(AND(C674=Master!$H$5,B674="2012-2013",E674&gt;1000,G674="NPN05"),H674,"")</f>
        <v/>
      </c>
      <c r="AZ674" s="44" t="str">
        <f>IF(AND(C674=Master!$H$5,B674="2012-2013",E674="",G674="NPN05"),H674,"")</f>
        <v/>
      </c>
      <c r="BA674" s="44" t="str">
        <f>IF(AND(C674=Master!$H$6,B674="2012-2013",E674&gt;1000,G674="NPN05"),H674,"")</f>
        <v/>
      </c>
      <c r="BB674" s="44" t="str">
        <f>IF(AND(C674=Master!$H$6,B674="2012-2013",E674="",G674="NPN05"),H674,"")</f>
        <v/>
      </c>
      <c r="BC674" s="44" t="str">
        <f>IF(AND(C674=Master!$H$7,B674="2012-2013",E674&gt;1000,G674="NPN05"),H674,"")</f>
        <v/>
      </c>
      <c r="BD674" s="44" t="str">
        <f>IF(AND(C674=Master!$H$7,B674="2012-2013",E674="",G674="NPN05"),H674,"")</f>
        <v/>
      </c>
      <c r="BE674" s="44" t="str">
        <f>IF(AND(C674=Master!$H$8,B674="2012-2013",E674&gt;1000,G674="NPN05"),H674,"")</f>
        <v/>
      </c>
      <c r="BF674" s="44" t="str">
        <f>IF(AND(C674=Master!$H$8,B674="2012-2013",E674="",G674="NPN05"),H674,"")</f>
        <v/>
      </c>
      <c r="BG674" s="44" t="str">
        <f>IF(AND(C674=Master!$H$9,B674="2012-2013",E674&gt;1000,G674="NPN05"),H674,"")</f>
        <v/>
      </c>
      <c r="BH674" s="44" t="str">
        <f>IF(AND(C674=Master!$H$9,B674="2012-2013",E674="",G674="NPN05"),H674,"")</f>
        <v/>
      </c>
    </row>
    <row r="675" spans="1:60" x14ac:dyDescent="0.25">
      <c r="A675" s="3">
        <v>673</v>
      </c>
      <c r="B675" s="12"/>
      <c r="C675" s="12"/>
      <c r="D675" s="31"/>
      <c r="E675" s="4"/>
      <c r="F675" s="13"/>
      <c r="G675" s="21"/>
      <c r="H675" s="35"/>
      <c r="I675" s="21"/>
      <c r="J675" s="25" t="str">
        <f>IF(NOT(I675=""),INDEX(Master!$B$1:$B$46,MATCH(I675,Master!$A$1:$A$46,0)),"")</f>
        <v/>
      </c>
      <c r="K675" s="18"/>
      <c r="L675" s="86"/>
      <c r="M675" s="13"/>
      <c r="N675" s="13"/>
      <c r="O675" s="18"/>
      <c r="P675" s="35"/>
      <c r="Q675" s="21"/>
      <c r="R675" s="21"/>
      <c r="S675" s="13"/>
      <c r="T675" s="12"/>
      <c r="U675" s="12"/>
      <c r="V675" s="12"/>
      <c r="W675" s="14"/>
      <c r="Y675" s="42" t="str">
        <f>IF(AND(C675=Master!$H$1,B675="2012-2013",E675&gt;1000,G675="PLN03"),H675,"")</f>
        <v/>
      </c>
      <c r="Z675" s="42" t="str">
        <f>IF(AND(C675=Master!$H$1,B675="2012-2013",E675="",G675="PLN03"),H675,"")</f>
        <v/>
      </c>
      <c r="AA675" s="42" t="str">
        <f>IF(AND(C675=Master!$H$2,B675="2012-2013",E675&gt;1000,G675="PLN03"),H675,"")</f>
        <v/>
      </c>
      <c r="AB675" s="42" t="str">
        <f>IF(AND(C675=Master!$H$2,B675="2012-2013",E675="",G675="PLN03"),H675,"")</f>
        <v/>
      </c>
      <c r="AC675" s="42" t="str">
        <f>IF(AND(C675=Master!$H$3,B675="2012-2013",E675&gt;1000,G675="PLN03"),H675,"")</f>
        <v/>
      </c>
      <c r="AD675" s="42" t="str">
        <f>IF(AND(C675=Master!$H$3,B675="2012-2013",E675="",G675="PLN03"),H675,"")</f>
        <v/>
      </c>
      <c r="AE675" s="42" t="str">
        <f>IF(AND(C675=Master!$H$4,B675="2012-2013",E675&gt;1000,G675="PLN03"),H675,"")</f>
        <v/>
      </c>
      <c r="AF675" s="42" t="str">
        <f>IF(AND(C675=Master!$H$4,B675="2012-2013",E675="",G675="PLN03"),H675,"")</f>
        <v/>
      </c>
      <c r="AG675" s="42" t="str">
        <f>IF(AND(C675=Master!$H$5,B675="2012-2013",E675&gt;1000,G675="PLN03"),H675,"")</f>
        <v/>
      </c>
      <c r="AH675" s="42" t="str">
        <f>IF(AND(C675=Master!$H$5,B675="2012-2013",E675="",G675="PLN03"),H675,"")</f>
        <v/>
      </c>
      <c r="AI675" s="42" t="str">
        <f>IF(AND(C675=Master!$H$6,B675="2012-2013",E675&gt;1000,G675="PLN03"),H675,"")</f>
        <v/>
      </c>
      <c r="AJ675" s="42" t="str">
        <f>IF(AND(C675=Master!$H$6,B675="2012-2013",E675="",G675="PLN03"),H675,"")</f>
        <v/>
      </c>
      <c r="AK675" s="42" t="str">
        <f>IF(AND(C675=Master!$H$7,B675="2012-2013",E675&gt;1000,G675="PLN03"),H675,"")</f>
        <v/>
      </c>
      <c r="AL675" s="42" t="str">
        <f>IF(AND(C675=Master!$H$7,B675="2012-2013",E675="",G675="PLN03"),H675,"")</f>
        <v/>
      </c>
      <c r="AM675" s="42" t="str">
        <f>IF(AND(C675=Master!$H$8,B675="2012-2013",E675&gt;1000,G675="PLN03"),H675,"")</f>
        <v/>
      </c>
      <c r="AN675" s="42" t="str">
        <f>IF(AND(C675=Master!$H$8,B675="2012-2013",E675="",G675="PLN03"),H675,"")</f>
        <v/>
      </c>
      <c r="AO675" s="42" t="str">
        <f>IF(AND(C675=Master!$H$9,B675="2012-2013",E675&gt;1000,G675="PLN03"),H675,"")</f>
        <v/>
      </c>
      <c r="AP675" s="42" t="str">
        <f>IF(AND(C675=Master!$H$9,B675="2012-2013",E675="",G675="PLN03"),H675,"")</f>
        <v/>
      </c>
      <c r="AQ675" s="44" t="str">
        <f>IF(AND(C675=Master!$H$1,B675="2012-2013",E675&gt;1000,G675="NPN05"),H675,"")</f>
        <v/>
      </c>
      <c r="AR675" s="44" t="str">
        <f>IF(AND(C675=Master!$H$1,B675="2012-2013",E675="",G675="NPN05"),H675,"")</f>
        <v/>
      </c>
      <c r="AS675" s="44" t="str">
        <f>IF(AND(C675=Master!$H$2,B675="2012-2013",E675&gt;1000,G675="NPN05"),H675,"")</f>
        <v/>
      </c>
      <c r="AT675" s="44" t="str">
        <f>IF(AND(C675=Master!$H$2,B675="2012-2013",E675="",G675="NPN05"),H675,"")</f>
        <v/>
      </c>
      <c r="AU675" s="44" t="str">
        <f>IF(AND(C675=Master!$H$3,B675="2012-2013",E675&gt;1000,G675="NPN05"),H675,"")</f>
        <v/>
      </c>
      <c r="AV675" s="44" t="str">
        <f>IF(AND(C675=Master!$H$3,B675="2012-2013",E675="",G675="NPN05"),H675,"")</f>
        <v/>
      </c>
      <c r="AW675" s="44" t="str">
        <f>IF(AND(C675=Master!$H$4,B675="2012-2013",E675&gt;1000,G675="NPN05"),H675,"")</f>
        <v/>
      </c>
      <c r="AX675" s="44" t="str">
        <f>IF(AND(C675=Master!$H$4,B675="2012-2013",E675="",G675="NPN05"),H675,"")</f>
        <v/>
      </c>
      <c r="AY675" s="44" t="str">
        <f>IF(AND(C675=Master!$H$5,B675="2012-2013",E675&gt;1000,G675="NPN05"),H675,"")</f>
        <v/>
      </c>
      <c r="AZ675" s="44" t="str">
        <f>IF(AND(C675=Master!$H$5,B675="2012-2013",E675="",G675="NPN05"),H675,"")</f>
        <v/>
      </c>
      <c r="BA675" s="44" t="str">
        <f>IF(AND(C675=Master!$H$6,B675="2012-2013",E675&gt;1000,G675="NPN05"),H675,"")</f>
        <v/>
      </c>
      <c r="BB675" s="44" t="str">
        <f>IF(AND(C675=Master!$H$6,B675="2012-2013",E675="",G675="NPN05"),H675,"")</f>
        <v/>
      </c>
      <c r="BC675" s="44" t="str">
        <f>IF(AND(C675=Master!$H$7,B675="2012-2013",E675&gt;1000,G675="NPN05"),H675,"")</f>
        <v/>
      </c>
      <c r="BD675" s="44" t="str">
        <f>IF(AND(C675=Master!$H$7,B675="2012-2013",E675="",G675="NPN05"),H675,"")</f>
        <v/>
      </c>
      <c r="BE675" s="44" t="str">
        <f>IF(AND(C675=Master!$H$8,B675="2012-2013",E675&gt;1000,G675="NPN05"),H675,"")</f>
        <v/>
      </c>
      <c r="BF675" s="44" t="str">
        <f>IF(AND(C675=Master!$H$8,B675="2012-2013",E675="",G675="NPN05"),H675,"")</f>
        <v/>
      </c>
      <c r="BG675" s="44" t="str">
        <f>IF(AND(C675=Master!$H$9,B675="2012-2013",E675&gt;1000,G675="NPN05"),H675,"")</f>
        <v/>
      </c>
      <c r="BH675" s="44" t="str">
        <f>IF(AND(C675=Master!$H$9,B675="2012-2013",E675="",G675="NPN05"),H675,"")</f>
        <v/>
      </c>
    </row>
    <row r="676" spans="1:60" x14ac:dyDescent="0.25">
      <c r="A676" s="3">
        <v>674</v>
      </c>
      <c r="B676" s="12"/>
      <c r="C676" s="12"/>
      <c r="D676" s="31"/>
      <c r="E676" s="4"/>
      <c r="F676" s="13"/>
      <c r="G676" s="21"/>
      <c r="H676" s="35"/>
      <c r="I676" s="21"/>
      <c r="J676" s="25" t="str">
        <f>IF(NOT(I676=""),INDEX(Master!$B$1:$B$46,MATCH(I676,Master!$A$1:$A$46,0)),"")</f>
        <v/>
      </c>
      <c r="K676" s="18"/>
      <c r="L676" s="86"/>
      <c r="M676" s="13"/>
      <c r="N676" s="13"/>
      <c r="O676" s="18"/>
      <c r="P676" s="35"/>
      <c r="Q676" s="21"/>
      <c r="R676" s="21"/>
      <c r="S676" s="13"/>
      <c r="T676" s="12"/>
      <c r="U676" s="12"/>
      <c r="V676" s="12"/>
      <c r="W676" s="14"/>
      <c r="Y676" s="42" t="str">
        <f>IF(AND(C676=Master!$H$1,B676="2012-2013",E676&gt;1000,G676="PLN03"),H676,"")</f>
        <v/>
      </c>
      <c r="Z676" s="42" t="str">
        <f>IF(AND(C676=Master!$H$1,B676="2012-2013",E676="",G676="PLN03"),H676,"")</f>
        <v/>
      </c>
      <c r="AA676" s="42" t="str">
        <f>IF(AND(C676=Master!$H$2,B676="2012-2013",E676&gt;1000,G676="PLN03"),H676,"")</f>
        <v/>
      </c>
      <c r="AB676" s="42" t="str">
        <f>IF(AND(C676=Master!$H$2,B676="2012-2013",E676="",G676="PLN03"),H676,"")</f>
        <v/>
      </c>
      <c r="AC676" s="42" t="str">
        <f>IF(AND(C676=Master!$H$3,B676="2012-2013",E676&gt;1000,G676="PLN03"),H676,"")</f>
        <v/>
      </c>
      <c r="AD676" s="42" t="str">
        <f>IF(AND(C676=Master!$H$3,B676="2012-2013",E676="",G676="PLN03"),H676,"")</f>
        <v/>
      </c>
      <c r="AE676" s="42" t="str">
        <f>IF(AND(C676=Master!$H$4,B676="2012-2013",E676&gt;1000,G676="PLN03"),H676,"")</f>
        <v/>
      </c>
      <c r="AF676" s="42" t="str">
        <f>IF(AND(C676=Master!$H$4,B676="2012-2013",E676="",G676="PLN03"),H676,"")</f>
        <v/>
      </c>
      <c r="AG676" s="42" t="str">
        <f>IF(AND(C676=Master!$H$5,B676="2012-2013",E676&gt;1000,G676="PLN03"),H676,"")</f>
        <v/>
      </c>
      <c r="AH676" s="42" t="str">
        <f>IF(AND(C676=Master!$H$5,B676="2012-2013",E676="",G676="PLN03"),H676,"")</f>
        <v/>
      </c>
      <c r="AI676" s="42" t="str">
        <f>IF(AND(C676=Master!$H$6,B676="2012-2013",E676&gt;1000,G676="PLN03"),H676,"")</f>
        <v/>
      </c>
      <c r="AJ676" s="42" t="str">
        <f>IF(AND(C676=Master!$H$6,B676="2012-2013",E676="",G676="PLN03"),H676,"")</f>
        <v/>
      </c>
      <c r="AK676" s="42" t="str">
        <f>IF(AND(C676=Master!$H$7,B676="2012-2013",E676&gt;1000,G676="PLN03"),H676,"")</f>
        <v/>
      </c>
      <c r="AL676" s="42" t="str">
        <f>IF(AND(C676=Master!$H$7,B676="2012-2013",E676="",G676="PLN03"),H676,"")</f>
        <v/>
      </c>
      <c r="AM676" s="42" t="str">
        <f>IF(AND(C676=Master!$H$8,B676="2012-2013",E676&gt;1000,G676="PLN03"),H676,"")</f>
        <v/>
      </c>
      <c r="AN676" s="42" t="str">
        <f>IF(AND(C676=Master!$H$8,B676="2012-2013",E676="",G676="PLN03"),H676,"")</f>
        <v/>
      </c>
      <c r="AO676" s="42" t="str">
        <f>IF(AND(C676=Master!$H$9,B676="2012-2013",E676&gt;1000,G676="PLN03"),H676,"")</f>
        <v/>
      </c>
      <c r="AP676" s="42" t="str">
        <f>IF(AND(C676=Master!$H$9,B676="2012-2013",E676="",G676="PLN03"),H676,"")</f>
        <v/>
      </c>
      <c r="AQ676" s="44" t="str">
        <f>IF(AND(C676=Master!$H$1,B676="2012-2013",E676&gt;1000,G676="NPN05"),H676,"")</f>
        <v/>
      </c>
      <c r="AR676" s="44" t="str">
        <f>IF(AND(C676=Master!$H$1,B676="2012-2013",E676="",G676="NPN05"),H676,"")</f>
        <v/>
      </c>
      <c r="AS676" s="44" t="str">
        <f>IF(AND(C676=Master!$H$2,B676="2012-2013",E676&gt;1000,G676="NPN05"),H676,"")</f>
        <v/>
      </c>
      <c r="AT676" s="44" t="str">
        <f>IF(AND(C676=Master!$H$2,B676="2012-2013",E676="",G676="NPN05"),H676,"")</f>
        <v/>
      </c>
      <c r="AU676" s="44" t="str">
        <f>IF(AND(C676=Master!$H$3,B676="2012-2013",E676&gt;1000,G676="NPN05"),H676,"")</f>
        <v/>
      </c>
      <c r="AV676" s="44" t="str">
        <f>IF(AND(C676=Master!$H$3,B676="2012-2013",E676="",G676="NPN05"),H676,"")</f>
        <v/>
      </c>
      <c r="AW676" s="44" t="str">
        <f>IF(AND(C676=Master!$H$4,B676="2012-2013",E676&gt;1000,G676="NPN05"),H676,"")</f>
        <v/>
      </c>
      <c r="AX676" s="44" t="str">
        <f>IF(AND(C676=Master!$H$4,B676="2012-2013",E676="",G676="NPN05"),H676,"")</f>
        <v/>
      </c>
      <c r="AY676" s="44" t="str">
        <f>IF(AND(C676=Master!$H$5,B676="2012-2013",E676&gt;1000,G676="NPN05"),H676,"")</f>
        <v/>
      </c>
      <c r="AZ676" s="44" t="str">
        <f>IF(AND(C676=Master!$H$5,B676="2012-2013",E676="",G676="NPN05"),H676,"")</f>
        <v/>
      </c>
      <c r="BA676" s="44" t="str">
        <f>IF(AND(C676=Master!$H$6,B676="2012-2013",E676&gt;1000,G676="NPN05"),H676,"")</f>
        <v/>
      </c>
      <c r="BB676" s="44" t="str">
        <f>IF(AND(C676=Master!$H$6,B676="2012-2013",E676="",G676="NPN05"),H676,"")</f>
        <v/>
      </c>
      <c r="BC676" s="44" t="str">
        <f>IF(AND(C676=Master!$H$7,B676="2012-2013",E676&gt;1000,G676="NPN05"),H676,"")</f>
        <v/>
      </c>
      <c r="BD676" s="44" t="str">
        <f>IF(AND(C676=Master!$H$7,B676="2012-2013",E676="",G676="NPN05"),H676,"")</f>
        <v/>
      </c>
      <c r="BE676" s="44" t="str">
        <f>IF(AND(C676=Master!$H$8,B676="2012-2013",E676&gt;1000,G676="NPN05"),H676,"")</f>
        <v/>
      </c>
      <c r="BF676" s="44" t="str">
        <f>IF(AND(C676=Master!$H$8,B676="2012-2013",E676="",G676="NPN05"),H676,"")</f>
        <v/>
      </c>
      <c r="BG676" s="44" t="str">
        <f>IF(AND(C676=Master!$H$9,B676="2012-2013",E676&gt;1000,G676="NPN05"),H676,"")</f>
        <v/>
      </c>
      <c r="BH676" s="44" t="str">
        <f>IF(AND(C676=Master!$H$9,B676="2012-2013",E676="",G676="NPN05"),H676,"")</f>
        <v/>
      </c>
    </row>
    <row r="677" spans="1:60" x14ac:dyDescent="0.25">
      <c r="A677" s="3">
        <v>675</v>
      </c>
      <c r="B677" s="12"/>
      <c r="C677" s="12"/>
      <c r="D677" s="31"/>
      <c r="E677" s="4"/>
      <c r="F677" s="13"/>
      <c r="G677" s="21"/>
      <c r="H677" s="35"/>
      <c r="I677" s="21"/>
      <c r="J677" s="25" t="str">
        <f>IF(NOT(I677=""),INDEX(Master!$B$1:$B$46,MATCH(I677,Master!$A$1:$A$46,0)),"")</f>
        <v/>
      </c>
      <c r="K677" s="18"/>
      <c r="L677" s="86"/>
      <c r="M677" s="13"/>
      <c r="N677" s="13"/>
      <c r="O677" s="18"/>
      <c r="P677" s="35"/>
      <c r="Q677" s="21"/>
      <c r="R677" s="21"/>
      <c r="S677" s="13"/>
      <c r="T677" s="12"/>
      <c r="U677" s="12"/>
      <c r="V677" s="12"/>
      <c r="W677" s="14"/>
      <c r="Y677" s="42" t="str">
        <f>IF(AND(C677=Master!$H$1,B677="2012-2013",E677&gt;1000,G677="PLN03"),H677,"")</f>
        <v/>
      </c>
      <c r="Z677" s="42" t="str">
        <f>IF(AND(C677=Master!$H$1,B677="2012-2013",E677="",G677="PLN03"),H677,"")</f>
        <v/>
      </c>
      <c r="AA677" s="42" t="str">
        <f>IF(AND(C677=Master!$H$2,B677="2012-2013",E677&gt;1000,G677="PLN03"),H677,"")</f>
        <v/>
      </c>
      <c r="AB677" s="42" t="str">
        <f>IF(AND(C677=Master!$H$2,B677="2012-2013",E677="",G677="PLN03"),H677,"")</f>
        <v/>
      </c>
      <c r="AC677" s="42" t="str">
        <f>IF(AND(C677=Master!$H$3,B677="2012-2013",E677&gt;1000,G677="PLN03"),H677,"")</f>
        <v/>
      </c>
      <c r="AD677" s="42" t="str">
        <f>IF(AND(C677=Master!$H$3,B677="2012-2013",E677="",G677="PLN03"),H677,"")</f>
        <v/>
      </c>
      <c r="AE677" s="42" t="str">
        <f>IF(AND(C677=Master!$H$4,B677="2012-2013",E677&gt;1000,G677="PLN03"),H677,"")</f>
        <v/>
      </c>
      <c r="AF677" s="42" t="str">
        <f>IF(AND(C677=Master!$H$4,B677="2012-2013",E677="",G677="PLN03"),H677,"")</f>
        <v/>
      </c>
      <c r="AG677" s="42" t="str">
        <f>IF(AND(C677=Master!$H$5,B677="2012-2013",E677&gt;1000,G677="PLN03"),H677,"")</f>
        <v/>
      </c>
      <c r="AH677" s="42" t="str">
        <f>IF(AND(C677=Master!$H$5,B677="2012-2013",E677="",G677="PLN03"),H677,"")</f>
        <v/>
      </c>
      <c r="AI677" s="42" t="str">
        <f>IF(AND(C677=Master!$H$6,B677="2012-2013",E677&gt;1000,G677="PLN03"),H677,"")</f>
        <v/>
      </c>
      <c r="AJ677" s="42" t="str">
        <f>IF(AND(C677=Master!$H$6,B677="2012-2013",E677="",G677="PLN03"),H677,"")</f>
        <v/>
      </c>
      <c r="AK677" s="42" t="str">
        <f>IF(AND(C677=Master!$H$7,B677="2012-2013",E677&gt;1000,G677="PLN03"),H677,"")</f>
        <v/>
      </c>
      <c r="AL677" s="42" t="str">
        <f>IF(AND(C677=Master!$H$7,B677="2012-2013",E677="",G677="PLN03"),H677,"")</f>
        <v/>
      </c>
      <c r="AM677" s="42" t="str">
        <f>IF(AND(C677=Master!$H$8,B677="2012-2013",E677&gt;1000,G677="PLN03"),H677,"")</f>
        <v/>
      </c>
      <c r="AN677" s="42" t="str">
        <f>IF(AND(C677=Master!$H$8,B677="2012-2013",E677="",G677="PLN03"),H677,"")</f>
        <v/>
      </c>
      <c r="AO677" s="42" t="str">
        <f>IF(AND(C677=Master!$H$9,B677="2012-2013",E677&gt;1000,G677="PLN03"),H677,"")</f>
        <v/>
      </c>
      <c r="AP677" s="42" t="str">
        <f>IF(AND(C677=Master!$H$9,B677="2012-2013",E677="",G677="PLN03"),H677,"")</f>
        <v/>
      </c>
      <c r="AQ677" s="44" t="str">
        <f>IF(AND(C677=Master!$H$1,B677="2012-2013",E677&gt;1000,G677="NPN05"),H677,"")</f>
        <v/>
      </c>
      <c r="AR677" s="44" t="str">
        <f>IF(AND(C677=Master!$H$1,B677="2012-2013",E677="",G677="NPN05"),H677,"")</f>
        <v/>
      </c>
      <c r="AS677" s="44" t="str">
        <f>IF(AND(C677=Master!$H$2,B677="2012-2013",E677&gt;1000,G677="NPN05"),H677,"")</f>
        <v/>
      </c>
      <c r="AT677" s="44" t="str">
        <f>IF(AND(C677=Master!$H$2,B677="2012-2013",E677="",G677="NPN05"),H677,"")</f>
        <v/>
      </c>
      <c r="AU677" s="44" t="str">
        <f>IF(AND(C677=Master!$H$3,B677="2012-2013",E677&gt;1000,G677="NPN05"),H677,"")</f>
        <v/>
      </c>
      <c r="AV677" s="44" t="str">
        <f>IF(AND(C677=Master!$H$3,B677="2012-2013",E677="",G677="NPN05"),H677,"")</f>
        <v/>
      </c>
      <c r="AW677" s="44" t="str">
        <f>IF(AND(C677=Master!$H$4,B677="2012-2013",E677&gt;1000,G677="NPN05"),H677,"")</f>
        <v/>
      </c>
      <c r="AX677" s="44" t="str">
        <f>IF(AND(C677=Master!$H$4,B677="2012-2013",E677="",G677="NPN05"),H677,"")</f>
        <v/>
      </c>
      <c r="AY677" s="44" t="str">
        <f>IF(AND(C677=Master!$H$5,B677="2012-2013",E677&gt;1000,G677="NPN05"),H677,"")</f>
        <v/>
      </c>
      <c r="AZ677" s="44" t="str">
        <f>IF(AND(C677=Master!$H$5,B677="2012-2013",E677="",G677="NPN05"),H677,"")</f>
        <v/>
      </c>
      <c r="BA677" s="44" t="str">
        <f>IF(AND(C677=Master!$H$6,B677="2012-2013",E677&gt;1000,G677="NPN05"),H677,"")</f>
        <v/>
      </c>
      <c r="BB677" s="44" t="str">
        <f>IF(AND(C677=Master!$H$6,B677="2012-2013",E677="",G677="NPN05"),H677,"")</f>
        <v/>
      </c>
      <c r="BC677" s="44" t="str">
        <f>IF(AND(C677=Master!$H$7,B677="2012-2013",E677&gt;1000,G677="NPN05"),H677,"")</f>
        <v/>
      </c>
      <c r="BD677" s="44" t="str">
        <f>IF(AND(C677=Master!$H$7,B677="2012-2013",E677="",G677="NPN05"),H677,"")</f>
        <v/>
      </c>
      <c r="BE677" s="44" t="str">
        <f>IF(AND(C677=Master!$H$8,B677="2012-2013",E677&gt;1000,G677="NPN05"),H677,"")</f>
        <v/>
      </c>
      <c r="BF677" s="44" t="str">
        <f>IF(AND(C677=Master!$H$8,B677="2012-2013",E677="",G677="NPN05"),H677,"")</f>
        <v/>
      </c>
      <c r="BG677" s="44" t="str">
        <f>IF(AND(C677=Master!$H$9,B677="2012-2013",E677&gt;1000,G677="NPN05"),H677,"")</f>
        <v/>
      </c>
      <c r="BH677" s="44" t="str">
        <f>IF(AND(C677=Master!$H$9,B677="2012-2013",E677="",G677="NPN05"),H677,"")</f>
        <v/>
      </c>
    </row>
    <row r="678" spans="1:60" x14ac:dyDescent="0.25">
      <c r="A678" s="3">
        <v>676</v>
      </c>
      <c r="B678" s="12"/>
      <c r="C678" s="12"/>
      <c r="D678" s="31"/>
      <c r="E678" s="4"/>
      <c r="F678" s="13"/>
      <c r="G678" s="21"/>
      <c r="H678" s="35"/>
      <c r="I678" s="21"/>
      <c r="J678" s="25" t="str">
        <f>IF(NOT(I678=""),INDEX(Master!$B$1:$B$46,MATCH(I678,Master!$A$1:$A$46,0)),"")</f>
        <v/>
      </c>
      <c r="K678" s="18"/>
      <c r="L678" s="86"/>
      <c r="M678" s="13"/>
      <c r="N678" s="13"/>
      <c r="O678" s="18"/>
      <c r="P678" s="35"/>
      <c r="Q678" s="21"/>
      <c r="R678" s="21"/>
      <c r="S678" s="13"/>
      <c r="T678" s="12"/>
      <c r="U678" s="12"/>
      <c r="V678" s="12"/>
      <c r="W678" s="14"/>
      <c r="Y678" s="42" t="str">
        <f>IF(AND(C678=Master!$H$1,B678="2012-2013",E678&gt;1000,G678="PLN03"),H678,"")</f>
        <v/>
      </c>
      <c r="Z678" s="42" t="str">
        <f>IF(AND(C678=Master!$H$1,B678="2012-2013",E678="",G678="PLN03"),H678,"")</f>
        <v/>
      </c>
      <c r="AA678" s="42" t="str">
        <f>IF(AND(C678=Master!$H$2,B678="2012-2013",E678&gt;1000,G678="PLN03"),H678,"")</f>
        <v/>
      </c>
      <c r="AB678" s="42" t="str">
        <f>IF(AND(C678=Master!$H$2,B678="2012-2013",E678="",G678="PLN03"),H678,"")</f>
        <v/>
      </c>
      <c r="AC678" s="42" t="str">
        <f>IF(AND(C678=Master!$H$3,B678="2012-2013",E678&gt;1000,G678="PLN03"),H678,"")</f>
        <v/>
      </c>
      <c r="AD678" s="42" t="str">
        <f>IF(AND(C678=Master!$H$3,B678="2012-2013",E678="",G678="PLN03"),H678,"")</f>
        <v/>
      </c>
      <c r="AE678" s="42" t="str">
        <f>IF(AND(C678=Master!$H$4,B678="2012-2013",E678&gt;1000,G678="PLN03"),H678,"")</f>
        <v/>
      </c>
      <c r="AF678" s="42" t="str">
        <f>IF(AND(C678=Master!$H$4,B678="2012-2013",E678="",G678="PLN03"),H678,"")</f>
        <v/>
      </c>
      <c r="AG678" s="42" t="str">
        <f>IF(AND(C678=Master!$H$5,B678="2012-2013",E678&gt;1000,G678="PLN03"),H678,"")</f>
        <v/>
      </c>
      <c r="AH678" s="42" t="str">
        <f>IF(AND(C678=Master!$H$5,B678="2012-2013",E678="",G678="PLN03"),H678,"")</f>
        <v/>
      </c>
      <c r="AI678" s="42" t="str">
        <f>IF(AND(C678=Master!$H$6,B678="2012-2013",E678&gt;1000,G678="PLN03"),H678,"")</f>
        <v/>
      </c>
      <c r="AJ678" s="42" t="str">
        <f>IF(AND(C678=Master!$H$6,B678="2012-2013",E678="",G678="PLN03"),H678,"")</f>
        <v/>
      </c>
      <c r="AK678" s="42" t="str">
        <f>IF(AND(C678=Master!$H$7,B678="2012-2013",E678&gt;1000,G678="PLN03"),H678,"")</f>
        <v/>
      </c>
      <c r="AL678" s="42" t="str">
        <f>IF(AND(C678=Master!$H$7,B678="2012-2013",E678="",G678="PLN03"),H678,"")</f>
        <v/>
      </c>
      <c r="AM678" s="42" t="str">
        <f>IF(AND(C678=Master!$H$8,B678="2012-2013",E678&gt;1000,G678="PLN03"),H678,"")</f>
        <v/>
      </c>
      <c r="AN678" s="42" t="str">
        <f>IF(AND(C678=Master!$H$8,B678="2012-2013",E678="",G678="PLN03"),H678,"")</f>
        <v/>
      </c>
      <c r="AO678" s="42" t="str">
        <f>IF(AND(C678=Master!$H$9,B678="2012-2013",E678&gt;1000,G678="PLN03"),H678,"")</f>
        <v/>
      </c>
      <c r="AP678" s="42" t="str">
        <f>IF(AND(C678=Master!$H$9,B678="2012-2013",E678="",G678="PLN03"),H678,"")</f>
        <v/>
      </c>
      <c r="AQ678" s="44" t="str">
        <f>IF(AND(C678=Master!$H$1,B678="2012-2013",E678&gt;1000,G678="NPN05"),H678,"")</f>
        <v/>
      </c>
      <c r="AR678" s="44" t="str">
        <f>IF(AND(C678=Master!$H$1,B678="2012-2013",E678="",G678="NPN05"),H678,"")</f>
        <v/>
      </c>
      <c r="AS678" s="44" t="str">
        <f>IF(AND(C678=Master!$H$2,B678="2012-2013",E678&gt;1000,G678="NPN05"),H678,"")</f>
        <v/>
      </c>
      <c r="AT678" s="44" t="str">
        <f>IF(AND(C678=Master!$H$2,B678="2012-2013",E678="",G678="NPN05"),H678,"")</f>
        <v/>
      </c>
      <c r="AU678" s="44" t="str">
        <f>IF(AND(C678=Master!$H$3,B678="2012-2013",E678&gt;1000,G678="NPN05"),H678,"")</f>
        <v/>
      </c>
      <c r="AV678" s="44" t="str">
        <f>IF(AND(C678=Master!$H$3,B678="2012-2013",E678="",G678="NPN05"),H678,"")</f>
        <v/>
      </c>
      <c r="AW678" s="44" t="str">
        <f>IF(AND(C678=Master!$H$4,B678="2012-2013",E678&gt;1000,G678="NPN05"),H678,"")</f>
        <v/>
      </c>
      <c r="AX678" s="44" t="str">
        <f>IF(AND(C678=Master!$H$4,B678="2012-2013",E678="",G678="NPN05"),H678,"")</f>
        <v/>
      </c>
      <c r="AY678" s="44" t="str">
        <f>IF(AND(C678=Master!$H$5,B678="2012-2013",E678&gt;1000,G678="NPN05"),H678,"")</f>
        <v/>
      </c>
      <c r="AZ678" s="44" t="str">
        <f>IF(AND(C678=Master!$H$5,B678="2012-2013",E678="",G678="NPN05"),H678,"")</f>
        <v/>
      </c>
      <c r="BA678" s="44" t="str">
        <f>IF(AND(C678=Master!$H$6,B678="2012-2013",E678&gt;1000,G678="NPN05"),H678,"")</f>
        <v/>
      </c>
      <c r="BB678" s="44" t="str">
        <f>IF(AND(C678=Master!$H$6,B678="2012-2013",E678="",G678="NPN05"),H678,"")</f>
        <v/>
      </c>
      <c r="BC678" s="44" t="str">
        <f>IF(AND(C678=Master!$H$7,B678="2012-2013",E678&gt;1000,G678="NPN05"),H678,"")</f>
        <v/>
      </c>
      <c r="BD678" s="44" t="str">
        <f>IF(AND(C678=Master!$H$7,B678="2012-2013",E678="",G678="NPN05"),H678,"")</f>
        <v/>
      </c>
      <c r="BE678" s="44" t="str">
        <f>IF(AND(C678=Master!$H$8,B678="2012-2013",E678&gt;1000,G678="NPN05"),H678,"")</f>
        <v/>
      </c>
      <c r="BF678" s="44" t="str">
        <f>IF(AND(C678=Master!$H$8,B678="2012-2013",E678="",G678="NPN05"),H678,"")</f>
        <v/>
      </c>
      <c r="BG678" s="44" t="str">
        <f>IF(AND(C678=Master!$H$9,B678="2012-2013",E678&gt;1000,G678="NPN05"),H678,"")</f>
        <v/>
      </c>
      <c r="BH678" s="44" t="str">
        <f>IF(AND(C678=Master!$H$9,B678="2012-2013",E678="",G678="NPN05"),H678,"")</f>
        <v/>
      </c>
    </row>
    <row r="679" spans="1:60" x14ac:dyDescent="0.25">
      <c r="A679" s="5">
        <v>677</v>
      </c>
      <c r="B679" s="12"/>
      <c r="C679" s="12"/>
      <c r="D679" s="31"/>
      <c r="E679" s="4"/>
      <c r="F679" s="13"/>
      <c r="G679" s="21"/>
      <c r="H679" s="35"/>
      <c r="I679" s="21"/>
      <c r="J679" s="25" t="str">
        <f>IF(NOT(I679=""),INDEX(Master!$B$1:$B$46,MATCH(I679,Master!$A$1:$A$46,0)),"")</f>
        <v/>
      </c>
      <c r="K679" s="18"/>
      <c r="L679" s="86"/>
      <c r="M679" s="13"/>
      <c r="N679" s="13"/>
      <c r="O679" s="18"/>
      <c r="P679" s="35"/>
      <c r="Q679" s="21"/>
      <c r="R679" s="21"/>
      <c r="S679" s="13"/>
      <c r="T679" s="12"/>
      <c r="U679" s="12"/>
      <c r="V679" s="12"/>
      <c r="W679" s="14"/>
      <c r="Y679" s="42" t="str">
        <f>IF(AND(C679=Master!$H$1,B679="2012-2013",E679&gt;1000,G679="PLN03"),H679,"")</f>
        <v/>
      </c>
      <c r="Z679" s="42" t="str">
        <f>IF(AND(C679=Master!$H$1,B679="2012-2013",E679="",G679="PLN03"),H679,"")</f>
        <v/>
      </c>
      <c r="AA679" s="42" t="str">
        <f>IF(AND(C679=Master!$H$2,B679="2012-2013",E679&gt;1000,G679="PLN03"),H679,"")</f>
        <v/>
      </c>
      <c r="AB679" s="42" t="str">
        <f>IF(AND(C679=Master!$H$2,B679="2012-2013",E679="",G679="PLN03"),H679,"")</f>
        <v/>
      </c>
      <c r="AC679" s="42" t="str">
        <f>IF(AND(C679=Master!$H$3,B679="2012-2013",E679&gt;1000,G679="PLN03"),H679,"")</f>
        <v/>
      </c>
      <c r="AD679" s="42" t="str">
        <f>IF(AND(C679=Master!$H$3,B679="2012-2013",E679="",G679="PLN03"),H679,"")</f>
        <v/>
      </c>
      <c r="AE679" s="42" t="str">
        <f>IF(AND(C679=Master!$H$4,B679="2012-2013",E679&gt;1000,G679="PLN03"),H679,"")</f>
        <v/>
      </c>
      <c r="AF679" s="42" t="str">
        <f>IF(AND(C679=Master!$H$4,B679="2012-2013",E679="",G679="PLN03"),H679,"")</f>
        <v/>
      </c>
      <c r="AG679" s="42" t="str">
        <f>IF(AND(C679=Master!$H$5,B679="2012-2013",E679&gt;1000,G679="PLN03"),H679,"")</f>
        <v/>
      </c>
      <c r="AH679" s="42" t="str">
        <f>IF(AND(C679=Master!$H$5,B679="2012-2013",E679="",G679="PLN03"),H679,"")</f>
        <v/>
      </c>
      <c r="AI679" s="42" t="str">
        <f>IF(AND(C679=Master!$H$6,B679="2012-2013",E679&gt;1000,G679="PLN03"),H679,"")</f>
        <v/>
      </c>
      <c r="AJ679" s="42" t="str">
        <f>IF(AND(C679=Master!$H$6,B679="2012-2013",E679="",G679="PLN03"),H679,"")</f>
        <v/>
      </c>
      <c r="AK679" s="42" t="str">
        <f>IF(AND(C679=Master!$H$7,B679="2012-2013",E679&gt;1000,G679="PLN03"),H679,"")</f>
        <v/>
      </c>
      <c r="AL679" s="42" t="str">
        <f>IF(AND(C679=Master!$H$7,B679="2012-2013",E679="",G679="PLN03"),H679,"")</f>
        <v/>
      </c>
      <c r="AM679" s="42" t="str">
        <f>IF(AND(C679=Master!$H$8,B679="2012-2013",E679&gt;1000,G679="PLN03"),H679,"")</f>
        <v/>
      </c>
      <c r="AN679" s="42" t="str">
        <f>IF(AND(C679=Master!$H$8,B679="2012-2013",E679="",G679="PLN03"),H679,"")</f>
        <v/>
      </c>
      <c r="AO679" s="42" t="str">
        <f>IF(AND(C679=Master!$H$9,B679="2012-2013",E679&gt;1000,G679="PLN03"),H679,"")</f>
        <v/>
      </c>
      <c r="AP679" s="42" t="str">
        <f>IF(AND(C679=Master!$H$9,B679="2012-2013",E679="",G679="PLN03"),H679,"")</f>
        <v/>
      </c>
      <c r="AQ679" s="44" t="str">
        <f>IF(AND(C679=Master!$H$1,B679="2012-2013",E679&gt;1000,G679="NPN05"),H679,"")</f>
        <v/>
      </c>
      <c r="AR679" s="44" t="str">
        <f>IF(AND(C679=Master!$H$1,B679="2012-2013",E679="",G679="NPN05"),H679,"")</f>
        <v/>
      </c>
      <c r="AS679" s="44" t="str">
        <f>IF(AND(C679=Master!$H$2,B679="2012-2013",E679&gt;1000,G679="NPN05"),H679,"")</f>
        <v/>
      </c>
      <c r="AT679" s="44" t="str">
        <f>IF(AND(C679=Master!$H$2,B679="2012-2013",E679="",G679="NPN05"),H679,"")</f>
        <v/>
      </c>
      <c r="AU679" s="44" t="str">
        <f>IF(AND(C679=Master!$H$3,B679="2012-2013",E679&gt;1000,G679="NPN05"),H679,"")</f>
        <v/>
      </c>
      <c r="AV679" s="44" t="str">
        <f>IF(AND(C679=Master!$H$3,B679="2012-2013",E679="",G679="NPN05"),H679,"")</f>
        <v/>
      </c>
      <c r="AW679" s="44" t="str">
        <f>IF(AND(C679=Master!$H$4,B679="2012-2013",E679&gt;1000,G679="NPN05"),H679,"")</f>
        <v/>
      </c>
      <c r="AX679" s="44" t="str">
        <f>IF(AND(C679=Master!$H$4,B679="2012-2013",E679="",G679="NPN05"),H679,"")</f>
        <v/>
      </c>
      <c r="AY679" s="44" t="str">
        <f>IF(AND(C679=Master!$H$5,B679="2012-2013",E679&gt;1000,G679="NPN05"),H679,"")</f>
        <v/>
      </c>
      <c r="AZ679" s="44" t="str">
        <f>IF(AND(C679=Master!$H$5,B679="2012-2013",E679="",G679="NPN05"),H679,"")</f>
        <v/>
      </c>
      <c r="BA679" s="44" t="str">
        <f>IF(AND(C679=Master!$H$6,B679="2012-2013",E679&gt;1000,G679="NPN05"),H679,"")</f>
        <v/>
      </c>
      <c r="BB679" s="44" t="str">
        <f>IF(AND(C679=Master!$H$6,B679="2012-2013",E679="",G679="NPN05"),H679,"")</f>
        <v/>
      </c>
      <c r="BC679" s="44" t="str">
        <f>IF(AND(C679=Master!$H$7,B679="2012-2013",E679&gt;1000,G679="NPN05"),H679,"")</f>
        <v/>
      </c>
      <c r="BD679" s="44" t="str">
        <f>IF(AND(C679=Master!$H$7,B679="2012-2013",E679="",G679="NPN05"),H679,"")</f>
        <v/>
      </c>
      <c r="BE679" s="44" t="str">
        <f>IF(AND(C679=Master!$H$8,B679="2012-2013",E679&gt;1000,G679="NPN05"),H679,"")</f>
        <v/>
      </c>
      <c r="BF679" s="44" t="str">
        <f>IF(AND(C679=Master!$H$8,B679="2012-2013",E679="",G679="NPN05"),H679,"")</f>
        <v/>
      </c>
      <c r="BG679" s="44" t="str">
        <f>IF(AND(C679=Master!$H$9,B679="2012-2013",E679&gt;1000,G679="NPN05"),H679,"")</f>
        <v/>
      </c>
      <c r="BH679" s="44" t="str">
        <f>IF(AND(C679=Master!$H$9,B679="2012-2013",E679="",G679="NPN05"),H679,"")</f>
        <v/>
      </c>
    </row>
    <row r="680" spans="1:60" x14ac:dyDescent="0.25">
      <c r="A680" s="3">
        <v>678</v>
      </c>
      <c r="B680" s="12"/>
      <c r="C680" s="12"/>
      <c r="D680" s="31"/>
      <c r="E680" s="4"/>
      <c r="F680" s="13"/>
      <c r="G680" s="21"/>
      <c r="H680" s="35"/>
      <c r="I680" s="21"/>
      <c r="J680" s="25" t="str">
        <f>IF(NOT(I680=""),INDEX(Master!$B$1:$B$46,MATCH(I680,Master!$A$1:$A$46,0)),"")</f>
        <v/>
      </c>
      <c r="K680" s="18"/>
      <c r="L680" s="86"/>
      <c r="M680" s="13"/>
      <c r="N680" s="13"/>
      <c r="O680" s="18"/>
      <c r="P680" s="35"/>
      <c r="Q680" s="21"/>
      <c r="R680" s="21"/>
      <c r="S680" s="13"/>
      <c r="T680" s="12"/>
      <c r="U680" s="12"/>
      <c r="V680" s="12"/>
      <c r="W680" s="14"/>
      <c r="Y680" s="42" t="str">
        <f>IF(AND(C680=Master!$H$1,B680="2012-2013",E680&gt;1000,G680="PLN03"),H680,"")</f>
        <v/>
      </c>
      <c r="Z680" s="42" t="str">
        <f>IF(AND(C680=Master!$H$1,B680="2012-2013",E680="",G680="PLN03"),H680,"")</f>
        <v/>
      </c>
      <c r="AA680" s="42" t="str">
        <f>IF(AND(C680=Master!$H$2,B680="2012-2013",E680&gt;1000,G680="PLN03"),H680,"")</f>
        <v/>
      </c>
      <c r="AB680" s="42" t="str">
        <f>IF(AND(C680=Master!$H$2,B680="2012-2013",E680="",G680="PLN03"),H680,"")</f>
        <v/>
      </c>
      <c r="AC680" s="42" t="str">
        <f>IF(AND(C680=Master!$H$3,B680="2012-2013",E680&gt;1000,G680="PLN03"),H680,"")</f>
        <v/>
      </c>
      <c r="AD680" s="42" t="str">
        <f>IF(AND(C680=Master!$H$3,B680="2012-2013",E680="",G680="PLN03"),H680,"")</f>
        <v/>
      </c>
      <c r="AE680" s="42" t="str">
        <f>IF(AND(C680=Master!$H$4,B680="2012-2013",E680&gt;1000,G680="PLN03"),H680,"")</f>
        <v/>
      </c>
      <c r="AF680" s="42" t="str">
        <f>IF(AND(C680=Master!$H$4,B680="2012-2013",E680="",G680="PLN03"),H680,"")</f>
        <v/>
      </c>
      <c r="AG680" s="42" t="str">
        <f>IF(AND(C680=Master!$H$5,B680="2012-2013",E680&gt;1000,G680="PLN03"),H680,"")</f>
        <v/>
      </c>
      <c r="AH680" s="42" t="str">
        <f>IF(AND(C680=Master!$H$5,B680="2012-2013",E680="",G680="PLN03"),H680,"")</f>
        <v/>
      </c>
      <c r="AI680" s="42" t="str">
        <f>IF(AND(C680=Master!$H$6,B680="2012-2013",E680&gt;1000,G680="PLN03"),H680,"")</f>
        <v/>
      </c>
      <c r="AJ680" s="42" t="str">
        <f>IF(AND(C680=Master!$H$6,B680="2012-2013",E680="",G680="PLN03"),H680,"")</f>
        <v/>
      </c>
      <c r="AK680" s="42" t="str">
        <f>IF(AND(C680=Master!$H$7,B680="2012-2013",E680&gt;1000,G680="PLN03"),H680,"")</f>
        <v/>
      </c>
      <c r="AL680" s="42" t="str">
        <f>IF(AND(C680=Master!$H$7,B680="2012-2013",E680="",G680="PLN03"),H680,"")</f>
        <v/>
      </c>
      <c r="AM680" s="42" t="str">
        <f>IF(AND(C680=Master!$H$8,B680="2012-2013",E680&gt;1000,G680="PLN03"),H680,"")</f>
        <v/>
      </c>
      <c r="AN680" s="42" t="str">
        <f>IF(AND(C680=Master!$H$8,B680="2012-2013",E680="",G680="PLN03"),H680,"")</f>
        <v/>
      </c>
      <c r="AO680" s="42" t="str">
        <f>IF(AND(C680=Master!$H$9,B680="2012-2013",E680&gt;1000,G680="PLN03"),H680,"")</f>
        <v/>
      </c>
      <c r="AP680" s="42" t="str">
        <f>IF(AND(C680=Master!$H$9,B680="2012-2013",E680="",G680="PLN03"),H680,"")</f>
        <v/>
      </c>
      <c r="AQ680" s="44" t="str">
        <f>IF(AND(C680=Master!$H$1,B680="2012-2013",E680&gt;1000,G680="NPN05"),H680,"")</f>
        <v/>
      </c>
      <c r="AR680" s="44" t="str">
        <f>IF(AND(C680=Master!$H$1,B680="2012-2013",E680="",G680="NPN05"),H680,"")</f>
        <v/>
      </c>
      <c r="AS680" s="44" t="str">
        <f>IF(AND(C680=Master!$H$2,B680="2012-2013",E680&gt;1000,G680="NPN05"),H680,"")</f>
        <v/>
      </c>
      <c r="AT680" s="44" t="str">
        <f>IF(AND(C680=Master!$H$2,B680="2012-2013",E680="",G680="NPN05"),H680,"")</f>
        <v/>
      </c>
      <c r="AU680" s="44" t="str">
        <f>IF(AND(C680=Master!$H$3,B680="2012-2013",E680&gt;1000,G680="NPN05"),H680,"")</f>
        <v/>
      </c>
      <c r="AV680" s="44" t="str">
        <f>IF(AND(C680=Master!$H$3,B680="2012-2013",E680="",G680="NPN05"),H680,"")</f>
        <v/>
      </c>
      <c r="AW680" s="44" t="str">
        <f>IF(AND(C680=Master!$H$4,B680="2012-2013",E680&gt;1000,G680="NPN05"),H680,"")</f>
        <v/>
      </c>
      <c r="AX680" s="44" t="str">
        <f>IF(AND(C680=Master!$H$4,B680="2012-2013",E680="",G680="NPN05"),H680,"")</f>
        <v/>
      </c>
      <c r="AY680" s="44" t="str">
        <f>IF(AND(C680=Master!$H$5,B680="2012-2013",E680&gt;1000,G680="NPN05"),H680,"")</f>
        <v/>
      </c>
      <c r="AZ680" s="44" t="str">
        <f>IF(AND(C680=Master!$H$5,B680="2012-2013",E680="",G680="NPN05"),H680,"")</f>
        <v/>
      </c>
      <c r="BA680" s="44" t="str">
        <f>IF(AND(C680=Master!$H$6,B680="2012-2013",E680&gt;1000,G680="NPN05"),H680,"")</f>
        <v/>
      </c>
      <c r="BB680" s="44" t="str">
        <f>IF(AND(C680=Master!$H$6,B680="2012-2013",E680="",G680="NPN05"),H680,"")</f>
        <v/>
      </c>
      <c r="BC680" s="44" t="str">
        <f>IF(AND(C680=Master!$H$7,B680="2012-2013",E680&gt;1000,G680="NPN05"),H680,"")</f>
        <v/>
      </c>
      <c r="BD680" s="44" t="str">
        <f>IF(AND(C680=Master!$H$7,B680="2012-2013",E680="",G680="NPN05"),H680,"")</f>
        <v/>
      </c>
      <c r="BE680" s="44" t="str">
        <f>IF(AND(C680=Master!$H$8,B680="2012-2013",E680&gt;1000,G680="NPN05"),H680,"")</f>
        <v/>
      </c>
      <c r="BF680" s="44" t="str">
        <f>IF(AND(C680=Master!$H$8,B680="2012-2013",E680="",G680="NPN05"),H680,"")</f>
        <v/>
      </c>
      <c r="BG680" s="44" t="str">
        <f>IF(AND(C680=Master!$H$9,B680="2012-2013",E680&gt;1000,G680="NPN05"),H680,"")</f>
        <v/>
      </c>
      <c r="BH680" s="44" t="str">
        <f>IF(AND(C680=Master!$H$9,B680="2012-2013",E680="",G680="NPN05"),H680,"")</f>
        <v/>
      </c>
    </row>
    <row r="681" spans="1:60" x14ac:dyDescent="0.25">
      <c r="A681" s="3">
        <v>679</v>
      </c>
      <c r="B681" s="12"/>
      <c r="C681" s="12"/>
      <c r="D681" s="31"/>
      <c r="E681" s="4"/>
      <c r="F681" s="13"/>
      <c r="G681" s="21"/>
      <c r="H681" s="35"/>
      <c r="I681" s="21"/>
      <c r="J681" s="25" t="str">
        <f>IF(NOT(I681=""),INDEX(Master!$B$1:$B$46,MATCH(I681,Master!$A$1:$A$46,0)),"")</f>
        <v/>
      </c>
      <c r="K681" s="18"/>
      <c r="L681" s="86"/>
      <c r="M681" s="13"/>
      <c r="N681" s="13"/>
      <c r="O681" s="18"/>
      <c r="P681" s="35"/>
      <c r="Q681" s="21"/>
      <c r="R681" s="21"/>
      <c r="S681" s="13"/>
      <c r="T681" s="12"/>
      <c r="U681" s="12"/>
      <c r="V681" s="12"/>
      <c r="W681" s="14"/>
      <c r="Y681" s="42" t="str">
        <f>IF(AND(C681=Master!$H$1,B681="2012-2013",E681&gt;1000,G681="PLN03"),H681,"")</f>
        <v/>
      </c>
      <c r="Z681" s="42" t="str">
        <f>IF(AND(C681=Master!$H$1,B681="2012-2013",E681="",G681="PLN03"),H681,"")</f>
        <v/>
      </c>
      <c r="AA681" s="42" t="str">
        <f>IF(AND(C681=Master!$H$2,B681="2012-2013",E681&gt;1000,G681="PLN03"),H681,"")</f>
        <v/>
      </c>
      <c r="AB681" s="42" t="str">
        <f>IF(AND(C681=Master!$H$2,B681="2012-2013",E681="",G681="PLN03"),H681,"")</f>
        <v/>
      </c>
      <c r="AC681" s="42" t="str">
        <f>IF(AND(C681=Master!$H$3,B681="2012-2013",E681&gt;1000,G681="PLN03"),H681,"")</f>
        <v/>
      </c>
      <c r="AD681" s="42" t="str">
        <f>IF(AND(C681=Master!$H$3,B681="2012-2013",E681="",G681="PLN03"),H681,"")</f>
        <v/>
      </c>
      <c r="AE681" s="42" t="str">
        <f>IF(AND(C681=Master!$H$4,B681="2012-2013",E681&gt;1000,G681="PLN03"),H681,"")</f>
        <v/>
      </c>
      <c r="AF681" s="42" t="str">
        <f>IF(AND(C681=Master!$H$4,B681="2012-2013",E681="",G681="PLN03"),H681,"")</f>
        <v/>
      </c>
      <c r="AG681" s="42" t="str">
        <f>IF(AND(C681=Master!$H$5,B681="2012-2013",E681&gt;1000,G681="PLN03"),H681,"")</f>
        <v/>
      </c>
      <c r="AH681" s="42" t="str">
        <f>IF(AND(C681=Master!$H$5,B681="2012-2013",E681="",G681="PLN03"),H681,"")</f>
        <v/>
      </c>
      <c r="AI681" s="42" t="str">
        <f>IF(AND(C681=Master!$H$6,B681="2012-2013",E681&gt;1000,G681="PLN03"),H681,"")</f>
        <v/>
      </c>
      <c r="AJ681" s="42" t="str">
        <f>IF(AND(C681=Master!$H$6,B681="2012-2013",E681="",G681="PLN03"),H681,"")</f>
        <v/>
      </c>
      <c r="AK681" s="42" t="str">
        <f>IF(AND(C681=Master!$H$7,B681="2012-2013",E681&gt;1000,G681="PLN03"),H681,"")</f>
        <v/>
      </c>
      <c r="AL681" s="42" t="str">
        <f>IF(AND(C681=Master!$H$7,B681="2012-2013",E681="",G681="PLN03"),H681,"")</f>
        <v/>
      </c>
      <c r="AM681" s="42" t="str">
        <f>IF(AND(C681=Master!$H$8,B681="2012-2013",E681&gt;1000,G681="PLN03"),H681,"")</f>
        <v/>
      </c>
      <c r="AN681" s="42" t="str">
        <f>IF(AND(C681=Master!$H$8,B681="2012-2013",E681="",G681="PLN03"),H681,"")</f>
        <v/>
      </c>
      <c r="AO681" s="42" t="str">
        <f>IF(AND(C681=Master!$H$9,B681="2012-2013",E681&gt;1000,G681="PLN03"),H681,"")</f>
        <v/>
      </c>
      <c r="AP681" s="42" t="str">
        <f>IF(AND(C681=Master!$H$9,B681="2012-2013",E681="",G681="PLN03"),H681,"")</f>
        <v/>
      </c>
      <c r="AQ681" s="44" t="str">
        <f>IF(AND(C681=Master!$H$1,B681="2012-2013",E681&gt;1000,G681="NPN05"),H681,"")</f>
        <v/>
      </c>
      <c r="AR681" s="44" t="str">
        <f>IF(AND(C681=Master!$H$1,B681="2012-2013",E681="",G681="NPN05"),H681,"")</f>
        <v/>
      </c>
      <c r="AS681" s="44" t="str">
        <f>IF(AND(C681=Master!$H$2,B681="2012-2013",E681&gt;1000,G681="NPN05"),H681,"")</f>
        <v/>
      </c>
      <c r="AT681" s="44" t="str">
        <f>IF(AND(C681=Master!$H$2,B681="2012-2013",E681="",G681="NPN05"),H681,"")</f>
        <v/>
      </c>
      <c r="AU681" s="44" t="str">
        <f>IF(AND(C681=Master!$H$3,B681="2012-2013",E681&gt;1000,G681="NPN05"),H681,"")</f>
        <v/>
      </c>
      <c r="AV681" s="44" t="str">
        <f>IF(AND(C681=Master!$H$3,B681="2012-2013",E681="",G681="NPN05"),H681,"")</f>
        <v/>
      </c>
      <c r="AW681" s="44" t="str">
        <f>IF(AND(C681=Master!$H$4,B681="2012-2013",E681&gt;1000,G681="NPN05"),H681,"")</f>
        <v/>
      </c>
      <c r="AX681" s="44" t="str">
        <f>IF(AND(C681=Master!$H$4,B681="2012-2013",E681="",G681="NPN05"),H681,"")</f>
        <v/>
      </c>
      <c r="AY681" s="44" t="str">
        <f>IF(AND(C681=Master!$H$5,B681="2012-2013",E681&gt;1000,G681="NPN05"),H681,"")</f>
        <v/>
      </c>
      <c r="AZ681" s="44" t="str">
        <f>IF(AND(C681=Master!$H$5,B681="2012-2013",E681="",G681="NPN05"),H681,"")</f>
        <v/>
      </c>
      <c r="BA681" s="44" t="str">
        <f>IF(AND(C681=Master!$H$6,B681="2012-2013",E681&gt;1000,G681="NPN05"),H681,"")</f>
        <v/>
      </c>
      <c r="BB681" s="44" t="str">
        <f>IF(AND(C681=Master!$H$6,B681="2012-2013",E681="",G681="NPN05"),H681,"")</f>
        <v/>
      </c>
      <c r="BC681" s="44" t="str">
        <f>IF(AND(C681=Master!$H$7,B681="2012-2013",E681&gt;1000,G681="NPN05"),H681,"")</f>
        <v/>
      </c>
      <c r="BD681" s="44" t="str">
        <f>IF(AND(C681=Master!$H$7,B681="2012-2013",E681="",G681="NPN05"),H681,"")</f>
        <v/>
      </c>
      <c r="BE681" s="44" t="str">
        <f>IF(AND(C681=Master!$H$8,B681="2012-2013",E681&gt;1000,G681="NPN05"),H681,"")</f>
        <v/>
      </c>
      <c r="BF681" s="44" t="str">
        <f>IF(AND(C681=Master!$H$8,B681="2012-2013",E681="",G681="NPN05"),H681,"")</f>
        <v/>
      </c>
      <c r="BG681" s="44" t="str">
        <f>IF(AND(C681=Master!$H$9,B681="2012-2013",E681&gt;1000,G681="NPN05"),H681,"")</f>
        <v/>
      </c>
      <c r="BH681" s="44" t="str">
        <f>IF(AND(C681=Master!$H$9,B681="2012-2013",E681="",G681="NPN05"),H681,"")</f>
        <v/>
      </c>
    </row>
    <row r="682" spans="1:60" x14ac:dyDescent="0.25">
      <c r="A682" s="3">
        <v>680</v>
      </c>
      <c r="B682" s="12"/>
      <c r="C682" s="12"/>
      <c r="D682" s="31"/>
      <c r="E682" s="4"/>
      <c r="F682" s="13"/>
      <c r="G682" s="21"/>
      <c r="H682" s="35"/>
      <c r="I682" s="21"/>
      <c r="J682" s="25" t="str">
        <f>IF(NOT(I682=""),INDEX(Master!$B$1:$B$46,MATCH(I682,Master!$A$1:$A$46,0)),"")</f>
        <v/>
      </c>
      <c r="K682" s="18"/>
      <c r="L682" s="86"/>
      <c r="M682" s="13"/>
      <c r="N682" s="13"/>
      <c r="O682" s="18"/>
      <c r="P682" s="35"/>
      <c r="Q682" s="21"/>
      <c r="R682" s="21"/>
      <c r="S682" s="13"/>
      <c r="T682" s="12"/>
      <c r="U682" s="12"/>
      <c r="V682" s="12"/>
      <c r="W682" s="14"/>
      <c r="Y682" s="42" t="str">
        <f>IF(AND(C682=Master!$H$1,B682="2012-2013",E682&gt;1000,G682="PLN03"),H682,"")</f>
        <v/>
      </c>
      <c r="Z682" s="42" t="str">
        <f>IF(AND(C682=Master!$H$1,B682="2012-2013",E682="",G682="PLN03"),H682,"")</f>
        <v/>
      </c>
      <c r="AA682" s="42" t="str">
        <f>IF(AND(C682=Master!$H$2,B682="2012-2013",E682&gt;1000,G682="PLN03"),H682,"")</f>
        <v/>
      </c>
      <c r="AB682" s="42" t="str">
        <f>IF(AND(C682=Master!$H$2,B682="2012-2013",E682="",G682="PLN03"),H682,"")</f>
        <v/>
      </c>
      <c r="AC682" s="42" t="str">
        <f>IF(AND(C682=Master!$H$3,B682="2012-2013",E682&gt;1000,G682="PLN03"),H682,"")</f>
        <v/>
      </c>
      <c r="AD682" s="42" t="str">
        <f>IF(AND(C682=Master!$H$3,B682="2012-2013",E682="",G682="PLN03"),H682,"")</f>
        <v/>
      </c>
      <c r="AE682" s="42" t="str">
        <f>IF(AND(C682=Master!$H$4,B682="2012-2013",E682&gt;1000,G682="PLN03"),H682,"")</f>
        <v/>
      </c>
      <c r="AF682" s="42" t="str">
        <f>IF(AND(C682=Master!$H$4,B682="2012-2013",E682="",G682="PLN03"),H682,"")</f>
        <v/>
      </c>
      <c r="AG682" s="42" t="str">
        <f>IF(AND(C682=Master!$H$5,B682="2012-2013",E682&gt;1000,G682="PLN03"),H682,"")</f>
        <v/>
      </c>
      <c r="AH682" s="42" t="str">
        <f>IF(AND(C682=Master!$H$5,B682="2012-2013",E682="",G682="PLN03"),H682,"")</f>
        <v/>
      </c>
      <c r="AI682" s="42" t="str">
        <f>IF(AND(C682=Master!$H$6,B682="2012-2013",E682&gt;1000,G682="PLN03"),H682,"")</f>
        <v/>
      </c>
      <c r="AJ682" s="42" t="str">
        <f>IF(AND(C682=Master!$H$6,B682="2012-2013",E682="",G682="PLN03"),H682,"")</f>
        <v/>
      </c>
      <c r="AK682" s="42" t="str">
        <f>IF(AND(C682=Master!$H$7,B682="2012-2013",E682&gt;1000,G682="PLN03"),H682,"")</f>
        <v/>
      </c>
      <c r="AL682" s="42" t="str">
        <f>IF(AND(C682=Master!$H$7,B682="2012-2013",E682="",G682="PLN03"),H682,"")</f>
        <v/>
      </c>
      <c r="AM682" s="42" t="str">
        <f>IF(AND(C682=Master!$H$8,B682="2012-2013",E682&gt;1000,G682="PLN03"),H682,"")</f>
        <v/>
      </c>
      <c r="AN682" s="42" t="str">
        <f>IF(AND(C682=Master!$H$8,B682="2012-2013",E682="",G682="PLN03"),H682,"")</f>
        <v/>
      </c>
      <c r="AO682" s="42" t="str">
        <f>IF(AND(C682=Master!$H$9,B682="2012-2013",E682&gt;1000,G682="PLN03"),H682,"")</f>
        <v/>
      </c>
      <c r="AP682" s="42" t="str">
        <f>IF(AND(C682=Master!$H$9,B682="2012-2013",E682="",G682="PLN03"),H682,"")</f>
        <v/>
      </c>
      <c r="AQ682" s="44" t="str">
        <f>IF(AND(C682=Master!$H$1,B682="2012-2013",E682&gt;1000,G682="NPN05"),H682,"")</f>
        <v/>
      </c>
      <c r="AR682" s="44" t="str">
        <f>IF(AND(C682=Master!$H$1,B682="2012-2013",E682="",G682="NPN05"),H682,"")</f>
        <v/>
      </c>
      <c r="AS682" s="44" t="str">
        <f>IF(AND(C682=Master!$H$2,B682="2012-2013",E682&gt;1000,G682="NPN05"),H682,"")</f>
        <v/>
      </c>
      <c r="AT682" s="44" t="str">
        <f>IF(AND(C682=Master!$H$2,B682="2012-2013",E682="",G682="NPN05"),H682,"")</f>
        <v/>
      </c>
      <c r="AU682" s="44" t="str">
        <f>IF(AND(C682=Master!$H$3,B682="2012-2013",E682&gt;1000,G682="NPN05"),H682,"")</f>
        <v/>
      </c>
      <c r="AV682" s="44" t="str">
        <f>IF(AND(C682=Master!$H$3,B682="2012-2013",E682="",G682="NPN05"),H682,"")</f>
        <v/>
      </c>
      <c r="AW682" s="44" t="str">
        <f>IF(AND(C682=Master!$H$4,B682="2012-2013",E682&gt;1000,G682="NPN05"),H682,"")</f>
        <v/>
      </c>
      <c r="AX682" s="44" t="str">
        <f>IF(AND(C682=Master!$H$4,B682="2012-2013",E682="",G682="NPN05"),H682,"")</f>
        <v/>
      </c>
      <c r="AY682" s="44" t="str">
        <f>IF(AND(C682=Master!$H$5,B682="2012-2013",E682&gt;1000,G682="NPN05"),H682,"")</f>
        <v/>
      </c>
      <c r="AZ682" s="44" t="str">
        <f>IF(AND(C682=Master!$H$5,B682="2012-2013",E682="",G682="NPN05"),H682,"")</f>
        <v/>
      </c>
      <c r="BA682" s="44" t="str">
        <f>IF(AND(C682=Master!$H$6,B682="2012-2013",E682&gt;1000,G682="NPN05"),H682,"")</f>
        <v/>
      </c>
      <c r="BB682" s="44" t="str">
        <f>IF(AND(C682=Master!$H$6,B682="2012-2013",E682="",G682="NPN05"),H682,"")</f>
        <v/>
      </c>
      <c r="BC682" s="44" t="str">
        <f>IF(AND(C682=Master!$H$7,B682="2012-2013",E682&gt;1000,G682="NPN05"),H682,"")</f>
        <v/>
      </c>
      <c r="BD682" s="44" t="str">
        <f>IF(AND(C682=Master!$H$7,B682="2012-2013",E682="",G682="NPN05"),H682,"")</f>
        <v/>
      </c>
      <c r="BE682" s="44" t="str">
        <f>IF(AND(C682=Master!$H$8,B682="2012-2013",E682&gt;1000,G682="NPN05"),H682,"")</f>
        <v/>
      </c>
      <c r="BF682" s="44" t="str">
        <f>IF(AND(C682=Master!$H$8,B682="2012-2013",E682="",G682="NPN05"),H682,"")</f>
        <v/>
      </c>
      <c r="BG682" s="44" t="str">
        <f>IF(AND(C682=Master!$H$9,B682="2012-2013",E682&gt;1000,G682="NPN05"),H682,"")</f>
        <v/>
      </c>
      <c r="BH682" s="44" t="str">
        <f>IF(AND(C682=Master!$H$9,B682="2012-2013",E682="",G682="NPN05"),H682,"")</f>
        <v/>
      </c>
    </row>
    <row r="683" spans="1:60" x14ac:dyDescent="0.25">
      <c r="A683" s="3">
        <v>681</v>
      </c>
      <c r="B683" s="12"/>
      <c r="C683" s="12"/>
      <c r="D683" s="31"/>
      <c r="E683" s="4"/>
      <c r="F683" s="13"/>
      <c r="G683" s="21"/>
      <c r="H683" s="35"/>
      <c r="I683" s="21"/>
      <c r="J683" s="25" t="str">
        <f>IF(NOT(I683=""),INDEX(Master!$B$1:$B$46,MATCH(I683,Master!$A$1:$A$46,0)),"")</f>
        <v/>
      </c>
      <c r="K683" s="18"/>
      <c r="L683" s="86"/>
      <c r="M683" s="13"/>
      <c r="N683" s="13"/>
      <c r="O683" s="18"/>
      <c r="P683" s="35"/>
      <c r="Q683" s="21"/>
      <c r="R683" s="21"/>
      <c r="S683" s="13"/>
      <c r="T683" s="12"/>
      <c r="U683" s="12"/>
      <c r="V683" s="12"/>
      <c r="W683" s="14"/>
      <c r="Y683" s="42" t="str">
        <f>IF(AND(C683=Master!$H$1,B683="2012-2013",E683&gt;1000,G683="PLN03"),H683,"")</f>
        <v/>
      </c>
      <c r="Z683" s="42" t="str">
        <f>IF(AND(C683=Master!$H$1,B683="2012-2013",E683="",G683="PLN03"),H683,"")</f>
        <v/>
      </c>
      <c r="AA683" s="42" t="str">
        <f>IF(AND(C683=Master!$H$2,B683="2012-2013",E683&gt;1000,G683="PLN03"),H683,"")</f>
        <v/>
      </c>
      <c r="AB683" s="42" t="str">
        <f>IF(AND(C683=Master!$H$2,B683="2012-2013",E683="",G683="PLN03"),H683,"")</f>
        <v/>
      </c>
      <c r="AC683" s="42" t="str">
        <f>IF(AND(C683=Master!$H$3,B683="2012-2013",E683&gt;1000,G683="PLN03"),H683,"")</f>
        <v/>
      </c>
      <c r="AD683" s="42" t="str">
        <f>IF(AND(C683=Master!$H$3,B683="2012-2013",E683="",G683="PLN03"),H683,"")</f>
        <v/>
      </c>
      <c r="AE683" s="42" t="str">
        <f>IF(AND(C683=Master!$H$4,B683="2012-2013",E683&gt;1000,G683="PLN03"),H683,"")</f>
        <v/>
      </c>
      <c r="AF683" s="42" t="str">
        <f>IF(AND(C683=Master!$H$4,B683="2012-2013",E683="",G683="PLN03"),H683,"")</f>
        <v/>
      </c>
      <c r="AG683" s="42" t="str">
        <f>IF(AND(C683=Master!$H$5,B683="2012-2013",E683&gt;1000,G683="PLN03"),H683,"")</f>
        <v/>
      </c>
      <c r="AH683" s="42" t="str">
        <f>IF(AND(C683=Master!$H$5,B683="2012-2013",E683="",G683="PLN03"),H683,"")</f>
        <v/>
      </c>
      <c r="AI683" s="42" t="str">
        <f>IF(AND(C683=Master!$H$6,B683="2012-2013",E683&gt;1000,G683="PLN03"),H683,"")</f>
        <v/>
      </c>
      <c r="AJ683" s="42" t="str">
        <f>IF(AND(C683=Master!$H$6,B683="2012-2013",E683="",G683="PLN03"),H683,"")</f>
        <v/>
      </c>
      <c r="AK683" s="42" t="str">
        <f>IF(AND(C683=Master!$H$7,B683="2012-2013",E683&gt;1000,G683="PLN03"),H683,"")</f>
        <v/>
      </c>
      <c r="AL683" s="42" t="str">
        <f>IF(AND(C683=Master!$H$7,B683="2012-2013",E683="",G683="PLN03"),H683,"")</f>
        <v/>
      </c>
      <c r="AM683" s="42" t="str">
        <f>IF(AND(C683=Master!$H$8,B683="2012-2013",E683&gt;1000,G683="PLN03"),H683,"")</f>
        <v/>
      </c>
      <c r="AN683" s="42" t="str">
        <f>IF(AND(C683=Master!$H$8,B683="2012-2013",E683="",G683="PLN03"),H683,"")</f>
        <v/>
      </c>
      <c r="AO683" s="42" t="str">
        <f>IF(AND(C683=Master!$H$9,B683="2012-2013",E683&gt;1000,G683="PLN03"),H683,"")</f>
        <v/>
      </c>
      <c r="AP683" s="42" t="str">
        <f>IF(AND(C683=Master!$H$9,B683="2012-2013",E683="",G683="PLN03"),H683,"")</f>
        <v/>
      </c>
      <c r="AQ683" s="44" t="str">
        <f>IF(AND(C683=Master!$H$1,B683="2012-2013",E683&gt;1000,G683="NPN05"),H683,"")</f>
        <v/>
      </c>
      <c r="AR683" s="44" t="str">
        <f>IF(AND(C683=Master!$H$1,B683="2012-2013",E683="",G683="NPN05"),H683,"")</f>
        <v/>
      </c>
      <c r="AS683" s="44" t="str">
        <f>IF(AND(C683=Master!$H$2,B683="2012-2013",E683&gt;1000,G683="NPN05"),H683,"")</f>
        <v/>
      </c>
      <c r="AT683" s="44" t="str">
        <f>IF(AND(C683=Master!$H$2,B683="2012-2013",E683="",G683="NPN05"),H683,"")</f>
        <v/>
      </c>
      <c r="AU683" s="44" t="str">
        <f>IF(AND(C683=Master!$H$3,B683="2012-2013",E683&gt;1000,G683="NPN05"),H683,"")</f>
        <v/>
      </c>
      <c r="AV683" s="44" t="str">
        <f>IF(AND(C683=Master!$H$3,B683="2012-2013",E683="",G683="NPN05"),H683,"")</f>
        <v/>
      </c>
      <c r="AW683" s="44" t="str">
        <f>IF(AND(C683=Master!$H$4,B683="2012-2013",E683&gt;1000,G683="NPN05"),H683,"")</f>
        <v/>
      </c>
      <c r="AX683" s="44" t="str">
        <f>IF(AND(C683=Master!$H$4,B683="2012-2013",E683="",G683="NPN05"),H683,"")</f>
        <v/>
      </c>
      <c r="AY683" s="44" t="str">
        <f>IF(AND(C683=Master!$H$5,B683="2012-2013",E683&gt;1000,G683="NPN05"),H683,"")</f>
        <v/>
      </c>
      <c r="AZ683" s="44" t="str">
        <f>IF(AND(C683=Master!$H$5,B683="2012-2013",E683="",G683="NPN05"),H683,"")</f>
        <v/>
      </c>
      <c r="BA683" s="44" t="str">
        <f>IF(AND(C683=Master!$H$6,B683="2012-2013",E683&gt;1000,G683="NPN05"),H683,"")</f>
        <v/>
      </c>
      <c r="BB683" s="44" t="str">
        <f>IF(AND(C683=Master!$H$6,B683="2012-2013",E683="",G683="NPN05"),H683,"")</f>
        <v/>
      </c>
      <c r="BC683" s="44" t="str">
        <f>IF(AND(C683=Master!$H$7,B683="2012-2013",E683&gt;1000,G683="NPN05"),H683,"")</f>
        <v/>
      </c>
      <c r="BD683" s="44" t="str">
        <f>IF(AND(C683=Master!$H$7,B683="2012-2013",E683="",G683="NPN05"),H683,"")</f>
        <v/>
      </c>
      <c r="BE683" s="44" t="str">
        <f>IF(AND(C683=Master!$H$8,B683="2012-2013",E683&gt;1000,G683="NPN05"),H683,"")</f>
        <v/>
      </c>
      <c r="BF683" s="44" t="str">
        <f>IF(AND(C683=Master!$H$8,B683="2012-2013",E683="",G683="NPN05"),H683,"")</f>
        <v/>
      </c>
      <c r="BG683" s="44" t="str">
        <f>IF(AND(C683=Master!$H$9,B683="2012-2013",E683&gt;1000,G683="NPN05"),H683,"")</f>
        <v/>
      </c>
      <c r="BH683" s="44" t="str">
        <f>IF(AND(C683=Master!$H$9,B683="2012-2013",E683="",G683="NPN05"),H683,"")</f>
        <v/>
      </c>
    </row>
    <row r="684" spans="1:60" x14ac:dyDescent="0.25">
      <c r="A684" s="3">
        <v>682</v>
      </c>
      <c r="B684" s="12"/>
      <c r="C684" s="12"/>
      <c r="D684" s="31"/>
      <c r="E684" s="4"/>
      <c r="F684" s="13"/>
      <c r="G684" s="21"/>
      <c r="H684" s="35"/>
      <c r="I684" s="21"/>
      <c r="J684" s="25" t="str">
        <f>IF(NOT(I684=""),INDEX(Master!$B$1:$B$46,MATCH(I684,Master!$A$1:$A$46,0)),"")</f>
        <v/>
      </c>
      <c r="K684" s="18"/>
      <c r="L684" s="86"/>
      <c r="M684" s="13"/>
      <c r="N684" s="13"/>
      <c r="O684" s="18"/>
      <c r="P684" s="35"/>
      <c r="Q684" s="21"/>
      <c r="R684" s="21"/>
      <c r="S684" s="13"/>
      <c r="T684" s="12"/>
      <c r="U684" s="12"/>
      <c r="V684" s="12"/>
      <c r="W684" s="14"/>
      <c r="Y684" s="42" t="str">
        <f>IF(AND(C684=Master!$H$1,B684="2012-2013",E684&gt;1000,G684="PLN03"),H684,"")</f>
        <v/>
      </c>
      <c r="Z684" s="42" t="str">
        <f>IF(AND(C684=Master!$H$1,B684="2012-2013",E684="",G684="PLN03"),H684,"")</f>
        <v/>
      </c>
      <c r="AA684" s="42" t="str">
        <f>IF(AND(C684=Master!$H$2,B684="2012-2013",E684&gt;1000,G684="PLN03"),H684,"")</f>
        <v/>
      </c>
      <c r="AB684" s="42" t="str">
        <f>IF(AND(C684=Master!$H$2,B684="2012-2013",E684="",G684="PLN03"),H684,"")</f>
        <v/>
      </c>
      <c r="AC684" s="42" t="str">
        <f>IF(AND(C684=Master!$H$3,B684="2012-2013",E684&gt;1000,G684="PLN03"),H684,"")</f>
        <v/>
      </c>
      <c r="AD684" s="42" t="str">
        <f>IF(AND(C684=Master!$H$3,B684="2012-2013",E684="",G684="PLN03"),H684,"")</f>
        <v/>
      </c>
      <c r="AE684" s="42" t="str">
        <f>IF(AND(C684=Master!$H$4,B684="2012-2013",E684&gt;1000,G684="PLN03"),H684,"")</f>
        <v/>
      </c>
      <c r="AF684" s="42" t="str">
        <f>IF(AND(C684=Master!$H$4,B684="2012-2013",E684="",G684="PLN03"),H684,"")</f>
        <v/>
      </c>
      <c r="AG684" s="42" t="str">
        <f>IF(AND(C684=Master!$H$5,B684="2012-2013",E684&gt;1000,G684="PLN03"),H684,"")</f>
        <v/>
      </c>
      <c r="AH684" s="42" t="str">
        <f>IF(AND(C684=Master!$H$5,B684="2012-2013",E684="",G684="PLN03"),H684,"")</f>
        <v/>
      </c>
      <c r="AI684" s="42" t="str">
        <f>IF(AND(C684=Master!$H$6,B684="2012-2013",E684&gt;1000,G684="PLN03"),H684,"")</f>
        <v/>
      </c>
      <c r="AJ684" s="42" t="str">
        <f>IF(AND(C684=Master!$H$6,B684="2012-2013",E684="",G684="PLN03"),H684,"")</f>
        <v/>
      </c>
      <c r="AK684" s="42" t="str">
        <f>IF(AND(C684=Master!$H$7,B684="2012-2013",E684&gt;1000,G684="PLN03"),H684,"")</f>
        <v/>
      </c>
      <c r="AL684" s="42" t="str">
        <f>IF(AND(C684=Master!$H$7,B684="2012-2013",E684="",G684="PLN03"),H684,"")</f>
        <v/>
      </c>
      <c r="AM684" s="42" t="str">
        <f>IF(AND(C684=Master!$H$8,B684="2012-2013",E684&gt;1000,G684="PLN03"),H684,"")</f>
        <v/>
      </c>
      <c r="AN684" s="42" t="str">
        <f>IF(AND(C684=Master!$H$8,B684="2012-2013",E684="",G684="PLN03"),H684,"")</f>
        <v/>
      </c>
      <c r="AO684" s="42" t="str">
        <f>IF(AND(C684=Master!$H$9,B684="2012-2013",E684&gt;1000,G684="PLN03"),H684,"")</f>
        <v/>
      </c>
      <c r="AP684" s="42" t="str">
        <f>IF(AND(C684=Master!$H$9,B684="2012-2013",E684="",G684="PLN03"),H684,"")</f>
        <v/>
      </c>
      <c r="AQ684" s="44" t="str">
        <f>IF(AND(C684=Master!$H$1,B684="2012-2013",E684&gt;1000,G684="NPN05"),H684,"")</f>
        <v/>
      </c>
      <c r="AR684" s="44" t="str">
        <f>IF(AND(C684=Master!$H$1,B684="2012-2013",E684="",G684="NPN05"),H684,"")</f>
        <v/>
      </c>
      <c r="AS684" s="44" t="str">
        <f>IF(AND(C684=Master!$H$2,B684="2012-2013",E684&gt;1000,G684="NPN05"),H684,"")</f>
        <v/>
      </c>
      <c r="AT684" s="44" t="str">
        <f>IF(AND(C684=Master!$H$2,B684="2012-2013",E684="",G684="NPN05"),H684,"")</f>
        <v/>
      </c>
      <c r="AU684" s="44" t="str">
        <f>IF(AND(C684=Master!$H$3,B684="2012-2013",E684&gt;1000,G684="NPN05"),H684,"")</f>
        <v/>
      </c>
      <c r="AV684" s="44" t="str">
        <f>IF(AND(C684=Master!$H$3,B684="2012-2013",E684="",G684="NPN05"),H684,"")</f>
        <v/>
      </c>
      <c r="AW684" s="44" t="str">
        <f>IF(AND(C684=Master!$H$4,B684="2012-2013",E684&gt;1000,G684="NPN05"),H684,"")</f>
        <v/>
      </c>
      <c r="AX684" s="44" t="str">
        <f>IF(AND(C684=Master!$H$4,B684="2012-2013",E684="",G684="NPN05"),H684,"")</f>
        <v/>
      </c>
      <c r="AY684" s="44" t="str">
        <f>IF(AND(C684=Master!$H$5,B684="2012-2013",E684&gt;1000,G684="NPN05"),H684,"")</f>
        <v/>
      </c>
      <c r="AZ684" s="44" t="str">
        <f>IF(AND(C684=Master!$H$5,B684="2012-2013",E684="",G684="NPN05"),H684,"")</f>
        <v/>
      </c>
      <c r="BA684" s="44" t="str">
        <f>IF(AND(C684=Master!$H$6,B684="2012-2013",E684&gt;1000,G684="NPN05"),H684,"")</f>
        <v/>
      </c>
      <c r="BB684" s="44" t="str">
        <f>IF(AND(C684=Master!$H$6,B684="2012-2013",E684="",G684="NPN05"),H684,"")</f>
        <v/>
      </c>
      <c r="BC684" s="44" t="str">
        <f>IF(AND(C684=Master!$H$7,B684="2012-2013",E684&gt;1000,G684="NPN05"),H684,"")</f>
        <v/>
      </c>
      <c r="BD684" s="44" t="str">
        <f>IF(AND(C684=Master!$H$7,B684="2012-2013",E684="",G684="NPN05"),H684,"")</f>
        <v/>
      </c>
      <c r="BE684" s="44" t="str">
        <f>IF(AND(C684=Master!$H$8,B684="2012-2013",E684&gt;1000,G684="NPN05"),H684,"")</f>
        <v/>
      </c>
      <c r="BF684" s="44" t="str">
        <f>IF(AND(C684=Master!$H$8,B684="2012-2013",E684="",G684="NPN05"),H684,"")</f>
        <v/>
      </c>
      <c r="BG684" s="44" t="str">
        <f>IF(AND(C684=Master!$H$9,B684="2012-2013",E684&gt;1000,G684="NPN05"),H684,"")</f>
        <v/>
      </c>
      <c r="BH684" s="44" t="str">
        <f>IF(AND(C684=Master!$H$9,B684="2012-2013",E684="",G684="NPN05"),H684,"")</f>
        <v/>
      </c>
    </row>
    <row r="685" spans="1:60" x14ac:dyDescent="0.25">
      <c r="A685" s="3">
        <v>683</v>
      </c>
      <c r="B685" s="12"/>
      <c r="C685" s="12"/>
      <c r="D685" s="31"/>
      <c r="E685" s="4"/>
      <c r="F685" s="13"/>
      <c r="G685" s="21"/>
      <c r="H685" s="35"/>
      <c r="I685" s="21"/>
      <c r="J685" s="25" t="str">
        <f>IF(NOT(I685=""),INDEX(Master!$B$1:$B$46,MATCH(I685,Master!$A$1:$A$46,0)),"")</f>
        <v/>
      </c>
      <c r="K685" s="18"/>
      <c r="L685" s="86"/>
      <c r="M685" s="13"/>
      <c r="N685" s="13"/>
      <c r="O685" s="18"/>
      <c r="P685" s="35"/>
      <c r="Q685" s="21"/>
      <c r="R685" s="21"/>
      <c r="S685" s="13"/>
      <c r="T685" s="12"/>
      <c r="U685" s="12"/>
      <c r="V685" s="12"/>
      <c r="W685" s="14"/>
      <c r="Y685" s="42" t="str">
        <f>IF(AND(C685=Master!$H$1,B685="2012-2013",E685&gt;1000,G685="PLN03"),H685,"")</f>
        <v/>
      </c>
      <c r="Z685" s="42" t="str">
        <f>IF(AND(C685=Master!$H$1,B685="2012-2013",E685="",G685="PLN03"),H685,"")</f>
        <v/>
      </c>
      <c r="AA685" s="42" t="str">
        <f>IF(AND(C685=Master!$H$2,B685="2012-2013",E685&gt;1000,G685="PLN03"),H685,"")</f>
        <v/>
      </c>
      <c r="AB685" s="42" t="str">
        <f>IF(AND(C685=Master!$H$2,B685="2012-2013",E685="",G685="PLN03"),H685,"")</f>
        <v/>
      </c>
      <c r="AC685" s="42" t="str">
        <f>IF(AND(C685=Master!$H$3,B685="2012-2013",E685&gt;1000,G685="PLN03"),H685,"")</f>
        <v/>
      </c>
      <c r="AD685" s="42" t="str">
        <f>IF(AND(C685=Master!$H$3,B685="2012-2013",E685="",G685="PLN03"),H685,"")</f>
        <v/>
      </c>
      <c r="AE685" s="42" t="str">
        <f>IF(AND(C685=Master!$H$4,B685="2012-2013",E685&gt;1000,G685="PLN03"),H685,"")</f>
        <v/>
      </c>
      <c r="AF685" s="42" t="str">
        <f>IF(AND(C685=Master!$H$4,B685="2012-2013",E685="",G685="PLN03"),H685,"")</f>
        <v/>
      </c>
      <c r="AG685" s="42" t="str">
        <f>IF(AND(C685=Master!$H$5,B685="2012-2013",E685&gt;1000,G685="PLN03"),H685,"")</f>
        <v/>
      </c>
      <c r="AH685" s="42" t="str">
        <f>IF(AND(C685=Master!$H$5,B685="2012-2013",E685="",G685="PLN03"),H685,"")</f>
        <v/>
      </c>
      <c r="AI685" s="42" t="str">
        <f>IF(AND(C685=Master!$H$6,B685="2012-2013",E685&gt;1000,G685="PLN03"),H685,"")</f>
        <v/>
      </c>
      <c r="AJ685" s="42" t="str">
        <f>IF(AND(C685=Master!$H$6,B685="2012-2013",E685="",G685="PLN03"),H685,"")</f>
        <v/>
      </c>
      <c r="AK685" s="42" t="str">
        <f>IF(AND(C685=Master!$H$7,B685="2012-2013",E685&gt;1000,G685="PLN03"),H685,"")</f>
        <v/>
      </c>
      <c r="AL685" s="42" t="str">
        <f>IF(AND(C685=Master!$H$7,B685="2012-2013",E685="",G685="PLN03"),H685,"")</f>
        <v/>
      </c>
      <c r="AM685" s="42" t="str">
        <f>IF(AND(C685=Master!$H$8,B685="2012-2013",E685&gt;1000,G685="PLN03"),H685,"")</f>
        <v/>
      </c>
      <c r="AN685" s="42" t="str">
        <f>IF(AND(C685=Master!$H$8,B685="2012-2013",E685="",G685="PLN03"),H685,"")</f>
        <v/>
      </c>
      <c r="AO685" s="42" t="str">
        <f>IF(AND(C685=Master!$H$9,B685="2012-2013",E685&gt;1000,G685="PLN03"),H685,"")</f>
        <v/>
      </c>
      <c r="AP685" s="42" t="str">
        <f>IF(AND(C685=Master!$H$9,B685="2012-2013",E685="",G685="PLN03"),H685,"")</f>
        <v/>
      </c>
      <c r="AQ685" s="44" t="str">
        <f>IF(AND(C685=Master!$H$1,B685="2012-2013",E685&gt;1000,G685="NPN05"),H685,"")</f>
        <v/>
      </c>
      <c r="AR685" s="44" t="str">
        <f>IF(AND(C685=Master!$H$1,B685="2012-2013",E685="",G685="NPN05"),H685,"")</f>
        <v/>
      </c>
      <c r="AS685" s="44" t="str">
        <f>IF(AND(C685=Master!$H$2,B685="2012-2013",E685&gt;1000,G685="NPN05"),H685,"")</f>
        <v/>
      </c>
      <c r="AT685" s="44" t="str">
        <f>IF(AND(C685=Master!$H$2,B685="2012-2013",E685="",G685="NPN05"),H685,"")</f>
        <v/>
      </c>
      <c r="AU685" s="44" t="str">
        <f>IF(AND(C685=Master!$H$3,B685="2012-2013",E685&gt;1000,G685="NPN05"),H685,"")</f>
        <v/>
      </c>
      <c r="AV685" s="44" t="str">
        <f>IF(AND(C685=Master!$H$3,B685="2012-2013",E685="",G685="NPN05"),H685,"")</f>
        <v/>
      </c>
      <c r="AW685" s="44" t="str">
        <f>IF(AND(C685=Master!$H$4,B685="2012-2013",E685&gt;1000,G685="NPN05"),H685,"")</f>
        <v/>
      </c>
      <c r="AX685" s="44" t="str">
        <f>IF(AND(C685=Master!$H$4,B685="2012-2013",E685="",G685="NPN05"),H685,"")</f>
        <v/>
      </c>
      <c r="AY685" s="44" t="str">
        <f>IF(AND(C685=Master!$H$5,B685="2012-2013",E685&gt;1000,G685="NPN05"),H685,"")</f>
        <v/>
      </c>
      <c r="AZ685" s="44" t="str">
        <f>IF(AND(C685=Master!$H$5,B685="2012-2013",E685="",G685="NPN05"),H685,"")</f>
        <v/>
      </c>
      <c r="BA685" s="44" t="str">
        <f>IF(AND(C685=Master!$H$6,B685="2012-2013",E685&gt;1000,G685="NPN05"),H685,"")</f>
        <v/>
      </c>
      <c r="BB685" s="44" t="str">
        <f>IF(AND(C685=Master!$H$6,B685="2012-2013",E685="",G685="NPN05"),H685,"")</f>
        <v/>
      </c>
      <c r="BC685" s="44" t="str">
        <f>IF(AND(C685=Master!$H$7,B685="2012-2013",E685&gt;1000,G685="NPN05"),H685,"")</f>
        <v/>
      </c>
      <c r="BD685" s="44" t="str">
        <f>IF(AND(C685=Master!$H$7,B685="2012-2013",E685="",G685="NPN05"),H685,"")</f>
        <v/>
      </c>
      <c r="BE685" s="44" t="str">
        <f>IF(AND(C685=Master!$H$8,B685="2012-2013",E685&gt;1000,G685="NPN05"),H685,"")</f>
        <v/>
      </c>
      <c r="BF685" s="44" t="str">
        <f>IF(AND(C685=Master!$H$8,B685="2012-2013",E685="",G685="NPN05"),H685,"")</f>
        <v/>
      </c>
      <c r="BG685" s="44" t="str">
        <f>IF(AND(C685=Master!$H$9,B685="2012-2013",E685&gt;1000,G685="NPN05"),H685,"")</f>
        <v/>
      </c>
      <c r="BH685" s="44" t="str">
        <f>IF(AND(C685=Master!$H$9,B685="2012-2013",E685="",G685="NPN05"),H685,"")</f>
        <v/>
      </c>
    </row>
    <row r="686" spans="1:60" x14ac:dyDescent="0.25">
      <c r="A686" s="3">
        <v>684</v>
      </c>
      <c r="B686" s="12"/>
      <c r="C686" s="12"/>
      <c r="D686" s="31"/>
      <c r="E686" s="4"/>
      <c r="F686" s="13"/>
      <c r="G686" s="21"/>
      <c r="H686" s="35"/>
      <c r="I686" s="21"/>
      <c r="J686" s="25" t="str">
        <f>IF(NOT(I686=""),INDEX(Master!$B$1:$B$46,MATCH(I686,Master!$A$1:$A$46,0)),"")</f>
        <v/>
      </c>
      <c r="K686" s="18"/>
      <c r="L686" s="86"/>
      <c r="M686" s="13"/>
      <c r="N686" s="13"/>
      <c r="O686" s="18"/>
      <c r="P686" s="35"/>
      <c r="Q686" s="21"/>
      <c r="R686" s="21"/>
      <c r="S686" s="13"/>
      <c r="T686" s="12"/>
      <c r="U686" s="12"/>
      <c r="V686" s="12"/>
      <c r="W686" s="14"/>
      <c r="Y686" s="42" t="str">
        <f>IF(AND(C686=Master!$H$1,B686="2012-2013",E686&gt;1000,G686="PLN03"),H686,"")</f>
        <v/>
      </c>
      <c r="Z686" s="42" t="str">
        <f>IF(AND(C686=Master!$H$1,B686="2012-2013",E686="",G686="PLN03"),H686,"")</f>
        <v/>
      </c>
      <c r="AA686" s="42" t="str">
        <f>IF(AND(C686=Master!$H$2,B686="2012-2013",E686&gt;1000,G686="PLN03"),H686,"")</f>
        <v/>
      </c>
      <c r="AB686" s="42" t="str">
        <f>IF(AND(C686=Master!$H$2,B686="2012-2013",E686="",G686="PLN03"),H686,"")</f>
        <v/>
      </c>
      <c r="AC686" s="42" t="str">
        <f>IF(AND(C686=Master!$H$3,B686="2012-2013",E686&gt;1000,G686="PLN03"),H686,"")</f>
        <v/>
      </c>
      <c r="AD686" s="42" t="str">
        <f>IF(AND(C686=Master!$H$3,B686="2012-2013",E686="",G686="PLN03"),H686,"")</f>
        <v/>
      </c>
      <c r="AE686" s="42" t="str">
        <f>IF(AND(C686=Master!$H$4,B686="2012-2013",E686&gt;1000,G686="PLN03"),H686,"")</f>
        <v/>
      </c>
      <c r="AF686" s="42" t="str">
        <f>IF(AND(C686=Master!$H$4,B686="2012-2013",E686="",G686="PLN03"),H686,"")</f>
        <v/>
      </c>
      <c r="AG686" s="42" t="str">
        <f>IF(AND(C686=Master!$H$5,B686="2012-2013",E686&gt;1000,G686="PLN03"),H686,"")</f>
        <v/>
      </c>
      <c r="AH686" s="42" t="str">
        <f>IF(AND(C686=Master!$H$5,B686="2012-2013",E686="",G686="PLN03"),H686,"")</f>
        <v/>
      </c>
      <c r="AI686" s="42" t="str">
        <f>IF(AND(C686=Master!$H$6,B686="2012-2013",E686&gt;1000,G686="PLN03"),H686,"")</f>
        <v/>
      </c>
      <c r="AJ686" s="42" t="str">
        <f>IF(AND(C686=Master!$H$6,B686="2012-2013",E686="",G686="PLN03"),H686,"")</f>
        <v/>
      </c>
      <c r="AK686" s="42" t="str">
        <f>IF(AND(C686=Master!$H$7,B686="2012-2013",E686&gt;1000,G686="PLN03"),H686,"")</f>
        <v/>
      </c>
      <c r="AL686" s="42" t="str">
        <f>IF(AND(C686=Master!$H$7,B686="2012-2013",E686="",G686="PLN03"),H686,"")</f>
        <v/>
      </c>
      <c r="AM686" s="42" t="str">
        <f>IF(AND(C686=Master!$H$8,B686="2012-2013",E686&gt;1000,G686="PLN03"),H686,"")</f>
        <v/>
      </c>
      <c r="AN686" s="42" t="str">
        <f>IF(AND(C686=Master!$H$8,B686="2012-2013",E686="",G686="PLN03"),H686,"")</f>
        <v/>
      </c>
      <c r="AO686" s="42" t="str">
        <f>IF(AND(C686=Master!$H$9,B686="2012-2013",E686&gt;1000,G686="PLN03"),H686,"")</f>
        <v/>
      </c>
      <c r="AP686" s="42" t="str">
        <f>IF(AND(C686=Master!$H$9,B686="2012-2013",E686="",G686="PLN03"),H686,"")</f>
        <v/>
      </c>
      <c r="AQ686" s="44" t="str">
        <f>IF(AND(C686=Master!$H$1,B686="2012-2013",E686&gt;1000,G686="NPN05"),H686,"")</f>
        <v/>
      </c>
      <c r="AR686" s="44" t="str">
        <f>IF(AND(C686=Master!$H$1,B686="2012-2013",E686="",G686="NPN05"),H686,"")</f>
        <v/>
      </c>
      <c r="AS686" s="44" t="str">
        <f>IF(AND(C686=Master!$H$2,B686="2012-2013",E686&gt;1000,G686="NPN05"),H686,"")</f>
        <v/>
      </c>
      <c r="AT686" s="44" t="str">
        <f>IF(AND(C686=Master!$H$2,B686="2012-2013",E686="",G686="NPN05"),H686,"")</f>
        <v/>
      </c>
      <c r="AU686" s="44" t="str">
        <f>IF(AND(C686=Master!$H$3,B686="2012-2013",E686&gt;1000,G686="NPN05"),H686,"")</f>
        <v/>
      </c>
      <c r="AV686" s="44" t="str">
        <f>IF(AND(C686=Master!$H$3,B686="2012-2013",E686="",G686="NPN05"),H686,"")</f>
        <v/>
      </c>
      <c r="AW686" s="44" t="str">
        <f>IF(AND(C686=Master!$H$4,B686="2012-2013",E686&gt;1000,G686="NPN05"),H686,"")</f>
        <v/>
      </c>
      <c r="AX686" s="44" t="str">
        <f>IF(AND(C686=Master!$H$4,B686="2012-2013",E686="",G686="NPN05"),H686,"")</f>
        <v/>
      </c>
      <c r="AY686" s="44" t="str">
        <f>IF(AND(C686=Master!$H$5,B686="2012-2013",E686&gt;1000,G686="NPN05"),H686,"")</f>
        <v/>
      </c>
      <c r="AZ686" s="44" t="str">
        <f>IF(AND(C686=Master!$H$5,B686="2012-2013",E686="",G686="NPN05"),H686,"")</f>
        <v/>
      </c>
      <c r="BA686" s="44" t="str">
        <f>IF(AND(C686=Master!$H$6,B686="2012-2013",E686&gt;1000,G686="NPN05"),H686,"")</f>
        <v/>
      </c>
      <c r="BB686" s="44" t="str">
        <f>IF(AND(C686=Master!$H$6,B686="2012-2013",E686="",G686="NPN05"),H686,"")</f>
        <v/>
      </c>
      <c r="BC686" s="44" t="str">
        <f>IF(AND(C686=Master!$H$7,B686="2012-2013",E686&gt;1000,G686="NPN05"),H686,"")</f>
        <v/>
      </c>
      <c r="BD686" s="44" t="str">
        <f>IF(AND(C686=Master!$H$7,B686="2012-2013",E686="",G686="NPN05"),H686,"")</f>
        <v/>
      </c>
      <c r="BE686" s="44" t="str">
        <f>IF(AND(C686=Master!$H$8,B686="2012-2013",E686&gt;1000,G686="NPN05"),H686,"")</f>
        <v/>
      </c>
      <c r="BF686" s="44" t="str">
        <f>IF(AND(C686=Master!$H$8,B686="2012-2013",E686="",G686="NPN05"),H686,"")</f>
        <v/>
      </c>
      <c r="BG686" s="44" t="str">
        <f>IF(AND(C686=Master!$H$9,B686="2012-2013",E686&gt;1000,G686="NPN05"),H686,"")</f>
        <v/>
      </c>
      <c r="BH686" s="44" t="str">
        <f>IF(AND(C686=Master!$H$9,B686="2012-2013",E686="",G686="NPN05"),H686,"")</f>
        <v/>
      </c>
    </row>
    <row r="687" spans="1:60" x14ac:dyDescent="0.25">
      <c r="A687" s="3">
        <v>685</v>
      </c>
      <c r="B687" s="12"/>
      <c r="C687" s="12"/>
      <c r="D687" s="31"/>
      <c r="E687" s="4"/>
      <c r="F687" s="13"/>
      <c r="G687" s="21"/>
      <c r="H687" s="35"/>
      <c r="I687" s="21"/>
      <c r="J687" s="25" t="str">
        <f>IF(NOT(I687=""),INDEX(Master!$B$1:$B$46,MATCH(I687,Master!$A$1:$A$46,0)),"")</f>
        <v/>
      </c>
      <c r="K687" s="18"/>
      <c r="L687" s="86"/>
      <c r="M687" s="13"/>
      <c r="N687" s="13"/>
      <c r="O687" s="18"/>
      <c r="P687" s="35"/>
      <c r="Q687" s="21"/>
      <c r="R687" s="21"/>
      <c r="S687" s="13"/>
      <c r="T687" s="12"/>
      <c r="U687" s="12"/>
      <c r="V687" s="12"/>
      <c r="W687" s="14"/>
      <c r="Y687" s="42" t="str">
        <f>IF(AND(C687=Master!$H$1,B687="2012-2013",E687&gt;1000,G687="PLN03"),H687,"")</f>
        <v/>
      </c>
      <c r="Z687" s="42" t="str">
        <f>IF(AND(C687=Master!$H$1,B687="2012-2013",E687="",G687="PLN03"),H687,"")</f>
        <v/>
      </c>
      <c r="AA687" s="42" t="str">
        <f>IF(AND(C687=Master!$H$2,B687="2012-2013",E687&gt;1000,G687="PLN03"),H687,"")</f>
        <v/>
      </c>
      <c r="AB687" s="42" t="str">
        <f>IF(AND(C687=Master!$H$2,B687="2012-2013",E687="",G687="PLN03"),H687,"")</f>
        <v/>
      </c>
      <c r="AC687" s="42" t="str">
        <f>IF(AND(C687=Master!$H$3,B687="2012-2013",E687&gt;1000,G687="PLN03"),H687,"")</f>
        <v/>
      </c>
      <c r="AD687" s="42" t="str">
        <f>IF(AND(C687=Master!$H$3,B687="2012-2013",E687="",G687="PLN03"),H687,"")</f>
        <v/>
      </c>
      <c r="AE687" s="42" t="str">
        <f>IF(AND(C687=Master!$H$4,B687="2012-2013",E687&gt;1000,G687="PLN03"),H687,"")</f>
        <v/>
      </c>
      <c r="AF687" s="42" t="str">
        <f>IF(AND(C687=Master!$H$4,B687="2012-2013",E687="",G687="PLN03"),H687,"")</f>
        <v/>
      </c>
      <c r="AG687" s="42" t="str">
        <f>IF(AND(C687=Master!$H$5,B687="2012-2013",E687&gt;1000,G687="PLN03"),H687,"")</f>
        <v/>
      </c>
      <c r="AH687" s="42" t="str">
        <f>IF(AND(C687=Master!$H$5,B687="2012-2013",E687="",G687="PLN03"),H687,"")</f>
        <v/>
      </c>
      <c r="AI687" s="42" t="str">
        <f>IF(AND(C687=Master!$H$6,B687="2012-2013",E687&gt;1000,G687="PLN03"),H687,"")</f>
        <v/>
      </c>
      <c r="AJ687" s="42" t="str">
        <f>IF(AND(C687=Master!$H$6,B687="2012-2013",E687="",G687="PLN03"),H687,"")</f>
        <v/>
      </c>
      <c r="AK687" s="42" t="str">
        <f>IF(AND(C687=Master!$H$7,B687="2012-2013",E687&gt;1000,G687="PLN03"),H687,"")</f>
        <v/>
      </c>
      <c r="AL687" s="42" t="str">
        <f>IF(AND(C687=Master!$H$7,B687="2012-2013",E687="",G687="PLN03"),H687,"")</f>
        <v/>
      </c>
      <c r="AM687" s="42" t="str">
        <f>IF(AND(C687=Master!$H$8,B687="2012-2013",E687&gt;1000,G687="PLN03"),H687,"")</f>
        <v/>
      </c>
      <c r="AN687" s="42" t="str">
        <f>IF(AND(C687=Master!$H$8,B687="2012-2013",E687="",G687="PLN03"),H687,"")</f>
        <v/>
      </c>
      <c r="AO687" s="42" t="str">
        <f>IF(AND(C687=Master!$H$9,B687="2012-2013",E687&gt;1000,G687="PLN03"),H687,"")</f>
        <v/>
      </c>
      <c r="AP687" s="42" t="str">
        <f>IF(AND(C687=Master!$H$9,B687="2012-2013",E687="",G687="PLN03"),H687,"")</f>
        <v/>
      </c>
      <c r="AQ687" s="44" t="str">
        <f>IF(AND(C687=Master!$H$1,B687="2012-2013",E687&gt;1000,G687="NPN05"),H687,"")</f>
        <v/>
      </c>
      <c r="AR687" s="44" t="str">
        <f>IF(AND(C687=Master!$H$1,B687="2012-2013",E687="",G687="NPN05"),H687,"")</f>
        <v/>
      </c>
      <c r="AS687" s="44" t="str">
        <f>IF(AND(C687=Master!$H$2,B687="2012-2013",E687&gt;1000,G687="NPN05"),H687,"")</f>
        <v/>
      </c>
      <c r="AT687" s="44" t="str">
        <f>IF(AND(C687=Master!$H$2,B687="2012-2013",E687="",G687="NPN05"),H687,"")</f>
        <v/>
      </c>
      <c r="AU687" s="44" t="str">
        <f>IF(AND(C687=Master!$H$3,B687="2012-2013",E687&gt;1000,G687="NPN05"),H687,"")</f>
        <v/>
      </c>
      <c r="AV687" s="44" t="str">
        <f>IF(AND(C687=Master!$H$3,B687="2012-2013",E687="",G687="NPN05"),H687,"")</f>
        <v/>
      </c>
      <c r="AW687" s="44" t="str">
        <f>IF(AND(C687=Master!$H$4,B687="2012-2013",E687&gt;1000,G687="NPN05"),H687,"")</f>
        <v/>
      </c>
      <c r="AX687" s="44" t="str">
        <f>IF(AND(C687=Master!$H$4,B687="2012-2013",E687="",G687="NPN05"),H687,"")</f>
        <v/>
      </c>
      <c r="AY687" s="44" t="str">
        <f>IF(AND(C687=Master!$H$5,B687="2012-2013",E687&gt;1000,G687="NPN05"),H687,"")</f>
        <v/>
      </c>
      <c r="AZ687" s="44" t="str">
        <f>IF(AND(C687=Master!$H$5,B687="2012-2013",E687="",G687="NPN05"),H687,"")</f>
        <v/>
      </c>
      <c r="BA687" s="44" t="str">
        <f>IF(AND(C687=Master!$H$6,B687="2012-2013",E687&gt;1000,G687="NPN05"),H687,"")</f>
        <v/>
      </c>
      <c r="BB687" s="44" t="str">
        <f>IF(AND(C687=Master!$H$6,B687="2012-2013",E687="",G687="NPN05"),H687,"")</f>
        <v/>
      </c>
      <c r="BC687" s="44" t="str">
        <f>IF(AND(C687=Master!$H$7,B687="2012-2013",E687&gt;1000,G687="NPN05"),H687,"")</f>
        <v/>
      </c>
      <c r="BD687" s="44" t="str">
        <f>IF(AND(C687=Master!$H$7,B687="2012-2013",E687="",G687="NPN05"),H687,"")</f>
        <v/>
      </c>
      <c r="BE687" s="44" t="str">
        <f>IF(AND(C687=Master!$H$8,B687="2012-2013",E687&gt;1000,G687="NPN05"),H687,"")</f>
        <v/>
      </c>
      <c r="BF687" s="44" t="str">
        <f>IF(AND(C687=Master!$H$8,B687="2012-2013",E687="",G687="NPN05"),H687,"")</f>
        <v/>
      </c>
      <c r="BG687" s="44" t="str">
        <f>IF(AND(C687=Master!$H$9,B687="2012-2013",E687&gt;1000,G687="NPN05"),H687,"")</f>
        <v/>
      </c>
      <c r="BH687" s="44" t="str">
        <f>IF(AND(C687=Master!$H$9,B687="2012-2013",E687="",G687="NPN05"),H687,"")</f>
        <v/>
      </c>
    </row>
    <row r="688" spans="1:60" x14ac:dyDescent="0.25">
      <c r="A688" s="5">
        <v>686</v>
      </c>
      <c r="B688" s="12"/>
      <c r="C688" s="12"/>
      <c r="D688" s="31"/>
      <c r="E688" s="4"/>
      <c r="F688" s="13"/>
      <c r="G688" s="21"/>
      <c r="H688" s="35"/>
      <c r="I688" s="21"/>
      <c r="J688" s="25" t="str">
        <f>IF(NOT(I688=""),INDEX(Master!$B$1:$B$46,MATCH(I688,Master!$A$1:$A$46,0)),"")</f>
        <v/>
      </c>
      <c r="K688" s="18"/>
      <c r="L688" s="86"/>
      <c r="M688" s="13"/>
      <c r="N688" s="13"/>
      <c r="O688" s="18"/>
      <c r="P688" s="35"/>
      <c r="Q688" s="21"/>
      <c r="R688" s="21"/>
      <c r="S688" s="13"/>
      <c r="T688" s="12"/>
      <c r="U688" s="12"/>
      <c r="V688" s="12"/>
      <c r="W688" s="14"/>
      <c r="Y688" s="42" t="str">
        <f>IF(AND(C688=Master!$H$1,B688="2012-2013",E688&gt;1000,G688="PLN03"),H688,"")</f>
        <v/>
      </c>
      <c r="Z688" s="42" t="str">
        <f>IF(AND(C688=Master!$H$1,B688="2012-2013",E688="",G688="PLN03"),H688,"")</f>
        <v/>
      </c>
      <c r="AA688" s="42" t="str">
        <f>IF(AND(C688=Master!$H$2,B688="2012-2013",E688&gt;1000,G688="PLN03"),H688,"")</f>
        <v/>
      </c>
      <c r="AB688" s="42" t="str">
        <f>IF(AND(C688=Master!$H$2,B688="2012-2013",E688="",G688="PLN03"),H688,"")</f>
        <v/>
      </c>
      <c r="AC688" s="42" t="str">
        <f>IF(AND(C688=Master!$H$3,B688="2012-2013",E688&gt;1000,G688="PLN03"),H688,"")</f>
        <v/>
      </c>
      <c r="AD688" s="42" t="str">
        <f>IF(AND(C688=Master!$H$3,B688="2012-2013",E688="",G688="PLN03"),H688,"")</f>
        <v/>
      </c>
      <c r="AE688" s="42" t="str">
        <f>IF(AND(C688=Master!$H$4,B688="2012-2013",E688&gt;1000,G688="PLN03"),H688,"")</f>
        <v/>
      </c>
      <c r="AF688" s="42" t="str">
        <f>IF(AND(C688=Master!$H$4,B688="2012-2013",E688="",G688="PLN03"),H688,"")</f>
        <v/>
      </c>
      <c r="AG688" s="42" t="str">
        <f>IF(AND(C688=Master!$H$5,B688="2012-2013",E688&gt;1000,G688="PLN03"),H688,"")</f>
        <v/>
      </c>
      <c r="AH688" s="42" t="str">
        <f>IF(AND(C688=Master!$H$5,B688="2012-2013",E688="",G688="PLN03"),H688,"")</f>
        <v/>
      </c>
      <c r="AI688" s="42" t="str">
        <f>IF(AND(C688=Master!$H$6,B688="2012-2013",E688&gt;1000,G688="PLN03"),H688,"")</f>
        <v/>
      </c>
      <c r="AJ688" s="42" t="str">
        <f>IF(AND(C688=Master!$H$6,B688="2012-2013",E688="",G688="PLN03"),H688,"")</f>
        <v/>
      </c>
      <c r="AK688" s="42" t="str">
        <f>IF(AND(C688=Master!$H$7,B688="2012-2013",E688&gt;1000,G688="PLN03"),H688,"")</f>
        <v/>
      </c>
      <c r="AL688" s="42" t="str">
        <f>IF(AND(C688=Master!$H$7,B688="2012-2013",E688="",G688="PLN03"),H688,"")</f>
        <v/>
      </c>
      <c r="AM688" s="42" t="str">
        <f>IF(AND(C688=Master!$H$8,B688="2012-2013",E688&gt;1000,G688="PLN03"),H688,"")</f>
        <v/>
      </c>
      <c r="AN688" s="42" t="str">
        <f>IF(AND(C688=Master!$H$8,B688="2012-2013",E688="",G688="PLN03"),H688,"")</f>
        <v/>
      </c>
      <c r="AO688" s="42" t="str">
        <f>IF(AND(C688=Master!$H$9,B688="2012-2013",E688&gt;1000,G688="PLN03"),H688,"")</f>
        <v/>
      </c>
      <c r="AP688" s="42" t="str">
        <f>IF(AND(C688=Master!$H$9,B688="2012-2013",E688="",G688="PLN03"),H688,"")</f>
        <v/>
      </c>
      <c r="AQ688" s="44" t="str">
        <f>IF(AND(C688=Master!$H$1,B688="2012-2013",E688&gt;1000,G688="NPN05"),H688,"")</f>
        <v/>
      </c>
      <c r="AR688" s="44" t="str">
        <f>IF(AND(C688=Master!$H$1,B688="2012-2013",E688="",G688="NPN05"),H688,"")</f>
        <v/>
      </c>
      <c r="AS688" s="44" t="str">
        <f>IF(AND(C688=Master!$H$2,B688="2012-2013",E688&gt;1000,G688="NPN05"),H688,"")</f>
        <v/>
      </c>
      <c r="AT688" s="44" t="str">
        <f>IF(AND(C688=Master!$H$2,B688="2012-2013",E688="",G688="NPN05"),H688,"")</f>
        <v/>
      </c>
      <c r="AU688" s="44" t="str">
        <f>IF(AND(C688=Master!$H$3,B688="2012-2013",E688&gt;1000,G688="NPN05"),H688,"")</f>
        <v/>
      </c>
      <c r="AV688" s="44" t="str">
        <f>IF(AND(C688=Master!$H$3,B688="2012-2013",E688="",G688="NPN05"),H688,"")</f>
        <v/>
      </c>
      <c r="AW688" s="44" t="str">
        <f>IF(AND(C688=Master!$H$4,B688="2012-2013",E688&gt;1000,G688="NPN05"),H688,"")</f>
        <v/>
      </c>
      <c r="AX688" s="44" t="str">
        <f>IF(AND(C688=Master!$H$4,B688="2012-2013",E688="",G688="NPN05"),H688,"")</f>
        <v/>
      </c>
      <c r="AY688" s="44" t="str">
        <f>IF(AND(C688=Master!$H$5,B688="2012-2013",E688&gt;1000,G688="NPN05"),H688,"")</f>
        <v/>
      </c>
      <c r="AZ688" s="44" t="str">
        <f>IF(AND(C688=Master!$H$5,B688="2012-2013",E688="",G688="NPN05"),H688,"")</f>
        <v/>
      </c>
      <c r="BA688" s="44" t="str">
        <f>IF(AND(C688=Master!$H$6,B688="2012-2013",E688&gt;1000,G688="NPN05"),H688,"")</f>
        <v/>
      </c>
      <c r="BB688" s="44" t="str">
        <f>IF(AND(C688=Master!$H$6,B688="2012-2013",E688="",G688="NPN05"),H688,"")</f>
        <v/>
      </c>
      <c r="BC688" s="44" t="str">
        <f>IF(AND(C688=Master!$H$7,B688="2012-2013",E688&gt;1000,G688="NPN05"),H688,"")</f>
        <v/>
      </c>
      <c r="BD688" s="44" t="str">
        <f>IF(AND(C688=Master!$H$7,B688="2012-2013",E688="",G688="NPN05"),H688,"")</f>
        <v/>
      </c>
      <c r="BE688" s="44" t="str">
        <f>IF(AND(C688=Master!$H$8,B688="2012-2013",E688&gt;1000,G688="NPN05"),H688,"")</f>
        <v/>
      </c>
      <c r="BF688" s="44" t="str">
        <f>IF(AND(C688=Master!$H$8,B688="2012-2013",E688="",G688="NPN05"),H688,"")</f>
        <v/>
      </c>
      <c r="BG688" s="44" t="str">
        <f>IF(AND(C688=Master!$H$9,B688="2012-2013",E688&gt;1000,G688="NPN05"),H688,"")</f>
        <v/>
      </c>
      <c r="BH688" s="44" t="str">
        <f>IF(AND(C688=Master!$H$9,B688="2012-2013",E688="",G688="NPN05"),H688,"")</f>
        <v/>
      </c>
    </row>
    <row r="689" spans="1:60" x14ac:dyDescent="0.25">
      <c r="A689" s="3">
        <v>687</v>
      </c>
      <c r="B689" s="12"/>
      <c r="C689" s="12"/>
      <c r="D689" s="31"/>
      <c r="E689" s="4"/>
      <c r="F689" s="13"/>
      <c r="G689" s="21"/>
      <c r="H689" s="35"/>
      <c r="I689" s="21"/>
      <c r="J689" s="25" t="str">
        <f>IF(NOT(I689=""),INDEX(Master!$B$1:$B$46,MATCH(I689,Master!$A$1:$A$46,0)),"")</f>
        <v/>
      </c>
      <c r="K689" s="18"/>
      <c r="L689" s="86"/>
      <c r="M689" s="13"/>
      <c r="N689" s="13"/>
      <c r="O689" s="18"/>
      <c r="P689" s="35"/>
      <c r="Q689" s="21"/>
      <c r="R689" s="21"/>
      <c r="S689" s="13"/>
      <c r="T689" s="12"/>
      <c r="U689" s="12"/>
      <c r="V689" s="12"/>
      <c r="W689" s="14"/>
      <c r="Y689" s="42" t="str">
        <f>IF(AND(C689=Master!$H$1,B689="2012-2013",E689&gt;1000,G689="PLN03"),H689,"")</f>
        <v/>
      </c>
      <c r="Z689" s="42" t="str">
        <f>IF(AND(C689=Master!$H$1,B689="2012-2013",E689="",G689="PLN03"),H689,"")</f>
        <v/>
      </c>
      <c r="AA689" s="42" t="str">
        <f>IF(AND(C689=Master!$H$2,B689="2012-2013",E689&gt;1000,G689="PLN03"),H689,"")</f>
        <v/>
      </c>
      <c r="AB689" s="42" t="str">
        <f>IF(AND(C689=Master!$H$2,B689="2012-2013",E689="",G689="PLN03"),H689,"")</f>
        <v/>
      </c>
      <c r="AC689" s="42" t="str">
        <f>IF(AND(C689=Master!$H$3,B689="2012-2013",E689&gt;1000,G689="PLN03"),H689,"")</f>
        <v/>
      </c>
      <c r="AD689" s="42" t="str">
        <f>IF(AND(C689=Master!$H$3,B689="2012-2013",E689="",G689="PLN03"),H689,"")</f>
        <v/>
      </c>
      <c r="AE689" s="42" t="str">
        <f>IF(AND(C689=Master!$H$4,B689="2012-2013",E689&gt;1000,G689="PLN03"),H689,"")</f>
        <v/>
      </c>
      <c r="AF689" s="42" t="str">
        <f>IF(AND(C689=Master!$H$4,B689="2012-2013",E689="",G689="PLN03"),H689,"")</f>
        <v/>
      </c>
      <c r="AG689" s="42" t="str">
        <f>IF(AND(C689=Master!$H$5,B689="2012-2013",E689&gt;1000,G689="PLN03"),H689,"")</f>
        <v/>
      </c>
      <c r="AH689" s="42" t="str">
        <f>IF(AND(C689=Master!$H$5,B689="2012-2013",E689="",G689="PLN03"),H689,"")</f>
        <v/>
      </c>
      <c r="AI689" s="42" t="str">
        <f>IF(AND(C689=Master!$H$6,B689="2012-2013",E689&gt;1000,G689="PLN03"),H689,"")</f>
        <v/>
      </c>
      <c r="AJ689" s="42" t="str">
        <f>IF(AND(C689=Master!$H$6,B689="2012-2013",E689="",G689="PLN03"),H689,"")</f>
        <v/>
      </c>
      <c r="AK689" s="42" t="str">
        <f>IF(AND(C689=Master!$H$7,B689="2012-2013",E689&gt;1000,G689="PLN03"),H689,"")</f>
        <v/>
      </c>
      <c r="AL689" s="42" t="str">
        <f>IF(AND(C689=Master!$H$7,B689="2012-2013",E689="",G689="PLN03"),H689,"")</f>
        <v/>
      </c>
      <c r="AM689" s="42" t="str">
        <f>IF(AND(C689=Master!$H$8,B689="2012-2013",E689&gt;1000,G689="PLN03"),H689,"")</f>
        <v/>
      </c>
      <c r="AN689" s="42" t="str">
        <f>IF(AND(C689=Master!$H$8,B689="2012-2013",E689="",G689="PLN03"),H689,"")</f>
        <v/>
      </c>
      <c r="AO689" s="42" t="str">
        <f>IF(AND(C689=Master!$H$9,B689="2012-2013",E689&gt;1000,G689="PLN03"),H689,"")</f>
        <v/>
      </c>
      <c r="AP689" s="42" t="str">
        <f>IF(AND(C689=Master!$H$9,B689="2012-2013",E689="",G689="PLN03"),H689,"")</f>
        <v/>
      </c>
      <c r="AQ689" s="44" t="str">
        <f>IF(AND(C689=Master!$H$1,B689="2012-2013",E689&gt;1000,G689="NPN05"),H689,"")</f>
        <v/>
      </c>
      <c r="AR689" s="44" t="str">
        <f>IF(AND(C689=Master!$H$1,B689="2012-2013",E689="",G689="NPN05"),H689,"")</f>
        <v/>
      </c>
      <c r="AS689" s="44" t="str">
        <f>IF(AND(C689=Master!$H$2,B689="2012-2013",E689&gt;1000,G689="NPN05"),H689,"")</f>
        <v/>
      </c>
      <c r="AT689" s="44" t="str">
        <f>IF(AND(C689=Master!$H$2,B689="2012-2013",E689="",G689="NPN05"),H689,"")</f>
        <v/>
      </c>
      <c r="AU689" s="44" t="str">
        <f>IF(AND(C689=Master!$H$3,B689="2012-2013",E689&gt;1000,G689="NPN05"),H689,"")</f>
        <v/>
      </c>
      <c r="AV689" s="44" t="str">
        <f>IF(AND(C689=Master!$H$3,B689="2012-2013",E689="",G689="NPN05"),H689,"")</f>
        <v/>
      </c>
      <c r="AW689" s="44" t="str">
        <f>IF(AND(C689=Master!$H$4,B689="2012-2013",E689&gt;1000,G689="NPN05"),H689,"")</f>
        <v/>
      </c>
      <c r="AX689" s="44" t="str">
        <f>IF(AND(C689=Master!$H$4,B689="2012-2013",E689="",G689="NPN05"),H689,"")</f>
        <v/>
      </c>
      <c r="AY689" s="44" t="str">
        <f>IF(AND(C689=Master!$H$5,B689="2012-2013",E689&gt;1000,G689="NPN05"),H689,"")</f>
        <v/>
      </c>
      <c r="AZ689" s="44" t="str">
        <f>IF(AND(C689=Master!$H$5,B689="2012-2013",E689="",G689="NPN05"),H689,"")</f>
        <v/>
      </c>
      <c r="BA689" s="44" t="str">
        <f>IF(AND(C689=Master!$H$6,B689="2012-2013",E689&gt;1000,G689="NPN05"),H689,"")</f>
        <v/>
      </c>
      <c r="BB689" s="44" t="str">
        <f>IF(AND(C689=Master!$H$6,B689="2012-2013",E689="",G689="NPN05"),H689,"")</f>
        <v/>
      </c>
      <c r="BC689" s="44" t="str">
        <f>IF(AND(C689=Master!$H$7,B689="2012-2013",E689&gt;1000,G689="NPN05"),H689,"")</f>
        <v/>
      </c>
      <c r="BD689" s="44" t="str">
        <f>IF(AND(C689=Master!$H$7,B689="2012-2013",E689="",G689="NPN05"),H689,"")</f>
        <v/>
      </c>
      <c r="BE689" s="44" t="str">
        <f>IF(AND(C689=Master!$H$8,B689="2012-2013",E689&gt;1000,G689="NPN05"),H689,"")</f>
        <v/>
      </c>
      <c r="BF689" s="44" t="str">
        <f>IF(AND(C689=Master!$H$8,B689="2012-2013",E689="",G689="NPN05"),H689,"")</f>
        <v/>
      </c>
      <c r="BG689" s="44" t="str">
        <f>IF(AND(C689=Master!$H$9,B689="2012-2013",E689&gt;1000,G689="NPN05"),H689,"")</f>
        <v/>
      </c>
      <c r="BH689" s="44" t="str">
        <f>IF(AND(C689=Master!$H$9,B689="2012-2013",E689="",G689="NPN05"),H689,"")</f>
        <v/>
      </c>
    </row>
    <row r="690" spans="1:60" x14ac:dyDescent="0.25">
      <c r="A690" s="3">
        <v>688</v>
      </c>
      <c r="B690" s="12"/>
      <c r="C690" s="12"/>
      <c r="D690" s="31"/>
      <c r="E690" s="4"/>
      <c r="F690" s="13"/>
      <c r="G690" s="21"/>
      <c r="H690" s="35"/>
      <c r="I690" s="21"/>
      <c r="J690" s="25" t="str">
        <f>IF(NOT(I690=""),INDEX(Master!$B$1:$B$46,MATCH(I690,Master!$A$1:$A$46,0)),"")</f>
        <v/>
      </c>
      <c r="K690" s="18"/>
      <c r="L690" s="86"/>
      <c r="M690" s="13"/>
      <c r="N690" s="13"/>
      <c r="O690" s="18"/>
      <c r="P690" s="35"/>
      <c r="Q690" s="21"/>
      <c r="R690" s="21"/>
      <c r="S690" s="13"/>
      <c r="T690" s="12"/>
      <c r="U690" s="12"/>
      <c r="V690" s="12"/>
      <c r="W690" s="14"/>
      <c r="Y690" s="42" t="str">
        <f>IF(AND(C690=Master!$H$1,B690="2012-2013",E690&gt;1000,G690="PLN03"),H690,"")</f>
        <v/>
      </c>
      <c r="Z690" s="42" t="str">
        <f>IF(AND(C690=Master!$H$1,B690="2012-2013",E690="",G690="PLN03"),H690,"")</f>
        <v/>
      </c>
      <c r="AA690" s="42" t="str">
        <f>IF(AND(C690=Master!$H$2,B690="2012-2013",E690&gt;1000,G690="PLN03"),H690,"")</f>
        <v/>
      </c>
      <c r="AB690" s="42" t="str">
        <f>IF(AND(C690=Master!$H$2,B690="2012-2013",E690="",G690="PLN03"),H690,"")</f>
        <v/>
      </c>
      <c r="AC690" s="42" t="str">
        <f>IF(AND(C690=Master!$H$3,B690="2012-2013",E690&gt;1000,G690="PLN03"),H690,"")</f>
        <v/>
      </c>
      <c r="AD690" s="42" t="str">
        <f>IF(AND(C690=Master!$H$3,B690="2012-2013",E690="",G690="PLN03"),H690,"")</f>
        <v/>
      </c>
      <c r="AE690" s="42" t="str">
        <f>IF(AND(C690=Master!$H$4,B690="2012-2013",E690&gt;1000,G690="PLN03"),H690,"")</f>
        <v/>
      </c>
      <c r="AF690" s="42" t="str">
        <f>IF(AND(C690=Master!$H$4,B690="2012-2013",E690="",G690="PLN03"),H690,"")</f>
        <v/>
      </c>
      <c r="AG690" s="42" t="str">
        <f>IF(AND(C690=Master!$H$5,B690="2012-2013",E690&gt;1000,G690="PLN03"),H690,"")</f>
        <v/>
      </c>
      <c r="AH690" s="42" t="str">
        <f>IF(AND(C690=Master!$H$5,B690="2012-2013",E690="",G690="PLN03"),H690,"")</f>
        <v/>
      </c>
      <c r="AI690" s="42" t="str">
        <f>IF(AND(C690=Master!$H$6,B690="2012-2013",E690&gt;1000,G690="PLN03"),H690,"")</f>
        <v/>
      </c>
      <c r="AJ690" s="42" t="str">
        <f>IF(AND(C690=Master!$H$6,B690="2012-2013",E690="",G690="PLN03"),H690,"")</f>
        <v/>
      </c>
      <c r="AK690" s="42" t="str">
        <f>IF(AND(C690=Master!$H$7,B690="2012-2013",E690&gt;1000,G690="PLN03"),H690,"")</f>
        <v/>
      </c>
      <c r="AL690" s="42" t="str">
        <f>IF(AND(C690=Master!$H$7,B690="2012-2013",E690="",G690="PLN03"),H690,"")</f>
        <v/>
      </c>
      <c r="AM690" s="42" t="str">
        <f>IF(AND(C690=Master!$H$8,B690="2012-2013",E690&gt;1000,G690="PLN03"),H690,"")</f>
        <v/>
      </c>
      <c r="AN690" s="42" t="str">
        <f>IF(AND(C690=Master!$H$8,B690="2012-2013",E690="",G690="PLN03"),H690,"")</f>
        <v/>
      </c>
      <c r="AO690" s="42" t="str">
        <f>IF(AND(C690=Master!$H$9,B690="2012-2013",E690&gt;1000,G690="PLN03"),H690,"")</f>
        <v/>
      </c>
      <c r="AP690" s="42" t="str">
        <f>IF(AND(C690=Master!$H$9,B690="2012-2013",E690="",G690="PLN03"),H690,"")</f>
        <v/>
      </c>
      <c r="AQ690" s="44" t="str">
        <f>IF(AND(C690=Master!$H$1,B690="2012-2013",E690&gt;1000,G690="NPN05"),H690,"")</f>
        <v/>
      </c>
      <c r="AR690" s="44" t="str">
        <f>IF(AND(C690=Master!$H$1,B690="2012-2013",E690="",G690="NPN05"),H690,"")</f>
        <v/>
      </c>
      <c r="AS690" s="44" t="str">
        <f>IF(AND(C690=Master!$H$2,B690="2012-2013",E690&gt;1000,G690="NPN05"),H690,"")</f>
        <v/>
      </c>
      <c r="AT690" s="44" t="str">
        <f>IF(AND(C690=Master!$H$2,B690="2012-2013",E690="",G690="NPN05"),H690,"")</f>
        <v/>
      </c>
      <c r="AU690" s="44" t="str">
        <f>IF(AND(C690=Master!$H$3,B690="2012-2013",E690&gt;1000,G690="NPN05"),H690,"")</f>
        <v/>
      </c>
      <c r="AV690" s="44" t="str">
        <f>IF(AND(C690=Master!$H$3,B690="2012-2013",E690="",G690="NPN05"),H690,"")</f>
        <v/>
      </c>
      <c r="AW690" s="44" t="str">
        <f>IF(AND(C690=Master!$H$4,B690="2012-2013",E690&gt;1000,G690="NPN05"),H690,"")</f>
        <v/>
      </c>
      <c r="AX690" s="44" t="str">
        <f>IF(AND(C690=Master!$H$4,B690="2012-2013",E690="",G690="NPN05"),H690,"")</f>
        <v/>
      </c>
      <c r="AY690" s="44" t="str">
        <f>IF(AND(C690=Master!$H$5,B690="2012-2013",E690&gt;1000,G690="NPN05"),H690,"")</f>
        <v/>
      </c>
      <c r="AZ690" s="44" t="str">
        <f>IF(AND(C690=Master!$H$5,B690="2012-2013",E690="",G690="NPN05"),H690,"")</f>
        <v/>
      </c>
      <c r="BA690" s="44" t="str">
        <f>IF(AND(C690=Master!$H$6,B690="2012-2013",E690&gt;1000,G690="NPN05"),H690,"")</f>
        <v/>
      </c>
      <c r="BB690" s="44" t="str">
        <f>IF(AND(C690=Master!$H$6,B690="2012-2013",E690="",G690="NPN05"),H690,"")</f>
        <v/>
      </c>
      <c r="BC690" s="44" t="str">
        <f>IF(AND(C690=Master!$H$7,B690="2012-2013",E690&gt;1000,G690="NPN05"),H690,"")</f>
        <v/>
      </c>
      <c r="BD690" s="44" t="str">
        <f>IF(AND(C690=Master!$H$7,B690="2012-2013",E690="",G690="NPN05"),H690,"")</f>
        <v/>
      </c>
      <c r="BE690" s="44" t="str">
        <f>IF(AND(C690=Master!$H$8,B690="2012-2013",E690&gt;1000,G690="NPN05"),H690,"")</f>
        <v/>
      </c>
      <c r="BF690" s="44" t="str">
        <f>IF(AND(C690=Master!$H$8,B690="2012-2013",E690="",G690="NPN05"),H690,"")</f>
        <v/>
      </c>
      <c r="BG690" s="44" t="str">
        <f>IF(AND(C690=Master!$H$9,B690="2012-2013",E690&gt;1000,G690="NPN05"),H690,"")</f>
        <v/>
      </c>
      <c r="BH690" s="44" t="str">
        <f>IF(AND(C690=Master!$H$9,B690="2012-2013",E690="",G690="NPN05"),H690,"")</f>
        <v/>
      </c>
    </row>
    <row r="691" spans="1:60" x14ac:dyDescent="0.25">
      <c r="A691" s="3">
        <v>689</v>
      </c>
      <c r="B691" s="12"/>
      <c r="C691" s="12"/>
      <c r="D691" s="31"/>
      <c r="E691" s="4"/>
      <c r="F691" s="13"/>
      <c r="G691" s="21"/>
      <c r="H691" s="35"/>
      <c r="I691" s="21"/>
      <c r="J691" s="25" t="str">
        <f>IF(NOT(I691=""),INDEX(Master!$B$1:$B$46,MATCH(I691,Master!$A$1:$A$46,0)),"")</f>
        <v/>
      </c>
      <c r="K691" s="18"/>
      <c r="L691" s="86"/>
      <c r="M691" s="13"/>
      <c r="N691" s="13"/>
      <c r="O691" s="18"/>
      <c r="P691" s="35"/>
      <c r="Q691" s="21"/>
      <c r="R691" s="21"/>
      <c r="S691" s="13"/>
      <c r="T691" s="12"/>
      <c r="U691" s="12"/>
      <c r="V691" s="12"/>
      <c r="W691" s="14"/>
      <c r="Y691" s="42" t="str">
        <f>IF(AND(C691=Master!$H$1,B691="2012-2013",E691&gt;1000,G691="PLN03"),H691,"")</f>
        <v/>
      </c>
      <c r="Z691" s="42" t="str">
        <f>IF(AND(C691=Master!$H$1,B691="2012-2013",E691="",G691="PLN03"),H691,"")</f>
        <v/>
      </c>
      <c r="AA691" s="42" t="str">
        <f>IF(AND(C691=Master!$H$2,B691="2012-2013",E691&gt;1000,G691="PLN03"),H691,"")</f>
        <v/>
      </c>
      <c r="AB691" s="42" t="str">
        <f>IF(AND(C691=Master!$H$2,B691="2012-2013",E691="",G691="PLN03"),H691,"")</f>
        <v/>
      </c>
      <c r="AC691" s="42" t="str">
        <f>IF(AND(C691=Master!$H$3,B691="2012-2013",E691&gt;1000,G691="PLN03"),H691,"")</f>
        <v/>
      </c>
      <c r="AD691" s="42" t="str">
        <f>IF(AND(C691=Master!$H$3,B691="2012-2013",E691="",G691="PLN03"),H691,"")</f>
        <v/>
      </c>
      <c r="AE691" s="42" t="str">
        <f>IF(AND(C691=Master!$H$4,B691="2012-2013",E691&gt;1000,G691="PLN03"),H691,"")</f>
        <v/>
      </c>
      <c r="AF691" s="42" t="str">
        <f>IF(AND(C691=Master!$H$4,B691="2012-2013",E691="",G691="PLN03"),H691,"")</f>
        <v/>
      </c>
      <c r="AG691" s="42" t="str">
        <f>IF(AND(C691=Master!$H$5,B691="2012-2013",E691&gt;1000,G691="PLN03"),H691,"")</f>
        <v/>
      </c>
      <c r="AH691" s="42" t="str">
        <f>IF(AND(C691=Master!$H$5,B691="2012-2013",E691="",G691="PLN03"),H691,"")</f>
        <v/>
      </c>
      <c r="AI691" s="42" t="str">
        <f>IF(AND(C691=Master!$H$6,B691="2012-2013",E691&gt;1000,G691="PLN03"),H691,"")</f>
        <v/>
      </c>
      <c r="AJ691" s="42" t="str">
        <f>IF(AND(C691=Master!$H$6,B691="2012-2013",E691="",G691="PLN03"),H691,"")</f>
        <v/>
      </c>
      <c r="AK691" s="42" t="str">
        <f>IF(AND(C691=Master!$H$7,B691="2012-2013",E691&gt;1000,G691="PLN03"),H691,"")</f>
        <v/>
      </c>
      <c r="AL691" s="42" t="str">
        <f>IF(AND(C691=Master!$H$7,B691="2012-2013",E691="",G691="PLN03"),H691,"")</f>
        <v/>
      </c>
      <c r="AM691" s="42" t="str">
        <f>IF(AND(C691=Master!$H$8,B691="2012-2013",E691&gt;1000,G691="PLN03"),H691,"")</f>
        <v/>
      </c>
      <c r="AN691" s="42" t="str">
        <f>IF(AND(C691=Master!$H$8,B691="2012-2013",E691="",G691="PLN03"),H691,"")</f>
        <v/>
      </c>
      <c r="AO691" s="42" t="str">
        <f>IF(AND(C691=Master!$H$9,B691="2012-2013",E691&gt;1000,G691="PLN03"),H691,"")</f>
        <v/>
      </c>
      <c r="AP691" s="42" t="str">
        <f>IF(AND(C691=Master!$H$9,B691="2012-2013",E691="",G691="PLN03"),H691,"")</f>
        <v/>
      </c>
      <c r="AQ691" s="44" t="str">
        <f>IF(AND(C691=Master!$H$1,B691="2012-2013",E691&gt;1000,G691="NPN05"),H691,"")</f>
        <v/>
      </c>
      <c r="AR691" s="44" t="str">
        <f>IF(AND(C691=Master!$H$1,B691="2012-2013",E691="",G691="NPN05"),H691,"")</f>
        <v/>
      </c>
      <c r="AS691" s="44" t="str">
        <f>IF(AND(C691=Master!$H$2,B691="2012-2013",E691&gt;1000,G691="NPN05"),H691,"")</f>
        <v/>
      </c>
      <c r="AT691" s="44" t="str">
        <f>IF(AND(C691=Master!$H$2,B691="2012-2013",E691="",G691="NPN05"),H691,"")</f>
        <v/>
      </c>
      <c r="AU691" s="44" t="str">
        <f>IF(AND(C691=Master!$H$3,B691="2012-2013",E691&gt;1000,G691="NPN05"),H691,"")</f>
        <v/>
      </c>
      <c r="AV691" s="44" t="str">
        <f>IF(AND(C691=Master!$H$3,B691="2012-2013",E691="",G691="NPN05"),H691,"")</f>
        <v/>
      </c>
      <c r="AW691" s="44" t="str">
        <f>IF(AND(C691=Master!$H$4,B691="2012-2013",E691&gt;1000,G691="NPN05"),H691,"")</f>
        <v/>
      </c>
      <c r="AX691" s="44" t="str">
        <f>IF(AND(C691=Master!$H$4,B691="2012-2013",E691="",G691="NPN05"),H691,"")</f>
        <v/>
      </c>
      <c r="AY691" s="44" t="str">
        <f>IF(AND(C691=Master!$H$5,B691="2012-2013",E691&gt;1000,G691="NPN05"),H691,"")</f>
        <v/>
      </c>
      <c r="AZ691" s="44" t="str">
        <f>IF(AND(C691=Master!$H$5,B691="2012-2013",E691="",G691="NPN05"),H691,"")</f>
        <v/>
      </c>
      <c r="BA691" s="44" t="str">
        <f>IF(AND(C691=Master!$H$6,B691="2012-2013",E691&gt;1000,G691="NPN05"),H691,"")</f>
        <v/>
      </c>
      <c r="BB691" s="44" t="str">
        <f>IF(AND(C691=Master!$H$6,B691="2012-2013",E691="",G691="NPN05"),H691,"")</f>
        <v/>
      </c>
      <c r="BC691" s="44" t="str">
        <f>IF(AND(C691=Master!$H$7,B691="2012-2013",E691&gt;1000,G691="NPN05"),H691,"")</f>
        <v/>
      </c>
      <c r="BD691" s="44" t="str">
        <f>IF(AND(C691=Master!$H$7,B691="2012-2013",E691="",G691="NPN05"),H691,"")</f>
        <v/>
      </c>
      <c r="BE691" s="44" t="str">
        <f>IF(AND(C691=Master!$H$8,B691="2012-2013",E691&gt;1000,G691="NPN05"),H691,"")</f>
        <v/>
      </c>
      <c r="BF691" s="44" t="str">
        <f>IF(AND(C691=Master!$H$8,B691="2012-2013",E691="",G691="NPN05"),H691,"")</f>
        <v/>
      </c>
      <c r="BG691" s="44" t="str">
        <f>IF(AND(C691=Master!$H$9,B691="2012-2013",E691&gt;1000,G691="NPN05"),H691,"")</f>
        <v/>
      </c>
      <c r="BH691" s="44" t="str">
        <f>IF(AND(C691=Master!$H$9,B691="2012-2013",E691="",G691="NPN05"),H691,"")</f>
        <v/>
      </c>
    </row>
    <row r="692" spans="1:60" x14ac:dyDescent="0.25">
      <c r="A692" s="3">
        <v>690</v>
      </c>
      <c r="B692" s="12"/>
      <c r="C692" s="12"/>
      <c r="D692" s="31"/>
      <c r="E692" s="4"/>
      <c r="F692" s="13"/>
      <c r="G692" s="21"/>
      <c r="H692" s="35"/>
      <c r="I692" s="21"/>
      <c r="J692" s="25" t="str">
        <f>IF(NOT(I692=""),INDEX(Master!$B$1:$B$46,MATCH(I692,Master!$A$1:$A$46,0)),"")</f>
        <v/>
      </c>
      <c r="K692" s="18"/>
      <c r="L692" s="86"/>
      <c r="M692" s="13"/>
      <c r="N692" s="13"/>
      <c r="O692" s="18"/>
      <c r="P692" s="35"/>
      <c r="Q692" s="21"/>
      <c r="R692" s="21"/>
      <c r="S692" s="13"/>
      <c r="T692" s="12"/>
      <c r="U692" s="12"/>
      <c r="V692" s="12"/>
      <c r="W692" s="14"/>
      <c r="Y692" s="42" t="str">
        <f>IF(AND(C692=Master!$H$1,B692="2012-2013",E692&gt;1000,G692="PLN03"),H692,"")</f>
        <v/>
      </c>
      <c r="Z692" s="42" t="str">
        <f>IF(AND(C692=Master!$H$1,B692="2012-2013",E692="",G692="PLN03"),H692,"")</f>
        <v/>
      </c>
      <c r="AA692" s="42" t="str">
        <f>IF(AND(C692=Master!$H$2,B692="2012-2013",E692&gt;1000,G692="PLN03"),H692,"")</f>
        <v/>
      </c>
      <c r="AB692" s="42" t="str">
        <f>IF(AND(C692=Master!$H$2,B692="2012-2013",E692="",G692="PLN03"),H692,"")</f>
        <v/>
      </c>
      <c r="AC692" s="42" t="str">
        <f>IF(AND(C692=Master!$H$3,B692="2012-2013",E692&gt;1000,G692="PLN03"),H692,"")</f>
        <v/>
      </c>
      <c r="AD692" s="42" t="str">
        <f>IF(AND(C692=Master!$H$3,B692="2012-2013",E692="",G692="PLN03"),H692,"")</f>
        <v/>
      </c>
      <c r="AE692" s="42" t="str">
        <f>IF(AND(C692=Master!$H$4,B692="2012-2013",E692&gt;1000,G692="PLN03"),H692,"")</f>
        <v/>
      </c>
      <c r="AF692" s="42" t="str">
        <f>IF(AND(C692=Master!$H$4,B692="2012-2013",E692="",G692="PLN03"),H692,"")</f>
        <v/>
      </c>
      <c r="AG692" s="42" t="str">
        <f>IF(AND(C692=Master!$H$5,B692="2012-2013",E692&gt;1000,G692="PLN03"),H692,"")</f>
        <v/>
      </c>
      <c r="AH692" s="42" t="str">
        <f>IF(AND(C692=Master!$H$5,B692="2012-2013",E692="",G692="PLN03"),H692,"")</f>
        <v/>
      </c>
      <c r="AI692" s="42" t="str">
        <f>IF(AND(C692=Master!$H$6,B692="2012-2013",E692&gt;1000,G692="PLN03"),H692,"")</f>
        <v/>
      </c>
      <c r="AJ692" s="42" t="str">
        <f>IF(AND(C692=Master!$H$6,B692="2012-2013",E692="",G692="PLN03"),H692,"")</f>
        <v/>
      </c>
      <c r="AK692" s="42" t="str">
        <f>IF(AND(C692=Master!$H$7,B692="2012-2013",E692&gt;1000,G692="PLN03"),H692,"")</f>
        <v/>
      </c>
      <c r="AL692" s="42" t="str">
        <f>IF(AND(C692=Master!$H$7,B692="2012-2013",E692="",G692="PLN03"),H692,"")</f>
        <v/>
      </c>
      <c r="AM692" s="42" t="str">
        <f>IF(AND(C692=Master!$H$8,B692="2012-2013",E692&gt;1000,G692="PLN03"),H692,"")</f>
        <v/>
      </c>
      <c r="AN692" s="42" t="str">
        <f>IF(AND(C692=Master!$H$8,B692="2012-2013",E692="",G692="PLN03"),H692,"")</f>
        <v/>
      </c>
      <c r="AO692" s="42" t="str">
        <f>IF(AND(C692=Master!$H$9,B692="2012-2013",E692&gt;1000,G692="PLN03"),H692,"")</f>
        <v/>
      </c>
      <c r="AP692" s="42" t="str">
        <f>IF(AND(C692=Master!$H$9,B692="2012-2013",E692="",G692="PLN03"),H692,"")</f>
        <v/>
      </c>
      <c r="AQ692" s="44" t="str">
        <f>IF(AND(C692=Master!$H$1,B692="2012-2013",E692&gt;1000,G692="NPN05"),H692,"")</f>
        <v/>
      </c>
      <c r="AR692" s="44" t="str">
        <f>IF(AND(C692=Master!$H$1,B692="2012-2013",E692="",G692="NPN05"),H692,"")</f>
        <v/>
      </c>
      <c r="AS692" s="44" t="str">
        <f>IF(AND(C692=Master!$H$2,B692="2012-2013",E692&gt;1000,G692="NPN05"),H692,"")</f>
        <v/>
      </c>
      <c r="AT692" s="44" t="str">
        <f>IF(AND(C692=Master!$H$2,B692="2012-2013",E692="",G692="NPN05"),H692,"")</f>
        <v/>
      </c>
      <c r="AU692" s="44" t="str">
        <f>IF(AND(C692=Master!$H$3,B692="2012-2013",E692&gt;1000,G692="NPN05"),H692,"")</f>
        <v/>
      </c>
      <c r="AV692" s="44" t="str">
        <f>IF(AND(C692=Master!$H$3,B692="2012-2013",E692="",G692="NPN05"),H692,"")</f>
        <v/>
      </c>
      <c r="AW692" s="44" t="str">
        <f>IF(AND(C692=Master!$H$4,B692="2012-2013",E692&gt;1000,G692="NPN05"),H692,"")</f>
        <v/>
      </c>
      <c r="AX692" s="44" t="str">
        <f>IF(AND(C692=Master!$H$4,B692="2012-2013",E692="",G692="NPN05"),H692,"")</f>
        <v/>
      </c>
      <c r="AY692" s="44" t="str">
        <f>IF(AND(C692=Master!$H$5,B692="2012-2013",E692&gt;1000,G692="NPN05"),H692,"")</f>
        <v/>
      </c>
      <c r="AZ692" s="44" t="str">
        <f>IF(AND(C692=Master!$H$5,B692="2012-2013",E692="",G692="NPN05"),H692,"")</f>
        <v/>
      </c>
      <c r="BA692" s="44" t="str">
        <f>IF(AND(C692=Master!$H$6,B692="2012-2013",E692&gt;1000,G692="NPN05"),H692,"")</f>
        <v/>
      </c>
      <c r="BB692" s="44" t="str">
        <f>IF(AND(C692=Master!$H$6,B692="2012-2013",E692="",G692="NPN05"),H692,"")</f>
        <v/>
      </c>
      <c r="BC692" s="44" t="str">
        <f>IF(AND(C692=Master!$H$7,B692="2012-2013",E692&gt;1000,G692="NPN05"),H692,"")</f>
        <v/>
      </c>
      <c r="BD692" s="44" t="str">
        <f>IF(AND(C692=Master!$H$7,B692="2012-2013",E692="",G692="NPN05"),H692,"")</f>
        <v/>
      </c>
      <c r="BE692" s="44" t="str">
        <f>IF(AND(C692=Master!$H$8,B692="2012-2013",E692&gt;1000,G692="NPN05"),H692,"")</f>
        <v/>
      </c>
      <c r="BF692" s="44" t="str">
        <f>IF(AND(C692=Master!$H$8,B692="2012-2013",E692="",G692="NPN05"),H692,"")</f>
        <v/>
      </c>
      <c r="BG692" s="44" t="str">
        <f>IF(AND(C692=Master!$H$9,B692="2012-2013",E692&gt;1000,G692="NPN05"),H692,"")</f>
        <v/>
      </c>
      <c r="BH692" s="44" t="str">
        <f>IF(AND(C692=Master!$H$9,B692="2012-2013",E692="",G692="NPN05"),H692,"")</f>
        <v/>
      </c>
    </row>
    <row r="693" spans="1:60" x14ac:dyDescent="0.25">
      <c r="A693" s="3">
        <v>691</v>
      </c>
      <c r="B693" s="12"/>
      <c r="C693" s="12"/>
      <c r="D693" s="31"/>
      <c r="E693" s="4"/>
      <c r="F693" s="13"/>
      <c r="G693" s="21"/>
      <c r="H693" s="35"/>
      <c r="I693" s="21"/>
      <c r="J693" s="25" t="str">
        <f>IF(NOT(I693=""),INDEX(Master!$B$1:$B$46,MATCH(I693,Master!$A$1:$A$46,0)),"")</f>
        <v/>
      </c>
      <c r="K693" s="18"/>
      <c r="L693" s="86"/>
      <c r="M693" s="13"/>
      <c r="N693" s="13"/>
      <c r="O693" s="18"/>
      <c r="P693" s="35"/>
      <c r="Q693" s="21"/>
      <c r="R693" s="21"/>
      <c r="S693" s="13"/>
      <c r="T693" s="12"/>
      <c r="U693" s="12"/>
      <c r="V693" s="12"/>
      <c r="W693" s="14"/>
      <c r="Y693" s="42" t="str">
        <f>IF(AND(C693=Master!$H$1,B693="2012-2013",E693&gt;1000,G693="PLN03"),H693,"")</f>
        <v/>
      </c>
      <c r="Z693" s="42" t="str">
        <f>IF(AND(C693=Master!$H$1,B693="2012-2013",E693="",G693="PLN03"),H693,"")</f>
        <v/>
      </c>
      <c r="AA693" s="42" t="str">
        <f>IF(AND(C693=Master!$H$2,B693="2012-2013",E693&gt;1000,G693="PLN03"),H693,"")</f>
        <v/>
      </c>
      <c r="AB693" s="42" t="str">
        <f>IF(AND(C693=Master!$H$2,B693="2012-2013",E693="",G693="PLN03"),H693,"")</f>
        <v/>
      </c>
      <c r="AC693" s="42" t="str">
        <f>IF(AND(C693=Master!$H$3,B693="2012-2013",E693&gt;1000,G693="PLN03"),H693,"")</f>
        <v/>
      </c>
      <c r="AD693" s="42" t="str">
        <f>IF(AND(C693=Master!$H$3,B693="2012-2013",E693="",G693="PLN03"),H693,"")</f>
        <v/>
      </c>
      <c r="AE693" s="42" t="str">
        <f>IF(AND(C693=Master!$H$4,B693="2012-2013",E693&gt;1000,G693="PLN03"),H693,"")</f>
        <v/>
      </c>
      <c r="AF693" s="42" t="str">
        <f>IF(AND(C693=Master!$H$4,B693="2012-2013",E693="",G693="PLN03"),H693,"")</f>
        <v/>
      </c>
      <c r="AG693" s="42" t="str">
        <f>IF(AND(C693=Master!$H$5,B693="2012-2013",E693&gt;1000,G693="PLN03"),H693,"")</f>
        <v/>
      </c>
      <c r="AH693" s="42" t="str">
        <f>IF(AND(C693=Master!$H$5,B693="2012-2013",E693="",G693="PLN03"),H693,"")</f>
        <v/>
      </c>
      <c r="AI693" s="42" t="str">
        <f>IF(AND(C693=Master!$H$6,B693="2012-2013",E693&gt;1000,G693="PLN03"),H693,"")</f>
        <v/>
      </c>
      <c r="AJ693" s="42" t="str">
        <f>IF(AND(C693=Master!$H$6,B693="2012-2013",E693="",G693="PLN03"),H693,"")</f>
        <v/>
      </c>
      <c r="AK693" s="42" t="str">
        <f>IF(AND(C693=Master!$H$7,B693="2012-2013",E693&gt;1000,G693="PLN03"),H693,"")</f>
        <v/>
      </c>
      <c r="AL693" s="42" t="str">
        <f>IF(AND(C693=Master!$H$7,B693="2012-2013",E693="",G693="PLN03"),H693,"")</f>
        <v/>
      </c>
      <c r="AM693" s="42" t="str">
        <f>IF(AND(C693=Master!$H$8,B693="2012-2013",E693&gt;1000,G693="PLN03"),H693,"")</f>
        <v/>
      </c>
      <c r="AN693" s="42" t="str">
        <f>IF(AND(C693=Master!$H$8,B693="2012-2013",E693="",G693="PLN03"),H693,"")</f>
        <v/>
      </c>
      <c r="AO693" s="42" t="str">
        <f>IF(AND(C693=Master!$H$9,B693="2012-2013",E693&gt;1000,G693="PLN03"),H693,"")</f>
        <v/>
      </c>
      <c r="AP693" s="42" t="str">
        <f>IF(AND(C693=Master!$H$9,B693="2012-2013",E693="",G693="PLN03"),H693,"")</f>
        <v/>
      </c>
      <c r="AQ693" s="44" t="str">
        <f>IF(AND(C693=Master!$H$1,B693="2012-2013",E693&gt;1000,G693="NPN05"),H693,"")</f>
        <v/>
      </c>
      <c r="AR693" s="44" t="str">
        <f>IF(AND(C693=Master!$H$1,B693="2012-2013",E693="",G693="NPN05"),H693,"")</f>
        <v/>
      </c>
      <c r="AS693" s="44" t="str">
        <f>IF(AND(C693=Master!$H$2,B693="2012-2013",E693&gt;1000,G693="NPN05"),H693,"")</f>
        <v/>
      </c>
      <c r="AT693" s="44" t="str">
        <f>IF(AND(C693=Master!$H$2,B693="2012-2013",E693="",G693="NPN05"),H693,"")</f>
        <v/>
      </c>
      <c r="AU693" s="44" t="str">
        <f>IF(AND(C693=Master!$H$3,B693="2012-2013",E693&gt;1000,G693="NPN05"),H693,"")</f>
        <v/>
      </c>
      <c r="AV693" s="44" t="str">
        <f>IF(AND(C693=Master!$H$3,B693="2012-2013",E693="",G693="NPN05"),H693,"")</f>
        <v/>
      </c>
      <c r="AW693" s="44" t="str">
        <f>IF(AND(C693=Master!$H$4,B693="2012-2013",E693&gt;1000,G693="NPN05"),H693,"")</f>
        <v/>
      </c>
      <c r="AX693" s="44" t="str">
        <f>IF(AND(C693=Master!$H$4,B693="2012-2013",E693="",G693="NPN05"),H693,"")</f>
        <v/>
      </c>
      <c r="AY693" s="44" t="str">
        <f>IF(AND(C693=Master!$H$5,B693="2012-2013",E693&gt;1000,G693="NPN05"),H693,"")</f>
        <v/>
      </c>
      <c r="AZ693" s="44" t="str">
        <f>IF(AND(C693=Master!$H$5,B693="2012-2013",E693="",G693="NPN05"),H693,"")</f>
        <v/>
      </c>
      <c r="BA693" s="44" t="str">
        <f>IF(AND(C693=Master!$H$6,B693="2012-2013",E693&gt;1000,G693="NPN05"),H693,"")</f>
        <v/>
      </c>
      <c r="BB693" s="44" t="str">
        <f>IF(AND(C693=Master!$H$6,B693="2012-2013",E693="",G693="NPN05"),H693,"")</f>
        <v/>
      </c>
      <c r="BC693" s="44" t="str">
        <f>IF(AND(C693=Master!$H$7,B693="2012-2013",E693&gt;1000,G693="NPN05"),H693,"")</f>
        <v/>
      </c>
      <c r="BD693" s="44" t="str">
        <f>IF(AND(C693=Master!$H$7,B693="2012-2013",E693="",G693="NPN05"),H693,"")</f>
        <v/>
      </c>
      <c r="BE693" s="44" t="str">
        <f>IF(AND(C693=Master!$H$8,B693="2012-2013",E693&gt;1000,G693="NPN05"),H693,"")</f>
        <v/>
      </c>
      <c r="BF693" s="44" t="str">
        <f>IF(AND(C693=Master!$H$8,B693="2012-2013",E693="",G693="NPN05"),H693,"")</f>
        <v/>
      </c>
      <c r="BG693" s="44" t="str">
        <f>IF(AND(C693=Master!$H$9,B693="2012-2013",E693&gt;1000,G693="NPN05"),H693,"")</f>
        <v/>
      </c>
      <c r="BH693" s="44" t="str">
        <f>IF(AND(C693=Master!$H$9,B693="2012-2013",E693="",G693="NPN05"),H693,"")</f>
        <v/>
      </c>
    </row>
    <row r="694" spans="1:60" x14ac:dyDescent="0.25">
      <c r="A694" s="3">
        <v>692</v>
      </c>
      <c r="B694" s="12"/>
      <c r="C694" s="12"/>
      <c r="D694" s="31"/>
      <c r="E694" s="4"/>
      <c r="F694" s="13"/>
      <c r="G694" s="21"/>
      <c r="H694" s="35"/>
      <c r="I694" s="21"/>
      <c r="J694" s="25" t="str">
        <f>IF(NOT(I694=""),INDEX(Master!$B$1:$B$46,MATCH(I694,Master!$A$1:$A$46,0)),"")</f>
        <v/>
      </c>
      <c r="K694" s="18"/>
      <c r="L694" s="86"/>
      <c r="M694" s="13"/>
      <c r="N694" s="13"/>
      <c r="O694" s="18"/>
      <c r="P694" s="35"/>
      <c r="Q694" s="21"/>
      <c r="R694" s="21"/>
      <c r="S694" s="13"/>
      <c r="T694" s="12"/>
      <c r="U694" s="12"/>
      <c r="V694" s="12"/>
      <c r="W694" s="14"/>
      <c r="Y694" s="42" t="str">
        <f>IF(AND(C694=Master!$H$1,B694="2012-2013",E694&gt;1000,G694="PLN03"),H694,"")</f>
        <v/>
      </c>
      <c r="Z694" s="42" t="str">
        <f>IF(AND(C694=Master!$H$1,B694="2012-2013",E694="",G694="PLN03"),H694,"")</f>
        <v/>
      </c>
      <c r="AA694" s="42" t="str">
        <f>IF(AND(C694=Master!$H$2,B694="2012-2013",E694&gt;1000,G694="PLN03"),H694,"")</f>
        <v/>
      </c>
      <c r="AB694" s="42" t="str">
        <f>IF(AND(C694=Master!$H$2,B694="2012-2013",E694="",G694="PLN03"),H694,"")</f>
        <v/>
      </c>
      <c r="AC694" s="42" t="str">
        <f>IF(AND(C694=Master!$H$3,B694="2012-2013",E694&gt;1000,G694="PLN03"),H694,"")</f>
        <v/>
      </c>
      <c r="AD694" s="42" t="str">
        <f>IF(AND(C694=Master!$H$3,B694="2012-2013",E694="",G694="PLN03"),H694,"")</f>
        <v/>
      </c>
      <c r="AE694" s="42" t="str">
        <f>IF(AND(C694=Master!$H$4,B694="2012-2013",E694&gt;1000,G694="PLN03"),H694,"")</f>
        <v/>
      </c>
      <c r="AF694" s="42" t="str">
        <f>IF(AND(C694=Master!$H$4,B694="2012-2013",E694="",G694="PLN03"),H694,"")</f>
        <v/>
      </c>
      <c r="AG694" s="42" t="str">
        <f>IF(AND(C694=Master!$H$5,B694="2012-2013",E694&gt;1000,G694="PLN03"),H694,"")</f>
        <v/>
      </c>
      <c r="AH694" s="42" t="str">
        <f>IF(AND(C694=Master!$H$5,B694="2012-2013",E694="",G694="PLN03"),H694,"")</f>
        <v/>
      </c>
      <c r="AI694" s="42" t="str">
        <f>IF(AND(C694=Master!$H$6,B694="2012-2013",E694&gt;1000,G694="PLN03"),H694,"")</f>
        <v/>
      </c>
      <c r="AJ694" s="42" t="str">
        <f>IF(AND(C694=Master!$H$6,B694="2012-2013",E694="",G694="PLN03"),H694,"")</f>
        <v/>
      </c>
      <c r="AK694" s="42" t="str">
        <f>IF(AND(C694=Master!$H$7,B694="2012-2013",E694&gt;1000,G694="PLN03"),H694,"")</f>
        <v/>
      </c>
      <c r="AL694" s="42" t="str">
        <f>IF(AND(C694=Master!$H$7,B694="2012-2013",E694="",G694="PLN03"),H694,"")</f>
        <v/>
      </c>
      <c r="AM694" s="42" t="str">
        <f>IF(AND(C694=Master!$H$8,B694="2012-2013",E694&gt;1000,G694="PLN03"),H694,"")</f>
        <v/>
      </c>
      <c r="AN694" s="42" t="str">
        <f>IF(AND(C694=Master!$H$8,B694="2012-2013",E694="",G694="PLN03"),H694,"")</f>
        <v/>
      </c>
      <c r="AO694" s="42" t="str">
        <f>IF(AND(C694=Master!$H$9,B694="2012-2013",E694&gt;1000,G694="PLN03"),H694,"")</f>
        <v/>
      </c>
      <c r="AP694" s="42" t="str">
        <f>IF(AND(C694=Master!$H$9,B694="2012-2013",E694="",G694="PLN03"),H694,"")</f>
        <v/>
      </c>
      <c r="AQ694" s="44" t="str">
        <f>IF(AND(C694=Master!$H$1,B694="2012-2013",E694&gt;1000,G694="NPN05"),H694,"")</f>
        <v/>
      </c>
      <c r="AR694" s="44" t="str">
        <f>IF(AND(C694=Master!$H$1,B694="2012-2013",E694="",G694="NPN05"),H694,"")</f>
        <v/>
      </c>
      <c r="AS694" s="44" t="str">
        <f>IF(AND(C694=Master!$H$2,B694="2012-2013",E694&gt;1000,G694="NPN05"),H694,"")</f>
        <v/>
      </c>
      <c r="AT694" s="44" t="str">
        <f>IF(AND(C694=Master!$H$2,B694="2012-2013",E694="",G694="NPN05"),H694,"")</f>
        <v/>
      </c>
      <c r="AU694" s="44" t="str">
        <f>IF(AND(C694=Master!$H$3,B694="2012-2013",E694&gt;1000,G694="NPN05"),H694,"")</f>
        <v/>
      </c>
      <c r="AV694" s="44" t="str">
        <f>IF(AND(C694=Master!$H$3,B694="2012-2013",E694="",G694="NPN05"),H694,"")</f>
        <v/>
      </c>
      <c r="AW694" s="44" t="str">
        <f>IF(AND(C694=Master!$H$4,B694="2012-2013",E694&gt;1000,G694="NPN05"),H694,"")</f>
        <v/>
      </c>
      <c r="AX694" s="44" t="str">
        <f>IF(AND(C694=Master!$H$4,B694="2012-2013",E694="",G694="NPN05"),H694,"")</f>
        <v/>
      </c>
      <c r="AY694" s="44" t="str">
        <f>IF(AND(C694=Master!$H$5,B694="2012-2013",E694&gt;1000,G694="NPN05"),H694,"")</f>
        <v/>
      </c>
      <c r="AZ694" s="44" t="str">
        <f>IF(AND(C694=Master!$H$5,B694="2012-2013",E694="",G694="NPN05"),H694,"")</f>
        <v/>
      </c>
      <c r="BA694" s="44" t="str">
        <f>IF(AND(C694=Master!$H$6,B694="2012-2013",E694&gt;1000,G694="NPN05"),H694,"")</f>
        <v/>
      </c>
      <c r="BB694" s="44" t="str">
        <f>IF(AND(C694=Master!$H$6,B694="2012-2013",E694="",G694="NPN05"),H694,"")</f>
        <v/>
      </c>
      <c r="BC694" s="44" t="str">
        <f>IF(AND(C694=Master!$H$7,B694="2012-2013",E694&gt;1000,G694="NPN05"),H694,"")</f>
        <v/>
      </c>
      <c r="BD694" s="44" t="str">
        <f>IF(AND(C694=Master!$H$7,B694="2012-2013",E694="",G694="NPN05"),H694,"")</f>
        <v/>
      </c>
      <c r="BE694" s="44" t="str">
        <f>IF(AND(C694=Master!$H$8,B694="2012-2013",E694&gt;1000,G694="NPN05"),H694,"")</f>
        <v/>
      </c>
      <c r="BF694" s="44" t="str">
        <f>IF(AND(C694=Master!$H$8,B694="2012-2013",E694="",G694="NPN05"),H694,"")</f>
        <v/>
      </c>
      <c r="BG694" s="44" t="str">
        <f>IF(AND(C694=Master!$H$9,B694="2012-2013",E694&gt;1000,G694="NPN05"),H694,"")</f>
        <v/>
      </c>
      <c r="BH694" s="44" t="str">
        <f>IF(AND(C694=Master!$H$9,B694="2012-2013",E694="",G694="NPN05"),H694,"")</f>
        <v/>
      </c>
    </row>
    <row r="695" spans="1:60" x14ac:dyDescent="0.25">
      <c r="A695" s="3">
        <v>693</v>
      </c>
      <c r="B695" s="12"/>
      <c r="C695" s="12"/>
      <c r="D695" s="31"/>
      <c r="E695" s="4"/>
      <c r="F695" s="13"/>
      <c r="G695" s="21"/>
      <c r="H695" s="35"/>
      <c r="I695" s="21"/>
      <c r="J695" s="25" t="str">
        <f>IF(NOT(I695=""),INDEX(Master!$B$1:$B$46,MATCH(I695,Master!$A$1:$A$46,0)),"")</f>
        <v/>
      </c>
      <c r="K695" s="18"/>
      <c r="L695" s="86"/>
      <c r="M695" s="13"/>
      <c r="N695" s="13"/>
      <c r="O695" s="18"/>
      <c r="P695" s="35"/>
      <c r="Q695" s="21"/>
      <c r="R695" s="21"/>
      <c r="S695" s="13"/>
      <c r="T695" s="12"/>
      <c r="U695" s="12"/>
      <c r="V695" s="12"/>
      <c r="W695" s="14"/>
      <c r="Y695" s="42" t="str">
        <f>IF(AND(C695=Master!$H$1,B695="2012-2013",E695&gt;1000,G695="PLN03"),H695,"")</f>
        <v/>
      </c>
      <c r="Z695" s="42" t="str">
        <f>IF(AND(C695=Master!$H$1,B695="2012-2013",E695="",G695="PLN03"),H695,"")</f>
        <v/>
      </c>
      <c r="AA695" s="42" t="str">
        <f>IF(AND(C695=Master!$H$2,B695="2012-2013",E695&gt;1000,G695="PLN03"),H695,"")</f>
        <v/>
      </c>
      <c r="AB695" s="42" t="str">
        <f>IF(AND(C695=Master!$H$2,B695="2012-2013",E695="",G695="PLN03"),H695,"")</f>
        <v/>
      </c>
      <c r="AC695" s="42" t="str">
        <f>IF(AND(C695=Master!$H$3,B695="2012-2013",E695&gt;1000,G695="PLN03"),H695,"")</f>
        <v/>
      </c>
      <c r="AD695" s="42" t="str">
        <f>IF(AND(C695=Master!$H$3,B695="2012-2013",E695="",G695="PLN03"),H695,"")</f>
        <v/>
      </c>
      <c r="AE695" s="42" t="str">
        <f>IF(AND(C695=Master!$H$4,B695="2012-2013",E695&gt;1000,G695="PLN03"),H695,"")</f>
        <v/>
      </c>
      <c r="AF695" s="42" t="str">
        <f>IF(AND(C695=Master!$H$4,B695="2012-2013",E695="",G695="PLN03"),H695,"")</f>
        <v/>
      </c>
      <c r="AG695" s="42" t="str">
        <f>IF(AND(C695=Master!$H$5,B695="2012-2013",E695&gt;1000,G695="PLN03"),H695,"")</f>
        <v/>
      </c>
      <c r="AH695" s="42" t="str">
        <f>IF(AND(C695=Master!$H$5,B695="2012-2013",E695="",G695="PLN03"),H695,"")</f>
        <v/>
      </c>
      <c r="AI695" s="42" t="str">
        <f>IF(AND(C695=Master!$H$6,B695="2012-2013",E695&gt;1000,G695="PLN03"),H695,"")</f>
        <v/>
      </c>
      <c r="AJ695" s="42" t="str">
        <f>IF(AND(C695=Master!$H$6,B695="2012-2013",E695="",G695="PLN03"),H695,"")</f>
        <v/>
      </c>
      <c r="AK695" s="42" t="str">
        <f>IF(AND(C695=Master!$H$7,B695="2012-2013",E695&gt;1000,G695="PLN03"),H695,"")</f>
        <v/>
      </c>
      <c r="AL695" s="42" t="str">
        <f>IF(AND(C695=Master!$H$7,B695="2012-2013",E695="",G695="PLN03"),H695,"")</f>
        <v/>
      </c>
      <c r="AM695" s="42" t="str">
        <f>IF(AND(C695=Master!$H$8,B695="2012-2013",E695&gt;1000,G695="PLN03"),H695,"")</f>
        <v/>
      </c>
      <c r="AN695" s="42" t="str">
        <f>IF(AND(C695=Master!$H$8,B695="2012-2013",E695="",G695="PLN03"),H695,"")</f>
        <v/>
      </c>
      <c r="AO695" s="42" t="str">
        <f>IF(AND(C695=Master!$H$9,B695="2012-2013",E695&gt;1000,G695="PLN03"),H695,"")</f>
        <v/>
      </c>
      <c r="AP695" s="42" t="str">
        <f>IF(AND(C695=Master!$H$9,B695="2012-2013",E695="",G695="PLN03"),H695,"")</f>
        <v/>
      </c>
      <c r="AQ695" s="44" t="str">
        <f>IF(AND(C695=Master!$H$1,B695="2012-2013",E695&gt;1000,G695="NPN05"),H695,"")</f>
        <v/>
      </c>
      <c r="AR695" s="44" t="str">
        <f>IF(AND(C695=Master!$H$1,B695="2012-2013",E695="",G695="NPN05"),H695,"")</f>
        <v/>
      </c>
      <c r="AS695" s="44" t="str">
        <f>IF(AND(C695=Master!$H$2,B695="2012-2013",E695&gt;1000,G695="NPN05"),H695,"")</f>
        <v/>
      </c>
      <c r="AT695" s="44" t="str">
        <f>IF(AND(C695=Master!$H$2,B695="2012-2013",E695="",G695="NPN05"),H695,"")</f>
        <v/>
      </c>
      <c r="AU695" s="44" t="str">
        <f>IF(AND(C695=Master!$H$3,B695="2012-2013",E695&gt;1000,G695="NPN05"),H695,"")</f>
        <v/>
      </c>
      <c r="AV695" s="44" t="str">
        <f>IF(AND(C695=Master!$H$3,B695="2012-2013",E695="",G695="NPN05"),H695,"")</f>
        <v/>
      </c>
      <c r="AW695" s="44" t="str">
        <f>IF(AND(C695=Master!$H$4,B695="2012-2013",E695&gt;1000,G695="NPN05"),H695,"")</f>
        <v/>
      </c>
      <c r="AX695" s="44" t="str">
        <f>IF(AND(C695=Master!$H$4,B695="2012-2013",E695="",G695="NPN05"),H695,"")</f>
        <v/>
      </c>
      <c r="AY695" s="44" t="str">
        <f>IF(AND(C695=Master!$H$5,B695="2012-2013",E695&gt;1000,G695="NPN05"),H695,"")</f>
        <v/>
      </c>
      <c r="AZ695" s="44" t="str">
        <f>IF(AND(C695=Master!$H$5,B695="2012-2013",E695="",G695="NPN05"),H695,"")</f>
        <v/>
      </c>
      <c r="BA695" s="44" t="str">
        <f>IF(AND(C695=Master!$H$6,B695="2012-2013",E695&gt;1000,G695="NPN05"),H695,"")</f>
        <v/>
      </c>
      <c r="BB695" s="44" t="str">
        <f>IF(AND(C695=Master!$H$6,B695="2012-2013",E695="",G695="NPN05"),H695,"")</f>
        <v/>
      </c>
      <c r="BC695" s="44" t="str">
        <f>IF(AND(C695=Master!$H$7,B695="2012-2013",E695&gt;1000,G695="NPN05"),H695,"")</f>
        <v/>
      </c>
      <c r="BD695" s="44" t="str">
        <f>IF(AND(C695=Master!$H$7,B695="2012-2013",E695="",G695="NPN05"),H695,"")</f>
        <v/>
      </c>
      <c r="BE695" s="44" t="str">
        <f>IF(AND(C695=Master!$H$8,B695="2012-2013",E695&gt;1000,G695="NPN05"),H695,"")</f>
        <v/>
      </c>
      <c r="BF695" s="44" t="str">
        <f>IF(AND(C695=Master!$H$8,B695="2012-2013",E695="",G695="NPN05"),H695,"")</f>
        <v/>
      </c>
      <c r="BG695" s="44" t="str">
        <f>IF(AND(C695=Master!$H$9,B695="2012-2013",E695&gt;1000,G695="NPN05"),H695,"")</f>
        <v/>
      </c>
      <c r="BH695" s="44" t="str">
        <f>IF(AND(C695=Master!$H$9,B695="2012-2013",E695="",G695="NPN05"),H695,"")</f>
        <v/>
      </c>
    </row>
    <row r="696" spans="1:60" x14ac:dyDescent="0.25">
      <c r="A696" s="3">
        <v>694</v>
      </c>
      <c r="B696" s="12"/>
      <c r="C696" s="12"/>
      <c r="D696" s="31"/>
      <c r="E696" s="4"/>
      <c r="F696" s="13"/>
      <c r="G696" s="21"/>
      <c r="H696" s="35"/>
      <c r="I696" s="21"/>
      <c r="J696" s="25" t="str">
        <f>IF(NOT(I696=""),INDEX(Master!$B$1:$B$46,MATCH(I696,Master!$A$1:$A$46,0)),"")</f>
        <v/>
      </c>
      <c r="K696" s="18"/>
      <c r="L696" s="86"/>
      <c r="M696" s="13"/>
      <c r="N696" s="13"/>
      <c r="O696" s="18"/>
      <c r="P696" s="35"/>
      <c r="Q696" s="21"/>
      <c r="R696" s="21"/>
      <c r="S696" s="13"/>
      <c r="T696" s="12"/>
      <c r="U696" s="12"/>
      <c r="V696" s="12"/>
      <c r="W696" s="14"/>
      <c r="Y696" s="42" t="str">
        <f>IF(AND(C696=Master!$H$1,B696="2012-2013",E696&gt;1000,G696="PLN03"),H696,"")</f>
        <v/>
      </c>
      <c r="Z696" s="42" t="str">
        <f>IF(AND(C696=Master!$H$1,B696="2012-2013",E696="",G696="PLN03"),H696,"")</f>
        <v/>
      </c>
      <c r="AA696" s="42" t="str">
        <f>IF(AND(C696=Master!$H$2,B696="2012-2013",E696&gt;1000,G696="PLN03"),H696,"")</f>
        <v/>
      </c>
      <c r="AB696" s="42" t="str">
        <f>IF(AND(C696=Master!$H$2,B696="2012-2013",E696="",G696="PLN03"),H696,"")</f>
        <v/>
      </c>
      <c r="AC696" s="42" t="str">
        <f>IF(AND(C696=Master!$H$3,B696="2012-2013",E696&gt;1000,G696="PLN03"),H696,"")</f>
        <v/>
      </c>
      <c r="AD696" s="42" t="str">
        <f>IF(AND(C696=Master!$H$3,B696="2012-2013",E696="",G696="PLN03"),H696,"")</f>
        <v/>
      </c>
      <c r="AE696" s="42" t="str">
        <f>IF(AND(C696=Master!$H$4,B696="2012-2013",E696&gt;1000,G696="PLN03"),H696,"")</f>
        <v/>
      </c>
      <c r="AF696" s="42" t="str">
        <f>IF(AND(C696=Master!$H$4,B696="2012-2013",E696="",G696="PLN03"),H696,"")</f>
        <v/>
      </c>
      <c r="AG696" s="42" t="str">
        <f>IF(AND(C696=Master!$H$5,B696="2012-2013",E696&gt;1000,G696="PLN03"),H696,"")</f>
        <v/>
      </c>
      <c r="AH696" s="42" t="str">
        <f>IF(AND(C696=Master!$H$5,B696="2012-2013",E696="",G696="PLN03"),H696,"")</f>
        <v/>
      </c>
      <c r="AI696" s="42" t="str">
        <f>IF(AND(C696=Master!$H$6,B696="2012-2013",E696&gt;1000,G696="PLN03"),H696,"")</f>
        <v/>
      </c>
      <c r="AJ696" s="42" t="str">
        <f>IF(AND(C696=Master!$H$6,B696="2012-2013",E696="",G696="PLN03"),H696,"")</f>
        <v/>
      </c>
      <c r="AK696" s="42" t="str">
        <f>IF(AND(C696=Master!$H$7,B696="2012-2013",E696&gt;1000,G696="PLN03"),H696,"")</f>
        <v/>
      </c>
      <c r="AL696" s="42" t="str">
        <f>IF(AND(C696=Master!$H$7,B696="2012-2013",E696="",G696="PLN03"),H696,"")</f>
        <v/>
      </c>
      <c r="AM696" s="42" t="str">
        <f>IF(AND(C696=Master!$H$8,B696="2012-2013",E696&gt;1000,G696="PLN03"),H696,"")</f>
        <v/>
      </c>
      <c r="AN696" s="42" t="str">
        <f>IF(AND(C696=Master!$H$8,B696="2012-2013",E696="",G696="PLN03"),H696,"")</f>
        <v/>
      </c>
      <c r="AO696" s="42" t="str">
        <f>IF(AND(C696=Master!$H$9,B696="2012-2013",E696&gt;1000,G696="PLN03"),H696,"")</f>
        <v/>
      </c>
      <c r="AP696" s="42" t="str">
        <f>IF(AND(C696=Master!$H$9,B696="2012-2013",E696="",G696="PLN03"),H696,"")</f>
        <v/>
      </c>
      <c r="AQ696" s="44" t="str">
        <f>IF(AND(C696=Master!$H$1,B696="2012-2013",E696&gt;1000,G696="NPN05"),H696,"")</f>
        <v/>
      </c>
      <c r="AR696" s="44" t="str">
        <f>IF(AND(C696=Master!$H$1,B696="2012-2013",E696="",G696="NPN05"),H696,"")</f>
        <v/>
      </c>
      <c r="AS696" s="44" t="str">
        <f>IF(AND(C696=Master!$H$2,B696="2012-2013",E696&gt;1000,G696="NPN05"),H696,"")</f>
        <v/>
      </c>
      <c r="AT696" s="44" t="str">
        <f>IF(AND(C696=Master!$H$2,B696="2012-2013",E696="",G696="NPN05"),H696,"")</f>
        <v/>
      </c>
      <c r="AU696" s="44" t="str">
        <f>IF(AND(C696=Master!$H$3,B696="2012-2013",E696&gt;1000,G696="NPN05"),H696,"")</f>
        <v/>
      </c>
      <c r="AV696" s="44" t="str">
        <f>IF(AND(C696=Master!$H$3,B696="2012-2013",E696="",G696="NPN05"),H696,"")</f>
        <v/>
      </c>
      <c r="AW696" s="44" t="str">
        <f>IF(AND(C696=Master!$H$4,B696="2012-2013",E696&gt;1000,G696="NPN05"),H696,"")</f>
        <v/>
      </c>
      <c r="AX696" s="44" t="str">
        <f>IF(AND(C696=Master!$H$4,B696="2012-2013",E696="",G696="NPN05"),H696,"")</f>
        <v/>
      </c>
      <c r="AY696" s="44" t="str">
        <f>IF(AND(C696=Master!$H$5,B696="2012-2013",E696&gt;1000,G696="NPN05"),H696,"")</f>
        <v/>
      </c>
      <c r="AZ696" s="44" t="str">
        <f>IF(AND(C696=Master!$H$5,B696="2012-2013",E696="",G696="NPN05"),H696,"")</f>
        <v/>
      </c>
      <c r="BA696" s="44" t="str">
        <f>IF(AND(C696=Master!$H$6,B696="2012-2013",E696&gt;1000,G696="NPN05"),H696,"")</f>
        <v/>
      </c>
      <c r="BB696" s="44" t="str">
        <f>IF(AND(C696=Master!$H$6,B696="2012-2013",E696="",G696="NPN05"),H696,"")</f>
        <v/>
      </c>
      <c r="BC696" s="44" t="str">
        <f>IF(AND(C696=Master!$H$7,B696="2012-2013",E696&gt;1000,G696="NPN05"),H696,"")</f>
        <v/>
      </c>
      <c r="BD696" s="44" t="str">
        <f>IF(AND(C696=Master!$H$7,B696="2012-2013",E696="",G696="NPN05"),H696,"")</f>
        <v/>
      </c>
      <c r="BE696" s="44" t="str">
        <f>IF(AND(C696=Master!$H$8,B696="2012-2013",E696&gt;1000,G696="NPN05"),H696,"")</f>
        <v/>
      </c>
      <c r="BF696" s="44" t="str">
        <f>IF(AND(C696=Master!$H$8,B696="2012-2013",E696="",G696="NPN05"),H696,"")</f>
        <v/>
      </c>
      <c r="BG696" s="44" t="str">
        <f>IF(AND(C696=Master!$H$9,B696="2012-2013",E696&gt;1000,G696="NPN05"),H696,"")</f>
        <v/>
      </c>
      <c r="BH696" s="44" t="str">
        <f>IF(AND(C696=Master!$H$9,B696="2012-2013",E696="",G696="NPN05"),H696,"")</f>
        <v/>
      </c>
    </row>
    <row r="697" spans="1:60" x14ac:dyDescent="0.25">
      <c r="A697" s="5">
        <v>695</v>
      </c>
      <c r="B697" s="12"/>
      <c r="C697" s="12"/>
      <c r="D697" s="31"/>
      <c r="E697" s="4"/>
      <c r="F697" s="13"/>
      <c r="G697" s="21"/>
      <c r="H697" s="35"/>
      <c r="I697" s="21"/>
      <c r="J697" s="25" t="str">
        <f>IF(NOT(I697=""),INDEX(Master!$B$1:$B$46,MATCH(I697,Master!$A$1:$A$46,0)),"")</f>
        <v/>
      </c>
      <c r="K697" s="18"/>
      <c r="L697" s="86"/>
      <c r="M697" s="13"/>
      <c r="N697" s="13"/>
      <c r="O697" s="18"/>
      <c r="P697" s="35"/>
      <c r="Q697" s="21"/>
      <c r="R697" s="21"/>
      <c r="S697" s="13"/>
      <c r="T697" s="12"/>
      <c r="U697" s="12"/>
      <c r="V697" s="12"/>
      <c r="W697" s="14"/>
      <c r="Y697" s="42" t="str">
        <f>IF(AND(C697=Master!$H$1,B697="2012-2013",E697&gt;1000,G697="PLN03"),H697,"")</f>
        <v/>
      </c>
      <c r="Z697" s="42" t="str">
        <f>IF(AND(C697=Master!$H$1,B697="2012-2013",E697="",G697="PLN03"),H697,"")</f>
        <v/>
      </c>
      <c r="AA697" s="42" t="str">
        <f>IF(AND(C697=Master!$H$2,B697="2012-2013",E697&gt;1000,G697="PLN03"),H697,"")</f>
        <v/>
      </c>
      <c r="AB697" s="42" t="str">
        <f>IF(AND(C697=Master!$H$2,B697="2012-2013",E697="",G697="PLN03"),H697,"")</f>
        <v/>
      </c>
      <c r="AC697" s="42" t="str">
        <f>IF(AND(C697=Master!$H$3,B697="2012-2013",E697&gt;1000,G697="PLN03"),H697,"")</f>
        <v/>
      </c>
      <c r="AD697" s="42" t="str">
        <f>IF(AND(C697=Master!$H$3,B697="2012-2013",E697="",G697="PLN03"),H697,"")</f>
        <v/>
      </c>
      <c r="AE697" s="42" t="str">
        <f>IF(AND(C697=Master!$H$4,B697="2012-2013",E697&gt;1000,G697="PLN03"),H697,"")</f>
        <v/>
      </c>
      <c r="AF697" s="42" t="str">
        <f>IF(AND(C697=Master!$H$4,B697="2012-2013",E697="",G697="PLN03"),H697,"")</f>
        <v/>
      </c>
      <c r="AG697" s="42" t="str">
        <f>IF(AND(C697=Master!$H$5,B697="2012-2013",E697&gt;1000,G697="PLN03"),H697,"")</f>
        <v/>
      </c>
      <c r="AH697" s="42" t="str">
        <f>IF(AND(C697=Master!$H$5,B697="2012-2013",E697="",G697="PLN03"),H697,"")</f>
        <v/>
      </c>
      <c r="AI697" s="42" t="str">
        <f>IF(AND(C697=Master!$H$6,B697="2012-2013",E697&gt;1000,G697="PLN03"),H697,"")</f>
        <v/>
      </c>
      <c r="AJ697" s="42" t="str">
        <f>IF(AND(C697=Master!$H$6,B697="2012-2013",E697="",G697="PLN03"),H697,"")</f>
        <v/>
      </c>
      <c r="AK697" s="42" t="str">
        <f>IF(AND(C697=Master!$H$7,B697="2012-2013",E697&gt;1000,G697="PLN03"),H697,"")</f>
        <v/>
      </c>
      <c r="AL697" s="42" t="str">
        <f>IF(AND(C697=Master!$H$7,B697="2012-2013",E697="",G697="PLN03"),H697,"")</f>
        <v/>
      </c>
      <c r="AM697" s="42" t="str">
        <f>IF(AND(C697=Master!$H$8,B697="2012-2013",E697&gt;1000,G697="PLN03"),H697,"")</f>
        <v/>
      </c>
      <c r="AN697" s="42" t="str">
        <f>IF(AND(C697=Master!$H$8,B697="2012-2013",E697="",G697="PLN03"),H697,"")</f>
        <v/>
      </c>
      <c r="AO697" s="42" t="str">
        <f>IF(AND(C697=Master!$H$9,B697="2012-2013",E697&gt;1000,G697="PLN03"),H697,"")</f>
        <v/>
      </c>
      <c r="AP697" s="42" t="str">
        <f>IF(AND(C697=Master!$H$9,B697="2012-2013",E697="",G697="PLN03"),H697,"")</f>
        <v/>
      </c>
      <c r="AQ697" s="44" t="str">
        <f>IF(AND(C697=Master!$H$1,B697="2012-2013",E697&gt;1000,G697="NPN05"),H697,"")</f>
        <v/>
      </c>
      <c r="AR697" s="44" t="str">
        <f>IF(AND(C697=Master!$H$1,B697="2012-2013",E697="",G697="NPN05"),H697,"")</f>
        <v/>
      </c>
      <c r="AS697" s="44" t="str">
        <f>IF(AND(C697=Master!$H$2,B697="2012-2013",E697&gt;1000,G697="NPN05"),H697,"")</f>
        <v/>
      </c>
      <c r="AT697" s="44" t="str">
        <f>IF(AND(C697=Master!$H$2,B697="2012-2013",E697="",G697="NPN05"),H697,"")</f>
        <v/>
      </c>
      <c r="AU697" s="44" t="str">
        <f>IF(AND(C697=Master!$H$3,B697="2012-2013",E697&gt;1000,G697="NPN05"),H697,"")</f>
        <v/>
      </c>
      <c r="AV697" s="44" t="str">
        <f>IF(AND(C697=Master!$H$3,B697="2012-2013",E697="",G697="NPN05"),H697,"")</f>
        <v/>
      </c>
      <c r="AW697" s="44" t="str">
        <f>IF(AND(C697=Master!$H$4,B697="2012-2013",E697&gt;1000,G697="NPN05"),H697,"")</f>
        <v/>
      </c>
      <c r="AX697" s="44" t="str">
        <f>IF(AND(C697=Master!$H$4,B697="2012-2013",E697="",G697="NPN05"),H697,"")</f>
        <v/>
      </c>
      <c r="AY697" s="44" t="str">
        <f>IF(AND(C697=Master!$H$5,B697="2012-2013",E697&gt;1000,G697="NPN05"),H697,"")</f>
        <v/>
      </c>
      <c r="AZ697" s="44" t="str">
        <f>IF(AND(C697=Master!$H$5,B697="2012-2013",E697="",G697="NPN05"),H697,"")</f>
        <v/>
      </c>
      <c r="BA697" s="44" t="str">
        <f>IF(AND(C697=Master!$H$6,B697="2012-2013",E697&gt;1000,G697="NPN05"),H697,"")</f>
        <v/>
      </c>
      <c r="BB697" s="44" t="str">
        <f>IF(AND(C697=Master!$H$6,B697="2012-2013",E697="",G697="NPN05"),H697,"")</f>
        <v/>
      </c>
      <c r="BC697" s="44" t="str">
        <f>IF(AND(C697=Master!$H$7,B697="2012-2013",E697&gt;1000,G697="NPN05"),H697,"")</f>
        <v/>
      </c>
      <c r="BD697" s="44" t="str">
        <f>IF(AND(C697=Master!$H$7,B697="2012-2013",E697="",G697="NPN05"),H697,"")</f>
        <v/>
      </c>
      <c r="BE697" s="44" t="str">
        <f>IF(AND(C697=Master!$H$8,B697="2012-2013",E697&gt;1000,G697="NPN05"),H697,"")</f>
        <v/>
      </c>
      <c r="BF697" s="44" t="str">
        <f>IF(AND(C697=Master!$H$8,B697="2012-2013",E697="",G697="NPN05"),H697,"")</f>
        <v/>
      </c>
      <c r="BG697" s="44" t="str">
        <f>IF(AND(C697=Master!$H$9,B697="2012-2013",E697&gt;1000,G697="NPN05"),H697,"")</f>
        <v/>
      </c>
      <c r="BH697" s="44" t="str">
        <f>IF(AND(C697=Master!$H$9,B697="2012-2013",E697="",G697="NPN05"),H697,"")</f>
        <v/>
      </c>
    </row>
    <row r="698" spans="1:60" x14ac:dyDescent="0.25">
      <c r="A698" s="3">
        <v>696</v>
      </c>
      <c r="B698" s="12"/>
      <c r="C698" s="12"/>
      <c r="D698" s="31"/>
      <c r="E698" s="4"/>
      <c r="F698" s="13"/>
      <c r="G698" s="21"/>
      <c r="H698" s="35"/>
      <c r="I698" s="21"/>
      <c r="J698" s="25" t="str">
        <f>IF(NOT(I698=""),INDEX(Master!$B$1:$B$46,MATCH(I698,Master!$A$1:$A$46,0)),"")</f>
        <v/>
      </c>
      <c r="K698" s="18"/>
      <c r="L698" s="86"/>
      <c r="M698" s="13"/>
      <c r="N698" s="13"/>
      <c r="O698" s="18"/>
      <c r="P698" s="35"/>
      <c r="Q698" s="21"/>
      <c r="R698" s="21"/>
      <c r="S698" s="13"/>
      <c r="T698" s="12"/>
      <c r="U698" s="12"/>
      <c r="V698" s="12"/>
      <c r="W698" s="14"/>
      <c r="Y698" s="42" t="str">
        <f>IF(AND(C698=Master!$H$1,B698="2012-2013",E698&gt;1000,G698="PLN03"),H698,"")</f>
        <v/>
      </c>
      <c r="Z698" s="42" t="str">
        <f>IF(AND(C698=Master!$H$1,B698="2012-2013",E698="",G698="PLN03"),H698,"")</f>
        <v/>
      </c>
      <c r="AA698" s="42" t="str">
        <f>IF(AND(C698=Master!$H$2,B698="2012-2013",E698&gt;1000,G698="PLN03"),H698,"")</f>
        <v/>
      </c>
      <c r="AB698" s="42" t="str">
        <f>IF(AND(C698=Master!$H$2,B698="2012-2013",E698="",G698="PLN03"),H698,"")</f>
        <v/>
      </c>
      <c r="AC698" s="42" t="str">
        <f>IF(AND(C698=Master!$H$3,B698="2012-2013",E698&gt;1000,G698="PLN03"),H698,"")</f>
        <v/>
      </c>
      <c r="AD698" s="42" t="str">
        <f>IF(AND(C698=Master!$H$3,B698="2012-2013",E698="",G698="PLN03"),H698,"")</f>
        <v/>
      </c>
      <c r="AE698" s="42" t="str">
        <f>IF(AND(C698=Master!$H$4,B698="2012-2013",E698&gt;1000,G698="PLN03"),H698,"")</f>
        <v/>
      </c>
      <c r="AF698" s="42" t="str">
        <f>IF(AND(C698=Master!$H$4,B698="2012-2013",E698="",G698="PLN03"),H698,"")</f>
        <v/>
      </c>
      <c r="AG698" s="42" t="str">
        <f>IF(AND(C698=Master!$H$5,B698="2012-2013",E698&gt;1000,G698="PLN03"),H698,"")</f>
        <v/>
      </c>
      <c r="AH698" s="42" t="str">
        <f>IF(AND(C698=Master!$H$5,B698="2012-2013",E698="",G698="PLN03"),H698,"")</f>
        <v/>
      </c>
      <c r="AI698" s="42" t="str">
        <f>IF(AND(C698=Master!$H$6,B698="2012-2013",E698&gt;1000,G698="PLN03"),H698,"")</f>
        <v/>
      </c>
      <c r="AJ698" s="42" t="str">
        <f>IF(AND(C698=Master!$H$6,B698="2012-2013",E698="",G698="PLN03"),H698,"")</f>
        <v/>
      </c>
      <c r="AK698" s="42" t="str">
        <f>IF(AND(C698=Master!$H$7,B698="2012-2013",E698&gt;1000,G698="PLN03"),H698,"")</f>
        <v/>
      </c>
      <c r="AL698" s="42" t="str">
        <f>IF(AND(C698=Master!$H$7,B698="2012-2013",E698="",G698="PLN03"),H698,"")</f>
        <v/>
      </c>
      <c r="AM698" s="42" t="str">
        <f>IF(AND(C698=Master!$H$8,B698="2012-2013",E698&gt;1000,G698="PLN03"),H698,"")</f>
        <v/>
      </c>
      <c r="AN698" s="42" t="str">
        <f>IF(AND(C698=Master!$H$8,B698="2012-2013",E698="",G698="PLN03"),H698,"")</f>
        <v/>
      </c>
      <c r="AO698" s="42" t="str">
        <f>IF(AND(C698=Master!$H$9,B698="2012-2013",E698&gt;1000,G698="PLN03"),H698,"")</f>
        <v/>
      </c>
      <c r="AP698" s="42" t="str">
        <f>IF(AND(C698=Master!$H$9,B698="2012-2013",E698="",G698="PLN03"),H698,"")</f>
        <v/>
      </c>
      <c r="AQ698" s="44" t="str">
        <f>IF(AND(C698=Master!$H$1,B698="2012-2013",E698&gt;1000,G698="NPN05"),H698,"")</f>
        <v/>
      </c>
      <c r="AR698" s="44" t="str">
        <f>IF(AND(C698=Master!$H$1,B698="2012-2013",E698="",G698="NPN05"),H698,"")</f>
        <v/>
      </c>
      <c r="AS698" s="44" t="str">
        <f>IF(AND(C698=Master!$H$2,B698="2012-2013",E698&gt;1000,G698="NPN05"),H698,"")</f>
        <v/>
      </c>
      <c r="AT698" s="44" t="str">
        <f>IF(AND(C698=Master!$H$2,B698="2012-2013",E698="",G698="NPN05"),H698,"")</f>
        <v/>
      </c>
      <c r="AU698" s="44" t="str">
        <f>IF(AND(C698=Master!$H$3,B698="2012-2013",E698&gt;1000,G698="NPN05"),H698,"")</f>
        <v/>
      </c>
      <c r="AV698" s="44" t="str">
        <f>IF(AND(C698=Master!$H$3,B698="2012-2013",E698="",G698="NPN05"),H698,"")</f>
        <v/>
      </c>
      <c r="AW698" s="44" t="str">
        <f>IF(AND(C698=Master!$H$4,B698="2012-2013",E698&gt;1000,G698="NPN05"),H698,"")</f>
        <v/>
      </c>
      <c r="AX698" s="44" t="str">
        <f>IF(AND(C698=Master!$H$4,B698="2012-2013",E698="",G698="NPN05"),H698,"")</f>
        <v/>
      </c>
      <c r="AY698" s="44" t="str">
        <f>IF(AND(C698=Master!$H$5,B698="2012-2013",E698&gt;1000,G698="NPN05"),H698,"")</f>
        <v/>
      </c>
      <c r="AZ698" s="44" t="str">
        <f>IF(AND(C698=Master!$H$5,B698="2012-2013",E698="",G698="NPN05"),H698,"")</f>
        <v/>
      </c>
      <c r="BA698" s="44" t="str">
        <f>IF(AND(C698=Master!$H$6,B698="2012-2013",E698&gt;1000,G698="NPN05"),H698,"")</f>
        <v/>
      </c>
      <c r="BB698" s="44" t="str">
        <f>IF(AND(C698=Master!$H$6,B698="2012-2013",E698="",G698="NPN05"),H698,"")</f>
        <v/>
      </c>
      <c r="BC698" s="44" t="str">
        <f>IF(AND(C698=Master!$H$7,B698="2012-2013",E698&gt;1000,G698="NPN05"),H698,"")</f>
        <v/>
      </c>
      <c r="BD698" s="44" t="str">
        <f>IF(AND(C698=Master!$H$7,B698="2012-2013",E698="",G698="NPN05"),H698,"")</f>
        <v/>
      </c>
      <c r="BE698" s="44" t="str">
        <f>IF(AND(C698=Master!$H$8,B698="2012-2013",E698&gt;1000,G698="NPN05"),H698,"")</f>
        <v/>
      </c>
      <c r="BF698" s="44" t="str">
        <f>IF(AND(C698=Master!$H$8,B698="2012-2013",E698="",G698="NPN05"),H698,"")</f>
        <v/>
      </c>
      <c r="BG698" s="44" t="str">
        <f>IF(AND(C698=Master!$H$9,B698="2012-2013",E698&gt;1000,G698="NPN05"),H698,"")</f>
        <v/>
      </c>
      <c r="BH698" s="44" t="str">
        <f>IF(AND(C698=Master!$H$9,B698="2012-2013",E698="",G698="NPN05"),H698,"")</f>
        <v/>
      </c>
    </row>
    <row r="699" spans="1:60" x14ac:dyDescent="0.25">
      <c r="A699" s="3">
        <v>697</v>
      </c>
      <c r="B699" s="12"/>
      <c r="C699" s="12"/>
      <c r="D699" s="31"/>
      <c r="E699" s="4"/>
      <c r="F699" s="13"/>
      <c r="G699" s="21"/>
      <c r="H699" s="35"/>
      <c r="I699" s="21"/>
      <c r="J699" s="25" t="str">
        <f>IF(NOT(I699=""),INDEX(Master!$B$1:$B$46,MATCH(I699,Master!$A$1:$A$46,0)),"")</f>
        <v/>
      </c>
      <c r="K699" s="18"/>
      <c r="L699" s="86"/>
      <c r="M699" s="13"/>
      <c r="N699" s="13"/>
      <c r="O699" s="18"/>
      <c r="P699" s="35"/>
      <c r="Q699" s="21"/>
      <c r="R699" s="21"/>
      <c r="S699" s="13"/>
      <c r="T699" s="12"/>
      <c r="U699" s="12"/>
      <c r="V699" s="12"/>
      <c r="W699" s="14"/>
      <c r="Y699" s="42" t="str">
        <f>IF(AND(C699=Master!$H$1,B699="2012-2013",E699&gt;1000,G699="PLN03"),H699,"")</f>
        <v/>
      </c>
      <c r="Z699" s="42" t="str">
        <f>IF(AND(C699=Master!$H$1,B699="2012-2013",E699="",G699="PLN03"),H699,"")</f>
        <v/>
      </c>
      <c r="AA699" s="42" t="str">
        <f>IF(AND(C699=Master!$H$2,B699="2012-2013",E699&gt;1000,G699="PLN03"),H699,"")</f>
        <v/>
      </c>
      <c r="AB699" s="42" t="str">
        <f>IF(AND(C699=Master!$H$2,B699="2012-2013",E699="",G699="PLN03"),H699,"")</f>
        <v/>
      </c>
      <c r="AC699" s="42" t="str">
        <f>IF(AND(C699=Master!$H$3,B699="2012-2013",E699&gt;1000,G699="PLN03"),H699,"")</f>
        <v/>
      </c>
      <c r="AD699" s="42" t="str">
        <f>IF(AND(C699=Master!$H$3,B699="2012-2013",E699="",G699="PLN03"),H699,"")</f>
        <v/>
      </c>
      <c r="AE699" s="42" t="str">
        <f>IF(AND(C699=Master!$H$4,B699="2012-2013",E699&gt;1000,G699="PLN03"),H699,"")</f>
        <v/>
      </c>
      <c r="AF699" s="42" t="str">
        <f>IF(AND(C699=Master!$H$4,B699="2012-2013",E699="",G699="PLN03"),H699,"")</f>
        <v/>
      </c>
      <c r="AG699" s="42" t="str">
        <f>IF(AND(C699=Master!$H$5,B699="2012-2013",E699&gt;1000,G699="PLN03"),H699,"")</f>
        <v/>
      </c>
      <c r="AH699" s="42" t="str">
        <f>IF(AND(C699=Master!$H$5,B699="2012-2013",E699="",G699="PLN03"),H699,"")</f>
        <v/>
      </c>
      <c r="AI699" s="42" t="str">
        <f>IF(AND(C699=Master!$H$6,B699="2012-2013",E699&gt;1000,G699="PLN03"),H699,"")</f>
        <v/>
      </c>
      <c r="AJ699" s="42" t="str">
        <f>IF(AND(C699=Master!$H$6,B699="2012-2013",E699="",G699="PLN03"),H699,"")</f>
        <v/>
      </c>
      <c r="AK699" s="42" t="str">
        <f>IF(AND(C699=Master!$H$7,B699="2012-2013",E699&gt;1000,G699="PLN03"),H699,"")</f>
        <v/>
      </c>
      <c r="AL699" s="42" t="str">
        <f>IF(AND(C699=Master!$H$7,B699="2012-2013",E699="",G699="PLN03"),H699,"")</f>
        <v/>
      </c>
      <c r="AM699" s="42" t="str">
        <f>IF(AND(C699=Master!$H$8,B699="2012-2013",E699&gt;1000,G699="PLN03"),H699,"")</f>
        <v/>
      </c>
      <c r="AN699" s="42" t="str">
        <f>IF(AND(C699=Master!$H$8,B699="2012-2013",E699="",G699="PLN03"),H699,"")</f>
        <v/>
      </c>
      <c r="AO699" s="42" t="str">
        <f>IF(AND(C699=Master!$H$9,B699="2012-2013",E699&gt;1000,G699="PLN03"),H699,"")</f>
        <v/>
      </c>
      <c r="AP699" s="42" t="str">
        <f>IF(AND(C699=Master!$H$9,B699="2012-2013",E699="",G699="PLN03"),H699,"")</f>
        <v/>
      </c>
      <c r="AQ699" s="44" t="str">
        <f>IF(AND(C699=Master!$H$1,B699="2012-2013",E699&gt;1000,G699="NPN05"),H699,"")</f>
        <v/>
      </c>
      <c r="AR699" s="44" t="str">
        <f>IF(AND(C699=Master!$H$1,B699="2012-2013",E699="",G699="NPN05"),H699,"")</f>
        <v/>
      </c>
      <c r="AS699" s="44" t="str">
        <f>IF(AND(C699=Master!$H$2,B699="2012-2013",E699&gt;1000,G699="NPN05"),H699,"")</f>
        <v/>
      </c>
      <c r="AT699" s="44" t="str">
        <f>IF(AND(C699=Master!$H$2,B699="2012-2013",E699="",G699="NPN05"),H699,"")</f>
        <v/>
      </c>
      <c r="AU699" s="44" t="str">
        <f>IF(AND(C699=Master!$H$3,B699="2012-2013",E699&gt;1000,G699="NPN05"),H699,"")</f>
        <v/>
      </c>
      <c r="AV699" s="44" t="str">
        <f>IF(AND(C699=Master!$H$3,B699="2012-2013",E699="",G699="NPN05"),H699,"")</f>
        <v/>
      </c>
      <c r="AW699" s="44" t="str">
        <f>IF(AND(C699=Master!$H$4,B699="2012-2013",E699&gt;1000,G699="NPN05"),H699,"")</f>
        <v/>
      </c>
      <c r="AX699" s="44" t="str">
        <f>IF(AND(C699=Master!$H$4,B699="2012-2013",E699="",G699="NPN05"),H699,"")</f>
        <v/>
      </c>
      <c r="AY699" s="44" t="str">
        <f>IF(AND(C699=Master!$H$5,B699="2012-2013",E699&gt;1000,G699="NPN05"),H699,"")</f>
        <v/>
      </c>
      <c r="AZ699" s="44" t="str">
        <f>IF(AND(C699=Master!$H$5,B699="2012-2013",E699="",G699="NPN05"),H699,"")</f>
        <v/>
      </c>
      <c r="BA699" s="44" t="str">
        <f>IF(AND(C699=Master!$H$6,B699="2012-2013",E699&gt;1000,G699="NPN05"),H699,"")</f>
        <v/>
      </c>
      <c r="BB699" s="44" t="str">
        <f>IF(AND(C699=Master!$H$6,B699="2012-2013",E699="",G699="NPN05"),H699,"")</f>
        <v/>
      </c>
      <c r="BC699" s="44" t="str">
        <f>IF(AND(C699=Master!$H$7,B699="2012-2013",E699&gt;1000,G699="NPN05"),H699,"")</f>
        <v/>
      </c>
      <c r="BD699" s="44" t="str">
        <f>IF(AND(C699=Master!$H$7,B699="2012-2013",E699="",G699="NPN05"),H699,"")</f>
        <v/>
      </c>
      <c r="BE699" s="44" t="str">
        <f>IF(AND(C699=Master!$H$8,B699="2012-2013",E699&gt;1000,G699="NPN05"),H699,"")</f>
        <v/>
      </c>
      <c r="BF699" s="44" t="str">
        <f>IF(AND(C699=Master!$H$8,B699="2012-2013",E699="",G699="NPN05"),H699,"")</f>
        <v/>
      </c>
      <c r="BG699" s="44" t="str">
        <f>IF(AND(C699=Master!$H$9,B699="2012-2013",E699&gt;1000,G699="NPN05"),H699,"")</f>
        <v/>
      </c>
      <c r="BH699" s="44" t="str">
        <f>IF(AND(C699=Master!$H$9,B699="2012-2013",E699="",G699="NPN05"),H699,"")</f>
        <v/>
      </c>
    </row>
    <row r="700" spans="1:60" x14ac:dyDescent="0.25">
      <c r="A700" s="3">
        <v>698</v>
      </c>
      <c r="B700" s="12"/>
      <c r="C700" s="12"/>
      <c r="D700" s="31"/>
      <c r="E700" s="4"/>
      <c r="F700" s="13"/>
      <c r="G700" s="21"/>
      <c r="H700" s="35"/>
      <c r="I700" s="21"/>
      <c r="J700" s="25" t="str">
        <f>IF(NOT(I700=""),INDEX(Master!$B$1:$B$46,MATCH(I700,Master!$A$1:$A$46,0)),"")</f>
        <v/>
      </c>
      <c r="K700" s="18"/>
      <c r="L700" s="86"/>
      <c r="M700" s="13"/>
      <c r="N700" s="13"/>
      <c r="O700" s="18"/>
      <c r="P700" s="35"/>
      <c r="Q700" s="21"/>
      <c r="R700" s="21"/>
      <c r="S700" s="13"/>
      <c r="T700" s="12"/>
      <c r="U700" s="12"/>
      <c r="V700" s="12"/>
      <c r="W700" s="14"/>
      <c r="Y700" s="42" t="str">
        <f>IF(AND(C700=Master!$H$1,B700="2012-2013",E700&gt;1000,G700="PLN03"),H700,"")</f>
        <v/>
      </c>
      <c r="Z700" s="42" t="str">
        <f>IF(AND(C700=Master!$H$1,B700="2012-2013",E700="",G700="PLN03"),H700,"")</f>
        <v/>
      </c>
      <c r="AA700" s="42" t="str">
        <f>IF(AND(C700=Master!$H$2,B700="2012-2013",E700&gt;1000,G700="PLN03"),H700,"")</f>
        <v/>
      </c>
      <c r="AB700" s="42" t="str">
        <f>IF(AND(C700=Master!$H$2,B700="2012-2013",E700="",G700="PLN03"),H700,"")</f>
        <v/>
      </c>
      <c r="AC700" s="42" t="str">
        <f>IF(AND(C700=Master!$H$3,B700="2012-2013",E700&gt;1000,G700="PLN03"),H700,"")</f>
        <v/>
      </c>
      <c r="AD700" s="42" t="str">
        <f>IF(AND(C700=Master!$H$3,B700="2012-2013",E700="",G700="PLN03"),H700,"")</f>
        <v/>
      </c>
      <c r="AE700" s="42" t="str">
        <f>IF(AND(C700=Master!$H$4,B700="2012-2013",E700&gt;1000,G700="PLN03"),H700,"")</f>
        <v/>
      </c>
      <c r="AF700" s="42" t="str">
        <f>IF(AND(C700=Master!$H$4,B700="2012-2013",E700="",G700="PLN03"),H700,"")</f>
        <v/>
      </c>
      <c r="AG700" s="42" t="str">
        <f>IF(AND(C700=Master!$H$5,B700="2012-2013",E700&gt;1000,G700="PLN03"),H700,"")</f>
        <v/>
      </c>
      <c r="AH700" s="42" t="str">
        <f>IF(AND(C700=Master!$H$5,B700="2012-2013",E700="",G700="PLN03"),H700,"")</f>
        <v/>
      </c>
      <c r="AI700" s="42" t="str">
        <f>IF(AND(C700=Master!$H$6,B700="2012-2013",E700&gt;1000,G700="PLN03"),H700,"")</f>
        <v/>
      </c>
      <c r="AJ700" s="42" t="str">
        <f>IF(AND(C700=Master!$H$6,B700="2012-2013",E700="",G700="PLN03"),H700,"")</f>
        <v/>
      </c>
      <c r="AK700" s="42" t="str">
        <f>IF(AND(C700=Master!$H$7,B700="2012-2013",E700&gt;1000,G700="PLN03"),H700,"")</f>
        <v/>
      </c>
      <c r="AL700" s="42" t="str">
        <f>IF(AND(C700=Master!$H$7,B700="2012-2013",E700="",G700="PLN03"),H700,"")</f>
        <v/>
      </c>
      <c r="AM700" s="42" t="str">
        <f>IF(AND(C700=Master!$H$8,B700="2012-2013",E700&gt;1000,G700="PLN03"),H700,"")</f>
        <v/>
      </c>
      <c r="AN700" s="42" t="str">
        <f>IF(AND(C700=Master!$H$8,B700="2012-2013",E700="",G700="PLN03"),H700,"")</f>
        <v/>
      </c>
      <c r="AO700" s="42" t="str">
        <f>IF(AND(C700=Master!$H$9,B700="2012-2013",E700&gt;1000,G700="PLN03"),H700,"")</f>
        <v/>
      </c>
      <c r="AP700" s="42" t="str">
        <f>IF(AND(C700=Master!$H$9,B700="2012-2013",E700="",G700="PLN03"),H700,"")</f>
        <v/>
      </c>
      <c r="AQ700" s="44" t="str">
        <f>IF(AND(C700=Master!$H$1,B700="2012-2013",E700&gt;1000,G700="NPN05"),H700,"")</f>
        <v/>
      </c>
      <c r="AR700" s="44" t="str">
        <f>IF(AND(C700=Master!$H$1,B700="2012-2013",E700="",G700="NPN05"),H700,"")</f>
        <v/>
      </c>
      <c r="AS700" s="44" t="str">
        <f>IF(AND(C700=Master!$H$2,B700="2012-2013",E700&gt;1000,G700="NPN05"),H700,"")</f>
        <v/>
      </c>
      <c r="AT700" s="44" t="str">
        <f>IF(AND(C700=Master!$H$2,B700="2012-2013",E700="",G700="NPN05"),H700,"")</f>
        <v/>
      </c>
      <c r="AU700" s="44" t="str">
        <f>IF(AND(C700=Master!$H$3,B700="2012-2013",E700&gt;1000,G700="NPN05"),H700,"")</f>
        <v/>
      </c>
      <c r="AV700" s="44" t="str">
        <f>IF(AND(C700=Master!$H$3,B700="2012-2013",E700="",G700="NPN05"),H700,"")</f>
        <v/>
      </c>
      <c r="AW700" s="44" t="str">
        <f>IF(AND(C700=Master!$H$4,B700="2012-2013",E700&gt;1000,G700="NPN05"),H700,"")</f>
        <v/>
      </c>
      <c r="AX700" s="44" t="str">
        <f>IF(AND(C700=Master!$H$4,B700="2012-2013",E700="",G700="NPN05"),H700,"")</f>
        <v/>
      </c>
      <c r="AY700" s="44" t="str">
        <f>IF(AND(C700=Master!$H$5,B700="2012-2013",E700&gt;1000,G700="NPN05"),H700,"")</f>
        <v/>
      </c>
      <c r="AZ700" s="44" t="str">
        <f>IF(AND(C700=Master!$H$5,B700="2012-2013",E700="",G700="NPN05"),H700,"")</f>
        <v/>
      </c>
      <c r="BA700" s="44" t="str">
        <f>IF(AND(C700=Master!$H$6,B700="2012-2013",E700&gt;1000,G700="NPN05"),H700,"")</f>
        <v/>
      </c>
      <c r="BB700" s="44" t="str">
        <f>IF(AND(C700=Master!$H$6,B700="2012-2013",E700="",G700="NPN05"),H700,"")</f>
        <v/>
      </c>
      <c r="BC700" s="44" t="str">
        <f>IF(AND(C700=Master!$H$7,B700="2012-2013",E700&gt;1000,G700="NPN05"),H700,"")</f>
        <v/>
      </c>
      <c r="BD700" s="44" t="str">
        <f>IF(AND(C700=Master!$H$7,B700="2012-2013",E700="",G700="NPN05"),H700,"")</f>
        <v/>
      </c>
      <c r="BE700" s="44" t="str">
        <f>IF(AND(C700=Master!$H$8,B700="2012-2013",E700&gt;1000,G700="NPN05"),H700,"")</f>
        <v/>
      </c>
      <c r="BF700" s="44" t="str">
        <f>IF(AND(C700=Master!$H$8,B700="2012-2013",E700="",G700="NPN05"),H700,"")</f>
        <v/>
      </c>
      <c r="BG700" s="44" t="str">
        <f>IF(AND(C700=Master!$H$9,B700="2012-2013",E700&gt;1000,G700="NPN05"),H700,"")</f>
        <v/>
      </c>
      <c r="BH700" s="44" t="str">
        <f>IF(AND(C700=Master!$H$9,B700="2012-2013",E700="",G700="NPN05"),H700,"")</f>
        <v/>
      </c>
    </row>
    <row r="701" spans="1:60" x14ac:dyDescent="0.25">
      <c r="A701" s="3">
        <v>699</v>
      </c>
      <c r="B701" s="12"/>
      <c r="C701" s="12"/>
      <c r="D701" s="31"/>
      <c r="E701" s="4"/>
      <c r="F701" s="13"/>
      <c r="G701" s="21"/>
      <c r="H701" s="35"/>
      <c r="I701" s="21"/>
      <c r="J701" s="25" t="str">
        <f>IF(NOT(I701=""),INDEX(Master!$B$1:$B$46,MATCH(I701,Master!$A$1:$A$46,0)),"")</f>
        <v/>
      </c>
      <c r="K701" s="18"/>
      <c r="L701" s="86"/>
      <c r="M701" s="13"/>
      <c r="N701" s="13"/>
      <c r="O701" s="18"/>
      <c r="P701" s="35"/>
      <c r="Q701" s="21"/>
      <c r="R701" s="21"/>
      <c r="S701" s="13"/>
      <c r="T701" s="12"/>
      <c r="U701" s="12"/>
      <c r="V701" s="12"/>
      <c r="W701" s="14"/>
      <c r="Y701" s="42" t="str">
        <f>IF(AND(C701=Master!$H$1,B701="2012-2013",E701&gt;1000,G701="PLN03"),H701,"")</f>
        <v/>
      </c>
      <c r="Z701" s="42" t="str">
        <f>IF(AND(C701=Master!$H$1,B701="2012-2013",E701="",G701="PLN03"),H701,"")</f>
        <v/>
      </c>
      <c r="AA701" s="42" t="str">
        <f>IF(AND(C701=Master!$H$2,B701="2012-2013",E701&gt;1000,G701="PLN03"),H701,"")</f>
        <v/>
      </c>
      <c r="AB701" s="42" t="str">
        <f>IF(AND(C701=Master!$H$2,B701="2012-2013",E701="",G701="PLN03"),H701,"")</f>
        <v/>
      </c>
      <c r="AC701" s="42" t="str">
        <f>IF(AND(C701=Master!$H$3,B701="2012-2013",E701&gt;1000,G701="PLN03"),H701,"")</f>
        <v/>
      </c>
      <c r="AD701" s="42" t="str">
        <f>IF(AND(C701=Master!$H$3,B701="2012-2013",E701="",G701="PLN03"),H701,"")</f>
        <v/>
      </c>
      <c r="AE701" s="42" t="str">
        <f>IF(AND(C701=Master!$H$4,B701="2012-2013",E701&gt;1000,G701="PLN03"),H701,"")</f>
        <v/>
      </c>
      <c r="AF701" s="42" t="str">
        <f>IF(AND(C701=Master!$H$4,B701="2012-2013",E701="",G701="PLN03"),H701,"")</f>
        <v/>
      </c>
      <c r="AG701" s="42" t="str">
        <f>IF(AND(C701=Master!$H$5,B701="2012-2013",E701&gt;1000,G701="PLN03"),H701,"")</f>
        <v/>
      </c>
      <c r="AH701" s="42" t="str">
        <f>IF(AND(C701=Master!$H$5,B701="2012-2013",E701="",G701="PLN03"),H701,"")</f>
        <v/>
      </c>
      <c r="AI701" s="42" t="str">
        <f>IF(AND(C701=Master!$H$6,B701="2012-2013",E701&gt;1000,G701="PLN03"),H701,"")</f>
        <v/>
      </c>
      <c r="AJ701" s="42" t="str">
        <f>IF(AND(C701=Master!$H$6,B701="2012-2013",E701="",G701="PLN03"),H701,"")</f>
        <v/>
      </c>
      <c r="AK701" s="42" t="str">
        <f>IF(AND(C701=Master!$H$7,B701="2012-2013",E701&gt;1000,G701="PLN03"),H701,"")</f>
        <v/>
      </c>
      <c r="AL701" s="42" t="str">
        <f>IF(AND(C701=Master!$H$7,B701="2012-2013",E701="",G701="PLN03"),H701,"")</f>
        <v/>
      </c>
      <c r="AM701" s="42" t="str">
        <f>IF(AND(C701=Master!$H$8,B701="2012-2013",E701&gt;1000,G701="PLN03"),H701,"")</f>
        <v/>
      </c>
      <c r="AN701" s="42" t="str">
        <f>IF(AND(C701=Master!$H$8,B701="2012-2013",E701="",G701="PLN03"),H701,"")</f>
        <v/>
      </c>
      <c r="AO701" s="42" t="str">
        <f>IF(AND(C701=Master!$H$9,B701="2012-2013",E701&gt;1000,G701="PLN03"),H701,"")</f>
        <v/>
      </c>
      <c r="AP701" s="42" t="str">
        <f>IF(AND(C701=Master!$H$9,B701="2012-2013",E701="",G701="PLN03"),H701,"")</f>
        <v/>
      </c>
      <c r="AQ701" s="44" t="str">
        <f>IF(AND(C701=Master!$H$1,B701="2012-2013",E701&gt;1000,G701="NPN05"),H701,"")</f>
        <v/>
      </c>
      <c r="AR701" s="44" t="str">
        <f>IF(AND(C701=Master!$H$1,B701="2012-2013",E701="",G701="NPN05"),H701,"")</f>
        <v/>
      </c>
      <c r="AS701" s="44" t="str">
        <f>IF(AND(C701=Master!$H$2,B701="2012-2013",E701&gt;1000,G701="NPN05"),H701,"")</f>
        <v/>
      </c>
      <c r="AT701" s="44" t="str">
        <f>IF(AND(C701=Master!$H$2,B701="2012-2013",E701="",G701="NPN05"),H701,"")</f>
        <v/>
      </c>
      <c r="AU701" s="44" t="str">
        <f>IF(AND(C701=Master!$H$3,B701="2012-2013",E701&gt;1000,G701="NPN05"),H701,"")</f>
        <v/>
      </c>
      <c r="AV701" s="44" t="str">
        <f>IF(AND(C701=Master!$H$3,B701="2012-2013",E701="",G701="NPN05"),H701,"")</f>
        <v/>
      </c>
      <c r="AW701" s="44" t="str">
        <f>IF(AND(C701=Master!$H$4,B701="2012-2013",E701&gt;1000,G701="NPN05"),H701,"")</f>
        <v/>
      </c>
      <c r="AX701" s="44" t="str">
        <f>IF(AND(C701=Master!$H$4,B701="2012-2013",E701="",G701="NPN05"),H701,"")</f>
        <v/>
      </c>
      <c r="AY701" s="44" t="str">
        <f>IF(AND(C701=Master!$H$5,B701="2012-2013",E701&gt;1000,G701="NPN05"),H701,"")</f>
        <v/>
      </c>
      <c r="AZ701" s="44" t="str">
        <f>IF(AND(C701=Master!$H$5,B701="2012-2013",E701="",G701="NPN05"),H701,"")</f>
        <v/>
      </c>
      <c r="BA701" s="44" t="str">
        <f>IF(AND(C701=Master!$H$6,B701="2012-2013",E701&gt;1000,G701="NPN05"),H701,"")</f>
        <v/>
      </c>
      <c r="BB701" s="44" t="str">
        <f>IF(AND(C701=Master!$H$6,B701="2012-2013",E701="",G701="NPN05"),H701,"")</f>
        <v/>
      </c>
      <c r="BC701" s="44" t="str">
        <f>IF(AND(C701=Master!$H$7,B701="2012-2013",E701&gt;1000,G701="NPN05"),H701,"")</f>
        <v/>
      </c>
      <c r="BD701" s="44" t="str">
        <f>IF(AND(C701=Master!$H$7,B701="2012-2013",E701="",G701="NPN05"),H701,"")</f>
        <v/>
      </c>
      <c r="BE701" s="44" t="str">
        <f>IF(AND(C701=Master!$H$8,B701="2012-2013",E701&gt;1000,G701="NPN05"),H701,"")</f>
        <v/>
      </c>
      <c r="BF701" s="44" t="str">
        <f>IF(AND(C701=Master!$H$8,B701="2012-2013",E701="",G701="NPN05"),H701,"")</f>
        <v/>
      </c>
      <c r="BG701" s="44" t="str">
        <f>IF(AND(C701=Master!$H$9,B701="2012-2013",E701&gt;1000,G701="NPN05"),H701,"")</f>
        <v/>
      </c>
      <c r="BH701" s="44" t="str">
        <f>IF(AND(C701=Master!$H$9,B701="2012-2013",E701="",G701="NPN05"),H701,"")</f>
        <v/>
      </c>
    </row>
    <row r="702" spans="1:60" x14ac:dyDescent="0.25">
      <c r="A702" s="3">
        <v>700</v>
      </c>
      <c r="B702" s="12"/>
      <c r="C702" s="12"/>
      <c r="D702" s="31"/>
      <c r="E702" s="4"/>
      <c r="F702" s="13"/>
      <c r="G702" s="21"/>
      <c r="H702" s="35"/>
      <c r="I702" s="21"/>
      <c r="J702" s="25" t="str">
        <f>IF(NOT(I702=""),INDEX(Master!$B$1:$B$46,MATCH(I702,Master!$A$1:$A$46,0)),"")</f>
        <v/>
      </c>
      <c r="K702" s="18"/>
      <c r="L702" s="86"/>
      <c r="M702" s="13"/>
      <c r="N702" s="13"/>
      <c r="O702" s="18"/>
      <c r="P702" s="35"/>
      <c r="Q702" s="21"/>
      <c r="R702" s="21"/>
      <c r="S702" s="13"/>
      <c r="T702" s="12"/>
      <c r="U702" s="12"/>
      <c r="V702" s="12"/>
      <c r="W702" s="14"/>
      <c r="Y702" s="42" t="str">
        <f>IF(AND(C702=Master!$H$1,B702="2012-2013",E702&gt;1000,G702="PLN03"),H702,"")</f>
        <v/>
      </c>
      <c r="Z702" s="42" t="str">
        <f>IF(AND(C702=Master!$H$1,B702="2012-2013",E702="",G702="PLN03"),H702,"")</f>
        <v/>
      </c>
      <c r="AA702" s="42" t="str">
        <f>IF(AND(C702=Master!$H$2,B702="2012-2013",E702&gt;1000,G702="PLN03"),H702,"")</f>
        <v/>
      </c>
      <c r="AB702" s="42" t="str">
        <f>IF(AND(C702=Master!$H$2,B702="2012-2013",E702="",G702="PLN03"),H702,"")</f>
        <v/>
      </c>
      <c r="AC702" s="42" t="str">
        <f>IF(AND(C702=Master!$H$3,B702="2012-2013",E702&gt;1000,G702="PLN03"),H702,"")</f>
        <v/>
      </c>
      <c r="AD702" s="42" t="str">
        <f>IF(AND(C702=Master!$H$3,B702="2012-2013",E702="",G702="PLN03"),H702,"")</f>
        <v/>
      </c>
      <c r="AE702" s="42" t="str">
        <f>IF(AND(C702=Master!$H$4,B702="2012-2013",E702&gt;1000,G702="PLN03"),H702,"")</f>
        <v/>
      </c>
      <c r="AF702" s="42" t="str">
        <f>IF(AND(C702=Master!$H$4,B702="2012-2013",E702="",G702="PLN03"),H702,"")</f>
        <v/>
      </c>
      <c r="AG702" s="42" t="str">
        <f>IF(AND(C702=Master!$H$5,B702="2012-2013",E702&gt;1000,G702="PLN03"),H702,"")</f>
        <v/>
      </c>
      <c r="AH702" s="42" t="str">
        <f>IF(AND(C702=Master!$H$5,B702="2012-2013",E702="",G702="PLN03"),H702,"")</f>
        <v/>
      </c>
      <c r="AI702" s="42" t="str">
        <f>IF(AND(C702=Master!$H$6,B702="2012-2013",E702&gt;1000,G702="PLN03"),H702,"")</f>
        <v/>
      </c>
      <c r="AJ702" s="42" t="str">
        <f>IF(AND(C702=Master!$H$6,B702="2012-2013",E702="",G702="PLN03"),H702,"")</f>
        <v/>
      </c>
      <c r="AK702" s="42" t="str">
        <f>IF(AND(C702=Master!$H$7,B702="2012-2013",E702&gt;1000,G702="PLN03"),H702,"")</f>
        <v/>
      </c>
      <c r="AL702" s="42" t="str">
        <f>IF(AND(C702=Master!$H$7,B702="2012-2013",E702="",G702="PLN03"),H702,"")</f>
        <v/>
      </c>
      <c r="AM702" s="42" t="str">
        <f>IF(AND(C702=Master!$H$8,B702="2012-2013",E702&gt;1000,G702="PLN03"),H702,"")</f>
        <v/>
      </c>
      <c r="AN702" s="42" t="str">
        <f>IF(AND(C702=Master!$H$8,B702="2012-2013",E702="",G702="PLN03"),H702,"")</f>
        <v/>
      </c>
      <c r="AO702" s="42" t="str">
        <f>IF(AND(C702=Master!$H$9,B702="2012-2013",E702&gt;1000,G702="PLN03"),H702,"")</f>
        <v/>
      </c>
      <c r="AP702" s="42" t="str">
        <f>IF(AND(C702=Master!$H$9,B702="2012-2013",E702="",G702="PLN03"),H702,"")</f>
        <v/>
      </c>
      <c r="AQ702" s="44" t="str">
        <f>IF(AND(C702=Master!$H$1,B702="2012-2013",E702&gt;1000,G702="NPN05"),H702,"")</f>
        <v/>
      </c>
      <c r="AR702" s="44" t="str">
        <f>IF(AND(C702=Master!$H$1,B702="2012-2013",E702="",G702="NPN05"),H702,"")</f>
        <v/>
      </c>
      <c r="AS702" s="44" t="str">
        <f>IF(AND(C702=Master!$H$2,B702="2012-2013",E702&gt;1000,G702="NPN05"),H702,"")</f>
        <v/>
      </c>
      <c r="AT702" s="44" t="str">
        <f>IF(AND(C702=Master!$H$2,B702="2012-2013",E702="",G702="NPN05"),H702,"")</f>
        <v/>
      </c>
      <c r="AU702" s="44" t="str">
        <f>IF(AND(C702=Master!$H$3,B702="2012-2013",E702&gt;1000,G702="NPN05"),H702,"")</f>
        <v/>
      </c>
      <c r="AV702" s="44" t="str">
        <f>IF(AND(C702=Master!$H$3,B702="2012-2013",E702="",G702="NPN05"),H702,"")</f>
        <v/>
      </c>
      <c r="AW702" s="44" t="str">
        <f>IF(AND(C702=Master!$H$4,B702="2012-2013",E702&gt;1000,G702="NPN05"),H702,"")</f>
        <v/>
      </c>
      <c r="AX702" s="44" t="str">
        <f>IF(AND(C702=Master!$H$4,B702="2012-2013",E702="",G702="NPN05"),H702,"")</f>
        <v/>
      </c>
      <c r="AY702" s="44" t="str">
        <f>IF(AND(C702=Master!$H$5,B702="2012-2013",E702&gt;1000,G702="NPN05"),H702,"")</f>
        <v/>
      </c>
      <c r="AZ702" s="44" t="str">
        <f>IF(AND(C702=Master!$H$5,B702="2012-2013",E702="",G702="NPN05"),H702,"")</f>
        <v/>
      </c>
      <c r="BA702" s="44" t="str">
        <f>IF(AND(C702=Master!$H$6,B702="2012-2013",E702&gt;1000,G702="NPN05"),H702,"")</f>
        <v/>
      </c>
      <c r="BB702" s="44" t="str">
        <f>IF(AND(C702=Master!$H$6,B702="2012-2013",E702="",G702="NPN05"),H702,"")</f>
        <v/>
      </c>
      <c r="BC702" s="44" t="str">
        <f>IF(AND(C702=Master!$H$7,B702="2012-2013",E702&gt;1000,G702="NPN05"),H702,"")</f>
        <v/>
      </c>
      <c r="BD702" s="44" t="str">
        <f>IF(AND(C702=Master!$H$7,B702="2012-2013",E702="",G702="NPN05"),H702,"")</f>
        <v/>
      </c>
      <c r="BE702" s="44" t="str">
        <f>IF(AND(C702=Master!$H$8,B702="2012-2013",E702&gt;1000,G702="NPN05"),H702,"")</f>
        <v/>
      </c>
      <c r="BF702" s="44" t="str">
        <f>IF(AND(C702=Master!$H$8,B702="2012-2013",E702="",G702="NPN05"),H702,"")</f>
        <v/>
      </c>
      <c r="BG702" s="44" t="str">
        <f>IF(AND(C702=Master!$H$9,B702="2012-2013",E702&gt;1000,G702="NPN05"),H702,"")</f>
        <v/>
      </c>
      <c r="BH702" s="44" t="str">
        <f>IF(AND(C702=Master!$H$9,B702="2012-2013",E702="",G702="NPN05"),H702,"")</f>
        <v/>
      </c>
    </row>
    <row r="703" spans="1:60" x14ac:dyDescent="0.25">
      <c r="A703" s="3">
        <v>701</v>
      </c>
      <c r="B703" s="12"/>
      <c r="C703" s="12"/>
      <c r="D703" s="31"/>
      <c r="E703" s="4"/>
      <c r="F703" s="13"/>
      <c r="G703" s="21"/>
      <c r="H703" s="35"/>
      <c r="I703" s="21"/>
      <c r="J703" s="25" t="str">
        <f>IF(NOT(I703=""),INDEX(Master!$B$1:$B$46,MATCH(I703,Master!$A$1:$A$46,0)),"")</f>
        <v/>
      </c>
      <c r="K703" s="18"/>
      <c r="L703" s="86"/>
      <c r="M703" s="13"/>
      <c r="N703" s="13"/>
      <c r="O703" s="18"/>
      <c r="P703" s="35"/>
      <c r="Q703" s="21"/>
      <c r="R703" s="21"/>
      <c r="S703" s="13"/>
      <c r="T703" s="12"/>
      <c r="U703" s="12"/>
      <c r="V703" s="12"/>
      <c r="W703" s="14"/>
      <c r="Y703" s="42" t="str">
        <f>IF(AND(C703=Master!$H$1,B703="2012-2013",E703&gt;1000,G703="PLN03"),H703,"")</f>
        <v/>
      </c>
      <c r="Z703" s="42" t="str">
        <f>IF(AND(C703=Master!$H$1,B703="2012-2013",E703="",G703="PLN03"),H703,"")</f>
        <v/>
      </c>
      <c r="AA703" s="42" t="str">
        <f>IF(AND(C703=Master!$H$2,B703="2012-2013",E703&gt;1000,G703="PLN03"),H703,"")</f>
        <v/>
      </c>
      <c r="AB703" s="42" t="str">
        <f>IF(AND(C703=Master!$H$2,B703="2012-2013",E703="",G703="PLN03"),H703,"")</f>
        <v/>
      </c>
      <c r="AC703" s="42" t="str">
        <f>IF(AND(C703=Master!$H$3,B703="2012-2013",E703&gt;1000,G703="PLN03"),H703,"")</f>
        <v/>
      </c>
      <c r="AD703" s="42" t="str">
        <f>IF(AND(C703=Master!$H$3,B703="2012-2013",E703="",G703="PLN03"),H703,"")</f>
        <v/>
      </c>
      <c r="AE703" s="42" t="str">
        <f>IF(AND(C703=Master!$H$4,B703="2012-2013",E703&gt;1000,G703="PLN03"),H703,"")</f>
        <v/>
      </c>
      <c r="AF703" s="42" t="str">
        <f>IF(AND(C703=Master!$H$4,B703="2012-2013",E703="",G703="PLN03"),H703,"")</f>
        <v/>
      </c>
      <c r="AG703" s="42" t="str">
        <f>IF(AND(C703=Master!$H$5,B703="2012-2013",E703&gt;1000,G703="PLN03"),H703,"")</f>
        <v/>
      </c>
      <c r="AH703" s="42" t="str">
        <f>IF(AND(C703=Master!$H$5,B703="2012-2013",E703="",G703="PLN03"),H703,"")</f>
        <v/>
      </c>
      <c r="AI703" s="42" t="str">
        <f>IF(AND(C703=Master!$H$6,B703="2012-2013",E703&gt;1000,G703="PLN03"),H703,"")</f>
        <v/>
      </c>
      <c r="AJ703" s="42" t="str">
        <f>IF(AND(C703=Master!$H$6,B703="2012-2013",E703="",G703="PLN03"),H703,"")</f>
        <v/>
      </c>
      <c r="AK703" s="42" t="str">
        <f>IF(AND(C703=Master!$H$7,B703="2012-2013",E703&gt;1000,G703="PLN03"),H703,"")</f>
        <v/>
      </c>
      <c r="AL703" s="42" t="str">
        <f>IF(AND(C703=Master!$H$7,B703="2012-2013",E703="",G703="PLN03"),H703,"")</f>
        <v/>
      </c>
      <c r="AM703" s="42" t="str">
        <f>IF(AND(C703=Master!$H$8,B703="2012-2013",E703&gt;1000,G703="PLN03"),H703,"")</f>
        <v/>
      </c>
      <c r="AN703" s="42" t="str">
        <f>IF(AND(C703=Master!$H$8,B703="2012-2013",E703="",G703="PLN03"),H703,"")</f>
        <v/>
      </c>
      <c r="AO703" s="42" t="str">
        <f>IF(AND(C703=Master!$H$9,B703="2012-2013",E703&gt;1000,G703="PLN03"),H703,"")</f>
        <v/>
      </c>
      <c r="AP703" s="42" t="str">
        <f>IF(AND(C703=Master!$H$9,B703="2012-2013",E703="",G703="PLN03"),H703,"")</f>
        <v/>
      </c>
      <c r="AQ703" s="44" t="str">
        <f>IF(AND(C703=Master!$H$1,B703="2012-2013",E703&gt;1000,G703="NPN05"),H703,"")</f>
        <v/>
      </c>
      <c r="AR703" s="44" t="str">
        <f>IF(AND(C703=Master!$H$1,B703="2012-2013",E703="",G703="NPN05"),H703,"")</f>
        <v/>
      </c>
      <c r="AS703" s="44" t="str">
        <f>IF(AND(C703=Master!$H$2,B703="2012-2013",E703&gt;1000,G703="NPN05"),H703,"")</f>
        <v/>
      </c>
      <c r="AT703" s="44" t="str">
        <f>IF(AND(C703=Master!$H$2,B703="2012-2013",E703="",G703="NPN05"),H703,"")</f>
        <v/>
      </c>
      <c r="AU703" s="44" t="str">
        <f>IF(AND(C703=Master!$H$3,B703="2012-2013",E703&gt;1000,G703="NPN05"),H703,"")</f>
        <v/>
      </c>
      <c r="AV703" s="44" t="str">
        <f>IF(AND(C703=Master!$H$3,B703="2012-2013",E703="",G703="NPN05"),H703,"")</f>
        <v/>
      </c>
      <c r="AW703" s="44" t="str">
        <f>IF(AND(C703=Master!$H$4,B703="2012-2013",E703&gt;1000,G703="NPN05"),H703,"")</f>
        <v/>
      </c>
      <c r="AX703" s="44" t="str">
        <f>IF(AND(C703=Master!$H$4,B703="2012-2013",E703="",G703="NPN05"),H703,"")</f>
        <v/>
      </c>
      <c r="AY703" s="44" t="str">
        <f>IF(AND(C703=Master!$H$5,B703="2012-2013",E703&gt;1000,G703="NPN05"),H703,"")</f>
        <v/>
      </c>
      <c r="AZ703" s="44" t="str">
        <f>IF(AND(C703=Master!$H$5,B703="2012-2013",E703="",G703="NPN05"),H703,"")</f>
        <v/>
      </c>
      <c r="BA703" s="44" t="str">
        <f>IF(AND(C703=Master!$H$6,B703="2012-2013",E703&gt;1000,G703="NPN05"),H703,"")</f>
        <v/>
      </c>
      <c r="BB703" s="44" t="str">
        <f>IF(AND(C703=Master!$H$6,B703="2012-2013",E703="",G703="NPN05"),H703,"")</f>
        <v/>
      </c>
      <c r="BC703" s="44" t="str">
        <f>IF(AND(C703=Master!$H$7,B703="2012-2013",E703&gt;1000,G703="NPN05"),H703,"")</f>
        <v/>
      </c>
      <c r="BD703" s="44" t="str">
        <f>IF(AND(C703=Master!$H$7,B703="2012-2013",E703="",G703="NPN05"),H703,"")</f>
        <v/>
      </c>
      <c r="BE703" s="44" t="str">
        <f>IF(AND(C703=Master!$H$8,B703="2012-2013",E703&gt;1000,G703="NPN05"),H703,"")</f>
        <v/>
      </c>
      <c r="BF703" s="44" t="str">
        <f>IF(AND(C703=Master!$H$8,B703="2012-2013",E703="",G703="NPN05"),H703,"")</f>
        <v/>
      </c>
      <c r="BG703" s="44" t="str">
        <f>IF(AND(C703=Master!$H$9,B703="2012-2013",E703&gt;1000,G703="NPN05"),H703,"")</f>
        <v/>
      </c>
      <c r="BH703" s="44" t="str">
        <f>IF(AND(C703=Master!$H$9,B703="2012-2013",E703="",G703="NPN05"),H703,"")</f>
        <v/>
      </c>
    </row>
    <row r="704" spans="1:60" x14ac:dyDescent="0.25">
      <c r="A704" s="3">
        <v>702</v>
      </c>
      <c r="B704" s="12"/>
      <c r="C704" s="12"/>
      <c r="D704" s="31"/>
      <c r="E704" s="4"/>
      <c r="F704" s="13"/>
      <c r="G704" s="21"/>
      <c r="H704" s="35"/>
      <c r="I704" s="21"/>
      <c r="J704" s="25" t="str">
        <f>IF(NOT(I704=""),INDEX(Master!$B$1:$B$46,MATCH(I704,Master!$A$1:$A$46,0)),"")</f>
        <v/>
      </c>
      <c r="K704" s="18"/>
      <c r="L704" s="86"/>
      <c r="M704" s="13"/>
      <c r="N704" s="13"/>
      <c r="O704" s="18"/>
      <c r="P704" s="35"/>
      <c r="Q704" s="21"/>
      <c r="R704" s="21"/>
      <c r="S704" s="13"/>
      <c r="T704" s="12"/>
      <c r="U704" s="12"/>
      <c r="V704" s="12"/>
      <c r="W704" s="14"/>
      <c r="Y704" s="42" t="str">
        <f>IF(AND(C704=Master!$H$1,B704="2012-2013",E704&gt;1000,G704="PLN03"),H704,"")</f>
        <v/>
      </c>
      <c r="Z704" s="42" t="str">
        <f>IF(AND(C704=Master!$H$1,B704="2012-2013",E704="",G704="PLN03"),H704,"")</f>
        <v/>
      </c>
      <c r="AA704" s="42" t="str">
        <f>IF(AND(C704=Master!$H$2,B704="2012-2013",E704&gt;1000,G704="PLN03"),H704,"")</f>
        <v/>
      </c>
      <c r="AB704" s="42" t="str">
        <f>IF(AND(C704=Master!$H$2,B704="2012-2013",E704="",G704="PLN03"),H704,"")</f>
        <v/>
      </c>
      <c r="AC704" s="42" t="str">
        <f>IF(AND(C704=Master!$H$3,B704="2012-2013",E704&gt;1000,G704="PLN03"),H704,"")</f>
        <v/>
      </c>
      <c r="AD704" s="42" t="str">
        <f>IF(AND(C704=Master!$H$3,B704="2012-2013",E704="",G704="PLN03"),H704,"")</f>
        <v/>
      </c>
      <c r="AE704" s="42" t="str">
        <f>IF(AND(C704=Master!$H$4,B704="2012-2013",E704&gt;1000,G704="PLN03"),H704,"")</f>
        <v/>
      </c>
      <c r="AF704" s="42" t="str">
        <f>IF(AND(C704=Master!$H$4,B704="2012-2013",E704="",G704="PLN03"),H704,"")</f>
        <v/>
      </c>
      <c r="AG704" s="42" t="str">
        <f>IF(AND(C704=Master!$H$5,B704="2012-2013",E704&gt;1000,G704="PLN03"),H704,"")</f>
        <v/>
      </c>
      <c r="AH704" s="42" t="str">
        <f>IF(AND(C704=Master!$H$5,B704="2012-2013",E704="",G704="PLN03"),H704,"")</f>
        <v/>
      </c>
      <c r="AI704" s="42" t="str">
        <f>IF(AND(C704=Master!$H$6,B704="2012-2013",E704&gt;1000,G704="PLN03"),H704,"")</f>
        <v/>
      </c>
      <c r="AJ704" s="42" t="str">
        <f>IF(AND(C704=Master!$H$6,B704="2012-2013",E704="",G704="PLN03"),H704,"")</f>
        <v/>
      </c>
      <c r="AK704" s="42" t="str">
        <f>IF(AND(C704=Master!$H$7,B704="2012-2013",E704&gt;1000,G704="PLN03"),H704,"")</f>
        <v/>
      </c>
      <c r="AL704" s="42" t="str">
        <f>IF(AND(C704=Master!$H$7,B704="2012-2013",E704="",G704="PLN03"),H704,"")</f>
        <v/>
      </c>
      <c r="AM704" s="42" t="str">
        <f>IF(AND(C704=Master!$H$8,B704="2012-2013",E704&gt;1000,G704="PLN03"),H704,"")</f>
        <v/>
      </c>
      <c r="AN704" s="42" t="str">
        <f>IF(AND(C704=Master!$H$8,B704="2012-2013",E704="",G704="PLN03"),H704,"")</f>
        <v/>
      </c>
      <c r="AO704" s="42" t="str">
        <f>IF(AND(C704=Master!$H$9,B704="2012-2013",E704&gt;1000,G704="PLN03"),H704,"")</f>
        <v/>
      </c>
      <c r="AP704" s="42" t="str">
        <f>IF(AND(C704=Master!$H$9,B704="2012-2013",E704="",G704="PLN03"),H704,"")</f>
        <v/>
      </c>
      <c r="AQ704" s="44" t="str">
        <f>IF(AND(C704=Master!$H$1,B704="2012-2013",E704&gt;1000,G704="NPN05"),H704,"")</f>
        <v/>
      </c>
      <c r="AR704" s="44" t="str">
        <f>IF(AND(C704=Master!$H$1,B704="2012-2013",E704="",G704="NPN05"),H704,"")</f>
        <v/>
      </c>
      <c r="AS704" s="44" t="str">
        <f>IF(AND(C704=Master!$H$2,B704="2012-2013",E704&gt;1000,G704="NPN05"),H704,"")</f>
        <v/>
      </c>
      <c r="AT704" s="44" t="str">
        <f>IF(AND(C704=Master!$H$2,B704="2012-2013",E704="",G704="NPN05"),H704,"")</f>
        <v/>
      </c>
      <c r="AU704" s="44" t="str">
        <f>IF(AND(C704=Master!$H$3,B704="2012-2013",E704&gt;1000,G704="NPN05"),H704,"")</f>
        <v/>
      </c>
      <c r="AV704" s="44" t="str">
        <f>IF(AND(C704=Master!$H$3,B704="2012-2013",E704="",G704="NPN05"),H704,"")</f>
        <v/>
      </c>
      <c r="AW704" s="44" t="str">
        <f>IF(AND(C704=Master!$H$4,B704="2012-2013",E704&gt;1000,G704="NPN05"),H704,"")</f>
        <v/>
      </c>
      <c r="AX704" s="44" t="str">
        <f>IF(AND(C704=Master!$H$4,B704="2012-2013",E704="",G704="NPN05"),H704,"")</f>
        <v/>
      </c>
      <c r="AY704" s="44" t="str">
        <f>IF(AND(C704=Master!$H$5,B704="2012-2013",E704&gt;1000,G704="NPN05"),H704,"")</f>
        <v/>
      </c>
      <c r="AZ704" s="44" t="str">
        <f>IF(AND(C704=Master!$H$5,B704="2012-2013",E704="",G704="NPN05"),H704,"")</f>
        <v/>
      </c>
      <c r="BA704" s="44" t="str">
        <f>IF(AND(C704=Master!$H$6,B704="2012-2013",E704&gt;1000,G704="NPN05"),H704,"")</f>
        <v/>
      </c>
      <c r="BB704" s="44" t="str">
        <f>IF(AND(C704=Master!$H$6,B704="2012-2013",E704="",G704="NPN05"),H704,"")</f>
        <v/>
      </c>
      <c r="BC704" s="44" t="str">
        <f>IF(AND(C704=Master!$H$7,B704="2012-2013",E704&gt;1000,G704="NPN05"),H704,"")</f>
        <v/>
      </c>
      <c r="BD704" s="44" t="str">
        <f>IF(AND(C704=Master!$H$7,B704="2012-2013",E704="",G704="NPN05"),H704,"")</f>
        <v/>
      </c>
      <c r="BE704" s="44" t="str">
        <f>IF(AND(C704=Master!$H$8,B704="2012-2013",E704&gt;1000,G704="NPN05"),H704,"")</f>
        <v/>
      </c>
      <c r="BF704" s="44" t="str">
        <f>IF(AND(C704=Master!$H$8,B704="2012-2013",E704="",G704="NPN05"),H704,"")</f>
        <v/>
      </c>
      <c r="BG704" s="44" t="str">
        <f>IF(AND(C704=Master!$H$9,B704="2012-2013",E704&gt;1000,G704="NPN05"),H704,"")</f>
        <v/>
      </c>
      <c r="BH704" s="44" t="str">
        <f>IF(AND(C704=Master!$H$9,B704="2012-2013",E704="",G704="NPN05"),H704,"")</f>
        <v/>
      </c>
    </row>
    <row r="705" spans="1:60" x14ac:dyDescent="0.25">
      <c r="A705" s="3">
        <v>703</v>
      </c>
      <c r="B705" s="12"/>
      <c r="C705" s="12"/>
      <c r="D705" s="31"/>
      <c r="E705" s="4"/>
      <c r="F705" s="13"/>
      <c r="G705" s="21"/>
      <c r="H705" s="35"/>
      <c r="I705" s="21"/>
      <c r="J705" s="25" t="str">
        <f>IF(NOT(I705=""),INDEX(Master!$B$1:$B$46,MATCH(I705,Master!$A$1:$A$46,0)),"")</f>
        <v/>
      </c>
      <c r="K705" s="18"/>
      <c r="L705" s="86"/>
      <c r="M705" s="13"/>
      <c r="N705" s="13"/>
      <c r="O705" s="18"/>
      <c r="P705" s="35"/>
      <c r="Q705" s="21"/>
      <c r="R705" s="21"/>
      <c r="S705" s="13"/>
      <c r="T705" s="12"/>
      <c r="U705" s="12"/>
      <c r="V705" s="12"/>
      <c r="W705" s="14"/>
      <c r="Y705" s="42" t="str">
        <f>IF(AND(C705=Master!$H$1,B705="2012-2013",E705&gt;1000,G705="PLN03"),H705,"")</f>
        <v/>
      </c>
      <c r="Z705" s="42" t="str">
        <f>IF(AND(C705=Master!$H$1,B705="2012-2013",E705="",G705="PLN03"),H705,"")</f>
        <v/>
      </c>
      <c r="AA705" s="42" t="str">
        <f>IF(AND(C705=Master!$H$2,B705="2012-2013",E705&gt;1000,G705="PLN03"),H705,"")</f>
        <v/>
      </c>
      <c r="AB705" s="42" t="str">
        <f>IF(AND(C705=Master!$H$2,B705="2012-2013",E705="",G705="PLN03"),H705,"")</f>
        <v/>
      </c>
      <c r="AC705" s="42" t="str">
        <f>IF(AND(C705=Master!$H$3,B705="2012-2013",E705&gt;1000,G705="PLN03"),H705,"")</f>
        <v/>
      </c>
      <c r="AD705" s="42" t="str">
        <f>IF(AND(C705=Master!$H$3,B705="2012-2013",E705="",G705="PLN03"),H705,"")</f>
        <v/>
      </c>
      <c r="AE705" s="42" t="str">
        <f>IF(AND(C705=Master!$H$4,B705="2012-2013",E705&gt;1000,G705="PLN03"),H705,"")</f>
        <v/>
      </c>
      <c r="AF705" s="42" t="str">
        <f>IF(AND(C705=Master!$H$4,B705="2012-2013",E705="",G705="PLN03"),H705,"")</f>
        <v/>
      </c>
      <c r="AG705" s="42" t="str">
        <f>IF(AND(C705=Master!$H$5,B705="2012-2013",E705&gt;1000,G705="PLN03"),H705,"")</f>
        <v/>
      </c>
      <c r="AH705" s="42" t="str">
        <f>IF(AND(C705=Master!$H$5,B705="2012-2013",E705="",G705="PLN03"),H705,"")</f>
        <v/>
      </c>
      <c r="AI705" s="42" t="str">
        <f>IF(AND(C705=Master!$H$6,B705="2012-2013",E705&gt;1000,G705="PLN03"),H705,"")</f>
        <v/>
      </c>
      <c r="AJ705" s="42" t="str">
        <f>IF(AND(C705=Master!$H$6,B705="2012-2013",E705="",G705="PLN03"),H705,"")</f>
        <v/>
      </c>
      <c r="AK705" s="42" t="str">
        <f>IF(AND(C705=Master!$H$7,B705="2012-2013",E705&gt;1000,G705="PLN03"),H705,"")</f>
        <v/>
      </c>
      <c r="AL705" s="42" t="str">
        <f>IF(AND(C705=Master!$H$7,B705="2012-2013",E705="",G705="PLN03"),H705,"")</f>
        <v/>
      </c>
      <c r="AM705" s="42" t="str">
        <f>IF(AND(C705=Master!$H$8,B705="2012-2013",E705&gt;1000,G705="PLN03"),H705,"")</f>
        <v/>
      </c>
      <c r="AN705" s="42" t="str">
        <f>IF(AND(C705=Master!$H$8,B705="2012-2013",E705="",G705="PLN03"),H705,"")</f>
        <v/>
      </c>
      <c r="AO705" s="42" t="str">
        <f>IF(AND(C705=Master!$H$9,B705="2012-2013",E705&gt;1000,G705="PLN03"),H705,"")</f>
        <v/>
      </c>
      <c r="AP705" s="42" t="str">
        <f>IF(AND(C705=Master!$H$9,B705="2012-2013",E705="",G705="PLN03"),H705,"")</f>
        <v/>
      </c>
      <c r="AQ705" s="44" t="str">
        <f>IF(AND(C705=Master!$H$1,B705="2012-2013",E705&gt;1000,G705="NPN05"),H705,"")</f>
        <v/>
      </c>
      <c r="AR705" s="44" t="str">
        <f>IF(AND(C705=Master!$H$1,B705="2012-2013",E705="",G705="NPN05"),H705,"")</f>
        <v/>
      </c>
      <c r="AS705" s="44" t="str">
        <f>IF(AND(C705=Master!$H$2,B705="2012-2013",E705&gt;1000,G705="NPN05"),H705,"")</f>
        <v/>
      </c>
      <c r="AT705" s="44" t="str">
        <f>IF(AND(C705=Master!$H$2,B705="2012-2013",E705="",G705="NPN05"),H705,"")</f>
        <v/>
      </c>
      <c r="AU705" s="44" t="str">
        <f>IF(AND(C705=Master!$H$3,B705="2012-2013",E705&gt;1000,G705="NPN05"),H705,"")</f>
        <v/>
      </c>
      <c r="AV705" s="44" t="str">
        <f>IF(AND(C705=Master!$H$3,B705="2012-2013",E705="",G705="NPN05"),H705,"")</f>
        <v/>
      </c>
      <c r="AW705" s="44" t="str">
        <f>IF(AND(C705=Master!$H$4,B705="2012-2013",E705&gt;1000,G705="NPN05"),H705,"")</f>
        <v/>
      </c>
      <c r="AX705" s="44" t="str">
        <f>IF(AND(C705=Master!$H$4,B705="2012-2013",E705="",G705="NPN05"),H705,"")</f>
        <v/>
      </c>
      <c r="AY705" s="44" t="str">
        <f>IF(AND(C705=Master!$H$5,B705="2012-2013",E705&gt;1000,G705="NPN05"),H705,"")</f>
        <v/>
      </c>
      <c r="AZ705" s="44" t="str">
        <f>IF(AND(C705=Master!$H$5,B705="2012-2013",E705="",G705="NPN05"),H705,"")</f>
        <v/>
      </c>
      <c r="BA705" s="44" t="str">
        <f>IF(AND(C705=Master!$H$6,B705="2012-2013",E705&gt;1000,G705="NPN05"),H705,"")</f>
        <v/>
      </c>
      <c r="BB705" s="44" t="str">
        <f>IF(AND(C705=Master!$H$6,B705="2012-2013",E705="",G705="NPN05"),H705,"")</f>
        <v/>
      </c>
      <c r="BC705" s="44" t="str">
        <f>IF(AND(C705=Master!$H$7,B705="2012-2013",E705&gt;1000,G705="NPN05"),H705,"")</f>
        <v/>
      </c>
      <c r="BD705" s="44" t="str">
        <f>IF(AND(C705=Master!$H$7,B705="2012-2013",E705="",G705="NPN05"),H705,"")</f>
        <v/>
      </c>
      <c r="BE705" s="44" t="str">
        <f>IF(AND(C705=Master!$H$8,B705="2012-2013",E705&gt;1000,G705="NPN05"),H705,"")</f>
        <v/>
      </c>
      <c r="BF705" s="44" t="str">
        <f>IF(AND(C705=Master!$H$8,B705="2012-2013",E705="",G705="NPN05"),H705,"")</f>
        <v/>
      </c>
      <c r="BG705" s="44" t="str">
        <f>IF(AND(C705=Master!$H$9,B705="2012-2013",E705&gt;1000,G705="NPN05"),H705,"")</f>
        <v/>
      </c>
      <c r="BH705" s="44" t="str">
        <f>IF(AND(C705=Master!$H$9,B705="2012-2013",E705="",G705="NPN05"),H705,"")</f>
        <v/>
      </c>
    </row>
    <row r="706" spans="1:60" x14ac:dyDescent="0.25">
      <c r="A706" s="5">
        <v>704</v>
      </c>
      <c r="B706" s="12"/>
      <c r="C706" s="12"/>
      <c r="D706" s="31"/>
      <c r="E706" s="4"/>
      <c r="F706" s="13"/>
      <c r="G706" s="21"/>
      <c r="H706" s="35"/>
      <c r="I706" s="21"/>
      <c r="J706" s="25" t="str">
        <f>IF(NOT(I706=""),INDEX(Master!$B$1:$B$46,MATCH(I706,Master!$A$1:$A$46,0)),"")</f>
        <v/>
      </c>
      <c r="K706" s="18"/>
      <c r="L706" s="86"/>
      <c r="M706" s="13"/>
      <c r="N706" s="13"/>
      <c r="O706" s="18"/>
      <c r="P706" s="35"/>
      <c r="Q706" s="21"/>
      <c r="R706" s="21"/>
      <c r="S706" s="13"/>
      <c r="T706" s="12"/>
      <c r="U706" s="12"/>
      <c r="V706" s="12"/>
      <c r="W706" s="14"/>
      <c r="Y706" s="42" t="str">
        <f>IF(AND(C706=Master!$H$1,B706="2012-2013",E706&gt;1000,G706="PLN03"),H706,"")</f>
        <v/>
      </c>
      <c r="Z706" s="42" t="str">
        <f>IF(AND(C706=Master!$H$1,B706="2012-2013",E706="",G706="PLN03"),H706,"")</f>
        <v/>
      </c>
      <c r="AA706" s="42" t="str">
        <f>IF(AND(C706=Master!$H$2,B706="2012-2013",E706&gt;1000,G706="PLN03"),H706,"")</f>
        <v/>
      </c>
      <c r="AB706" s="42" t="str">
        <f>IF(AND(C706=Master!$H$2,B706="2012-2013",E706="",G706="PLN03"),H706,"")</f>
        <v/>
      </c>
      <c r="AC706" s="42" t="str">
        <f>IF(AND(C706=Master!$H$3,B706="2012-2013",E706&gt;1000,G706="PLN03"),H706,"")</f>
        <v/>
      </c>
      <c r="AD706" s="42" t="str">
        <f>IF(AND(C706=Master!$H$3,B706="2012-2013",E706="",G706="PLN03"),H706,"")</f>
        <v/>
      </c>
      <c r="AE706" s="42" t="str">
        <f>IF(AND(C706=Master!$H$4,B706="2012-2013",E706&gt;1000,G706="PLN03"),H706,"")</f>
        <v/>
      </c>
      <c r="AF706" s="42" t="str">
        <f>IF(AND(C706=Master!$H$4,B706="2012-2013",E706="",G706="PLN03"),H706,"")</f>
        <v/>
      </c>
      <c r="AG706" s="42" t="str">
        <f>IF(AND(C706=Master!$H$5,B706="2012-2013",E706&gt;1000,G706="PLN03"),H706,"")</f>
        <v/>
      </c>
      <c r="AH706" s="42" t="str">
        <f>IF(AND(C706=Master!$H$5,B706="2012-2013",E706="",G706="PLN03"),H706,"")</f>
        <v/>
      </c>
      <c r="AI706" s="42" t="str">
        <f>IF(AND(C706=Master!$H$6,B706="2012-2013",E706&gt;1000,G706="PLN03"),H706,"")</f>
        <v/>
      </c>
      <c r="AJ706" s="42" t="str">
        <f>IF(AND(C706=Master!$H$6,B706="2012-2013",E706="",G706="PLN03"),H706,"")</f>
        <v/>
      </c>
      <c r="AK706" s="42" t="str">
        <f>IF(AND(C706=Master!$H$7,B706="2012-2013",E706&gt;1000,G706="PLN03"),H706,"")</f>
        <v/>
      </c>
      <c r="AL706" s="42" t="str">
        <f>IF(AND(C706=Master!$H$7,B706="2012-2013",E706="",G706="PLN03"),H706,"")</f>
        <v/>
      </c>
      <c r="AM706" s="42" t="str">
        <f>IF(AND(C706=Master!$H$8,B706="2012-2013",E706&gt;1000,G706="PLN03"),H706,"")</f>
        <v/>
      </c>
      <c r="AN706" s="42" t="str">
        <f>IF(AND(C706=Master!$H$8,B706="2012-2013",E706="",G706="PLN03"),H706,"")</f>
        <v/>
      </c>
      <c r="AO706" s="42" t="str">
        <f>IF(AND(C706=Master!$H$9,B706="2012-2013",E706&gt;1000,G706="PLN03"),H706,"")</f>
        <v/>
      </c>
      <c r="AP706" s="42" t="str">
        <f>IF(AND(C706=Master!$H$9,B706="2012-2013",E706="",G706="PLN03"),H706,"")</f>
        <v/>
      </c>
      <c r="AQ706" s="44" t="str">
        <f>IF(AND(C706=Master!$H$1,B706="2012-2013",E706&gt;1000,G706="NPN05"),H706,"")</f>
        <v/>
      </c>
      <c r="AR706" s="44" t="str">
        <f>IF(AND(C706=Master!$H$1,B706="2012-2013",E706="",G706="NPN05"),H706,"")</f>
        <v/>
      </c>
      <c r="AS706" s="44" t="str">
        <f>IF(AND(C706=Master!$H$2,B706="2012-2013",E706&gt;1000,G706="NPN05"),H706,"")</f>
        <v/>
      </c>
      <c r="AT706" s="44" t="str">
        <f>IF(AND(C706=Master!$H$2,B706="2012-2013",E706="",G706="NPN05"),H706,"")</f>
        <v/>
      </c>
      <c r="AU706" s="44" t="str">
        <f>IF(AND(C706=Master!$H$3,B706="2012-2013",E706&gt;1000,G706="NPN05"),H706,"")</f>
        <v/>
      </c>
      <c r="AV706" s="44" t="str">
        <f>IF(AND(C706=Master!$H$3,B706="2012-2013",E706="",G706="NPN05"),H706,"")</f>
        <v/>
      </c>
      <c r="AW706" s="44" t="str">
        <f>IF(AND(C706=Master!$H$4,B706="2012-2013",E706&gt;1000,G706="NPN05"),H706,"")</f>
        <v/>
      </c>
      <c r="AX706" s="44" t="str">
        <f>IF(AND(C706=Master!$H$4,B706="2012-2013",E706="",G706="NPN05"),H706,"")</f>
        <v/>
      </c>
      <c r="AY706" s="44" t="str">
        <f>IF(AND(C706=Master!$H$5,B706="2012-2013",E706&gt;1000,G706="NPN05"),H706,"")</f>
        <v/>
      </c>
      <c r="AZ706" s="44" t="str">
        <f>IF(AND(C706=Master!$H$5,B706="2012-2013",E706="",G706="NPN05"),H706,"")</f>
        <v/>
      </c>
      <c r="BA706" s="44" t="str">
        <f>IF(AND(C706=Master!$H$6,B706="2012-2013",E706&gt;1000,G706="NPN05"),H706,"")</f>
        <v/>
      </c>
      <c r="BB706" s="44" t="str">
        <f>IF(AND(C706=Master!$H$6,B706="2012-2013",E706="",G706="NPN05"),H706,"")</f>
        <v/>
      </c>
      <c r="BC706" s="44" t="str">
        <f>IF(AND(C706=Master!$H$7,B706="2012-2013",E706&gt;1000,G706="NPN05"),H706,"")</f>
        <v/>
      </c>
      <c r="BD706" s="44" t="str">
        <f>IF(AND(C706=Master!$H$7,B706="2012-2013",E706="",G706="NPN05"),H706,"")</f>
        <v/>
      </c>
      <c r="BE706" s="44" t="str">
        <f>IF(AND(C706=Master!$H$8,B706="2012-2013",E706&gt;1000,G706="NPN05"),H706,"")</f>
        <v/>
      </c>
      <c r="BF706" s="44" t="str">
        <f>IF(AND(C706=Master!$H$8,B706="2012-2013",E706="",G706="NPN05"),H706,"")</f>
        <v/>
      </c>
      <c r="BG706" s="44" t="str">
        <f>IF(AND(C706=Master!$H$9,B706="2012-2013",E706&gt;1000,G706="NPN05"),H706,"")</f>
        <v/>
      </c>
      <c r="BH706" s="44" t="str">
        <f>IF(AND(C706=Master!$H$9,B706="2012-2013",E706="",G706="NPN05"),H706,"")</f>
        <v/>
      </c>
    </row>
    <row r="707" spans="1:60" x14ac:dyDescent="0.25">
      <c r="A707" s="3">
        <v>705</v>
      </c>
      <c r="B707" s="12"/>
      <c r="C707" s="12"/>
      <c r="D707" s="31"/>
      <c r="E707" s="4"/>
      <c r="F707" s="13"/>
      <c r="G707" s="21"/>
      <c r="H707" s="35"/>
      <c r="I707" s="21"/>
      <c r="J707" s="25" t="str">
        <f>IF(NOT(I707=""),INDEX(Master!$B$1:$B$46,MATCH(I707,Master!$A$1:$A$46,0)),"")</f>
        <v/>
      </c>
      <c r="K707" s="18"/>
      <c r="L707" s="86"/>
      <c r="M707" s="13"/>
      <c r="N707" s="13"/>
      <c r="O707" s="18"/>
      <c r="P707" s="35"/>
      <c r="Q707" s="21"/>
      <c r="R707" s="21"/>
      <c r="S707" s="13"/>
      <c r="T707" s="12"/>
      <c r="U707" s="12"/>
      <c r="V707" s="12"/>
      <c r="W707" s="14"/>
      <c r="Y707" s="42" t="str">
        <f>IF(AND(C707=Master!$H$1,B707="2012-2013",E707&gt;1000,G707="PLN03"),H707,"")</f>
        <v/>
      </c>
      <c r="Z707" s="42" t="str">
        <f>IF(AND(C707=Master!$H$1,B707="2012-2013",E707="",G707="PLN03"),H707,"")</f>
        <v/>
      </c>
      <c r="AA707" s="42" t="str">
        <f>IF(AND(C707=Master!$H$2,B707="2012-2013",E707&gt;1000,G707="PLN03"),H707,"")</f>
        <v/>
      </c>
      <c r="AB707" s="42" t="str">
        <f>IF(AND(C707=Master!$H$2,B707="2012-2013",E707="",G707="PLN03"),H707,"")</f>
        <v/>
      </c>
      <c r="AC707" s="42" t="str">
        <f>IF(AND(C707=Master!$H$3,B707="2012-2013",E707&gt;1000,G707="PLN03"),H707,"")</f>
        <v/>
      </c>
      <c r="AD707" s="42" t="str">
        <f>IF(AND(C707=Master!$H$3,B707="2012-2013",E707="",G707="PLN03"),H707,"")</f>
        <v/>
      </c>
      <c r="AE707" s="42" t="str">
        <f>IF(AND(C707=Master!$H$4,B707="2012-2013",E707&gt;1000,G707="PLN03"),H707,"")</f>
        <v/>
      </c>
      <c r="AF707" s="42" t="str">
        <f>IF(AND(C707=Master!$H$4,B707="2012-2013",E707="",G707="PLN03"),H707,"")</f>
        <v/>
      </c>
      <c r="AG707" s="42" t="str">
        <f>IF(AND(C707=Master!$H$5,B707="2012-2013",E707&gt;1000,G707="PLN03"),H707,"")</f>
        <v/>
      </c>
      <c r="AH707" s="42" t="str">
        <f>IF(AND(C707=Master!$H$5,B707="2012-2013",E707="",G707="PLN03"),H707,"")</f>
        <v/>
      </c>
      <c r="AI707" s="42" t="str">
        <f>IF(AND(C707=Master!$H$6,B707="2012-2013",E707&gt;1000,G707="PLN03"),H707,"")</f>
        <v/>
      </c>
      <c r="AJ707" s="42" t="str">
        <f>IF(AND(C707=Master!$H$6,B707="2012-2013",E707="",G707="PLN03"),H707,"")</f>
        <v/>
      </c>
      <c r="AK707" s="42" t="str">
        <f>IF(AND(C707=Master!$H$7,B707="2012-2013",E707&gt;1000,G707="PLN03"),H707,"")</f>
        <v/>
      </c>
      <c r="AL707" s="42" t="str">
        <f>IF(AND(C707=Master!$H$7,B707="2012-2013",E707="",G707="PLN03"),H707,"")</f>
        <v/>
      </c>
      <c r="AM707" s="42" t="str">
        <f>IF(AND(C707=Master!$H$8,B707="2012-2013",E707&gt;1000,G707="PLN03"),H707,"")</f>
        <v/>
      </c>
      <c r="AN707" s="42" t="str">
        <f>IF(AND(C707=Master!$H$8,B707="2012-2013",E707="",G707="PLN03"),H707,"")</f>
        <v/>
      </c>
      <c r="AO707" s="42" t="str">
        <f>IF(AND(C707=Master!$H$9,B707="2012-2013",E707&gt;1000,G707="PLN03"),H707,"")</f>
        <v/>
      </c>
      <c r="AP707" s="42" t="str">
        <f>IF(AND(C707=Master!$H$9,B707="2012-2013",E707="",G707="PLN03"),H707,"")</f>
        <v/>
      </c>
      <c r="AQ707" s="44" t="str">
        <f>IF(AND(C707=Master!$H$1,B707="2012-2013",E707&gt;1000,G707="NPN05"),H707,"")</f>
        <v/>
      </c>
      <c r="AR707" s="44" t="str">
        <f>IF(AND(C707=Master!$H$1,B707="2012-2013",E707="",G707="NPN05"),H707,"")</f>
        <v/>
      </c>
      <c r="AS707" s="44" t="str">
        <f>IF(AND(C707=Master!$H$2,B707="2012-2013",E707&gt;1000,G707="NPN05"),H707,"")</f>
        <v/>
      </c>
      <c r="AT707" s="44" t="str">
        <f>IF(AND(C707=Master!$H$2,B707="2012-2013",E707="",G707="NPN05"),H707,"")</f>
        <v/>
      </c>
      <c r="AU707" s="44" t="str">
        <f>IF(AND(C707=Master!$H$3,B707="2012-2013",E707&gt;1000,G707="NPN05"),H707,"")</f>
        <v/>
      </c>
      <c r="AV707" s="44" t="str">
        <f>IF(AND(C707=Master!$H$3,B707="2012-2013",E707="",G707="NPN05"),H707,"")</f>
        <v/>
      </c>
      <c r="AW707" s="44" t="str">
        <f>IF(AND(C707=Master!$H$4,B707="2012-2013",E707&gt;1000,G707="NPN05"),H707,"")</f>
        <v/>
      </c>
      <c r="AX707" s="44" t="str">
        <f>IF(AND(C707=Master!$H$4,B707="2012-2013",E707="",G707="NPN05"),H707,"")</f>
        <v/>
      </c>
      <c r="AY707" s="44" t="str">
        <f>IF(AND(C707=Master!$H$5,B707="2012-2013",E707&gt;1000,G707="NPN05"),H707,"")</f>
        <v/>
      </c>
      <c r="AZ707" s="44" t="str">
        <f>IF(AND(C707=Master!$H$5,B707="2012-2013",E707="",G707="NPN05"),H707,"")</f>
        <v/>
      </c>
      <c r="BA707" s="44" t="str">
        <f>IF(AND(C707=Master!$H$6,B707="2012-2013",E707&gt;1000,G707="NPN05"),H707,"")</f>
        <v/>
      </c>
      <c r="BB707" s="44" t="str">
        <f>IF(AND(C707=Master!$H$6,B707="2012-2013",E707="",G707="NPN05"),H707,"")</f>
        <v/>
      </c>
      <c r="BC707" s="44" t="str">
        <f>IF(AND(C707=Master!$H$7,B707="2012-2013",E707&gt;1000,G707="NPN05"),H707,"")</f>
        <v/>
      </c>
      <c r="BD707" s="44" t="str">
        <f>IF(AND(C707=Master!$H$7,B707="2012-2013",E707="",G707="NPN05"),H707,"")</f>
        <v/>
      </c>
      <c r="BE707" s="44" t="str">
        <f>IF(AND(C707=Master!$H$8,B707="2012-2013",E707&gt;1000,G707="NPN05"),H707,"")</f>
        <v/>
      </c>
      <c r="BF707" s="44" t="str">
        <f>IF(AND(C707=Master!$H$8,B707="2012-2013",E707="",G707="NPN05"),H707,"")</f>
        <v/>
      </c>
      <c r="BG707" s="44" t="str">
        <f>IF(AND(C707=Master!$H$9,B707="2012-2013",E707&gt;1000,G707="NPN05"),H707,"")</f>
        <v/>
      </c>
      <c r="BH707" s="44" t="str">
        <f>IF(AND(C707=Master!$H$9,B707="2012-2013",E707="",G707="NPN05"),H707,"")</f>
        <v/>
      </c>
    </row>
    <row r="708" spans="1:60" x14ac:dyDescent="0.25">
      <c r="A708" s="3">
        <v>706</v>
      </c>
      <c r="B708" s="12"/>
      <c r="C708" s="12"/>
      <c r="D708" s="31"/>
      <c r="E708" s="4"/>
      <c r="F708" s="13"/>
      <c r="G708" s="21"/>
      <c r="H708" s="35"/>
      <c r="I708" s="21"/>
      <c r="J708" s="25" t="str">
        <f>IF(NOT(I708=""),INDEX(Master!$B$1:$B$46,MATCH(I708,Master!$A$1:$A$46,0)),"")</f>
        <v/>
      </c>
      <c r="K708" s="18"/>
      <c r="L708" s="86"/>
      <c r="M708" s="13"/>
      <c r="N708" s="13"/>
      <c r="O708" s="18"/>
      <c r="P708" s="35"/>
      <c r="Q708" s="21"/>
      <c r="R708" s="21"/>
      <c r="S708" s="13"/>
      <c r="T708" s="12"/>
      <c r="U708" s="12"/>
      <c r="V708" s="12"/>
      <c r="W708" s="14"/>
      <c r="Y708" s="42" t="str">
        <f>IF(AND(C708=Master!$H$1,B708="2012-2013",E708&gt;1000,G708="PLN03"),H708,"")</f>
        <v/>
      </c>
      <c r="Z708" s="42" t="str">
        <f>IF(AND(C708=Master!$H$1,B708="2012-2013",E708="",G708="PLN03"),H708,"")</f>
        <v/>
      </c>
      <c r="AA708" s="42" t="str">
        <f>IF(AND(C708=Master!$H$2,B708="2012-2013",E708&gt;1000,G708="PLN03"),H708,"")</f>
        <v/>
      </c>
      <c r="AB708" s="42" t="str">
        <f>IF(AND(C708=Master!$H$2,B708="2012-2013",E708="",G708="PLN03"),H708,"")</f>
        <v/>
      </c>
      <c r="AC708" s="42" t="str">
        <f>IF(AND(C708=Master!$H$3,B708="2012-2013",E708&gt;1000,G708="PLN03"),H708,"")</f>
        <v/>
      </c>
      <c r="AD708" s="42" t="str">
        <f>IF(AND(C708=Master!$H$3,B708="2012-2013",E708="",G708="PLN03"),H708,"")</f>
        <v/>
      </c>
      <c r="AE708" s="42" t="str">
        <f>IF(AND(C708=Master!$H$4,B708="2012-2013",E708&gt;1000,G708="PLN03"),H708,"")</f>
        <v/>
      </c>
      <c r="AF708" s="42" t="str">
        <f>IF(AND(C708=Master!$H$4,B708="2012-2013",E708="",G708="PLN03"),H708,"")</f>
        <v/>
      </c>
      <c r="AG708" s="42" t="str">
        <f>IF(AND(C708=Master!$H$5,B708="2012-2013",E708&gt;1000,G708="PLN03"),H708,"")</f>
        <v/>
      </c>
      <c r="AH708" s="42" t="str">
        <f>IF(AND(C708=Master!$H$5,B708="2012-2013",E708="",G708="PLN03"),H708,"")</f>
        <v/>
      </c>
      <c r="AI708" s="42" t="str">
        <f>IF(AND(C708=Master!$H$6,B708="2012-2013",E708&gt;1000,G708="PLN03"),H708,"")</f>
        <v/>
      </c>
      <c r="AJ708" s="42" t="str">
        <f>IF(AND(C708=Master!$H$6,B708="2012-2013",E708="",G708="PLN03"),H708,"")</f>
        <v/>
      </c>
      <c r="AK708" s="42" t="str">
        <f>IF(AND(C708=Master!$H$7,B708="2012-2013",E708&gt;1000,G708="PLN03"),H708,"")</f>
        <v/>
      </c>
      <c r="AL708" s="42" t="str">
        <f>IF(AND(C708=Master!$H$7,B708="2012-2013",E708="",G708="PLN03"),H708,"")</f>
        <v/>
      </c>
      <c r="AM708" s="42" t="str">
        <f>IF(AND(C708=Master!$H$8,B708="2012-2013",E708&gt;1000,G708="PLN03"),H708,"")</f>
        <v/>
      </c>
      <c r="AN708" s="42" t="str">
        <f>IF(AND(C708=Master!$H$8,B708="2012-2013",E708="",G708="PLN03"),H708,"")</f>
        <v/>
      </c>
      <c r="AO708" s="42" t="str">
        <f>IF(AND(C708=Master!$H$9,B708="2012-2013",E708&gt;1000,G708="PLN03"),H708,"")</f>
        <v/>
      </c>
      <c r="AP708" s="42" t="str">
        <f>IF(AND(C708=Master!$H$9,B708="2012-2013",E708="",G708="PLN03"),H708,"")</f>
        <v/>
      </c>
      <c r="AQ708" s="44" t="str">
        <f>IF(AND(C708=Master!$H$1,B708="2012-2013",E708&gt;1000,G708="NPN05"),H708,"")</f>
        <v/>
      </c>
      <c r="AR708" s="44" t="str">
        <f>IF(AND(C708=Master!$H$1,B708="2012-2013",E708="",G708="NPN05"),H708,"")</f>
        <v/>
      </c>
      <c r="AS708" s="44" t="str">
        <f>IF(AND(C708=Master!$H$2,B708="2012-2013",E708&gt;1000,G708="NPN05"),H708,"")</f>
        <v/>
      </c>
      <c r="AT708" s="44" t="str">
        <f>IF(AND(C708=Master!$H$2,B708="2012-2013",E708="",G708="NPN05"),H708,"")</f>
        <v/>
      </c>
      <c r="AU708" s="44" t="str">
        <f>IF(AND(C708=Master!$H$3,B708="2012-2013",E708&gt;1000,G708="NPN05"),H708,"")</f>
        <v/>
      </c>
      <c r="AV708" s="44" t="str">
        <f>IF(AND(C708=Master!$H$3,B708="2012-2013",E708="",G708="NPN05"),H708,"")</f>
        <v/>
      </c>
      <c r="AW708" s="44" t="str">
        <f>IF(AND(C708=Master!$H$4,B708="2012-2013",E708&gt;1000,G708="NPN05"),H708,"")</f>
        <v/>
      </c>
      <c r="AX708" s="44" t="str">
        <f>IF(AND(C708=Master!$H$4,B708="2012-2013",E708="",G708="NPN05"),H708,"")</f>
        <v/>
      </c>
      <c r="AY708" s="44" t="str">
        <f>IF(AND(C708=Master!$H$5,B708="2012-2013",E708&gt;1000,G708="NPN05"),H708,"")</f>
        <v/>
      </c>
      <c r="AZ708" s="44" t="str">
        <f>IF(AND(C708=Master!$H$5,B708="2012-2013",E708="",G708="NPN05"),H708,"")</f>
        <v/>
      </c>
      <c r="BA708" s="44" t="str">
        <f>IF(AND(C708=Master!$H$6,B708="2012-2013",E708&gt;1000,G708="NPN05"),H708,"")</f>
        <v/>
      </c>
      <c r="BB708" s="44" t="str">
        <f>IF(AND(C708=Master!$H$6,B708="2012-2013",E708="",G708="NPN05"),H708,"")</f>
        <v/>
      </c>
      <c r="BC708" s="44" t="str">
        <f>IF(AND(C708=Master!$H$7,B708="2012-2013",E708&gt;1000,G708="NPN05"),H708,"")</f>
        <v/>
      </c>
      <c r="BD708" s="44" t="str">
        <f>IF(AND(C708=Master!$H$7,B708="2012-2013",E708="",G708="NPN05"),H708,"")</f>
        <v/>
      </c>
      <c r="BE708" s="44" t="str">
        <f>IF(AND(C708=Master!$H$8,B708="2012-2013",E708&gt;1000,G708="NPN05"),H708,"")</f>
        <v/>
      </c>
      <c r="BF708" s="44" t="str">
        <f>IF(AND(C708=Master!$H$8,B708="2012-2013",E708="",G708="NPN05"),H708,"")</f>
        <v/>
      </c>
      <c r="BG708" s="44" t="str">
        <f>IF(AND(C708=Master!$H$9,B708="2012-2013",E708&gt;1000,G708="NPN05"),H708,"")</f>
        <v/>
      </c>
      <c r="BH708" s="44" t="str">
        <f>IF(AND(C708=Master!$H$9,B708="2012-2013",E708="",G708="NPN05"),H708,"")</f>
        <v/>
      </c>
    </row>
    <row r="709" spans="1:60" x14ac:dyDescent="0.25">
      <c r="A709" s="3">
        <v>707</v>
      </c>
      <c r="B709" s="12"/>
      <c r="C709" s="12"/>
      <c r="D709" s="31"/>
      <c r="E709" s="4"/>
      <c r="F709" s="13"/>
      <c r="G709" s="21"/>
      <c r="H709" s="35"/>
      <c r="I709" s="21"/>
      <c r="J709" s="25" t="str">
        <f>IF(NOT(I709=""),INDEX(Master!$B$1:$B$46,MATCH(I709,Master!$A$1:$A$46,0)),"")</f>
        <v/>
      </c>
      <c r="K709" s="18"/>
      <c r="L709" s="86"/>
      <c r="M709" s="13"/>
      <c r="N709" s="13"/>
      <c r="O709" s="18"/>
      <c r="P709" s="35"/>
      <c r="Q709" s="21"/>
      <c r="R709" s="21"/>
      <c r="S709" s="13"/>
      <c r="T709" s="12"/>
      <c r="U709" s="12"/>
      <c r="V709" s="12"/>
      <c r="W709" s="14"/>
      <c r="Y709" s="42" t="str">
        <f>IF(AND(C709=Master!$H$1,B709="2012-2013",E709&gt;1000,G709="PLN03"),H709,"")</f>
        <v/>
      </c>
      <c r="Z709" s="42" t="str">
        <f>IF(AND(C709=Master!$H$1,B709="2012-2013",E709="",G709="PLN03"),H709,"")</f>
        <v/>
      </c>
      <c r="AA709" s="42" t="str">
        <f>IF(AND(C709=Master!$H$2,B709="2012-2013",E709&gt;1000,G709="PLN03"),H709,"")</f>
        <v/>
      </c>
      <c r="AB709" s="42" t="str">
        <f>IF(AND(C709=Master!$H$2,B709="2012-2013",E709="",G709="PLN03"),H709,"")</f>
        <v/>
      </c>
      <c r="AC709" s="42" t="str">
        <f>IF(AND(C709=Master!$H$3,B709="2012-2013",E709&gt;1000,G709="PLN03"),H709,"")</f>
        <v/>
      </c>
      <c r="AD709" s="42" t="str">
        <f>IF(AND(C709=Master!$H$3,B709="2012-2013",E709="",G709="PLN03"),H709,"")</f>
        <v/>
      </c>
      <c r="AE709" s="42" t="str">
        <f>IF(AND(C709=Master!$H$4,B709="2012-2013",E709&gt;1000,G709="PLN03"),H709,"")</f>
        <v/>
      </c>
      <c r="AF709" s="42" t="str">
        <f>IF(AND(C709=Master!$H$4,B709="2012-2013",E709="",G709="PLN03"),H709,"")</f>
        <v/>
      </c>
      <c r="AG709" s="42" t="str">
        <f>IF(AND(C709=Master!$H$5,B709="2012-2013",E709&gt;1000,G709="PLN03"),H709,"")</f>
        <v/>
      </c>
      <c r="AH709" s="42" t="str">
        <f>IF(AND(C709=Master!$H$5,B709="2012-2013",E709="",G709="PLN03"),H709,"")</f>
        <v/>
      </c>
      <c r="AI709" s="42" t="str">
        <f>IF(AND(C709=Master!$H$6,B709="2012-2013",E709&gt;1000,G709="PLN03"),H709,"")</f>
        <v/>
      </c>
      <c r="AJ709" s="42" t="str">
        <f>IF(AND(C709=Master!$H$6,B709="2012-2013",E709="",G709="PLN03"),H709,"")</f>
        <v/>
      </c>
      <c r="AK709" s="42" t="str">
        <f>IF(AND(C709=Master!$H$7,B709="2012-2013",E709&gt;1000,G709="PLN03"),H709,"")</f>
        <v/>
      </c>
      <c r="AL709" s="42" t="str">
        <f>IF(AND(C709=Master!$H$7,B709="2012-2013",E709="",G709="PLN03"),H709,"")</f>
        <v/>
      </c>
      <c r="AM709" s="42" t="str">
        <f>IF(AND(C709=Master!$H$8,B709="2012-2013",E709&gt;1000,G709="PLN03"),H709,"")</f>
        <v/>
      </c>
      <c r="AN709" s="42" t="str">
        <f>IF(AND(C709=Master!$H$8,B709="2012-2013",E709="",G709="PLN03"),H709,"")</f>
        <v/>
      </c>
      <c r="AO709" s="42" t="str">
        <f>IF(AND(C709=Master!$H$9,B709="2012-2013",E709&gt;1000,G709="PLN03"),H709,"")</f>
        <v/>
      </c>
      <c r="AP709" s="42" t="str">
        <f>IF(AND(C709=Master!$H$9,B709="2012-2013",E709="",G709="PLN03"),H709,"")</f>
        <v/>
      </c>
      <c r="AQ709" s="44" t="str">
        <f>IF(AND(C709=Master!$H$1,B709="2012-2013",E709&gt;1000,G709="NPN05"),H709,"")</f>
        <v/>
      </c>
      <c r="AR709" s="44" t="str">
        <f>IF(AND(C709=Master!$H$1,B709="2012-2013",E709="",G709="NPN05"),H709,"")</f>
        <v/>
      </c>
      <c r="AS709" s="44" t="str">
        <f>IF(AND(C709=Master!$H$2,B709="2012-2013",E709&gt;1000,G709="NPN05"),H709,"")</f>
        <v/>
      </c>
      <c r="AT709" s="44" t="str">
        <f>IF(AND(C709=Master!$H$2,B709="2012-2013",E709="",G709="NPN05"),H709,"")</f>
        <v/>
      </c>
      <c r="AU709" s="44" t="str">
        <f>IF(AND(C709=Master!$H$3,B709="2012-2013",E709&gt;1000,G709="NPN05"),H709,"")</f>
        <v/>
      </c>
      <c r="AV709" s="44" t="str">
        <f>IF(AND(C709=Master!$H$3,B709="2012-2013",E709="",G709="NPN05"),H709,"")</f>
        <v/>
      </c>
      <c r="AW709" s="44" t="str">
        <f>IF(AND(C709=Master!$H$4,B709="2012-2013",E709&gt;1000,G709="NPN05"),H709,"")</f>
        <v/>
      </c>
      <c r="AX709" s="44" t="str">
        <f>IF(AND(C709=Master!$H$4,B709="2012-2013",E709="",G709="NPN05"),H709,"")</f>
        <v/>
      </c>
      <c r="AY709" s="44" t="str">
        <f>IF(AND(C709=Master!$H$5,B709="2012-2013",E709&gt;1000,G709="NPN05"),H709,"")</f>
        <v/>
      </c>
      <c r="AZ709" s="44" t="str">
        <f>IF(AND(C709=Master!$H$5,B709="2012-2013",E709="",G709="NPN05"),H709,"")</f>
        <v/>
      </c>
      <c r="BA709" s="44" t="str">
        <f>IF(AND(C709=Master!$H$6,B709="2012-2013",E709&gt;1000,G709="NPN05"),H709,"")</f>
        <v/>
      </c>
      <c r="BB709" s="44" t="str">
        <f>IF(AND(C709=Master!$H$6,B709="2012-2013",E709="",G709="NPN05"),H709,"")</f>
        <v/>
      </c>
      <c r="BC709" s="44" t="str">
        <f>IF(AND(C709=Master!$H$7,B709="2012-2013",E709&gt;1000,G709="NPN05"),H709,"")</f>
        <v/>
      </c>
      <c r="BD709" s="44" t="str">
        <f>IF(AND(C709=Master!$H$7,B709="2012-2013",E709="",G709="NPN05"),H709,"")</f>
        <v/>
      </c>
      <c r="BE709" s="44" t="str">
        <f>IF(AND(C709=Master!$H$8,B709="2012-2013",E709&gt;1000,G709="NPN05"),H709,"")</f>
        <v/>
      </c>
      <c r="BF709" s="44" t="str">
        <f>IF(AND(C709=Master!$H$8,B709="2012-2013",E709="",G709="NPN05"),H709,"")</f>
        <v/>
      </c>
      <c r="BG709" s="44" t="str">
        <f>IF(AND(C709=Master!$H$9,B709="2012-2013",E709&gt;1000,G709="NPN05"),H709,"")</f>
        <v/>
      </c>
      <c r="BH709" s="44" t="str">
        <f>IF(AND(C709=Master!$H$9,B709="2012-2013",E709="",G709="NPN05"),H709,"")</f>
        <v/>
      </c>
    </row>
    <row r="710" spans="1:60" x14ac:dyDescent="0.25">
      <c r="A710" s="3">
        <v>708</v>
      </c>
      <c r="B710" s="12"/>
      <c r="C710" s="12"/>
      <c r="D710" s="31"/>
      <c r="E710" s="4"/>
      <c r="F710" s="13"/>
      <c r="G710" s="21"/>
      <c r="H710" s="35"/>
      <c r="I710" s="21"/>
      <c r="J710" s="25" t="str">
        <f>IF(NOT(I710=""),INDEX(Master!$B$1:$B$46,MATCH(I710,Master!$A$1:$A$46,0)),"")</f>
        <v/>
      </c>
      <c r="K710" s="18"/>
      <c r="L710" s="86"/>
      <c r="M710" s="13"/>
      <c r="N710" s="13"/>
      <c r="O710" s="18"/>
      <c r="P710" s="35"/>
      <c r="Q710" s="21"/>
      <c r="R710" s="21"/>
      <c r="S710" s="13"/>
      <c r="T710" s="12"/>
      <c r="U710" s="12"/>
      <c r="V710" s="12"/>
      <c r="W710" s="14"/>
      <c r="Y710" s="42" t="str">
        <f>IF(AND(C710=Master!$H$1,B710="2012-2013",E710&gt;1000,G710="PLN03"),H710,"")</f>
        <v/>
      </c>
      <c r="Z710" s="42" t="str">
        <f>IF(AND(C710=Master!$H$1,B710="2012-2013",E710="",G710="PLN03"),H710,"")</f>
        <v/>
      </c>
      <c r="AA710" s="42" t="str">
        <f>IF(AND(C710=Master!$H$2,B710="2012-2013",E710&gt;1000,G710="PLN03"),H710,"")</f>
        <v/>
      </c>
      <c r="AB710" s="42" t="str">
        <f>IF(AND(C710=Master!$H$2,B710="2012-2013",E710="",G710="PLN03"),H710,"")</f>
        <v/>
      </c>
      <c r="AC710" s="42" t="str">
        <f>IF(AND(C710=Master!$H$3,B710="2012-2013",E710&gt;1000,G710="PLN03"),H710,"")</f>
        <v/>
      </c>
      <c r="AD710" s="42" t="str">
        <f>IF(AND(C710=Master!$H$3,B710="2012-2013",E710="",G710="PLN03"),H710,"")</f>
        <v/>
      </c>
      <c r="AE710" s="42" t="str">
        <f>IF(AND(C710=Master!$H$4,B710="2012-2013",E710&gt;1000,G710="PLN03"),H710,"")</f>
        <v/>
      </c>
      <c r="AF710" s="42" t="str">
        <f>IF(AND(C710=Master!$H$4,B710="2012-2013",E710="",G710="PLN03"),H710,"")</f>
        <v/>
      </c>
      <c r="AG710" s="42" t="str">
        <f>IF(AND(C710=Master!$H$5,B710="2012-2013",E710&gt;1000,G710="PLN03"),H710,"")</f>
        <v/>
      </c>
      <c r="AH710" s="42" t="str">
        <f>IF(AND(C710=Master!$H$5,B710="2012-2013",E710="",G710="PLN03"),H710,"")</f>
        <v/>
      </c>
      <c r="AI710" s="42" t="str">
        <f>IF(AND(C710=Master!$H$6,B710="2012-2013",E710&gt;1000,G710="PLN03"),H710,"")</f>
        <v/>
      </c>
      <c r="AJ710" s="42" t="str">
        <f>IF(AND(C710=Master!$H$6,B710="2012-2013",E710="",G710="PLN03"),H710,"")</f>
        <v/>
      </c>
      <c r="AK710" s="42" t="str">
        <f>IF(AND(C710=Master!$H$7,B710="2012-2013",E710&gt;1000,G710="PLN03"),H710,"")</f>
        <v/>
      </c>
      <c r="AL710" s="42" t="str">
        <f>IF(AND(C710=Master!$H$7,B710="2012-2013",E710="",G710="PLN03"),H710,"")</f>
        <v/>
      </c>
      <c r="AM710" s="42" t="str">
        <f>IF(AND(C710=Master!$H$8,B710="2012-2013",E710&gt;1000,G710="PLN03"),H710,"")</f>
        <v/>
      </c>
      <c r="AN710" s="42" t="str">
        <f>IF(AND(C710=Master!$H$8,B710="2012-2013",E710="",G710="PLN03"),H710,"")</f>
        <v/>
      </c>
      <c r="AO710" s="42" t="str">
        <f>IF(AND(C710=Master!$H$9,B710="2012-2013",E710&gt;1000,G710="PLN03"),H710,"")</f>
        <v/>
      </c>
      <c r="AP710" s="42" t="str">
        <f>IF(AND(C710=Master!$H$9,B710="2012-2013",E710="",G710="PLN03"),H710,"")</f>
        <v/>
      </c>
      <c r="AQ710" s="44" t="str">
        <f>IF(AND(C710=Master!$H$1,B710="2012-2013",E710&gt;1000,G710="NPN05"),H710,"")</f>
        <v/>
      </c>
      <c r="AR710" s="44" t="str">
        <f>IF(AND(C710=Master!$H$1,B710="2012-2013",E710="",G710="NPN05"),H710,"")</f>
        <v/>
      </c>
      <c r="AS710" s="44" t="str">
        <f>IF(AND(C710=Master!$H$2,B710="2012-2013",E710&gt;1000,G710="NPN05"),H710,"")</f>
        <v/>
      </c>
      <c r="AT710" s="44" t="str">
        <f>IF(AND(C710=Master!$H$2,B710="2012-2013",E710="",G710="NPN05"),H710,"")</f>
        <v/>
      </c>
      <c r="AU710" s="44" t="str">
        <f>IF(AND(C710=Master!$H$3,B710="2012-2013",E710&gt;1000,G710="NPN05"),H710,"")</f>
        <v/>
      </c>
      <c r="AV710" s="44" t="str">
        <f>IF(AND(C710=Master!$H$3,B710="2012-2013",E710="",G710="NPN05"),H710,"")</f>
        <v/>
      </c>
      <c r="AW710" s="44" t="str">
        <f>IF(AND(C710=Master!$H$4,B710="2012-2013",E710&gt;1000,G710="NPN05"),H710,"")</f>
        <v/>
      </c>
      <c r="AX710" s="44" t="str">
        <f>IF(AND(C710=Master!$H$4,B710="2012-2013",E710="",G710="NPN05"),H710,"")</f>
        <v/>
      </c>
      <c r="AY710" s="44" t="str">
        <f>IF(AND(C710=Master!$H$5,B710="2012-2013",E710&gt;1000,G710="NPN05"),H710,"")</f>
        <v/>
      </c>
      <c r="AZ710" s="44" t="str">
        <f>IF(AND(C710=Master!$H$5,B710="2012-2013",E710="",G710="NPN05"),H710,"")</f>
        <v/>
      </c>
      <c r="BA710" s="44" t="str">
        <f>IF(AND(C710=Master!$H$6,B710="2012-2013",E710&gt;1000,G710="NPN05"),H710,"")</f>
        <v/>
      </c>
      <c r="BB710" s="44" t="str">
        <f>IF(AND(C710=Master!$H$6,B710="2012-2013",E710="",G710="NPN05"),H710,"")</f>
        <v/>
      </c>
      <c r="BC710" s="44" t="str">
        <f>IF(AND(C710=Master!$H$7,B710="2012-2013",E710&gt;1000,G710="NPN05"),H710,"")</f>
        <v/>
      </c>
      <c r="BD710" s="44" t="str">
        <f>IF(AND(C710=Master!$H$7,B710="2012-2013",E710="",G710="NPN05"),H710,"")</f>
        <v/>
      </c>
      <c r="BE710" s="44" t="str">
        <f>IF(AND(C710=Master!$H$8,B710="2012-2013",E710&gt;1000,G710="NPN05"),H710,"")</f>
        <v/>
      </c>
      <c r="BF710" s="44" t="str">
        <f>IF(AND(C710=Master!$H$8,B710="2012-2013",E710="",G710="NPN05"),H710,"")</f>
        <v/>
      </c>
      <c r="BG710" s="44" t="str">
        <f>IF(AND(C710=Master!$H$9,B710="2012-2013",E710&gt;1000,G710="NPN05"),H710,"")</f>
        <v/>
      </c>
      <c r="BH710" s="44" t="str">
        <f>IF(AND(C710=Master!$H$9,B710="2012-2013",E710="",G710="NPN05"),H710,"")</f>
        <v/>
      </c>
    </row>
    <row r="711" spans="1:60" x14ac:dyDescent="0.25">
      <c r="A711" s="3">
        <v>709</v>
      </c>
      <c r="B711" s="12"/>
      <c r="C711" s="12"/>
      <c r="D711" s="31"/>
      <c r="E711" s="4"/>
      <c r="F711" s="13"/>
      <c r="G711" s="21"/>
      <c r="H711" s="35"/>
      <c r="I711" s="21"/>
      <c r="J711" s="25" t="str">
        <f>IF(NOT(I711=""),INDEX(Master!$B$1:$B$46,MATCH(I711,Master!$A$1:$A$46,0)),"")</f>
        <v/>
      </c>
      <c r="K711" s="18"/>
      <c r="L711" s="86"/>
      <c r="M711" s="13"/>
      <c r="N711" s="13"/>
      <c r="O711" s="18"/>
      <c r="P711" s="35"/>
      <c r="Q711" s="21"/>
      <c r="R711" s="21"/>
      <c r="S711" s="13"/>
      <c r="T711" s="12"/>
      <c r="U711" s="12"/>
      <c r="V711" s="12"/>
      <c r="W711" s="14"/>
      <c r="Y711" s="42" t="str">
        <f>IF(AND(C711=Master!$H$1,B711="2012-2013",E711&gt;1000,G711="PLN03"),H711,"")</f>
        <v/>
      </c>
      <c r="Z711" s="42" t="str">
        <f>IF(AND(C711=Master!$H$1,B711="2012-2013",E711="",G711="PLN03"),H711,"")</f>
        <v/>
      </c>
      <c r="AA711" s="42" t="str">
        <f>IF(AND(C711=Master!$H$2,B711="2012-2013",E711&gt;1000,G711="PLN03"),H711,"")</f>
        <v/>
      </c>
      <c r="AB711" s="42" t="str">
        <f>IF(AND(C711=Master!$H$2,B711="2012-2013",E711="",G711="PLN03"),H711,"")</f>
        <v/>
      </c>
      <c r="AC711" s="42" t="str">
        <f>IF(AND(C711=Master!$H$3,B711="2012-2013",E711&gt;1000,G711="PLN03"),H711,"")</f>
        <v/>
      </c>
      <c r="AD711" s="42" t="str">
        <f>IF(AND(C711=Master!$H$3,B711="2012-2013",E711="",G711="PLN03"),H711,"")</f>
        <v/>
      </c>
      <c r="AE711" s="42" t="str">
        <f>IF(AND(C711=Master!$H$4,B711="2012-2013",E711&gt;1000,G711="PLN03"),H711,"")</f>
        <v/>
      </c>
      <c r="AF711" s="42" t="str">
        <f>IF(AND(C711=Master!$H$4,B711="2012-2013",E711="",G711="PLN03"),H711,"")</f>
        <v/>
      </c>
      <c r="AG711" s="42" t="str">
        <f>IF(AND(C711=Master!$H$5,B711="2012-2013",E711&gt;1000,G711="PLN03"),H711,"")</f>
        <v/>
      </c>
      <c r="AH711" s="42" t="str">
        <f>IF(AND(C711=Master!$H$5,B711="2012-2013",E711="",G711="PLN03"),H711,"")</f>
        <v/>
      </c>
      <c r="AI711" s="42" t="str">
        <f>IF(AND(C711=Master!$H$6,B711="2012-2013",E711&gt;1000,G711="PLN03"),H711,"")</f>
        <v/>
      </c>
      <c r="AJ711" s="42" t="str">
        <f>IF(AND(C711=Master!$H$6,B711="2012-2013",E711="",G711="PLN03"),H711,"")</f>
        <v/>
      </c>
      <c r="AK711" s="42" t="str">
        <f>IF(AND(C711=Master!$H$7,B711="2012-2013",E711&gt;1000,G711="PLN03"),H711,"")</f>
        <v/>
      </c>
      <c r="AL711" s="42" t="str">
        <f>IF(AND(C711=Master!$H$7,B711="2012-2013",E711="",G711="PLN03"),H711,"")</f>
        <v/>
      </c>
      <c r="AM711" s="42" t="str">
        <f>IF(AND(C711=Master!$H$8,B711="2012-2013",E711&gt;1000,G711="PLN03"),H711,"")</f>
        <v/>
      </c>
      <c r="AN711" s="42" t="str">
        <f>IF(AND(C711=Master!$H$8,B711="2012-2013",E711="",G711="PLN03"),H711,"")</f>
        <v/>
      </c>
      <c r="AO711" s="42" t="str">
        <f>IF(AND(C711=Master!$H$9,B711="2012-2013",E711&gt;1000,G711="PLN03"),H711,"")</f>
        <v/>
      </c>
      <c r="AP711" s="42" t="str">
        <f>IF(AND(C711=Master!$H$9,B711="2012-2013",E711="",G711="PLN03"),H711,"")</f>
        <v/>
      </c>
      <c r="AQ711" s="44" t="str">
        <f>IF(AND(C711=Master!$H$1,B711="2012-2013",E711&gt;1000,G711="NPN05"),H711,"")</f>
        <v/>
      </c>
      <c r="AR711" s="44" t="str">
        <f>IF(AND(C711=Master!$H$1,B711="2012-2013",E711="",G711="NPN05"),H711,"")</f>
        <v/>
      </c>
      <c r="AS711" s="44" t="str">
        <f>IF(AND(C711=Master!$H$2,B711="2012-2013",E711&gt;1000,G711="NPN05"),H711,"")</f>
        <v/>
      </c>
      <c r="AT711" s="44" t="str">
        <f>IF(AND(C711=Master!$H$2,B711="2012-2013",E711="",G711="NPN05"),H711,"")</f>
        <v/>
      </c>
      <c r="AU711" s="44" t="str">
        <f>IF(AND(C711=Master!$H$3,B711="2012-2013",E711&gt;1000,G711="NPN05"),H711,"")</f>
        <v/>
      </c>
      <c r="AV711" s="44" t="str">
        <f>IF(AND(C711=Master!$H$3,B711="2012-2013",E711="",G711="NPN05"),H711,"")</f>
        <v/>
      </c>
      <c r="AW711" s="44" t="str">
        <f>IF(AND(C711=Master!$H$4,B711="2012-2013",E711&gt;1000,G711="NPN05"),H711,"")</f>
        <v/>
      </c>
      <c r="AX711" s="44" t="str">
        <f>IF(AND(C711=Master!$H$4,B711="2012-2013",E711="",G711="NPN05"),H711,"")</f>
        <v/>
      </c>
      <c r="AY711" s="44" t="str">
        <f>IF(AND(C711=Master!$H$5,B711="2012-2013",E711&gt;1000,G711="NPN05"),H711,"")</f>
        <v/>
      </c>
      <c r="AZ711" s="44" t="str">
        <f>IF(AND(C711=Master!$H$5,B711="2012-2013",E711="",G711="NPN05"),H711,"")</f>
        <v/>
      </c>
      <c r="BA711" s="44" t="str">
        <f>IF(AND(C711=Master!$H$6,B711="2012-2013",E711&gt;1000,G711="NPN05"),H711,"")</f>
        <v/>
      </c>
      <c r="BB711" s="44" t="str">
        <f>IF(AND(C711=Master!$H$6,B711="2012-2013",E711="",G711="NPN05"),H711,"")</f>
        <v/>
      </c>
      <c r="BC711" s="44" t="str">
        <f>IF(AND(C711=Master!$H$7,B711="2012-2013",E711&gt;1000,G711="NPN05"),H711,"")</f>
        <v/>
      </c>
      <c r="BD711" s="44" t="str">
        <f>IF(AND(C711=Master!$H$7,B711="2012-2013",E711="",G711="NPN05"),H711,"")</f>
        <v/>
      </c>
      <c r="BE711" s="44" t="str">
        <f>IF(AND(C711=Master!$H$8,B711="2012-2013",E711&gt;1000,G711="NPN05"),H711,"")</f>
        <v/>
      </c>
      <c r="BF711" s="44" t="str">
        <f>IF(AND(C711=Master!$H$8,B711="2012-2013",E711="",G711="NPN05"),H711,"")</f>
        <v/>
      </c>
      <c r="BG711" s="44" t="str">
        <f>IF(AND(C711=Master!$H$9,B711="2012-2013",E711&gt;1000,G711="NPN05"),H711,"")</f>
        <v/>
      </c>
      <c r="BH711" s="44" t="str">
        <f>IF(AND(C711=Master!$H$9,B711="2012-2013",E711="",G711="NPN05"),H711,"")</f>
        <v/>
      </c>
    </row>
    <row r="712" spans="1:60" x14ac:dyDescent="0.25">
      <c r="A712" s="3">
        <v>710</v>
      </c>
      <c r="B712" s="12"/>
      <c r="C712" s="12"/>
      <c r="D712" s="31"/>
      <c r="E712" s="4"/>
      <c r="F712" s="13"/>
      <c r="G712" s="21"/>
      <c r="H712" s="35"/>
      <c r="I712" s="21"/>
      <c r="J712" s="25" t="str">
        <f>IF(NOT(I712=""),INDEX(Master!$B$1:$B$46,MATCH(I712,Master!$A$1:$A$46,0)),"")</f>
        <v/>
      </c>
      <c r="K712" s="18"/>
      <c r="L712" s="86"/>
      <c r="M712" s="13"/>
      <c r="N712" s="13"/>
      <c r="O712" s="18"/>
      <c r="P712" s="35"/>
      <c r="Q712" s="21"/>
      <c r="R712" s="21"/>
      <c r="S712" s="13"/>
      <c r="T712" s="12"/>
      <c r="U712" s="12"/>
      <c r="V712" s="12"/>
      <c r="W712" s="14"/>
      <c r="Y712" s="42" t="str">
        <f>IF(AND(C712=Master!$H$1,B712="2012-2013",E712&gt;1000,G712="PLN03"),H712,"")</f>
        <v/>
      </c>
      <c r="Z712" s="42" t="str">
        <f>IF(AND(C712=Master!$H$1,B712="2012-2013",E712="",G712="PLN03"),H712,"")</f>
        <v/>
      </c>
      <c r="AA712" s="42" t="str">
        <f>IF(AND(C712=Master!$H$2,B712="2012-2013",E712&gt;1000,G712="PLN03"),H712,"")</f>
        <v/>
      </c>
      <c r="AB712" s="42" t="str">
        <f>IF(AND(C712=Master!$H$2,B712="2012-2013",E712="",G712="PLN03"),H712,"")</f>
        <v/>
      </c>
      <c r="AC712" s="42" t="str">
        <f>IF(AND(C712=Master!$H$3,B712="2012-2013",E712&gt;1000,G712="PLN03"),H712,"")</f>
        <v/>
      </c>
      <c r="AD712" s="42" t="str">
        <f>IF(AND(C712=Master!$H$3,B712="2012-2013",E712="",G712="PLN03"),H712,"")</f>
        <v/>
      </c>
      <c r="AE712" s="42" t="str">
        <f>IF(AND(C712=Master!$H$4,B712="2012-2013",E712&gt;1000,G712="PLN03"),H712,"")</f>
        <v/>
      </c>
      <c r="AF712" s="42" t="str">
        <f>IF(AND(C712=Master!$H$4,B712="2012-2013",E712="",G712="PLN03"),H712,"")</f>
        <v/>
      </c>
      <c r="AG712" s="42" t="str">
        <f>IF(AND(C712=Master!$H$5,B712="2012-2013",E712&gt;1000,G712="PLN03"),H712,"")</f>
        <v/>
      </c>
      <c r="AH712" s="42" t="str">
        <f>IF(AND(C712=Master!$H$5,B712="2012-2013",E712="",G712="PLN03"),H712,"")</f>
        <v/>
      </c>
      <c r="AI712" s="42" t="str">
        <f>IF(AND(C712=Master!$H$6,B712="2012-2013",E712&gt;1000,G712="PLN03"),H712,"")</f>
        <v/>
      </c>
      <c r="AJ712" s="42" t="str">
        <f>IF(AND(C712=Master!$H$6,B712="2012-2013",E712="",G712="PLN03"),H712,"")</f>
        <v/>
      </c>
      <c r="AK712" s="42" t="str">
        <f>IF(AND(C712=Master!$H$7,B712="2012-2013",E712&gt;1000,G712="PLN03"),H712,"")</f>
        <v/>
      </c>
      <c r="AL712" s="42" t="str">
        <f>IF(AND(C712=Master!$H$7,B712="2012-2013",E712="",G712="PLN03"),H712,"")</f>
        <v/>
      </c>
      <c r="AM712" s="42" t="str">
        <f>IF(AND(C712=Master!$H$8,B712="2012-2013",E712&gt;1000,G712="PLN03"),H712,"")</f>
        <v/>
      </c>
      <c r="AN712" s="42" t="str">
        <f>IF(AND(C712=Master!$H$8,B712="2012-2013",E712="",G712="PLN03"),H712,"")</f>
        <v/>
      </c>
      <c r="AO712" s="42" t="str">
        <f>IF(AND(C712=Master!$H$9,B712="2012-2013",E712&gt;1000,G712="PLN03"),H712,"")</f>
        <v/>
      </c>
      <c r="AP712" s="42" t="str">
        <f>IF(AND(C712=Master!$H$9,B712="2012-2013",E712="",G712="PLN03"),H712,"")</f>
        <v/>
      </c>
      <c r="AQ712" s="44" t="str">
        <f>IF(AND(C712=Master!$H$1,B712="2012-2013",E712&gt;1000,G712="NPN05"),H712,"")</f>
        <v/>
      </c>
      <c r="AR712" s="44" t="str">
        <f>IF(AND(C712=Master!$H$1,B712="2012-2013",E712="",G712="NPN05"),H712,"")</f>
        <v/>
      </c>
      <c r="AS712" s="44" t="str">
        <f>IF(AND(C712=Master!$H$2,B712="2012-2013",E712&gt;1000,G712="NPN05"),H712,"")</f>
        <v/>
      </c>
      <c r="AT712" s="44" t="str">
        <f>IF(AND(C712=Master!$H$2,B712="2012-2013",E712="",G712="NPN05"),H712,"")</f>
        <v/>
      </c>
      <c r="AU712" s="44" t="str">
        <f>IF(AND(C712=Master!$H$3,B712="2012-2013",E712&gt;1000,G712="NPN05"),H712,"")</f>
        <v/>
      </c>
      <c r="AV712" s="44" t="str">
        <f>IF(AND(C712=Master!$H$3,B712="2012-2013",E712="",G712="NPN05"),H712,"")</f>
        <v/>
      </c>
      <c r="AW712" s="44" t="str">
        <f>IF(AND(C712=Master!$H$4,B712="2012-2013",E712&gt;1000,G712="NPN05"),H712,"")</f>
        <v/>
      </c>
      <c r="AX712" s="44" t="str">
        <f>IF(AND(C712=Master!$H$4,B712="2012-2013",E712="",G712="NPN05"),H712,"")</f>
        <v/>
      </c>
      <c r="AY712" s="44" t="str">
        <f>IF(AND(C712=Master!$H$5,B712="2012-2013",E712&gt;1000,G712="NPN05"),H712,"")</f>
        <v/>
      </c>
      <c r="AZ712" s="44" t="str">
        <f>IF(AND(C712=Master!$H$5,B712="2012-2013",E712="",G712="NPN05"),H712,"")</f>
        <v/>
      </c>
      <c r="BA712" s="44" t="str">
        <f>IF(AND(C712=Master!$H$6,B712="2012-2013",E712&gt;1000,G712="NPN05"),H712,"")</f>
        <v/>
      </c>
      <c r="BB712" s="44" t="str">
        <f>IF(AND(C712=Master!$H$6,B712="2012-2013",E712="",G712="NPN05"),H712,"")</f>
        <v/>
      </c>
      <c r="BC712" s="44" t="str">
        <f>IF(AND(C712=Master!$H$7,B712="2012-2013",E712&gt;1000,G712="NPN05"),H712,"")</f>
        <v/>
      </c>
      <c r="BD712" s="44" t="str">
        <f>IF(AND(C712=Master!$H$7,B712="2012-2013",E712="",G712="NPN05"),H712,"")</f>
        <v/>
      </c>
      <c r="BE712" s="44" t="str">
        <f>IF(AND(C712=Master!$H$8,B712="2012-2013",E712&gt;1000,G712="NPN05"),H712,"")</f>
        <v/>
      </c>
      <c r="BF712" s="44" t="str">
        <f>IF(AND(C712=Master!$H$8,B712="2012-2013",E712="",G712="NPN05"),H712,"")</f>
        <v/>
      </c>
      <c r="BG712" s="44" t="str">
        <f>IF(AND(C712=Master!$H$9,B712="2012-2013",E712&gt;1000,G712="NPN05"),H712,"")</f>
        <v/>
      </c>
      <c r="BH712" s="44" t="str">
        <f>IF(AND(C712=Master!$H$9,B712="2012-2013",E712="",G712="NPN05"),H712,"")</f>
        <v/>
      </c>
    </row>
    <row r="713" spans="1:60" x14ac:dyDescent="0.25">
      <c r="A713" s="3">
        <v>711</v>
      </c>
      <c r="B713" s="12"/>
      <c r="C713" s="12"/>
      <c r="D713" s="31"/>
      <c r="E713" s="4"/>
      <c r="F713" s="13"/>
      <c r="G713" s="21"/>
      <c r="H713" s="35"/>
      <c r="I713" s="21"/>
      <c r="J713" s="25" t="str">
        <f>IF(NOT(I713=""),INDEX(Master!$B$1:$B$46,MATCH(I713,Master!$A$1:$A$46,0)),"")</f>
        <v/>
      </c>
      <c r="K713" s="18"/>
      <c r="L713" s="86"/>
      <c r="M713" s="13"/>
      <c r="N713" s="13"/>
      <c r="O713" s="18"/>
      <c r="P713" s="35"/>
      <c r="Q713" s="21"/>
      <c r="R713" s="21"/>
      <c r="S713" s="13"/>
      <c r="T713" s="12"/>
      <c r="U713" s="12"/>
      <c r="V713" s="12"/>
      <c r="W713" s="14"/>
      <c r="Y713" s="42" t="str">
        <f>IF(AND(C713=Master!$H$1,B713="2012-2013",E713&gt;1000,G713="PLN03"),H713,"")</f>
        <v/>
      </c>
      <c r="Z713" s="42" t="str">
        <f>IF(AND(C713=Master!$H$1,B713="2012-2013",E713="",G713="PLN03"),H713,"")</f>
        <v/>
      </c>
      <c r="AA713" s="42" t="str">
        <f>IF(AND(C713=Master!$H$2,B713="2012-2013",E713&gt;1000,G713="PLN03"),H713,"")</f>
        <v/>
      </c>
      <c r="AB713" s="42" t="str">
        <f>IF(AND(C713=Master!$H$2,B713="2012-2013",E713="",G713="PLN03"),H713,"")</f>
        <v/>
      </c>
      <c r="AC713" s="42" t="str">
        <f>IF(AND(C713=Master!$H$3,B713="2012-2013",E713&gt;1000,G713="PLN03"),H713,"")</f>
        <v/>
      </c>
      <c r="AD713" s="42" t="str">
        <f>IF(AND(C713=Master!$H$3,B713="2012-2013",E713="",G713="PLN03"),H713,"")</f>
        <v/>
      </c>
      <c r="AE713" s="42" t="str">
        <f>IF(AND(C713=Master!$H$4,B713="2012-2013",E713&gt;1000,G713="PLN03"),H713,"")</f>
        <v/>
      </c>
      <c r="AF713" s="42" t="str">
        <f>IF(AND(C713=Master!$H$4,B713="2012-2013",E713="",G713="PLN03"),H713,"")</f>
        <v/>
      </c>
      <c r="AG713" s="42" t="str">
        <f>IF(AND(C713=Master!$H$5,B713="2012-2013",E713&gt;1000,G713="PLN03"),H713,"")</f>
        <v/>
      </c>
      <c r="AH713" s="42" t="str">
        <f>IF(AND(C713=Master!$H$5,B713="2012-2013",E713="",G713="PLN03"),H713,"")</f>
        <v/>
      </c>
      <c r="AI713" s="42" t="str">
        <f>IF(AND(C713=Master!$H$6,B713="2012-2013",E713&gt;1000,G713="PLN03"),H713,"")</f>
        <v/>
      </c>
      <c r="AJ713" s="42" t="str">
        <f>IF(AND(C713=Master!$H$6,B713="2012-2013",E713="",G713="PLN03"),H713,"")</f>
        <v/>
      </c>
      <c r="AK713" s="42" t="str">
        <f>IF(AND(C713=Master!$H$7,B713="2012-2013",E713&gt;1000,G713="PLN03"),H713,"")</f>
        <v/>
      </c>
      <c r="AL713" s="42" t="str">
        <f>IF(AND(C713=Master!$H$7,B713="2012-2013",E713="",G713="PLN03"),H713,"")</f>
        <v/>
      </c>
      <c r="AM713" s="42" t="str">
        <f>IF(AND(C713=Master!$H$8,B713="2012-2013",E713&gt;1000,G713="PLN03"),H713,"")</f>
        <v/>
      </c>
      <c r="AN713" s="42" t="str">
        <f>IF(AND(C713=Master!$H$8,B713="2012-2013",E713="",G713="PLN03"),H713,"")</f>
        <v/>
      </c>
      <c r="AO713" s="42" t="str">
        <f>IF(AND(C713=Master!$H$9,B713="2012-2013",E713&gt;1000,G713="PLN03"),H713,"")</f>
        <v/>
      </c>
      <c r="AP713" s="42" t="str">
        <f>IF(AND(C713=Master!$H$9,B713="2012-2013",E713="",G713="PLN03"),H713,"")</f>
        <v/>
      </c>
      <c r="AQ713" s="44" t="str">
        <f>IF(AND(C713=Master!$H$1,B713="2012-2013",E713&gt;1000,G713="NPN05"),H713,"")</f>
        <v/>
      </c>
      <c r="AR713" s="44" t="str">
        <f>IF(AND(C713=Master!$H$1,B713="2012-2013",E713="",G713="NPN05"),H713,"")</f>
        <v/>
      </c>
      <c r="AS713" s="44" t="str">
        <f>IF(AND(C713=Master!$H$2,B713="2012-2013",E713&gt;1000,G713="NPN05"),H713,"")</f>
        <v/>
      </c>
      <c r="AT713" s="44" t="str">
        <f>IF(AND(C713=Master!$H$2,B713="2012-2013",E713="",G713="NPN05"),H713,"")</f>
        <v/>
      </c>
      <c r="AU713" s="44" t="str">
        <f>IF(AND(C713=Master!$H$3,B713="2012-2013",E713&gt;1000,G713="NPN05"),H713,"")</f>
        <v/>
      </c>
      <c r="AV713" s="44" t="str">
        <f>IF(AND(C713=Master!$H$3,B713="2012-2013",E713="",G713="NPN05"),H713,"")</f>
        <v/>
      </c>
      <c r="AW713" s="44" t="str">
        <f>IF(AND(C713=Master!$H$4,B713="2012-2013",E713&gt;1000,G713="NPN05"),H713,"")</f>
        <v/>
      </c>
      <c r="AX713" s="44" t="str">
        <f>IF(AND(C713=Master!$H$4,B713="2012-2013",E713="",G713="NPN05"),H713,"")</f>
        <v/>
      </c>
      <c r="AY713" s="44" t="str">
        <f>IF(AND(C713=Master!$H$5,B713="2012-2013",E713&gt;1000,G713="NPN05"),H713,"")</f>
        <v/>
      </c>
      <c r="AZ713" s="44" t="str">
        <f>IF(AND(C713=Master!$H$5,B713="2012-2013",E713="",G713="NPN05"),H713,"")</f>
        <v/>
      </c>
      <c r="BA713" s="44" t="str">
        <f>IF(AND(C713=Master!$H$6,B713="2012-2013",E713&gt;1000,G713="NPN05"),H713,"")</f>
        <v/>
      </c>
      <c r="BB713" s="44" t="str">
        <f>IF(AND(C713=Master!$H$6,B713="2012-2013",E713="",G713="NPN05"),H713,"")</f>
        <v/>
      </c>
      <c r="BC713" s="44" t="str">
        <f>IF(AND(C713=Master!$H$7,B713="2012-2013",E713&gt;1000,G713="NPN05"),H713,"")</f>
        <v/>
      </c>
      <c r="BD713" s="44" t="str">
        <f>IF(AND(C713=Master!$H$7,B713="2012-2013",E713="",G713="NPN05"),H713,"")</f>
        <v/>
      </c>
      <c r="BE713" s="44" t="str">
        <f>IF(AND(C713=Master!$H$8,B713="2012-2013",E713&gt;1000,G713="NPN05"),H713,"")</f>
        <v/>
      </c>
      <c r="BF713" s="44" t="str">
        <f>IF(AND(C713=Master!$H$8,B713="2012-2013",E713="",G713="NPN05"),H713,"")</f>
        <v/>
      </c>
      <c r="BG713" s="44" t="str">
        <f>IF(AND(C713=Master!$H$9,B713="2012-2013",E713&gt;1000,G713="NPN05"),H713,"")</f>
        <v/>
      </c>
      <c r="BH713" s="44" t="str">
        <f>IF(AND(C713=Master!$H$9,B713="2012-2013",E713="",G713="NPN05"),H713,"")</f>
        <v/>
      </c>
    </row>
    <row r="714" spans="1:60" x14ac:dyDescent="0.25">
      <c r="A714" s="3">
        <v>712</v>
      </c>
      <c r="B714" s="12"/>
      <c r="C714" s="12"/>
      <c r="D714" s="31"/>
      <c r="E714" s="4"/>
      <c r="F714" s="13"/>
      <c r="G714" s="21"/>
      <c r="H714" s="35"/>
      <c r="I714" s="21"/>
      <c r="J714" s="25" t="str">
        <f>IF(NOT(I714=""),INDEX(Master!$B$1:$B$46,MATCH(I714,Master!$A$1:$A$46,0)),"")</f>
        <v/>
      </c>
      <c r="K714" s="18"/>
      <c r="L714" s="86"/>
      <c r="M714" s="13"/>
      <c r="N714" s="13"/>
      <c r="O714" s="18"/>
      <c r="P714" s="35"/>
      <c r="Q714" s="21"/>
      <c r="R714" s="21"/>
      <c r="S714" s="13"/>
      <c r="T714" s="12"/>
      <c r="U714" s="12"/>
      <c r="V714" s="12"/>
      <c r="W714" s="14"/>
      <c r="Y714" s="42" t="str">
        <f>IF(AND(C714=Master!$H$1,B714="2012-2013",E714&gt;1000,G714="PLN03"),H714,"")</f>
        <v/>
      </c>
      <c r="Z714" s="42" t="str">
        <f>IF(AND(C714=Master!$H$1,B714="2012-2013",E714="",G714="PLN03"),H714,"")</f>
        <v/>
      </c>
      <c r="AA714" s="42" t="str">
        <f>IF(AND(C714=Master!$H$2,B714="2012-2013",E714&gt;1000,G714="PLN03"),H714,"")</f>
        <v/>
      </c>
      <c r="AB714" s="42" t="str">
        <f>IF(AND(C714=Master!$H$2,B714="2012-2013",E714="",G714="PLN03"),H714,"")</f>
        <v/>
      </c>
      <c r="AC714" s="42" t="str">
        <f>IF(AND(C714=Master!$H$3,B714="2012-2013",E714&gt;1000,G714="PLN03"),H714,"")</f>
        <v/>
      </c>
      <c r="AD714" s="42" t="str">
        <f>IF(AND(C714=Master!$H$3,B714="2012-2013",E714="",G714="PLN03"),H714,"")</f>
        <v/>
      </c>
      <c r="AE714" s="42" t="str">
        <f>IF(AND(C714=Master!$H$4,B714="2012-2013",E714&gt;1000,G714="PLN03"),H714,"")</f>
        <v/>
      </c>
      <c r="AF714" s="42" t="str">
        <f>IF(AND(C714=Master!$H$4,B714="2012-2013",E714="",G714="PLN03"),H714,"")</f>
        <v/>
      </c>
      <c r="AG714" s="42" t="str">
        <f>IF(AND(C714=Master!$H$5,B714="2012-2013",E714&gt;1000,G714="PLN03"),H714,"")</f>
        <v/>
      </c>
      <c r="AH714" s="42" t="str">
        <f>IF(AND(C714=Master!$H$5,B714="2012-2013",E714="",G714="PLN03"),H714,"")</f>
        <v/>
      </c>
      <c r="AI714" s="42" t="str">
        <f>IF(AND(C714=Master!$H$6,B714="2012-2013",E714&gt;1000,G714="PLN03"),H714,"")</f>
        <v/>
      </c>
      <c r="AJ714" s="42" t="str">
        <f>IF(AND(C714=Master!$H$6,B714="2012-2013",E714="",G714="PLN03"),H714,"")</f>
        <v/>
      </c>
      <c r="AK714" s="42" t="str">
        <f>IF(AND(C714=Master!$H$7,B714="2012-2013",E714&gt;1000,G714="PLN03"),H714,"")</f>
        <v/>
      </c>
      <c r="AL714" s="42" t="str">
        <f>IF(AND(C714=Master!$H$7,B714="2012-2013",E714="",G714="PLN03"),H714,"")</f>
        <v/>
      </c>
      <c r="AM714" s="42" t="str">
        <f>IF(AND(C714=Master!$H$8,B714="2012-2013",E714&gt;1000,G714="PLN03"),H714,"")</f>
        <v/>
      </c>
      <c r="AN714" s="42" t="str">
        <f>IF(AND(C714=Master!$H$8,B714="2012-2013",E714="",G714="PLN03"),H714,"")</f>
        <v/>
      </c>
      <c r="AO714" s="42" t="str">
        <f>IF(AND(C714=Master!$H$9,B714="2012-2013",E714&gt;1000,G714="PLN03"),H714,"")</f>
        <v/>
      </c>
      <c r="AP714" s="42" t="str">
        <f>IF(AND(C714=Master!$H$9,B714="2012-2013",E714="",G714="PLN03"),H714,"")</f>
        <v/>
      </c>
      <c r="AQ714" s="44" t="str">
        <f>IF(AND(C714=Master!$H$1,B714="2012-2013",E714&gt;1000,G714="NPN05"),H714,"")</f>
        <v/>
      </c>
      <c r="AR714" s="44" t="str">
        <f>IF(AND(C714=Master!$H$1,B714="2012-2013",E714="",G714="NPN05"),H714,"")</f>
        <v/>
      </c>
      <c r="AS714" s="44" t="str">
        <f>IF(AND(C714=Master!$H$2,B714="2012-2013",E714&gt;1000,G714="NPN05"),H714,"")</f>
        <v/>
      </c>
      <c r="AT714" s="44" t="str">
        <f>IF(AND(C714=Master!$H$2,B714="2012-2013",E714="",G714="NPN05"),H714,"")</f>
        <v/>
      </c>
      <c r="AU714" s="44" t="str">
        <f>IF(AND(C714=Master!$H$3,B714="2012-2013",E714&gt;1000,G714="NPN05"),H714,"")</f>
        <v/>
      </c>
      <c r="AV714" s="44" t="str">
        <f>IF(AND(C714=Master!$H$3,B714="2012-2013",E714="",G714="NPN05"),H714,"")</f>
        <v/>
      </c>
      <c r="AW714" s="44" t="str">
        <f>IF(AND(C714=Master!$H$4,B714="2012-2013",E714&gt;1000,G714="NPN05"),H714,"")</f>
        <v/>
      </c>
      <c r="AX714" s="44" t="str">
        <f>IF(AND(C714=Master!$H$4,B714="2012-2013",E714="",G714="NPN05"),H714,"")</f>
        <v/>
      </c>
      <c r="AY714" s="44" t="str">
        <f>IF(AND(C714=Master!$H$5,B714="2012-2013",E714&gt;1000,G714="NPN05"),H714,"")</f>
        <v/>
      </c>
      <c r="AZ714" s="44" t="str">
        <f>IF(AND(C714=Master!$H$5,B714="2012-2013",E714="",G714="NPN05"),H714,"")</f>
        <v/>
      </c>
      <c r="BA714" s="44" t="str">
        <f>IF(AND(C714=Master!$H$6,B714="2012-2013",E714&gt;1000,G714="NPN05"),H714,"")</f>
        <v/>
      </c>
      <c r="BB714" s="44" t="str">
        <f>IF(AND(C714=Master!$H$6,B714="2012-2013",E714="",G714="NPN05"),H714,"")</f>
        <v/>
      </c>
      <c r="BC714" s="44" t="str">
        <f>IF(AND(C714=Master!$H$7,B714="2012-2013",E714&gt;1000,G714="NPN05"),H714,"")</f>
        <v/>
      </c>
      <c r="BD714" s="44" t="str">
        <f>IF(AND(C714=Master!$H$7,B714="2012-2013",E714="",G714="NPN05"),H714,"")</f>
        <v/>
      </c>
      <c r="BE714" s="44" t="str">
        <f>IF(AND(C714=Master!$H$8,B714="2012-2013",E714&gt;1000,G714="NPN05"),H714,"")</f>
        <v/>
      </c>
      <c r="BF714" s="44" t="str">
        <f>IF(AND(C714=Master!$H$8,B714="2012-2013",E714="",G714="NPN05"),H714,"")</f>
        <v/>
      </c>
      <c r="BG714" s="44" t="str">
        <f>IF(AND(C714=Master!$H$9,B714="2012-2013",E714&gt;1000,G714="NPN05"),H714,"")</f>
        <v/>
      </c>
      <c r="BH714" s="44" t="str">
        <f>IF(AND(C714=Master!$H$9,B714="2012-2013",E714="",G714="NPN05"),H714,"")</f>
        <v/>
      </c>
    </row>
    <row r="715" spans="1:60" x14ac:dyDescent="0.25">
      <c r="A715" s="5">
        <v>713</v>
      </c>
      <c r="B715" s="12"/>
      <c r="C715" s="12"/>
      <c r="D715" s="31"/>
      <c r="E715" s="4"/>
      <c r="F715" s="13"/>
      <c r="G715" s="21"/>
      <c r="H715" s="35"/>
      <c r="I715" s="21"/>
      <c r="J715" s="25" t="str">
        <f>IF(NOT(I715=""),INDEX(Master!$B$1:$B$46,MATCH(I715,Master!$A$1:$A$46,0)),"")</f>
        <v/>
      </c>
      <c r="K715" s="18"/>
      <c r="L715" s="86"/>
      <c r="M715" s="13"/>
      <c r="N715" s="13"/>
      <c r="O715" s="18"/>
      <c r="P715" s="35"/>
      <c r="Q715" s="21"/>
      <c r="R715" s="21"/>
      <c r="S715" s="13"/>
      <c r="T715" s="12"/>
      <c r="U715" s="12"/>
      <c r="V715" s="12"/>
      <c r="W715" s="14"/>
      <c r="Y715" s="42" t="str">
        <f>IF(AND(C715=Master!$H$1,B715="2012-2013",E715&gt;1000,G715="PLN03"),H715,"")</f>
        <v/>
      </c>
      <c r="Z715" s="42" t="str">
        <f>IF(AND(C715=Master!$H$1,B715="2012-2013",E715="",G715="PLN03"),H715,"")</f>
        <v/>
      </c>
      <c r="AA715" s="42" t="str">
        <f>IF(AND(C715=Master!$H$2,B715="2012-2013",E715&gt;1000,G715="PLN03"),H715,"")</f>
        <v/>
      </c>
      <c r="AB715" s="42" t="str">
        <f>IF(AND(C715=Master!$H$2,B715="2012-2013",E715="",G715="PLN03"),H715,"")</f>
        <v/>
      </c>
      <c r="AC715" s="42" t="str">
        <f>IF(AND(C715=Master!$H$3,B715="2012-2013",E715&gt;1000,G715="PLN03"),H715,"")</f>
        <v/>
      </c>
      <c r="AD715" s="42" t="str">
        <f>IF(AND(C715=Master!$H$3,B715="2012-2013",E715="",G715="PLN03"),H715,"")</f>
        <v/>
      </c>
      <c r="AE715" s="42" t="str">
        <f>IF(AND(C715=Master!$H$4,B715="2012-2013",E715&gt;1000,G715="PLN03"),H715,"")</f>
        <v/>
      </c>
      <c r="AF715" s="42" t="str">
        <f>IF(AND(C715=Master!$H$4,B715="2012-2013",E715="",G715="PLN03"),H715,"")</f>
        <v/>
      </c>
      <c r="AG715" s="42" t="str">
        <f>IF(AND(C715=Master!$H$5,B715="2012-2013",E715&gt;1000,G715="PLN03"),H715,"")</f>
        <v/>
      </c>
      <c r="AH715" s="42" t="str">
        <f>IF(AND(C715=Master!$H$5,B715="2012-2013",E715="",G715="PLN03"),H715,"")</f>
        <v/>
      </c>
      <c r="AI715" s="42" t="str">
        <f>IF(AND(C715=Master!$H$6,B715="2012-2013",E715&gt;1000,G715="PLN03"),H715,"")</f>
        <v/>
      </c>
      <c r="AJ715" s="42" t="str">
        <f>IF(AND(C715=Master!$H$6,B715="2012-2013",E715="",G715="PLN03"),H715,"")</f>
        <v/>
      </c>
      <c r="AK715" s="42" t="str">
        <f>IF(AND(C715=Master!$H$7,B715="2012-2013",E715&gt;1000,G715="PLN03"),H715,"")</f>
        <v/>
      </c>
      <c r="AL715" s="42" t="str">
        <f>IF(AND(C715=Master!$H$7,B715="2012-2013",E715="",G715="PLN03"),H715,"")</f>
        <v/>
      </c>
      <c r="AM715" s="42" t="str">
        <f>IF(AND(C715=Master!$H$8,B715="2012-2013",E715&gt;1000,G715="PLN03"),H715,"")</f>
        <v/>
      </c>
      <c r="AN715" s="42" t="str">
        <f>IF(AND(C715=Master!$H$8,B715="2012-2013",E715="",G715="PLN03"),H715,"")</f>
        <v/>
      </c>
      <c r="AO715" s="42" t="str">
        <f>IF(AND(C715=Master!$H$9,B715="2012-2013",E715&gt;1000,G715="PLN03"),H715,"")</f>
        <v/>
      </c>
      <c r="AP715" s="42" t="str">
        <f>IF(AND(C715=Master!$H$9,B715="2012-2013",E715="",G715="PLN03"),H715,"")</f>
        <v/>
      </c>
      <c r="AQ715" s="44" t="str">
        <f>IF(AND(C715=Master!$H$1,B715="2012-2013",E715&gt;1000,G715="NPN05"),H715,"")</f>
        <v/>
      </c>
      <c r="AR715" s="44" t="str">
        <f>IF(AND(C715=Master!$H$1,B715="2012-2013",E715="",G715="NPN05"),H715,"")</f>
        <v/>
      </c>
      <c r="AS715" s="44" t="str">
        <f>IF(AND(C715=Master!$H$2,B715="2012-2013",E715&gt;1000,G715="NPN05"),H715,"")</f>
        <v/>
      </c>
      <c r="AT715" s="44" t="str">
        <f>IF(AND(C715=Master!$H$2,B715="2012-2013",E715="",G715="NPN05"),H715,"")</f>
        <v/>
      </c>
      <c r="AU715" s="44" t="str">
        <f>IF(AND(C715=Master!$H$3,B715="2012-2013",E715&gt;1000,G715="NPN05"),H715,"")</f>
        <v/>
      </c>
      <c r="AV715" s="44" t="str">
        <f>IF(AND(C715=Master!$H$3,B715="2012-2013",E715="",G715="NPN05"),H715,"")</f>
        <v/>
      </c>
      <c r="AW715" s="44" t="str">
        <f>IF(AND(C715=Master!$H$4,B715="2012-2013",E715&gt;1000,G715="NPN05"),H715,"")</f>
        <v/>
      </c>
      <c r="AX715" s="44" t="str">
        <f>IF(AND(C715=Master!$H$4,B715="2012-2013",E715="",G715="NPN05"),H715,"")</f>
        <v/>
      </c>
      <c r="AY715" s="44" t="str">
        <f>IF(AND(C715=Master!$H$5,B715="2012-2013",E715&gt;1000,G715="NPN05"),H715,"")</f>
        <v/>
      </c>
      <c r="AZ715" s="44" t="str">
        <f>IF(AND(C715=Master!$H$5,B715="2012-2013",E715="",G715="NPN05"),H715,"")</f>
        <v/>
      </c>
      <c r="BA715" s="44" t="str">
        <f>IF(AND(C715=Master!$H$6,B715="2012-2013",E715&gt;1000,G715="NPN05"),H715,"")</f>
        <v/>
      </c>
      <c r="BB715" s="44" t="str">
        <f>IF(AND(C715=Master!$H$6,B715="2012-2013",E715="",G715="NPN05"),H715,"")</f>
        <v/>
      </c>
      <c r="BC715" s="44" t="str">
        <f>IF(AND(C715=Master!$H$7,B715="2012-2013",E715&gt;1000,G715="NPN05"),H715,"")</f>
        <v/>
      </c>
      <c r="BD715" s="44" t="str">
        <f>IF(AND(C715=Master!$H$7,B715="2012-2013",E715="",G715="NPN05"),H715,"")</f>
        <v/>
      </c>
      <c r="BE715" s="44" t="str">
        <f>IF(AND(C715=Master!$H$8,B715="2012-2013",E715&gt;1000,G715="NPN05"),H715,"")</f>
        <v/>
      </c>
      <c r="BF715" s="44" t="str">
        <f>IF(AND(C715=Master!$H$8,B715="2012-2013",E715="",G715="NPN05"),H715,"")</f>
        <v/>
      </c>
      <c r="BG715" s="44" t="str">
        <f>IF(AND(C715=Master!$H$9,B715="2012-2013",E715&gt;1000,G715="NPN05"),H715,"")</f>
        <v/>
      </c>
      <c r="BH715" s="44" t="str">
        <f>IF(AND(C715=Master!$H$9,B715="2012-2013",E715="",G715="NPN05"),H715,"")</f>
        <v/>
      </c>
    </row>
    <row r="716" spans="1:60" x14ac:dyDescent="0.25">
      <c r="A716" s="3">
        <v>714</v>
      </c>
      <c r="B716" s="12"/>
      <c r="C716" s="12"/>
      <c r="D716" s="31"/>
      <c r="E716" s="4"/>
      <c r="F716" s="13"/>
      <c r="G716" s="21"/>
      <c r="H716" s="35"/>
      <c r="I716" s="21"/>
      <c r="J716" s="25" t="str">
        <f>IF(NOT(I716=""),INDEX(Master!$B$1:$B$46,MATCH(I716,Master!$A$1:$A$46,0)),"")</f>
        <v/>
      </c>
      <c r="K716" s="18"/>
      <c r="L716" s="86"/>
      <c r="M716" s="13"/>
      <c r="N716" s="13"/>
      <c r="O716" s="18"/>
      <c r="P716" s="35"/>
      <c r="Q716" s="21"/>
      <c r="R716" s="21"/>
      <c r="S716" s="13"/>
      <c r="T716" s="12"/>
      <c r="U716" s="12"/>
      <c r="V716" s="12"/>
      <c r="W716" s="14"/>
      <c r="Y716" s="42" t="str">
        <f>IF(AND(C716=Master!$H$1,B716="2012-2013",E716&gt;1000,G716="PLN03"),H716,"")</f>
        <v/>
      </c>
      <c r="Z716" s="42" t="str">
        <f>IF(AND(C716=Master!$H$1,B716="2012-2013",E716="",G716="PLN03"),H716,"")</f>
        <v/>
      </c>
      <c r="AA716" s="42" t="str">
        <f>IF(AND(C716=Master!$H$2,B716="2012-2013",E716&gt;1000,G716="PLN03"),H716,"")</f>
        <v/>
      </c>
      <c r="AB716" s="42" t="str">
        <f>IF(AND(C716=Master!$H$2,B716="2012-2013",E716="",G716="PLN03"),H716,"")</f>
        <v/>
      </c>
      <c r="AC716" s="42" t="str">
        <f>IF(AND(C716=Master!$H$3,B716="2012-2013",E716&gt;1000,G716="PLN03"),H716,"")</f>
        <v/>
      </c>
      <c r="AD716" s="42" t="str">
        <f>IF(AND(C716=Master!$H$3,B716="2012-2013",E716="",G716="PLN03"),H716,"")</f>
        <v/>
      </c>
      <c r="AE716" s="42" t="str">
        <f>IF(AND(C716=Master!$H$4,B716="2012-2013",E716&gt;1000,G716="PLN03"),H716,"")</f>
        <v/>
      </c>
      <c r="AF716" s="42" t="str">
        <f>IF(AND(C716=Master!$H$4,B716="2012-2013",E716="",G716="PLN03"),H716,"")</f>
        <v/>
      </c>
      <c r="AG716" s="42" t="str">
        <f>IF(AND(C716=Master!$H$5,B716="2012-2013",E716&gt;1000,G716="PLN03"),H716,"")</f>
        <v/>
      </c>
      <c r="AH716" s="42" t="str">
        <f>IF(AND(C716=Master!$H$5,B716="2012-2013",E716="",G716="PLN03"),H716,"")</f>
        <v/>
      </c>
      <c r="AI716" s="42" t="str">
        <f>IF(AND(C716=Master!$H$6,B716="2012-2013",E716&gt;1000,G716="PLN03"),H716,"")</f>
        <v/>
      </c>
      <c r="AJ716" s="42" t="str">
        <f>IF(AND(C716=Master!$H$6,B716="2012-2013",E716="",G716="PLN03"),H716,"")</f>
        <v/>
      </c>
      <c r="AK716" s="42" t="str">
        <f>IF(AND(C716=Master!$H$7,B716="2012-2013",E716&gt;1000,G716="PLN03"),H716,"")</f>
        <v/>
      </c>
      <c r="AL716" s="42" t="str">
        <f>IF(AND(C716=Master!$H$7,B716="2012-2013",E716="",G716="PLN03"),H716,"")</f>
        <v/>
      </c>
      <c r="AM716" s="42" t="str">
        <f>IF(AND(C716=Master!$H$8,B716="2012-2013",E716&gt;1000,G716="PLN03"),H716,"")</f>
        <v/>
      </c>
      <c r="AN716" s="42" t="str">
        <f>IF(AND(C716=Master!$H$8,B716="2012-2013",E716="",G716="PLN03"),H716,"")</f>
        <v/>
      </c>
      <c r="AO716" s="42" t="str">
        <f>IF(AND(C716=Master!$H$9,B716="2012-2013",E716&gt;1000,G716="PLN03"),H716,"")</f>
        <v/>
      </c>
      <c r="AP716" s="42" t="str">
        <f>IF(AND(C716=Master!$H$9,B716="2012-2013",E716="",G716="PLN03"),H716,"")</f>
        <v/>
      </c>
      <c r="AQ716" s="44" t="str">
        <f>IF(AND(C716=Master!$H$1,B716="2012-2013",E716&gt;1000,G716="NPN05"),H716,"")</f>
        <v/>
      </c>
      <c r="AR716" s="44" t="str">
        <f>IF(AND(C716=Master!$H$1,B716="2012-2013",E716="",G716="NPN05"),H716,"")</f>
        <v/>
      </c>
      <c r="AS716" s="44" t="str">
        <f>IF(AND(C716=Master!$H$2,B716="2012-2013",E716&gt;1000,G716="NPN05"),H716,"")</f>
        <v/>
      </c>
      <c r="AT716" s="44" t="str">
        <f>IF(AND(C716=Master!$H$2,B716="2012-2013",E716="",G716="NPN05"),H716,"")</f>
        <v/>
      </c>
      <c r="AU716" s="44" t="str">
        <f>IF(AND(C716=Master!$H$3,B716="2012-2013",E716&gt;1000,G716="NPN05"),H716,"")</f>
        <v/>
      </c>
      <c r="AV716" s="44" t="str">
        <f>IF(AND(C716=Master!$H$3,B716="2012-2013",E716="",G716="NPN05"),H716,"")</f>
        <v/>
      </c>
      <c r="AW716" s="44" t="str">
        <f>IF(AND(C716=Master!$H$4,B716="2012-2013",E716&gt;1000,G716="NPN05"),H716,"")</f>
        <v/>
      </c>
      <c r="AX716" s="44" t="str">
        <f>IF(AND(C716=Master!$H$4,B716="2012-2013",E716="",G716="NPN05"),H716,"")</f>
        <v/>
      </c>
      <c r="AY716" s="44" t="str">
        <f>IF(AND(C716=Master!$H$5,B716="2012-2013",E716&gt;1000,G716="NPN05"),H716,"")</f>
        <v/>
      </c>
      <c r="AZ716" s="44" t="str">
        <f>IF(AND(C716=Master!$H$5,B716="2012-2013",E716="",G716="NPN05"),H716,"")</f>
        <v/>
      </c>
      <c r="BA716" s="44" t="str">
        <f>IF(AND(C716=Master!$H$6,B716="2012-2013",E716&gt;1000,G716="NPN05"),H716,"")</f>
        <v/>
      </c>
      <c r="BB716" s="44" t="str">
        <f>IF(AND(C716=Master!$H$6,B716="2012-2013",E716="",G716="NPN05"),H716,"")</f>
        <v/>
      </c>
      <c r="BC716" s="44" t="str">
        <f>IF(AND(C716=Master!$H$7,B716="2012-2013",E716&gt;1000,G716="NPN05"),H716,"")</f>
        <v/>
      </c>
      <c r="BD716" s="44" t="str">
        <f>IF(AND(C716=Master!$H$7,B716="2012-2013",E716="",G716="NPN05"),H716,"")</f>
        <v/>
      </c>
      <c r="BE716" s="44" t="str">
        <f>IF(AND(C716=Master!$H$8,B716="2012-2013",E716&gt;1000,G716="NPN05"),H716,"")</f>
        <v/>
      </c>
      <c r="BF716" s="44" t="str">
        <f>IF(AND(C716=Master!$H$8,B716="2012-2013",E716="",G716="NPN05"),H716,"")</f>
        <v/>
      </c>
      <c r="BG716" s="44" t="str">
        <f>IF(AND(C716=Master!$H$9,B716="2012-2013",E716&gt;1000,G716="NPN05"),H716,"")</f>
        <v/>
      </c>
      <c r="BH716" s="44" t="str">
        <f>IF(AND(C716=Master!$H$9,B716="2012-2013",E716="",G716="NPN05"),H716,"")</f>
        <v/>
      </c>
    </row>
    <row r="717" spans="1:60" x14ac:dyDescent="0.25">
      <c r="A717" s="3">
        <v>715</v>
      </c>
      <c r="B717" s="12"/>
      <c r="C717" s="12"/>
      <c r="D717" s="31"/>
      <c r="E717" s="4"/>
      <c r="F717" s="13"/>
      <c r="G717" s="21"/>
      <c r="H717" s="35"/>
      <c r="I717" s="21"/>
      <c r="J717" s="25" t="str">
        <f>IF(NOT(I717=""),INDEX(Master!$B$1:$B$46,MATCH(I717,Master!$A$1:$A$46,0)),"")</f>
        <v/>
      </c>
      <c r="K717" s="18"/>
      <c r="L717" s="86"/>
      <c r="M717" s="13"/>
      <c r="N717" s="13"/>
      <c r="O717" s="18"/>
      <c r="P717" s="35"/>
      <c r="Q717" s="21"/>
      <c r="R717" s="21"/>
      <c r="S717" s="13"/>
      <c r="T717" s="12"/>
      <c r="U717" s="12"/>
      <c r="V717" s="12"/>
      <c r="W717" s="14"/>
      <c r="Y717" s="42" t="str">
        <f>IF(AND(C717=Master!$H$1,B717="2012-2013",E717&gt;1000,G717="PLN03"),H717,"")</f>
        <v/>
      </c>
      <c r="Z717" s="42" t="str">
        <f>IF(AND(C717=Master!$H$1,B717="2012-2013",E717="",G717="PLN03"),H717,"")</f>
        <v/>
      </c>
      <c r="AA717" s="42" t="str">
        <f>IF(AND(C717=Master!$H$2,B717="2012-2013",E717&gt;1000,G717="PLN03"),H717,"")</f>
        <v/>
      </c>
      <c r="AB717" s="42" t="str">
        <f>IF(AND(C717=Master!$H$2,B717="2012-2013",E717="",G717="PLN03"),H717,"")</f>
        <v/>
      </c>
      <c r="AC717" s="42" t="str">
        <f>IF(AND(C717=Master!$H$3,B717="2012-2013",E717&gt;1000,G717="PLN03"),H717,"")</f>
        <v/>
      </c>
      <c r="AD717" s="42" t="str">
        <f>IF(AND(C717=Master!$H$3,B717="2012-2013",E717="",G717="PLN03"),H717,"")</f>
        <v/>
      </c>
      <c r="AE717" s="42" t="str">
        <f>IF(AND(C717=Master!$H$4,B717="2012-2013",E717&gt;1000,G717="PLN03"),H717,"")</f>
        <v/>
      </c>
      <c r="AF717" s="42" t="str">
        <f>IF(AND(C717=Master!$H$4,B717="2012-2013",E717="",G717="PLN03"),H717,"")</f>
        <v/>
      </c>
      <c r="AG717" s="42" t="str">
        <f>IF(AND(C717=Master!$H$5,B717="2012-2013",E717&gt;1000,G717="PLN03"),H717,"")</f>
        <v/>
      </c>
      <c r="AH717" s="42" t="str">
        <f>IF(AND(C717=Master!$H$5,B717="2012-2013",E717="",G717="PLN03"),H717,"")</f>
        <v/>
      </c>
      <c r="AI717" s="42" t="str">
        <f>IF(AND(C717=Master!$H$6,B717="2012-2013",E717&gt;1000,G717="PLN03"),H717,"")</f>
        <v/>
      </c>
      <c r="AJ717" s="42" t="str">
        <f>IF(AND(C717=Master!$H$6,B717="2012-2013",E717="",G717="PLN03"),H717,"")</f>
        <v/>
      </c>
      <c r="AK717" s="42" t="str">
        <f>IF(AND(C717=Master!$H$7,B717="2012-2013",E717&gt;1000,G717="PLN03"),H717,"")</f>
        <v/>
      </c>
      <c r="AL717" s="42" t="str">
        <f>IF(AND(C717=Master!$H$7,B717="2012-2013",E717="",G717="PLN03"),H717,"")</f>
        <v/>
      </c>
      <c r="AM717" s="42" t="str">
        <f>IF(AND(C717=Master!$H$8,B717="2012-2013",E717&gt;1000,G717="PLN03"),H717,"")</f>
        <v/>
      </c>
      <c r="AN717" s="42" t="str">
        <f>IF(AND(C717=Master!$H$8,B717="2012-2013",E717="",G717="PLN03"),H717,"")</f>
        <v/>
      </c>
      <c r="AO717" s="42" t="str">
        <f>IF(AND(C717=Master!$H$9,B717="2012-2013",E717&gt;1000,G717="PLN03"),H717,"")</f>
        <v/>
      </c>
      <c r="AP717" s="42" t="str">
        <f>IF(AND(C717=Master!$H$9,B717="2012-2013",E717="",G717="PLN03"),H717,"")</f>
        <v/>
      </c>
      <c r="AQ717" s="44" t="str">
        <f>IF(AND(C717=Master!$H$1,B717="2012-2013",E717&gt;1000,G717="NPN05"),H717,"")</f>
        <v/>
      </c>
      <c r="AR717" s="44" t="str">
        <f>IF(AND(C717=Master!$H$1,B717="2012-2013",E717="",G717="NPN05"),H717,"")</f>
        <v/>
      </c>
      <c r="AS717" s="44" t="str">
        <f>IF(AND(C717=Master!$H$2,B717="2012-2013",E717&gt;1000,G717="NPN05"),H717,"")</f>
        <v/>
      </c>
      <c r="AT717" s="44" t="str">
        <f>IF(AND(C717=Master!$H$2,B717="2012-2013",E717="",G717="NPN05"),H717,"")</f>
        <v/>
      </c>
      <c r="AU717" s="44" t="str">
        <f>IF(AND(C717=Master!$H$3,B717="2012-2013",E717&gt;1000,G717="NPN05"),H717,"")</f>
        <v/>
      </c>
      <c r="AV717" s="44" t="str">
        <f>IF(AND(C717=Master!$H$3,B717="2012-2013",E717="",G717="NPN05"),H717,"")</f>
        <v/>
      </c>
      <c r="AW717" s="44" t="str">
        <f>IF(AND(C717=Master!$H$4,B717="2012-2013",E717&gt;1000,G717="NPN05"),H717,"")</f>
        <v/>
      </c>
      <c r="AX717" s="44" t="str">
        <f>IF(AND(C717=Master!$H$4,B717="2012-2013",E717="",G717="NPN05"),H717,"")</f>
        <v/>
      </c>
      <c r="AY717" s="44" t="str">
        <f>IF(AND(C717=Master!$H$5,B717="2012-2013",E717&gt;1000,G717="NPN05"),H717,"")</f>
        <v/>
      </c>
      <c r="AZ717" s="44" t="str">
        <f>IF(AND(C717=Master!$H$5,B717="2012-2013",E717="",G717="NPN05"),H717,"")</f>
        <v/>
      </c>
      <c r="BA717" s="44" t="str">
        <f>IF(AND(C717=Master!$H$6,B717="2012-2013",E717&gt;1000,G717="NPN05"),H717,"")</f>
        <v/>
      </c>
      <c r="BB717" s="44" t="str">
        <f>IF(AND(C717=Master!$H$6,B717="2012-2013",E717="",G717="NPN05"),H717,"")</f>
        <v/>
      </c>
      <c r="BC717" s="44" t="str">
        <f>IF(AND(C717=Master!$H$7,B717="2012-2013",E717&gt;1000,G717="NPN05"),H717,"")</f>
        <v/>
      </c>
      <c r="BD717" s="44" t="str">
        <f>IF(AND(C717=Master!$H$7,B717="2012-2013",E717="",G717="NPN05"),H717,"")</f>
        <v/>
      </c>
      <c r="BE717" s="44" t="str">
        <f>IF(AND(C717=Master!$H$8,B717="2012-2013",E717&gt;1000,G717="NPN05"),H717,"")</f>
        <v/>
      </c>
      <c r="BF717" s="44" t="str">
        <f>IF(AND(C717=Master!$H$8,B717="2012-2013",E717="",G717="NPN05"),H717,"")</f>
        <v/>
      </c>
      <c r="BG717" s="44" t="str">
        <f>IF(AND(C717=Master!$H$9,B717="2012-2013",E717&gt;1000,G717="NPN05"),H717,"")</f>
        <v/>
      </c>
      <c r="BH717" s="44" t="str">
        <f>IF(AND(C717=Master!$H$9,B717="2012-2013",E717="",G717="NPN05"),H717,"")</f>
        <v/>
      </c>
    </row>
    <row r="718" spans="1:60" x14ac:dyDescent="0.25">
      <c r="A718" s="3">
        <v>716</v>
      </c>
      <c r="B718" s="12"/>
      <c r="C718" s="12"/>
      <c r="D718" s="31"/>
      <c r="E718" s="4"/>
      <c r="F718" s="13"/>
      <c r="G718" s="21"/>
      <c r="H718" s="35"/>
      <c r="I718" s="21"/>
      <c r="J718" s="25" t="str">
        <f>IF(NOT(I718=""),INDEX(Master!$B$1:$B$46,MATCH(I718,Master!$A$1:$A$46,0)),"")</f>
        <v/>
      </c>
      <c r="K718" s="18"/>
      <c r="L718" s="86"/>
      <c r="M718" s="13"/>
      <c r="N718" s="13"/>
      <c r="O718" s="18"/>
      <c r="P718" s="35"/>
      <c r="Q718" s="21"/>
      <c r="R718" s="21"/>
      <c r="S718" s="13"/>
      <c r="T718" s="12"/>
      <c r="U718" s="12"/>
      <c r="V718" s="12"/>
      <c r="W718" s="14"/>
      <c r="Y718" s="42" t="str">
        <f>IF(AND(C718=Master!$H$1,B718="2012-2013",E718&gt;1000,G718="PLN03"),H718,"")</f>
        <v/>
      </c>
      <c r="Z718" s="42" t="str">
        <f>IF(AND(C718=Master!$H$1,B718="2012-2013",E718="",G718="PLN03"),H718,"")</f>
        <v/>
      </c>
      <c r="AA718" s="42" t="str">
        <f>IF(AND(C718=Master!$H$2,B718="2012-2013",E718&gt;1000,G718="PLN03"),H718,"")</f>
        <v/>
      </c>
      <c r="AB718" s="42" t="str">
        <f>IF(AND(C718=Master!$H$2,B718="2012-2013",E718="",G718="PLN03"),H718,"")</f>
        <v/>
      </c>
      <c r="AC718" s="42" t="str">
        <f>IF(AND(C718=Master!$H$3,B718="2012-2013",E718&gt;1000,G718="PLN03"),H718,"")</f>
        <v/>
      </c>
      <c r="AD718" s="42" t="str">
        <f>IF(AND(C718=Master!$H$3,B718="2012-2013",E718="",G718="PLN03"),H718,"")</f>
        <v/>
      </c>
      <c r="AE718" s="42" t="str">
        <f>IF(AND(C718=Master!$H$4,B718="2012-2013",E718&gt;1000,G718="PLN03"),H718,"")</f>
        <v/>
      </c>
      <c r="AF718" s="42" t="str">
        <f>IF(AND(C718=Master!$H$4,B718="2012-2013",E718="",G718="PLN03"),H718,"")</f>
        <v/>
      </c>
      <c r="AG718" s="42" t="str">
        <f>IF(AND(C718=Master!$H$5,B718="2012-2013",E718&gt;1000,G718="PLN03"),H718,"")</f>
        <v/>
      </c>
      <c r="AH718" s="42" t="str">
        <f>IF(AND(C718=Master!$H$5,B718="2012-2013",E718="",G718="PLN03"),H718,"")</f>
        <v/>
      </c>
      <c r="AI718" s="42" t="str">
        <f>IF(AND(C718=Master!$H$6,B718="2012-2013",E718&gt;1000,G718="PLN03"),H718,"")</f>
        <v/>
      </c>
      <c r="AJ718" s="42" t="str">
        <f>IF(AND(C718=Master!$H$6,B718="2012-2013",E718="",G718="PLN03"),H718,"")</f>
        <v/>
      </c>
      <c r="AK718" s="42" t="str">
        <f>IF(AND(C718=Master!$H$7,B718="2012-2013",E718&gt;1000,G718="PLN03"),H718,"")</f>
        <v/>
      </c>
      <c r="AL718" s="42" t="str">
        <f>IF(AND(C718=Master!$H$7,B718="2012-2013",E718="",G718="PLN03"),H718,"")</f>
        <v/>
      </c>
      <c r="AM718" s="42" t="str">
        <f>IF(AND(C718=Master!$H$8,B718="2012-2013",E718&gt;1000,G718="PLN03"),H718,"")</f>
        <v/>
      </c>
      <c r="AN718" s="42" t="str">
        <f>IF(AND(C718=Master!$H$8,B718="2012-2013",E718="",G718="PLN03"),H718,"")</f>
        <v/>
      </c>
      <c r="AO718" s="42" t="str">
        <f>IF(AND(C718=Master!$H$9,B718="2012-2013",E718&gt;1000,G718="PLN03"),H718,"")</f>
        <v/>
      </c>
      <c r="AP718" s="42" t="str">
        <f>IF(AND(C718=Master!$H$9,B718="2012-2013",E718="",G718="PLN03"),H718,"")</f>
        <v/>
      </c>
      <c r="AQ718" s="44" t="str">
        <f>IF(AND(C718=Master!$H$1,B718="2012-2013",E718&gt;1000,G718="NPN05"),H718,"")</f>
        <v/>
      </c>
      <c r="AR718" s="44" t="str">
        <f>IF(AND(C718=Master!$H$1,B718="2012-2013",E718="",G718="NPN05"),H718,"")</f>
        <v/>
      </c>
      <c r="AS718" s="44" t="str">
        <f>IF(AND(C718=Master!$H$2,B718="2012-2013",E718&gt;1000,G718="NPN05"),H718,"")</f>
        <v/>
      </c>
      <c r="AT718" s="44" t="str">
        <f>IF(AND(C718=Master!$H$2,B718="2012-2013",E718="",G718="NPN05"),H718,"")</f>
        <v/>
      </c>
      <c r="AU718" s="44" t="str">
        <f>IF(AND(C718=Master!$H$3,B718="2012-2013",E718&gt;1000,G718="NPN05"),H718,"")</f>
        <v/>
      </c>
      <c r="AV718" s="44" t="str">
        <f>IF(AND(C718=Master!$H$3,B718="2012-2013",E718="",G718="NPN05"),H718,"")</f>
        <v/>
      </c>
      <c r="AW718" s="44" t="str">
        <f>IF(AND(C718=Master!$H$4,B718="2012-2013",E718&gt;1000,G718="NPN05"),H718,"")</f>
        <v/>
      </c>
      <c r="AX718" s="44" t="str">
        <f>IF(AND(C718=Master!$H$4,B718="2012-2013",E718="",G718="NPN05"),H718,"")</f>
        <v/>
      </c>
      <c r="AY718" s="44" t="str">
        <f>IF(AND(C718=Master!$H$5,B718="2012-2013",E718&gt;1000,G718="NPN05"),H718,"")</f>
        <v/>
      </c>
      <c r="AZ718" s="44" t="str">
        <f>IF(AND(C718=Master!$H$5,B718="2012-2013",E718="",G718="NPN05"),H718,"")</f>
        <v/>
      </c>
      <c r="BA718" s="44" t="str">
        <f>IF(AND(C718=Master!$H$6,B718="2012-2013",E718&gt;1000,G718="NPN05"),H718,"")</f>
        <v/>
      </c>
      <c r="BB718" s="44" t="str">
        <f>IF(AND(C718=Master!$H$6,B718="2012-2013",E718="",G718="NPN05"),H718,"")</f>
        <v/>
      </c>
      <c r="BC718" s="44" t="str">
        <f>IF(AND(C718=Master!$H$7,B718="2012-2013",E718&gt;1000,G718="NPN05"),H718,"")</f>
        <v/>
      </c>
      <c r="BD718" s="44" t="str">
        <f>IF(AND(C718=Master!$H$7,B718="2012-2013",E718="",G718="NPN05"),H718,"")</f>
        <v/>
      </c>
      <c r="BE718" s="44" t="str">
        <f>IF(AND(C718=Master!$H$8,B718="2012-2013",E718&gt;1000,G718="NPN05"),H718,"")</f>
        <v/>
      </c>
      <c r="BF718" s="44" t="str">
        <f>IF(AND(C718=Master!$H$8,B718="2012-2013",E718="",G718="NPN05"),H718,"")</f>
        <v/>
      </c>
      <c r="BG718" s="44" t="str">
        <f>IF(AND(C718=Master!$H$9,B718="2012-2013",E718&gt;1000,G718="NPN05"),H718,"")</f>
        <v/>
      </c>
      <c r="BH718" s="44" t="str">
        <f>IF(AND(C718=Master!$H$9,B718="2012-2013",E718="",G718="NPN05"),H718,"")</f>
        <v/>
      </c>
    </row>
    <row r="719" spans="1:60" x14ac:dyDescent="0.25">
      <c r="A719" s="3">
        <v>717</v>
      </c>
      <c r="B719" s="12"/>
      <c r="C719" s="12"/>
      <c r="D719" s="31"/>
      <c r="E719" s="4"/>
      <c r="F719" s="13"/>
      <c r="G719" s="21"/>
      <c r="H719" s="35"/>
      <c r="I719" s="21"/>
      <c r="J719" s="25" t="str">
        <f>IF(NOT(I719=""),INDEX(Master!$B$1:$B$46,MATCH(I719,Master!$A$1:$A$46,0)),"")</f>
        <v/>
      </c>
      <c r="K719" s="18"/>
      <c r="L719" s="86"/>
      <c r="M719" s="13"/>
      <c r="N719" s="13"/>
      <c r="O719" s="18"/>
      <c r="P719" s="35"/>
      <c r="Q719" s="21"/>
      <c r="R719" s="21"/>
      <c r="S719" s="13"/>
      <c r="T719" s="12"/>
      <c r="U719" s="12"/>
      <c r="V719" s="12"/>
      <c r="W719" s="14"/>
      <c r="Y719" s="42" t="str">
        <f>IF(AND(C719=Master!$H$1,B719="2012-2013",E719&gt;1000,G719="PLN03"),H719,"")</f>
        <v/>
      </c>
      <c r="Z719" s="42" t="str">
        <f>IF(AND(C719=Master!$H$1,B719="2012-2013",E719="",G719="PLN03"),H719,"")</f>
        <v/>
      </c>
      <c r="AA719" s="42" t="str">
        <f>IF(AND(C719=Master!$H$2,B719="2012-2013",E719&gt;1000,G719="PLN03"),H719,"")</f>
        <v/>
      </c>
      <c r="AB719" s="42" t="str">
        <f>IF(AND(C719=Master!$H$2,B719="2012-2013",E719="",G719="PLN03"),H719,"")</f>
        <v/>
      </c>
      <c r="AC719" s="42" t="str">
        <f>IF(AND(C719=Master!$H$3,B719="2012-2013",E719&gt;1000,G719="PLN03"),H719,"")</f>
        <v/>
      </c>
      <c r="AD719" s="42" t="str">
        <f>IF(AND(C719=Master!$H$3,B719="2012-2013",E719="",G719="PLN03"),H719,"")</f>
        <v/>
      </c>
      <c r="AE719" s="42" t="str">
        <f>IF(AND(C719=Master!$H$4,B719="2012-2013",E719&gt;1000,G719="PLN03"),H719,"")</f>
        <v/>
      </c>
      <c r="AF719" s="42" t="str">
        <f>IF(AND(C719=Master!$H$4,B719="2012-2013",E719="",G719="PLN03"),H719,"")</f>
        <v/>
      </c>
      <c r="AG719" s="42" t="str">
        <f>IF(AND(C719=Master!$H$5,B719="2012-2013",E719&gt;1000,G719="PLN03"),H719,"")</f>
        <v/>
      </c>
      <c r="AH719" s="42" t="str">
        <f>IF(AND(C719=Master!$H$5,B719="2012-2013",E719="",G719="PLN03"),H719,"")</f>
        <v/>
      </c>
      <c r="AI719" s="42" t="str">
        <f>IF(AND(C719=Master!$H$6,B719="2012-2013",E719&gt;1000,G719="PLN03"),H719,"")</f>
        <v/>
      </c>
      <c r="AJ719" s="42" t="str">
        <f>IF(AND(C719=Master!$H$6,B719="2012-2013",E719="",G719="PLN03"),H719,"")</f>
        <v/>
      </c>
      <c r="AK719" s="42" t="str">
        <f>IF(AND(C719=Master!$H$7,B719="2012-2013",E719&gt;1000,G719="PLN03"),H719,"")</f>
        <v/>
      </c>
      <c r="AL719" s="42" t="str">
        <f>IF(AND(C719=Master!$H$7,B719="2012-2013",E719="",G719="PLN03"),H719,"")</f>
        <v/>
      </c>
      <c r="AM719" s="42" t="str">
        <f>IF(AND(C719=Master!$H$8,B719="2012-2013",E719&gt;1000,G719="PLN03"),H719,"")</f>
        <v/>
      </c>
      <c r="AN719" s="42" t="str">
        <f>IF(AND(C719=Master!$H$8,B719="2012-2013",E719="",G719="PLN03"),H719,"")</f>
        <v/>
      </c>
      <c r="AO719" s="42" t="str">
        <f>IF(AND(C719=Master!$H$9,B719="2012-2013",E719&gt;1000,G719="PLN03"),H719,"")</f>
        <v/>
      </c>
      <c r="AP719" s="42" t="str">
        <f>IF(AND(C719=Master!$H$9,B719="2012-2013",E719="",G719="PLN03"),H719,"")</f>
        <v/>
      </c>
      <c r="AQ719" s="44" t="str">
        <f>IF(AND(C719=Master!$H$1,B719="2012-2013",E719&gt;1000,G719="NPN05"),H719,"")</f>
        <v/>
      </c>
      <c r="AR719" s="44" t="str">
        <f>IF(AND(C719=Master!$H$1,B719="2012-2013",E719="",G719="NPN05"),H719,"")</f>
        <v/>
      </c>
      <c r="AS719" s="44" t="str">
        <f>IF(AND(C719=Master!$H$2,B719="2012-2013",E719&gt;1000,G719="NPN05"),H719,"")</f>
        <v/>
      </c>
      <c r="AT719" s="44" t="str">
        <f>IF(AND(C719=Master!$H$2,B719="2012-2013",E719="",G719="NPN05"),H719,"")</f>
        <v/>
      </c>
      <c r="AU719" s="44" t="str">
        <f>IF(AND(C719=Master!$H$3,B719="2012-2013",E719&gt;1000,G719="NPN05"),H719,"")</f>
        <v/>
      </c>
      <c r="AV719" s="44" t="str">
        <f>IF(AND(C719=Master!$H$3,B719="2012-2013",E719="",G719="NPN05"),H719,"")</f>
        <v/>
      </c>
      <c r="AW719" s="44" t="str">
        <f>IF(AND(C719=Master!$H$4,B719="2012-2013",E719&gt;1000,G719="NPN05"),H719,"")</f>
        <v/>
      </c>
      <c r="AX719" s="44" t="str">
        <f>IF(AND(C719=Master!$H$4,B719="2012-2013",E719="",G719="NPN05"),H719,"")</f>
        <v/>
      </c>
      <c r="AY719" s="44" t="str">
        <f>IF(AND(C719=Master!$H$5,B719="2012-2013",E719&gt;1000,G719="NPN05"),H719,"")</f>
        <v/>
      </c>
      <c r="AZ719" s="44" t="str">
        <f>IF(AND(C719=Master!$H$5,B719="2012-2013",E719="",G719="NPN05"),H719,"")</f>
        <v/>
      </c>
      <c r="BA719" s="44" t="str">
        <f>IF(AND(C719=Master!$H$6,B719="2012-2013",E719&gt;1000,G719="NPN05"),H719,"")</f>
        <v/>
      </c>
      <c r="BB719" s="44" t="str">
        <f>IF(AND(C719=Master!$H$6,B719="2012-2013",E719="",G719="NPN05"),H719,"")</f>
        <v/>
      </c>
      <c r="BC719" s="44" t="str">
        <f>IF(AND(C719=Master!$H$7,B719="2012-2013",E719&gt;1000,G719="NPN05"),H719,"")</f>
        <v/>
      </c>
      <c r="BD719" s="44" t="str">
        <f>IF(AND(C719=Master!$H$7,B719="2012-2013",E719="",G719="NPN05"),H719,"")</f>
        <v/>
      </c>
      <c r="BE719" s="44" t="str">
        <f>IF(AND(C719=Master!$H$8,B719="2012-2013",E719&gt;1000,G719="NPN05"),H719,"")</f>
        <v/>
      </c>
      <c r="BF719" s="44" t="str">
        <f>IF(AND(C719=Master!$H$8,B719="2012-2013",E719="",G719="NPN05"),H719,"")</f>
        <v/>
      </c>
      <c r="BG719" s="44" t="str">
        <f>IF(AND(C719=Master!$H$9,B719="2012-2013",E719&gt;1000,G719="NPN05"),H719,"")</f>
        <v/>
      </c>
      <c r="BH719" s="44" t="str">
        <f>IF(AND(C719=Master!$H$9,B719="2012-2013",E719="",G719="NPN05"),H719,"")</f>
        <v/>
      </c>
    </row>
    <row r="720" spans="1:60" x14ac:dyDescent="0.25">
      <c r="A720" s="3">
        <v>718</v>
      </c>
      <c r="B720" s="12"/>
      <c r="C720" s="12"/>
      <c r="D720" s="31"/>
      <c r="E720" s="4"/>
      <c r="F720" s="13"/>
      <c r="G720" s="21"/>
      <c r="H720" s="35"/>
      <c r="I720" s="21"/>
      <c r="J720" s="25" t="str">
        <f>IF(NOT(I720=""),INDEX(Master!$B$1:$B$46,MATCH(I720,Master!$A$1:$A$46,0)),"")</f>
        <v/>
      </c>
      <c r="K720" s="18"/>
      <c r="L720" s="86"/>
      <c r="M720" s="13"/>
      <c r="N720" s="13"/>
      <c r="O720" s="18"/>
      <c r="P720" s="35"/>
      <c r="Q720" s="21"/>
      <c r="R720" s="21"/>
      <c r="S720" s="13"/>
      <c r="T720" s="12"/>
      <c r="U720" s="12"/>
      <c r="V720" s="12"/>
      <c r="W720" s="14"/>
      <c r="Y720" s="42" t="str">
        <f>IF(AND(C720=Master!$H$1,B720="2012-2013",E720&gt;1000,G720="PLN03"),H720,"")</f>
        <v/>
      </c>
      <c r="Z720" s="42" t="str">
        <f>IF(AND(C720=Master!$H$1,B720="2012-2013",E720="",G720="PLN03"),H720,"")</f>
        <v/>
      </c>
      <c r="AA720" s="42" t="str">
        <f>IF(AND(C720=Master!$H$2,B720="2012-2013",E720&gt;1000,G720="PLN03"),H720,"")</f>
        <v/>
      </c>
      <c r="AB720" s="42" t="str">
        <f>IF(AND(C720=Master!$H$2,B720="2012-2013",E720="",G720="PLN03"),H720,"")</f>
        <v/>
      </c>
      <c r="AC720" s="42" t="str">
        <f>IF(AND(C720=Master!$H$3,B720="2012-2013",E720&gt;1000,G720="PLN03"),H720,"")</f>
        <v/>
      </c>
      <c r="AD720" s="42" t="str">
        <f>IF(AND(C720=Master!$H$3,B720="2012-2013",E720="",G720="PLN03"),H720,"")</f>
        <v/>
      </c>
      <c r="AE720" s="42" t="str">
        <f>IF(AND(C720=Master!$H$4,B720="2012-2013",E720&gt;1000,G720="PLN03"),H720,"")</f>
        <v/>
      </c>
      <c r="AF720" s="42" t="str">
        <f>IF(AND(C720=Master!$H$4,B720="2012-2013",E720="",G720="PLN03"),H720,"")</f>
        <v/>
      </c>
      <c r="AG720" s="42" t="str">
        <f>IF(AND(C720=Master!$H$5,B720="2012-2013",E720&gt;1000,G720="PLN03"),H720,"")</f>
        <v/>
      </c>
      <c r="AH720" s="42" t="str">
        <f>IF(AND(C720=Master!$H$5,B720="2012-2013",E720="",G720="PLN03"),H720,"")</f>
        <v/>
      </c>
      <c r="AI720" s="42" t="str">
        <f>IF(AND(C720=Master!$H$6,B720="2012-2013",E720&gt;1000,G720="PLN03"),H720,"")</f>
        <v/>
      </c>
      <c r="AJ720" s="42" t="str">
        <f>IF(AND(C720=Master!$H$6,B720="2012-2013",E720="",G720="PLN03"),H720,"")</f>
        <v/>
      </c>
      <c r="AK720" s="42" t="str">
        <f>IF(AND(C720=Master!$H$7,B720="2012-2013",E720&gt;1000,G720="PLN03"),H720,"")</f>
        <v/>
      </c>
      <c r="AL720" s="42" t="str">
        <f>IF(AND(C720=Master!$H$7,B720="2012-2013",E720="",G720="PLN03"),H720,"")</f>
        <v/>
      </c>
      <c r="AM720" s="42" t="str">
        <f>IF(AND(C720=Master!$H$8,B720="2012-2013",E720&gt;1000,G720="PLN03"),H720,"")</f>
        <v/>
      </c>
      <c r="AN720" s="42" t="str">
        <f>IF(AND(C720=Master!$H$8,B720="2012-2013",E720="",G720="PLN03"),H720,"")</f>
        <v/>
      </c>
      <c r="AO720" s="42" t="str">
        <f>IF(AND(C720=Master!$H$9,B720="2012-2013",E720&gt;1000,G720="PLN03"),H720,"")</f>
        <v/>
      </c>
      <c r="AP720" s="42" t="str">
        <f>IF(AND(C720=Master!$H$9,B720="2012-2013",E720="",G720="PLN03"),H720,"")</f>
        <v/>
      </c>
      <c r="AQ720" s="44" t="str">
        <f>IF(AND(C720=Master!$H$1,B720="2012-2013",E720&gt;1000,G720="NPN05"),H720,"")</f>
        <v/>
      </c>
      <c r="AR720" s="44" t="str">
        <f>IF(AND(C720=Master!$H$1,B720="2012-2013",E720="",G720="NPN05"),H720,"")</f>
        <v/>
      </c>
      <c r="AS720" s="44" t="str">
        <f>IF(AND(C720=Master!$H$2,B720="2012-2013",E720&gt;1000,G720="NPN05"),H720,"")</f>
        <v/>
      </c>
      <c r="AT720" s="44" t="str">
        <f>IF(AND(C720=Master!$H$2,B720="2012-2013",E720="",G720="NPN05"),H720,"")</f>
        <v/>
      </c>
      <c r="AU720" s="44" t="str">
        <f>IF(AND(C720=Master!$H$3,B720="2012-2013",E720&gt;1000,G720="NPN05"),H720,"")</f>
        <v/>
      </c>
      <c r="AV720" s="44" t="str">
        <f>IF(AND(C720=Master!$H$3,B720="2012-2013",E720="",G720="NPN05"),H720,"")</f>
        <v/>
      </c>
      <c r="AW720" s="44" t="str">
        <f>IF(AND(C720=Master!$H$4,B720="2012-2013",E720&gt;1000,G720="NPN05"),H720,"")</f>
        <v/>
      </c>
      <c r="AX720" s="44" t="str">
        <f>IF(AND(C720=Master!$H$4,B720="2012-2013",E720="",G720="NPN05"),H720,"")</f>
        <v/>
      </c>
      <c r="AY720" s="44" t="str">
        <f>IF(AND(C720=Master!$H$5,B720="2012-2013",E720&gt;1000,G720="NPN05"),H720,"")</f>
        <v/>
      </c>
      <c r="AZ720" s="44" t="str">
        <f>IF(AND(C720=Master!$H$5,B720="2012-2013",E720="",G720="NPN05"),H720,"")</f>
        <v/>
      </c>
      <c r="BA720" s="44" t="str">
        <f>IF(AND(C720=Master!$H$6,B720="2012-2013",E720&gt;1000,G720="NPN05"),H720,"")</f>
        <v/>
      </c>
      <c r="BB720" s="44" t="str">
        <f>IF(AND(C720=Master!$H$6,B720="2012-2013",E720="",G720="NPN05"),H720,"")</f>
        <v/>
      </c>
      <c r="BC720" s="44" t="str">
        <f>IF(AND(C720=Master!$H$7,B720="2012-2013",E720&gt;1000,G720="NPN05"),H720,"")</f>
        <v/>
      </c>
      <c r="BD720" s="44" t="str">
        <f>IF(AND(C720=Master!$H$7,B720="2012-2013",E720="",G720="NPN05"),H720,"")</f>
        <v/>
      </c>
      <c r="BE720" s="44" t="str">
        <f>IF(AND(C720=Master!$H$8,B720="2012-2013",E720&gt;1000,G720="NPN05"),H720,"")</f>
        <v/>
      </c>
      <c r="BF720" s="44" t="str">
        <f>IF(AND(C720=Master!$H$8,B720="2012-2013",E720="",G720="NPN05"),H720,"")</f>
        <v/>
      </c>
      <c r="BG720" s="44" t="str">
        <f>IF(AND(C720=Master!$H$9,B720="2012-2013",E720&gt;1000,G720="NPN05"),H720,"")</f>
        <v/>
      </c>
      <c r="BH720" s="44" t="str">
        <f>IF(AND(C720=Master!$H$9,B720="2012-2013",E720="",G720="NPN05"),H720,"")</f>
        <v/>
      </c>
    </row>
    <row r="721" spans="1:60" x14ac:dyDescent="0.25">
      <c r="A721" s="3">
        <v>719</v>
      </c>
      <c r="B721" s="12"/>
      <c r="C721" s="12"/>
      <c r="D721" s="31"/>
      <c r="E721" s="4"/>
      <c r="F721" s="13"/>
      <c r="G721" s="21"/>
      <c r="H721" s="35"/>
      <c r="I721" s="21"/>
      <c r="J721" s="25" t="str">
        <f>IF(NOT(I721=""),INDEX(Master!$B$1:$B$46,MATCH(I721,Master!$A$1:$A$46,0)),"")</f>
        <v/>
      </c>
      <c r="K721" s="18"/>
      <c r="L721" s="86"/>
      <c r="M721" s="13"/>
      <c r="N721" s="13"/>
      <c r="O721" s="18"/>
      <c r="P721" s="35"/>
      <c r="Q721" s="21"/>
      <c r="R721" s="21"/>
      <c r="S721" s="13"/>
      <c r="T721" s="12"/>
      <c r="U721" s="12"/>
      <c r="V721" s="12"/>
      <c r="W721" s="14"/>
      <c r="Y721" s="42" t="str">
        <f>IF(AND(C721=Master!$H$1,B721="2012-2013",E721&gt;1000,G721="PLN03"),H721,"")</f>
        <v/>
      </c>
      <c r="Z721" s="42" t="str">
        <f>IF(AND(C721=Master!$H$1,B721="2012-2013",E721="",G721="PLN03"),H721,"")</f>
        <v/>
      </c>
      <c r="AA721" s="42" t="str">
        <f>IF(AND(C721=Master!$H$2,B721="2012-2013",E721&gt;1000,G721="PLN03"),H721,"")</f>
        <v/>
      </c>
      <c r="AB721" s="42" t="str">
        <f>IF(AND(C721=Master!$H$2,B721="2012-2013",E721="",G721="PLN03"),H721,"")</f>
        <v/>
      </c>
      <c r="AC721" s="42" t="str">
        <f>IF(AND(C721=Master!$H$3,B721="2012-2013",E721&gt;1000,G721="PLN03"),H721,"")</f>
        <v/>
      </c>
      <c r="AD721" s="42" t="str">
        <f>IF(AND(C721=Master!$H$3,B721="2012-2013",E721="",G721="PLN03"),H721,"")</f>
        <v/>
      </c>
      <c r="AE721" s="42" t="str">
        <f>IF(AND(C721=Master!$H$4,B721="2012-2013",E721&gt;1000,G721="PLN03"),H721,"")</f>
        <v/>
      </c>
      <c r="AF721" s="42" t="str">
        <f>IF(AND(C721=Master!$H$4,B721="2012-2013",E721="",G721="PLN03"),H721,"")</f>
        <v/>
      </c>
      <c r="AG721" s="42" t="str">
        <f>IF(AND(C721=Master!$H$5,B721="2012-2013",E721&gt;1000,G721="PLN03"),H721,"")</f>
        <v/>
      </c>
      <c r="AH721" s="42" t="str">
        <f>IF(AND(C721=Master!$H$5,B721="2012-2013",E721="",G721="PLN03"),H721,"")</f>
        <v/>
      </c>
      <c r="AI721" s="42" t="str">
        <f>IF(AND(C721=Master!$H$6,B721="2012-2013",E721&gt;1000,G721="PLN03"),H721,"")</f>
        <v/>
      </c>
      <c r="AJ721" s="42" t="str">
        <f>IF(AND(C721=Master!$H$6,B721="2012-2013",E721="",G721="PLN03"),H721,"")</f>
        <v/>
      </c>
      <c r="AK721" s="42" t="str">
        <f>IF(AND(C721=Master!$H$7,B721="2012-2013",E721&gt;1000,G721="PLN03"),H721,"")</f>
        <v/>
      </c>
      <c r="AL721" s="42" t="str">
        <f>IF(AND(C721=Master!$H$7,B721="2012-2013",E721="",G721="PLN03"),H721,"")</f>
        <v/>
      </c>
      <c r="AM721" s="42" t="str">
        <f>IF(AND(C721=Master!$H$8,B721="2012-2013",E721&gt;1000,G721="PLN03"),H721,"")</f>
        <v/>
      </c>
      <c r="AN721" s="42" t="str">
        <f>IF(AND(C721=Master!$H$8,B721="2012-2013",E721="",G721="PLN03"),H721,"")</f>
        <v/>
      </c>
      <c r="AO721" s="42" t="str">
        <f>IF(AND(C721=Master!$H$9,B721="2012-2013",E721&gt;1000,G721="PLN03"),H721,"")</f>
        <v/>
      </c>
      <c r="AP721" s="42" t="str">
        <f>IF(AND(C721=Master!$H$9,B721="2012-2013",E721="",G721="PLN03"),H721,"")</f>
        <v/>
      </c>
      <c r="AQ721" s="44" t="str">
        <f>IF(AND(C721=Master!$H$1,B721="2012-2013",E721&gt;1000,G721="NPN05"),H721,"")</f>
        <v/>
      </c>
      <c r="AR721" s="44" t="str">
        <f>IF(AND(C721=Master!$H$1,B721="2012-2013",E721="",G721="NPN05"),H721,"")</f>
        <v/>
      </c>
      <c r="AS721" s="44" t="str">
        <f>IF(AND(C721=Master!$H$2,B721="2012-2013",E721&gt;1000,G721="NPN05"),H721,"")</f>
        <v/>
      </c>
      <c r="AT721" s="44" t="str">
        <f>IF(AND(C721=Master!$H$2,B721="2012-2013",E721="",G721="NPN05"),H721,"")</f>
        <v/>
      </c>
      <c r="AU721" s="44" t="str">
        <f>IF(AND(C721=Master!$H$3,B721="2012-2013",E721&gt;1000,G721="NPN05"),H721,"")</f>
        <v/>
      </c>
      <c r="AV721" s="44" t="str">
        <f>IF(AND(C721=Master!$H$3,B721="2012-2013",E721="",G721="NPN05"),H721,"")</f>
        <v/>
      </c>
      <c r="AW721" s="44" t="str">
        <f>IF(AND(C721=Master!$H$4,B721="2012-2013",E721&gt;1000,G721="NPN05"),H721,"")</f>
        <v/>
      </c>
      <c r="AX721" s="44" t="str">
        <f>IF(AND(C721=Master!$H$4,B721="2012-2013",E721="",G721="NPN05"),H721,"")</f>
        <v/>
      </c>
      <c r="AY721" s="44" t="str">
        <f>IF(AND(C721=Master!$H$5,B721="2012-2013",E721&gt;1000,G721="NPN05"),H721,"")</f>
        <v/>
      </c>
      <c r="AZ721" s="44" t="str">
        <f>IF(AND(C721=Master!$H$5,B721="2012-2013",E721="",G721="NPN05"),H721,"")</f>
        <v/>
      </c>
      <c r="BA721" s="44" t="str">
        <f>IF(AND(C721=Master!$H$6,B721="2012-2013",E721&gt;1000,G721="NPN05"),H721,"")</f>
        <v/>
      </c>
      <c r="BB721" s="44" t="str">
        <f>IF(AND(C721=Master!$H$6,B721="2012-2013",E721="",G721="NPN05"),H721,"")</f>
        <v/>
      </c>
      <c r="BC721" s="44" t="str">
        <f>IF(AND(C721=Master!$H$7,B721="2012-2013",E721&gt;1000,G721="NPN05"),H721,"")</f>
        <v/>
      </c>
      <c r="BD721" s="44" t="str">
        <f>IF(AND(C721=Master!$H$7,B721="2012-2013",E721="",G721="NPN05"),H721,"")</f>
        <v/>
      </c>
      <c r="BE721" s="44" t="str">
        <f>IF(AND(C721=Master!$H$8,B721="2012-2013",E721&gt;1000,G721="NPN05"),H721,"")</f>
        <v/>
      </c>
      <c r="BF721" s="44" t="str">
        <f>IF(AND(C721=Master!$H$8,B721="2012-2013",E721="",G721="NPN05"),H721,"")</f>
        <v/>
      </c>
      <c r="BG721" s="44" t="str">
        <f>IF(AND(C721=Master!$H$9,B721="2012-2013",E721&gt;1000,G721="NPN05"),H721,"")</f>
        <v/>
      </c>
      <c r="BH721" s="44" t="str">
        <f>IF(AND(C721=Master!$H$9,B721="2012-2013",E721="",G721="NPN05"),H721,"")</f>
        <v/>
      </c>
    </row>
    <row r="722" spans="1:60" x14ac:dyDescent="0.25">
      <c r="A722" s="3">
        <v>720</v>
      </c>
      <c r="B722" s="12"/>
      <c r="C722" s="12"/>
      <c r="D722" s="31"/>
      <c r="E722" s="4"/>
      <c r="F722" s="13"/>
      <c r="G722" s="21"/>
      <c r="H722" s="35"/>
      <c r="I722" s="21"/>
      <c r="J722" s="25" t="str">
        <f>IF(NOT(I722=""),INDEX(Master!$B$1:$B$46,MATCH(I722,Master!$A$1:$A$46,0)),"")</f>
        <v/>
      </c>
      <c r="K722" s="18"/>
      <c r="L722" s="86"/>
      <c r="M722" s="13"/>
      <c r="N722" s="13"/>
      <c r="O722" s="18"/>
      <c r="P722" s="35"/>
      <c r="Q722" s="21"/>
      <c r="R722" s="21"/>
      <c r="S722" s="13"/>
      <c r="T722" s="12"/>
      <c r="U722" s="12"/>
      <c r="V722" s="12"/>
      <c r="W722" s="14"/>
      <c r="Y722" s="42" t="str">
        <f>IF(AND(C722=Master!$H$1,B722="2012-2013",E722&gt;1000,G722="PLN03"),H722,"")</f>
        <v/>
      </c>
      <c r="Z722" s="42" t="str">
        <f>IF(AND(C722=Master!$H$1,B722="2012-2013",E722="",G722="PLN03"),H722,"")</f>
        <v/>
      </c>
      <c r="AA722" s="42" t="str">
        <f>IF(AND(C722=Master!$H$2,B722="2012-2013",E722&gt;1000,G722="PLN03"),H722,"")</f>
        <v/>
      </c>
      <c r="AB722" s="42" t="str">
        <f>IF(AND(C722=Master!$H$2,B722="2012-2013",E722="",G722="PLN03"),H722,"")</f>
        <v/>
      </c>
      <c r="AC722" s="42" t="str">
        <f>IF(AND(C722=Master!$H$3,B722="2012-2013",E722&gt;1000,G722="PLN03"),H722,"")</f>
        <v/>
      </c>
      <c r="AD722" s="42" t="str">
        <f>IF(AND(C722=Master!$H$3,B722="2012-2013",E722="",G722="PLN03"),H722,"")</f>
        <v/>
      </c>
      <c r="AE722" s="42" t="str">
        <f>IF(AND(C722=Master!$H$4,B722="2012-2013",E722&gt;1000,G722="PLN03"),H722,"")</f>
        <v/>
      </c>
      <c r="AF722" s="42" t="str">
        <f>IF(AND(C722=Master!$H$4,B722="2012-2013",E722="",G722="PLN03"),H722,"")</f>
        <v/>
      </c>
      <c r="AG722" s="42" t="str">
        <f>IF(AND(C722=Master!$H$5,B722="2012-2013",E722&gt;1000,G722="PLN03"),H722,"")</f>
        <v/>
      </c>
      <c r="AH722" s="42" t="str">
        <f>IF(AND(C722=Master!$H$5,B722="2012-2013",E722="",G722="PLN03"),H722,"")</f>
        <v/>
      </c>
      <c r="AI722" s="42" t="str">
        <f>IF(AND(C722=Master!$H$6,B722="2012-2013",E722&gt;1000,G722="PLN03"),H722,"")</f>
        <v/>
      </c>
      <c r="AJ722" s="42" t="str">
        <f>IF(AND(C722=Master!$H$6,B722="2012-2013",E722="",G722="PLN03"),H722,"")</f>
        <v/>
      </c>
      <c r="AK722" s="42" t="str">
        <f>IF(AND(C722=Master!$H$7,B722="2012-2013",E722&gt;1000,G722="PLN03"),H722,"")</f>
        <v/>
      </c>
      <c r="AL722" s="42" t="str">
        <f>IF(AND(C722=Master!$H$7,B722="2012-2013",E722="",G722="PLN03"),H722,"")</f>
        <v/>
      </c>
      <c r="AM722" s="42" t="str">
        <f>IF(AND(C722=Master!$H$8,B722="2012-2013",E722&gt;1000,G722="PLN03"),H722,"")</f>
        <v/>
      </c>
      <c r="AN722" s="42" t="str">
        <f>IF(AND(C722=Master!$H$8,B722="2012-2013",E722="",G722="PLN03"),H722,"")</f>
        <v/>
      </c>
      <c r="AO722" s="42" t="str">
        <f>IF(AND(C722=Master!$H$9,B722="2012-2013",E722&gt;1000,G722="PLN03"),H722,"")</f>
        <v/>
      </c>
      <c r="AP722" s="42" t="str">
        <f>IF(AND(C722=Master!$H$9,B722="2012-2013",E722="",G722="PLN03"),H722,"")</f>
        <v/>
      </c>
      <c r="AQ722" s="44" t="str">
        <f>IF(AND(C722=Master!$H$1,B722="2012-2013",E722&gt;1000,G722="NPN05"),H722,"")</f>
        <v/>
      </c>
      <c r="AR722" s="44" t="str">
        <f>IF(AND(C722=Master!$H$1,B722="2012-2013",E722="",G722="NPN05"),H722,"")</f>
        <v/>
      </c>
      <c r="AS722" s="44" t="str">
        <f>IF(AND(C722=Master!$H$2,B722="2012-2013",E722&gt;1000,G722="NPN05"),H722,"")</f>
        <v/>
      </c>
      <c r="AT722" s="44" t="str">
        <f>IF(AND(C722=Master!$H$2,B722="2012-2013",E722="",G722="NPN05"),H722,"")</f>
        <v/>
      </c>
      <c r="AU722" s="44" t="str">
        <f>IF(AND(C722=Master!$H$3,B722="2012-2013",E722&gt;1000,G722="NPN05"),H722,"")</f>
        <v/>
      </c>
      <c r="AV722" s="44" t="str">
        <f>IF(AND(C722=Master!$H$3,B722="2012-2013",E722="",G722="NPN05"),H722,"")</f>
        <v/>
      </c>
      <c r="AW722" s="44" t="str">
        <f>IF(AND(C722=Master!$H$4,B722="2012-2013",E722&gt;1000,G722="NPN05"),H722,"")</f>
        <v/>
      </c>
      <c r="AX722" s="44" t="str">
        <f>IF(AND(C722=Master!$H$4,B722="2012-2013",E722="",G722="NPN05"),H722,"")</f>
        <v/>
      </c>
      <c r="AY722" s="44" t="str">
        <f>IF(AND(C722=Master!$H$5,B722="2012-2013",E722&gt;1000,G722="NPN05"),H722,"")</f>
        <v/>
      </c>
      <c r="AZ722" s="44" t="str">
        <f>IF(AND(C722=Master!$H$5,B722="2012-2013",E722="",G722="NPN05"),H722,"")</f>
        <v/>
      </c>
      <c r="BA722" s="44" t="str">
        <f>IF(AND(C722=Master!$H$6,B722="2012-2013",E722&gt;1000,G722="NPN05"),H722,"")</f>
        <v/>
      </c>
      <c r="BB722" s="44" t="str">
        <f>IF(AND(C722=Master!$H$6,B722="2012-2013",E722="",G722="NPN05"),H722,"")</f>
        <v/>
      </c>
      <c r="BC722" s="44" t="str">
        <f>IF(AND(C722=Master!$H$7,B722="2012-2013",E722&gt;1000,G722="NPN05"),H722,"")</f>
        <v/>
      </c>
      <c r="BD722" s="44" t="str">
        <f>IF(AND(C722=Master!$H$7,B722="2012-2013",E722="",G722="NPN05"),H722,"")</f>
        <v/>
      </c>
      <c r="BE722" s="44" t="str">
        <f>IF(AND(C722=Master!$H$8,B722="2012-2013",E722&gt;1000,G722="NPN05"),H722,"")</f>
        <v/>
      </c>
      <c r="BF722" s="44" t="str">
        <f>IF(AND(C722=Master!$H$8,B722="2012-2013",E722="",G722="NPN05"),H722,"")</f>
        <v/>
      </c>
      <c r="BG722" s="44" t="str">
        <f>IF(AND(C722=Master!$H$9,B722="2012-2013",E722&gt;1000,G722="NPN05"),H722,"")</f>
        <v/>
      </c>
      <c r="BH722" s="44" t="str">
        <f>IF(AND(C722=Master!$H$9,B722="2012-2013",E722="",G722="NPN05"),H722,"")</f>
        <v/>
      </c>
    </row>
    <row r="723" spans="1:60" x14ac:dyDescent="0.25">
      <c r="A723" s="3">
        <v>721</v>
      </c>
      <c r="B723" s="12"/>
      <c r="C723" s="12"/>
      <c r="D723" s="31"/>
      <c r="E723" s="4"/>
      <c r="F723" s="13"/>
      <c r="G723" s="21"/>
      <c r="H723" s="35"/>
      <c r="I723" s="21"/>
      <c r="J723" s="25" t="str">
        <f>IF(NOT(I723=""),INDEX(Master!$B$1:$B$46,MATCH(I723,Master!$A$1:$A$46,0)),"")</f>
        <v/>
      </c>
      <c r="K723" s="18"/>
      <c r="L723" s="86"/>
      <c r="M723" s="13"/>
      <c r="N723" s="13"/>
      <c r="O723" s="18"/>
      <c r="P723" s="35"/>
      <c r="Q723" s="21"/>
      <c r="R723" s="21"/>
      <c r="S723" s="13"/>
      <c r="T723" s="12"/>
      <c r="U723" s="12"/>
      <c r="V723" s="12"/>
      <c r="W723" s="14"/>
      <c r="Y723" s="42" t="str">
        <f>IF(AND(C723=Master!$H$1,B723="2012-2013",E723&gt;1000,G723="PLN03"),H723,"")</f>
        <v/>
      </c>
      <c r="Z723" s="42" t="str">
        <f>IF(AND(C723=Master!$H$1,B723="2012-2013",E723="",G723="PLN03"),H723,"")</f>
        <v/>
      </c>
      <c r="AA723" s="42" t="str">
        <f>IF(AND(C723=Master!$H$2,B723="2012-2013",E723&gt;1000,G723="PLN03"),H723,"")</f>
        <v/>
      </c>
      <c r="AB723" s="42" t="str">
        <f>IF(AND(C723=Master!$H$2,B723="2012-2013",E723="",G723="PLN03"),H723,"")</f>
        <v/>
      </c>
      <c r="AC723" s="42" t="str">
        <f>IF(AND(C723=Master!$H$3,B723="2012-2013",E723&gt;1000,G723="PLN03"),H723,"")</f>
        <v/>
      </c>
      <c r="AD723" s="42" t="str">
        <f>IF(AND(C723=Master!$H$3,B723="2012-2013",E723="",G723="PLN03"),H723,"")</f>
        <v/>
      </c>
      <c r="AE723" s="42" t="str">
        <f>IF(AND(C723=Master!$H$4,B723="2012-2013",E723&gt;1000,G723="PLN03"),H723,"")</f>
        <v/>
      </c>
      <c r="AF723" s="42" t="str">
        <f>IF(AND(C723=Master!$H$4,B723="2012-2013",E723="",G723="PLN03"),H723,"")</f>
        <v/>
      </c>
      <c r="AG723" s="42" t="str">
        <f>IF(AND(C723=Master!$H$5,B723="2012-2013",E723&gt;1000,G723="PLN03"),H723,"")</f>
        <v/>
      </c>
      <c r="AH723" s="42" t="str">
        <f>IF(AND(C723=Master!$H$5,B723="2012-2013",E723="",G723="PLN03"),H723,"")</f>
        <v/>
      </c>
      <c r="AI723" s="42" t="str">
        <f>IF(AND(C723=Master!$H$6,B723="2012-2013",E723&gt;1000,G723="PLN03"),H723,"")</f>
        <v/>
      </c>
      <c r="AJ723" s="42" t="str">
        <f>IF(AND(C723=Master!$H$6,B723="2012-2013",E723="",G723="PLN03"),H723,"")</f>
        <v/>
      </c>
      <c r="AK723" s="42" t="str">
        <f>IF(AND(C723=Master!$H$7,B723="2012-2013",E723&gt;1000,G723="PLN03"),H723,"")</f>
        <v/>
      </c>
      <c r="AL723" s="42" t="str">
        <f>IF(AND(C723=Master!$H$7,B723="2012-2013",E723="",G723="PLN03"),H723,"")</f>
        <v/>
      </c>
      <c r="AM723" s="42" t="str">
        <f>IF(AND(C723=Master!$H$8,B723="2012-2013",E723&gt;1000,G723="PLN03"),H723,"")</f>
        <v/>
      </c>
      <c r="AN723" s="42" t="str">
        <f>IF(AND(C723=Master!$H$8,B723="2012-2013",E723="",G723="PLN03"),H723,"")</f>
        <v/>
      </c>
      <c r="AO723" s="42" t="str">
        <f>IF(AND(C723=Master!$H$9,B723="2012-2013",E723&gt;1000,G723="PLN03"),H723,"")</f>
        <v/>
      </c>
      <c r="AP723" s="42" t="str">
        <f>IF(AND(C723=Master!$H$9,B723="2012-2013",E723="",G723="PLN03"),H723,"")</f>
        <v/>
      </c>
      <c r="AQ723" s="44" t="str">
        <f>IF(AND(C723=Master!$H$1,B723="2012-2013",E723&gt;1000,G723="NPN05"),H723,"")</f>
        <v/>
      </c>
      <c r="AR723" s="44" t="str">
        <f>IF(AND(C723=Master!$H$1,B723="2012-2013",E723="",G723="NPN05"),H723,"")</f>
        <v/>
      </c>
      <c r="AS723" s="44" t="str">
        <f>IF(AND(C723=Master!$H$2,B723="2012-2013",E723&gt;1000,G723="NPN05"),H723,"")</f>
        <v/>
      </c>
      <c r="AT723" s="44" t="str">
        <f>IF(AND(C723=Master!$H$2,B723="2012-2013",E723="",G723="NPN05"),H723,"")</f>
        <v/>
      </c>
      <c r="AU723" s="44" t="str">
        <f>IF(AND(C723=Master!$H$3,B723="2012-2013",E723&gt;1000,G723="NPN05"),H723,"")</f>
        <v/>
      </c>
      <c r="AV723" s="44" t="str">
        <f>IF(AND(C723=Master!$H$3,B723="2012-2013",E723="",G723="NPN05"),H723,"")</f>
        <v/>
      </c>
      <c r="AW723" s="44" t="str">
        <f>IF(AND(C723=Master!$H$4,B723="2012-2013",E723&gt;1000,G723="NPN05"),H723,"")</f>
        <v/>
      </c>
      <c r="AX723" s="44" t="str">
        <f>IF(AND(C723=Master!$H$4,B723="2012-2013",E723="",G723="NPN05"),H723,"")</f>
        <v/>
      </c>
      <c r="AY723" s="44" t="str">
        <f>IF(AND(C723=Master!$H$5,B723="2012-2013",E723&gt;1000,G723="NPN05"),H723,"")</f>
        <v/>
      </c>
      <c r="AZ723" s="44" t="str">
        <f>IF(AND(C723=Master!$H$5,B723="2012-2013",E723="",G723="NPN05"),H723,"")</f>
        <v/>
      </c>
      <c r="BA723" s="44" t="str">
        <f>IF(AND(C723=Master!$H$6,B723="2012-2013",E723&gt;1000,G723="NPN05"),H723,"")</f>
        <v/>
      </c>
      <c r="BB723" s="44" t="str">
        <f>IF(AND(C723=Master!$H$6,B723="2012-2013",E723="",G723="NPN05"),H723,"")</f>
        <v/>
      </c>
      <c r="BC723" s="44" t="str">
        <f>IF(AND(C723=Master!$H$7,B723="2012-2013",E723&gt;1000,G723="NPN05"),H723,"")</f>
        <v/>
      </c>
      <c r="BD723" s="44" t="str">
        <f>IF(AND(C723=Master!$H$7,B723="2012-2013",E723="",G723="NPN05"),H723,"")</f>
        <v/>
      </c>
      <c r="BE723" s="44" t="str">
        <f>IF(AND(C723=Master!$H$8,B723="2012-2013",E723&gt;1000,G723="NPN05"),H723,"")</f>
        <v/>
      </c>
      <c r="BF723" s="44" t="str">
        <f>IF(AND(C723=Master!$H$8,B723="2012-2013",E723="",G723="NPN05"),H723,"")</f>
        <v/>
      </c>
      <c r="BG723" s="44" t="str">
        <f>IF(AND(C723=Master!$H$9,B723="2012-2013",E723&gt;1000,G723="NPN05"),H723,"")</f>
        <v/>
      </c>
      <c r="BH723" s="44" t="str">
        <f>IF(AND(C723=Master!$H$9,B723="2012-2013",E723="",G723="NPN05"),H723,"")</f>
        <v/>
      </c>
    </row>
    <row r="724" spans="1:60" x14ac:dyDescent="0.25">
      <c r="A724" s="5">
        <v>722</v>
      </c>
      <c r="B724" s="12"/>
      <c r="C724" s="12"/>
      <c r="D724" s="31"/>
      <c r="E724" s="4"/>
      <c r="F724" s="13"/>
      <c r="G724" s="21"/>
      <c r="H724" s="35"/>
      <c r="I724" s="21"/>
      <c r="J724" s="25" t="str">
        <f>IF(NOT(I724=""),INDEX(Master!$B$1:$B$46,MATCH(I724,Master!$A$1:$A$46,0)),"")</f>
        <v/>
      </c>
      <c r="K724" s="18"/>
      <c r="L724" s="86"/>
      <c r="M724" s="13"/>
      <c r="N724" s="13"/>
      <c r="O724" s="18"/>
      <c r="P724" s="35"/>
      <c r="Q724" s="21"/>
      <c r="R724" s="21"/>
      <c r="S724" s="13"/>
      <c r="T724" s="12"/>
      <c r="U724" s="12"/>
      <c r="V724" s="12"/>
      <c r="W724" s="14"/>
      <c r="Y724" s="42" t="str">
        <f>IF(AND(C724=Master!$H$1,B724="2012-2013",E724&gt;1000,G724="PLN03"),H724,"")</f>
        <v/>
      </c>
      <c r="Z724" s="42" t="str">
        <f>IF(AND(C724=Master!$H$1,B724="2012-2013",E724="",G724="PLN03"),H724,"")</f>
        <v/>
      </c>
      <c r="AA724" s="42" t="str">
        <f>IF(AND(C724=Master!$H$2,B724="2012-2013",E724&gt;1000,G724="PLN03"),H724,"")</f>
        <v/>
      </c>
      <c r="AB724" s="42" t="str">
        <f>IF(AND(C724=Master!$H$2,B724="2012-2013",E724="",G724="PLN03"),H724,"")</f>
        <v/>
      </c>
      <c r="AC724" s="42" t="str">
        <f>IF(AND(C724=Master!$H$3,B724="2012-2013",E724&gt;1000,G724="PLN03"),H724,"")</f>
        <v/>
      </c>
      <c r="AD724" s="42" t="str">
        <f>IF(AND(C724=Master!$H$3,B724="2012-2013",E724="",G724="PLN03"),H724,"")</f>
        <v/>
      </c>
      <c r="AE724" s="42" t="str">
        <f>IF(AND(C724=Master!$H$4,B724="2012-2013",E724&gt;1000,G724="PLN03"),H724,"")</f>
        <v/>
      </c>
      <c r="AF724" s="42" t="str">
        <f>IF(AND(C724=Master!$H$4,B724="2012-2013",E724="",G724="PLN03"),H724,"")</f>
        <v/>
      </c>
      <c r="AG724" s="42" t="str">
        <f>IF(AND(C724=Master!$H$5,B724="2012-2013",E724&gt;1000,G724="PLN03"),H724,"")</f>
        <v/>
      </c>
      <c r="AH724" s="42" t="str">
        <f>IF(AND(C724=Master!$H$5,B724="2012-2013",E724="",G724="PLN03"),H724,"")</f>
        <v/>
      </c>
      <c r="AI724" s="42" t="str">
        <f>IF(AND(C724=Master!$H$6,B724="2012-2013",E724&gt;1000,G724="PLN03"),H724,"")</f>
        <v/>
      </c>
      <c r="AJ724" s="42" t="str">
        <f>IF(AND(C724=Master!$H$6,B724="2012-2013",E724="",G724="PLN03"),H724,"")</f>
        <v/>
      </c>
      <c r="AK724" s="42" t="str">
        <f>IF(AND(C724=Master!$H$7,B724="2012-2013",E724&gt;1000,G724="PLN03"),H724,"")</f>
        <v/>
      </c>
      <c r="AL724" s="42" t="str">
        <f>IF(AND(C724=Master!$H$7,B724="2012-2013",E724="",G724="PLN03"),H724,"")</f>
        <v/>
      </c>
      <c r="AM724" s="42" t="str">
        <f>IF(AND(C724=Master!$H$8,B724="2012-2013",E724&gt;1000,G724="PLN03"),H724,"")</f>
        <v/>
      </c>
      <c r="AN724" s="42" t="str">
        <f>IF(AND(C724=Master!$H$8,B724="2012-2013",E724="",G724="PLN03"),H724,"")</f>
        <v/>
      </c>
      <c r="AO724" s="42" t="str">
        <f>IF(AND(C724=Master!$H$9,B724="2012-2013",E724&gt;1000,G724="PLN03"),H724,"")</f>
        <v/>
      </c>
      <c r="AP724" s="42" t="str">
        <f>IF(AND(C724=Master!$H$9,B724="2012-2013",E724="",G724="PLN03"),H724,"")</f>
        <v/>
      </c>
      <c r="AQ724" s="44" t="str">
        <f>IF(AND(C724=Master!$H$1,B724="2012-2013",E724&gt;1000,G724="NPN05"),H724,"")</f>
        <v/>
      </c>
      <c r="AR724" s="44" t="str">
        <f>IF(AND(C724=Master!$H$1,B724="2012-2013",E724="",G724="NPN05"),H724,"")</f>
        <v/>
      </c>
      <c r="AS724" s="44" t="str">
        <f>IF(AND(C724=Master!$H$2,B724="2012-2013",E724&gt;1000,G724="NPN05"),H724,"")</f>
        <v/>
      </c>
      <c r="AT724" s="44" t="str">
        <f>IF(AND(C724=Master!$H$2,B724="2012-2013",E724="",G724="NPN05"),H724,"")</f>
        <v/>
      </c>
      <c r="AU724" s="44" t="str">
        <f>IF(AND(C724=Master!$H$3,B724="2012-2013",E724&gt;1000,G724="NPN05"),H724,"")</f>
        <v/>
      </c>
      <c r="AV724" s="44" t="str">
        <f>IF(AND(C724=Master!$H$3,B724="2012-2013",E724="",G724="NPN05"),H724,"")</f>
        <v/>
      </c>
      <c r="AW724" s="44" t="str">
        <f>IF(AND(C724=Master!$H$4,B724="2012-2013",E724&gt;1000,G724="NPN05"),H724,"")</f>
        <v/>
      </c>
      <c r="AX724" s="44" t="str">
        <f>IF(AND(C724=Master!$H$4,B724="2012-2013",E724="",G724="NPN05"),H724,"")</f>
        <v/>
      </c>
      <c r="AY724" s="44" t="str">
        <f>IF(AND(C724=Master!$H$5,B724="2012-2013",E724&gt;1000,G724="NPN05"),H724,"")</f>
        <v/>
      </c>
      <c r="AZ724" s="44" t="str">
        <f>IF(AND(C724=Master!$H$5,B724="2012-2013",E724="",G724="NPN05"),H724,"")</f>
        <v/>
      </c>
      <c r="BA724" s="44" t="str">
        <f>IF(AND(C724=Master!$H$6,B724="2012-2013",E724&gt;1000,G724="NPN05"),H724,"")</f>
        <v/>
      </c>
      <c r="BB724" s="44" t="str">
        <f>IF(AND(C724=Master!$H$6,B724="2012-2013",E724="",G724="NPN05"),H724,"")</f>
        <v/>
      </c>
      <c r="BC724" s="44" t="str">
        <f>IF(AND(C724=Master!$H$7,B724="2012-2013",E724&gt;1000,G724="NPN05"),H724,"")</f>
        <v/>
      </c>
      <c r="BD724" s="44" t="str">
        <f>IF(AND(C724=Master!$H$7,B724="2012-2013",E724="",G724="NPN05"),H724,"")</f>
        <v/>
      </c>
      <c r="BE724" s="44" t="str">
        <f>IF(AND(C724=Master!$H$8,B724="2012-2013",E724&gt;1000,G724="NPN05"),H724,"")</f>
        <v/>
      </c>
      <c r="BF724" s="44" t="str">
        <f>IF(AND(C724=Master!$H$8,B724="2012-2013",E724="",G724="NPN05"),H724,"")</f>
        <v/>
      </c>
      <c r="BG724" s="44" t="str">
        <f>IF(AND(C724=Master!$H$9,B724="2012-2013",E724&gt;1000,G724="NPN05"),H724,"")</f>
        <v/>
      </c>
      <c r="BH724" s="44" t="str">
        <f>IF(AND(C724=Master!$H$9,B724="2012-2013",E724="",G724="NPN05"),H724,"")</f>
        <v/>
      </c>
    </row>
    <row r="725" spans="1:60" x14ac:dyDescent="0.25">
      <c r="A725" s="3">
        <v>723</v>
      </c>
      <c r="B725" s="12"/>
      <c r="C725" s="12"/>
      <c r="D725" s="31"/>
      <c r="E725" s="4"/>
      <c r="F725" s="13"/>
      <c r="G725" s="21"/>
      <c r="H725" s="35"/>
      <c r="I725" s="21"/>
      <c r="J725" s="25" t="str">
        <f>IF(NOT(I725=""),INDEX(Master!$B$1:$B$46,MATCH(I725,Master!$A$1:$A$46,0)),"")</f>
        <v/>
      </c>
      <c r="K725" s="18"/>
      <c r="L725" s="86"/>
      <c r="M725" s="13"/>
      <c r="N725" s="13"/>
      <c r="O725" s="18"/>
      <c r="P725" s="35"/>
      <c r="Q725" s="21"/>
      <c r="R725" s="21"/>
      <c r="S725" s="13"/>
      <c r="T725" s="12"/>
      <c r="U725" s="12"/>
      <c r="V725" s="12"/>
      <c r="W725" s="14"/>
      <c r="Y725" s="42" t="str">
        <f>IF(AND(C725=Master!$H$1,B725="2012-2013",E725&gt;1000,G725="PLN03"),H725,"")</f>
        <v/>
      </c>
      <c r="Z725" s="42" t="str">
        <f>IF(AND(C725=Master!$H$1,B725="2012-2013",E725="",G725="PLN03"),H725,"")</f>
        <v/>
      </c>
      <c r="AA725" s="42" t="str">
        <f>IF(AND(C725=Master!$H$2,B725="2012-2013",E725&gt;1000,G725="PLN03"),H725,"")</f>
        <v/>
      </c>
      <c r="AB725" s="42" t="str">
        <f>IF(AND(C725=Master!$H$2,B725="2012-2013",E725="",G725="PLN03"),H725,"")</f>
        <v/>
      </c>
      <c r="AC725" s="42" t="str">
        <f>IF(AND(C725=Master!$H$3,B725="2012-2013",E725&gt;1000,G725="PLN03"),H725,"")</f>
        <v/>
      </c>
      <c r="AD725" s="42" t="str">
        <f>IF(AND(C725=Master!$H$3,B725="2012-2013",E725="",G725="PLN03"),H725,"")</f>
        <v/>
      </c>
      <c r="AE725" s="42" t="str">
        <f>IF(AND(C725=Master!$H$4,B725="2012-2013",E725&gt;1000,G725="PLN03"),H725,"")</f>
        <v/>
      </c>
      <c r="AF725" s="42" t="str">
        <f>IF(AND(C725=Master!$H$4,B725="2012-2013",E725="",G725="PLN03"),H725,"")</f>
        <v/>
      </c>
      <c r="AG725" s="42" t="str">
        <f>IF(AND(C725=Master!$H$5,B725="2012-2013",E725&gt;1000,G725="PLN03"),H725,"")</f>
        <v/>
      </c>
      <c r="AH725" s="42" t="str">
        <f>IF(AND(C725=Master!$H$5,B725="2012-2013",E725="",G725="PLN03"),H725,"")</f>
        <v/>
      </c>
      <c r="AI725" s="42" t="str">
        <f>IF(AND(C725=Master!$H$6,B725="2012-2013",E725&gt;1000,G725="PLN03"),H725,"")</f>
        <v/>
      </c>
      <c r="AJ725" s="42" t="str">
        <f>IF(AND(C725=Master!$H$6,B725="2012-2013",E725="",G725="PLN03"),H725,"")</f>
        <v/>
      </c>
      <c r="AK725" s="42" t="str">
        <f>IF(AND(C725=Master!$H$7,B725="2012-2013",E725&gt;1000,G725="PLN03"),H725,"")</f>
        <v/>
      </c>
      <c r="AL725" s="42" t="str">
        <f>IF(AND(C725=Master!$H$7,B725="2012-2013",E725="",G725="PLN03"),H725,"")</f>
        <v/>
      </c>
      <c r="AM725" s="42" t="str">
        <f>IF(AND(C725=Master!$H$8,B725="2012-2013",E725&gt;1000,G725="PLN03"),H725,"")</f>
        <v/>
      </c>
      <c r="AN725" s="42" t="str">
        <f>IF(AND(C725=Master!$H$8,B725="2012-2013",E725="",G725="PLN03"),H725,"")</f>
        <v/>
      </c>
      <c r="AO725" s="42" t="str">
        <f>IF(AND(C725=Master!$H$9,B725="2012-2013",E725&gt;1000,G725="PLN03"),H725,"")</f>
        <v/>
      </c>
      <c r="AP725" s="42" t="str">
        <f>IF(AND(C725=Master!$H$9,B725="2012-2013",E725="",G725="PLN03"),H725,"")</f>
        <v/>
      </c>
      <c r="AQ725" s="44" t="str">
        <f>IF(AND(C725=Master!$H$1,B725="2012-2013",E725&gt;1000,G725="NPN05"),H725,"")</f>
        <v/>
      </c>
      <c r="AR725" s="44" t="str">
        <f>IF(AND(C725=Master!$H$1,B725="2012-2013",E725="",G725="NPN05"),H725,"")</f>
        <v/>
      </c>
      <c r="AS725" s="44" t="str">
        <f>IF(AND(C725=Master!$H$2,B725="2012-2013",E725&gt;1000,G725="NPN05"),H725,"")</f>
        <v/>
      </c>
      <c r="AT725" s="44" t="str">
        <f>IF(AND(C725=Master!$H$2,B725="2012-2013",E725="",G725="NPN05"),H725,"")</f>
        <v/>
      </c>
      <c r="AU725" s="44" t="str">
        <f>IF(AND(C725=Master!$H$3,B725="2012-2013",E725&gt;1000,G725="NPN05"),H725,"")</f>
        <v/>
      </c>
      <c r="AV725" s="44" t="str">
        <f>IF(AND(C725=Master!$H$3,B725="2012-2013",E725="",G725="NPN05"),H725,"")</f>
        <v/>
      </c>
      <c r="AW725" s="44" t="str">
        <f>IF(AND(C725=Master!$H$4,B725="2012-2013",E725&gt;1000,G725="NPN05"),H725,"")</f>
        <v/>
      </c>
      <c r="AX725" s="44" t="str">
        <f>IF(AND(C725=Master!$H$4,B725="2012-2013",E725="",G725="NPN05"),H725,"")</f>
        <v/>
      </c>
      <c r="AY725" s="44" t="str">
        <f>IF(AND(C725=Master!$H$5,B725="2012-2013",E725&gt;1000,G725="NPN05"),H725,"")</f>
        <v/>
      </c>
      <c r="AZ725" s="44" t="str">
        <f>IF(AND(C725=Master!$H$5,B725="2012-2013",E725="",G725="NPN05"),H725,"")</f>
        <v/>
      </c>
      <c r="BA725" s="44" t="str">
        <f>IF(AND(C725=Master!$H$6,B725="2012-2013",E725&gt;1000,G725="NPN05"),H725,"")</f>
        <v/>
      </c>
      <c r="BB725" s="44" t="str">
        <f>IF(AND(C725=Master!$H$6,B725="2012-2013",E725="",G725="NPN05"),H725,"")</f>
        <v/>
      </c>
      <c r="BC725" s="44" t="str">
        <f>IF(AND(C725=Master!$H$7,B725="2012-2013",E725&gt;1000,G725="NPN05"),H725,"")</f>
        <v/>
      </c>
      <c r="BD725" s="44" t="str">
        <f>IF(AND(C725=Master!$H$7,B725="2012-2013",E725="",G725="NPN05"),H725,"")</f>
        <v/>
      </c>
      <c r="BE725" s="44" t="str">
        <f>IF(AND(C725=Master!$H$8,B725="2012-2013",E725&gt;1000,G725="NPN05"),H725,"")</f>
        <v/>
      </c>
      <c r="BF725" s="44" t="str">
        <f>IF(AND(C725=Master!$H$8,B725="2012-2013",E725="",G725="NPN05"),H725,"")</f>
        <v/>
      </c>
      <c r="BG725" s="44" t="str">
        <f>IF(AND(C725=Master!$H$9,B725="2012-2013",E725&gt;1000,G725="NPN05"),H725,"")</f>
        <v/>
      </c>
      <c r="BH725" s="44" t="str">
        <f>IF(AND(C725=Master!$H$9,B725="2012-2013",E725="",G725="NPN05"),H725,"")</f>
        <v/>
      </c>
    </row>
    <row r="726" spans="1:60" x14ac:dyDescent="0.25">
      <c r="A726" s="3">
        <v>724</v>
      </c>
      <c r="B726" s="12"/>
      <c r="C726" s="12"/>
      <c r="D726" s="31"/>
      <c r="E726" s="4"/>
      <c r="F726" s="13"/>
      <c r="G726" s="21"/>
      <c r="H726" s="35"/>
      <c r="I726" s="21"/>
      <c r="J726" s="25" t="str">
        <f>IF(NOT(I726=""),INDEX(Master!$B$1:$B$46,MATCH(I726,Master!$A$1:$A$46,0)),"")</f>
        <v/>
      </c>
      <c r="K726" s="18"/>
      <c r="L726" s="86"/>
      <c r="M726" s="13"/>
      <c r="N726" s="13"/>
      <c r="O726" s="18"/>
      <c r="P726" s="35"/>
      <c r="Q726" s="21"/>
      <c r="R726" s="21"/>
      <c r="S726" s="13"/>
      <c r="T726" s="12"/>
      <c r="U726" s="12"/>
      <c r="V726" s="12"/>
      <c r="W726" s="14"/>
      <c r="Y726" s="42" t="str">
        <f>IF(AND(C726=Master!$H$1,B726="2012-2013",E726&gt;1000,G726="PLN03"),H726,"")</f>
        <v/>
      </c>
      <c r="Z726" s="42" t="str">
        <f>IF(AND(C726=Master!$H$1,B726="2012-2013",E726="",G726="PLN03"),H726,"")</f>
        <v/>
      </c>
      <c r="AA726" s="42" t="str">
        <f>IF(AND(C726=Master!$H$2,B726="2012-2013",E726&gt;1000,G726="PLN03"),H726,"")</f>
        <v/>
      </c>
      <c r="AB726" s="42" t="str">
        <f>IF(AND(C726=Master!$H$2,B726="2012-2013",E726="",G726="PLN03"),H726,"")</f>
        <v/>
      </c>
      <c r="AC726" s="42" t="str">
        <f>IF(AND(C726=Master!$H$3,B726="2012-2013",E726&gt;1000,G726="PLN03"),H726,"")</f>
        <v/>
      </c>
      <c r="AD726" s="42" t="str">
        <f>IF(AND(C726=Master!$H$3,B726="2012-2013",E726="",G726="PLN03"),H726,"")</f>
        <v/>
      </c>
      <c r="AE726" s="42" t="str">
        <f>IF(AND(C726=Master!$H$4,B726="2012-2013",E726&gt;1000,G726="PLN03"),H726,"")</f>
        <v/>
      </c>
      <c r="AF726" s="42" t="str">
        <f>IF(AND(C726=Master!$H$4,B726="2012-2013",E726="",G726="PLN03"),H726,"")</f>
        <v/>
      </c>
      <c r="AG726" s="42" t="str">
        <f>IF(AND(C726=Master!$H$5,B726="2012-2013",E726&gt;1000,G726="PLN03"),H726,"")</f>
        <v/>
      </c>
      <c r="AH726" s="42" t="str">
        <f>IF(AND(C726=Master!$H$5,B726="2012-2013",E726="",G726="PLN03"),H726,"")</f>
        <v/>
      </c>
      <c r="AI726" s="42" t="str">
        <f>IF(AND(C726=Master!$H$6,B726="2012-2013",E726&gt;1000,G726="PLN03"),H726,"")</f>
        <v/>
      </c>
      <c r="AJ726" s="42" t="str">
        <f>IF(AND(C726=Master!$H$6,B726="2012-2013",E726="",G726="PLN03"),H726,"")</f>
        <v/>
      </c>
      <c r="AK726" s="42" t="str">
        <f>IF(AND(C726=Master!$H$7,B726="2012-2013",E726&gt;1000,G726="PLN03"),H726,"")</f>
        <v/>
      </c>
      <c r="AL726" s="42" t="str">
        <f>IF(AND(C726=Master!$H$7,B726="2012-2013",E726="",G726="PLN03"),H726,"")</f>
        <v/>
      </c>
      <c r="AM726" s="42" t="str">
        <f>IF(AND(C726=Master!$H$8,B726="2012-2013",E726&gt;1000,G726="PLN03"),H726,"")</f>
        <v/>
      </c>
      <c r="AN726" s="42" t="str">
        <f>IF(AND(C726=Master!$H$8,B726="2012-2013",E726="",G726="PLN03"),H726,"")</f>
        <v/>
      </c>
      <c r="AO726" s="42" t="str">
        <f>IF(AND(C726=Master!$H$9,B726="2012-2013",E726&gt;1000,G726="PLN03"),H726,"")</f>
        <v/>
      </c>
      <c r="AP726" s="42" t="str">
        <f>IF(AND(C726=Master!$H$9,B726="2012-2013",E726="",G726="PLN03"),H726,"")</f>
        <v/>
      </c>
      <c r="AQ726" s="44" t="str">
        <f>IF(AND(C726=Master!$H$1,B726="2012-2013",E726&gt;1000,G726="NPN05"),H726,"")</f>
        <v/>
      </c>
      <c r="AR726" s="44" t="str">
        <f>IF(AND(C726=Master!$H$1,B726="2012-2013",E726="",G726="NPN05"),H726,"")</f>
        <v/>
      </c>
      <c r="AS726" s="44" t="str">
        <f>IF(AND(C726=Master!$H$2,B726="2012-2013",E726&gt;1000,G726="NPN05"),H726,"")</f>
        <v/>
      </c>
      <c r="AT726" s="44" t="str">
        <f>IF(AND(C726=Master!$H$2,B726="2012-2013",E726="",G726="NPN05"),H726,"")</f>
        <v/>
      </c>
      <c r="AU726" s="44" t="str">
        <f>IF(AND(C726=Master!$H$3,B726="2012-2013",E726&gt;1000,G726="NPN05"),H726,"")</f>
        <v/>
      </c>
      <c r="AV726" s="44" t="str">
        <f>IF(AND(C726=Master!$H$3,B726="2012-2013",E726="",G726="NPN05"),H726,"")</f>
        <v/>
      </c>
      <c r="AW726" s="44" t="str">
        <f>IF(AND(C726=Master!$H$4,B726="2012-2013",E726&gt;1000,G726="NPN05"),H726,"")</f>
        <v/>
      </c>
      <c r="AX726" s="44" t="str">
        <f>IF(AND(C726=Master!$H$4,B726="2012-2013",E726="",G726="NPN05"),H726,"")</f>
        <v/>
      </c>
      <c r="AY726" s="44" t="str">
        <f>IF(AND(C726=Master!$H$5,B726="2012-2013",E726&gt;1000,G726="NPN05"),H726,"")</f>
        <v/>
      </c>
      <c r="AZ726" s="44" t="str">
        <f>IF(AND(C726=Master!$H$5,B726="2012-2013",E726="",G726="NPN05"),H726,"")</f>
        <v/>
      </c>
      <c r="BA726" s="44" t="str">
        <f>IF(AND(C726=Master!$H$6,B726="2012-2013",E726&gt;1000,G726="NPN05"),H726,"")</f>
        <v/>
      </c>
      <c r="BB726" s="44" t="str">
        <f>IF(AND(C726=Master!$H$6,B726="2012-2013",E726="",G726="NPN05"),H726,"")</f>
        <v/>
      </c>
      <c r="BC726" s="44" t="str">
        <f>IF(AND(C726=Master!$H$7,B726="2012-2013",E726&gt;1000,G726="NPN05"),H726,"")</f>
        <v/>
      </c>
      <c r="BD726" s="44" t="str">
        <f>IF(AND(C726=Master!$H$7,B726="2012-2013",E726="",G726="NPN05"),H726,"")</f>
        <v/>
      </c>
      <c r="BE726" s="44" t="str">
        <f>IF(AND(C726=Master!$H$8,B726="2012-2013",E726&gt;1000,G726="NPN05"),H726,"")</f>
        <v/>
      </c>
      <c r="BF726" s="44" t="str">
        <f>IF(AND(C726=Master!$H$8,B726="2012-2013",E726="",G726="NPN05"),H726,"")</f>
        <v/>
      </c>
      <c r="BG726" s="44" t="str">
        <f>IF(AND(C726=Master!$H$9,B726="2012-2013",E726&gt;1000,G726="NPN05"),H726,"")</f>
        <v/>
      </c>
      <c r="BH726" s="44" t="str">
        <f>IF(AND(C726=Master!$H$9,B726="2012-2013",E726="",G726="NPN05"),H726,"")</f>
        <v/>
      </c>
    </row>
    <row r="727" spans="1:60" x14ac:dyDescent="0.25">
      <c r="A727" s="3">
        <v>725</v>
      </c>
      <c r="B727" s="12"/>
      <c r="C727" s="12"/>
      <c r="D727" s="31"/>
      <c r="E727" s="4"/>
      <c r="F727" s="13"/>
      <c r="G727" s="21"/>
      <c r="H727" s="35"/>
      <c r="I727" s="21"/>
      <c r="J727" s="25" t="str">
        <f>IF(NOT(I727=""),INDEX(Master!$B$1:$B$46,MATCH(I727,Master!$A$1:$A$46,0)),"")</f>
        <v/>
      </c>
      <c r="K727" s="18"/>
      <c r="L727" s="86"/>
      <c r="M727" s="13"/>
      <c r="N727" s="13"/>
      <c r="O727" s="18"/>
      <c r="P727" s="35"/>
      <c r="Q727" s="21"/>
      <c r="R727" s="21"/>
      <c r="S727" s="13"/>
      <c r="T727" s="12"/>
      <c r="U727" s="12"/>
      <c r="V727" s="12"/>
      <c r="W727" s="14"/>
      <c r="Y727" s="42" t="str">
        <f>IF(AND(C727=Master!$H$1,B727="2012-2013",E727&gt;1000,G727="PLN03"),H727,"")</f>
        <v/>
      </c>
      <c r="Z727" s="42" t="str">
        <f>IF(AND(C727=Master!$H$1,B727="2012-2013",E727="",G727="PLN03"),H727,"")</f>
        <v/>
      </c>
      <c r="AA727" s="42" t="str">
        <f>IF(AND(C727=Master!$H$2,B727="2012-2013",E727&gt;1000,G727="PLN03"),H727,"")</f>
        <v/>
      </c>
      <c r="AB727" s="42" t="str">
        <f>IF(AND(C727=Master!$H$2,B727="2012-2013",E727="",G727="PLN03"),H727,"")</f>
        <v/>
      </c>
      <c r="AC727" s="42" t="str">
        <f>IF(AND(C727=Master!$H$3,B727="2012-2013",E727&gt;1000,G727="PLN03"),H727,"")</f>
        <v/>
      </c>
      <c r="AD727" s="42" t="str">
        <f>IF(AND(C727=Master!$H$3,B727="2012-2013",E727="",G727="PLN03"),H727,"")</f>
        <v/>
      </c>
      <c r="AE727" s="42" t="str">
        <f>IF(AND(C727=Master!$H$4,B727="2012-2013",E727&gt;1000,G727="PLN03"),H727,"")</f>
        <v/>
      </c>
      <c r="AF727" s="42" t="str">
        <f>IF(AND(C727=Master!$H$4,B727="2012-2013",E727="",G727="PLN03"),H727,"")</f>
        <v/>
      </c>
      <c r="AG727" s="42" t="str">
        <f>IF(AND(C727=Master!$H$5,B727="2012-2013",E727&gt;1000,G727="PLN03"),H727,"")</f>
        <v/>
      </c>
      <c r="AH727" s="42" t="str">
        <f>IF(AND(C727=Master!$H$5,B727="2012-2013",E727="",G727="PLN03"),H727,"")</f>
        <v/>
      </c>
      <c r="AI727" s="42" t="str">
        <f>IF(AND(C727=Master!$H$6,B727="2012-2013",E727&gt;1000,G727="PLN03"),H727,"")</f>
        <v/>
      </c>
      <c r="AJ727" s="42" t="str">
        <f>IF(AND(C727=Master!$H$6,B727="2012-2013",E727="",G727="PLN03"),H727,"")</f>
        <v/>
      </c>
      <c r="AK727" s="42" t="str">
        <f>IF(AND(C727=Master!$H$7,B727="2012-2013",E727&gt;1000,G727="PLN03"),H727,"")</f>
        <v/>
      </c>
      <c r="AL727" s="42" t="str">
        <f>IF(AND(C727=Master!$H$7,B727="2012-2013",E727="",G727="PLN03"),H727,"")</f>
        <v/>
      </c>
      <c r="AM727" s="42" t="str">
        <f>IF(AND(C727=Master!$H$8,B727="2012-2013",E727&gt;1000,G727="PLN03"),H727,"")</f>
        <v/>
      </c>
      <c r="AN727" s="42" t="str">
        <f>IF(AND(C727=Master!$H$8,B727="2012-2013",E727="",G727="PLN03"),H727,"")</f>
        <v/>
      </c>
      <c r="AO727" s="42" t="str">
        <f>IF(AND(C727=Master!$H$9,B727="2012-2013",E727&gt;1000,G727="PLN03"),H727,"")</f>
        <v/>
      </c>
      <c r="AP727" s="42" t="str">
        <f>IF(AND(C727=Master!$H$9,B727="2012-2013",E727="",G727="PLN03"),H727,"")</f>
        <v/>
      </c>
      <c r="AQ727" s="44" t="str">
        <f>IF(AND(C727=Master!$H$1,B727="2012-2013",E727&gt;1000,G727="NPN05"),H727,"")</f>
        <v/>
      </c>
      <c r="AR727" s="44" t="str">
        <f>IF(AND(C727=Master!$H$1,B727="2012-2013",E727="",G727="NPN05"),H727,"")</f>
        <v/>
      </c>
      <c r="AS727" s="44" t="str">
        <f>IF(AND(C727=Master!$H$2,B727="2012-2013",E727&gt;1000,G727="NPN05"),H727,"")</f>
        <v/>
      </c>
      <c r="AT727" s="44" t="str">
        <f>IF(AND(C727=Master!$H$2,B727="2012-2013",E727="",G727="NPN05"),H727,"")</f>
        <v/>
      </c>
      <c r="AU727" s="44" t="str">
        <f>IF(AND(C727=Master!$H$3,B727="2012-2013",E727&gt;1000,G727="NPN05"),H727,"")</f>
        <v/>
      </c>
      <c r="AV727" s="44" t="str">
        <f>IF(AND(C727=Master!$H$3,B727="2012-2013",E727="",G727="NPN05"),H727,"")</f>
        <v/>
      </c>
      <c r="AW727" s="44" t="str">
        <f>IF(AND(C727=Master!$H$4,B727="2012-2013",E727&gt;1000,G727="NPN05"),H727,"")</f>
        <v/>
      </c>
      <c r="AX727" s="44" t="str">
        <f>IF(AND(C727=Master!$H$4,B727="2012-2013",E727="",G727="NPN05"),H727,"")</f>
        <v/>
      </c>
      <c r="AY727" s="44" t="str">
        <f>IF(AND(C727=Master!$H$5,B727="2012-2013",E727&gt;1000,G727="NPN05"),H727,"")</f>
        <v/>
      </c>
      <c r="AZ727" s="44" t="str">
        <f>IF(AND(C727=Master!$H$5,B727="2012-2013",E727="",G727="NPN05"),H727,"")</f>
        <v/>
      </c>
      <c r="BA727" s="44" t="str">
        <f>IF(AND(C727=Master!$H$6,B727="2012-2013",E727&gt;1000,G727="NPN05"),H727,"")</f>
        <v/>
      </c>
      <c r="BB727" s="44" t="str">
        <f>IF(AND(C727=Master!$H$6,B727="2012-2013",E727="",G727="NPN05"),H727,"")</f>
        <v/>
      </c>
      <c r="BC727" s="44" t="str">
        <f>IF(AND(C727=Master!$H$7,B727="2012-2013",E727&gt;1000,G727="NPN05"),H727,"")</f>
        <v/>
      </c>
      <c r="BD727" s="44" t="str">
        <f>IF(AND(C727=Master!$H$7,B727="2012-2013",E727="",G727="NPN05"),H727,"")</f>
        <v/>
      </c>
      <c r="BE727" s="44" t="str">
        <f>IF(AND(C727=Master!$H$8,B727="2012-2013",E727&gt;1000,G727="NPN05"),H727,"")</f>
        <v/>
      </c>
      <c r="BF727" s="44" t="str">
        <f>IF(AND(C727=Master!$H$8,B727="2012-2013",E727="",G727="NPN05"),H727,"")</f>
        <v/>
      </c>
      <c r="BG727" s="44" t="str">
        <f>IF(AND(C727=Master!$H$9,B727="2012-2013",E727&gt;1000,G727="NPN05"),H727,"")</f>
        <v/>
      </c>
      <c r="BH727" s="44" t="str">
        <f>IF(AND(C727=Master!$H$9,B727="2012-2013",E727="",G727="NPN05"),H727,"")</f>
        <v/>
      </c>
    </row>
    <row r="728" spans="1:60" x14ac:dyDescent="0.25">
      <c r="A728" s="3">
        <v>726</v>
      </c>
      <c r="B728" s="12"/>
      <c r="C728" s="12"/>
      <c r="D728" s="31"/>
      <c r="E728" s="4"/>
      <c r="F728" s="13"/>
      <c r="G728" s="21"/>
      <c r="H728" s="35"/>
      <c r="I728" s="21"/>
      <c r="J728" s="25" t="str">
        <f>IF(NOT(I728=""),INDEX(Master!$B$1:$B$46,MATCH(I728,Master!$A$1:$A$46,0)),"")</f>
        <v/>
      </c>
      <c r="K728" s="18"/>
      <c r="L728" s="86"/>
      <c r="M728" s="13"/>
      <c r="N728" s="13"/>
      <c r="O728" s="18"/>
      <c r="P728" s="35"/>
      <c r="Q728" s="21"/>
      <c r="R728" s="21"/>
      <c r="S728" s="13"/>
      <c r="T728" s="12"/>
      <c r="U728" s="12"/>
      <c r="V728" s="12"/>
      <c r="W728" s="14"/>
      <c r="Y728" s="42" t="str">
        <f>IF(AND(C728=Master!$H$1,B728="2012-2013",E728&gt;1000,G728="PLN03"),H728,"")</f>
        <v/>
      </c>
      <c r="Z728" s="42" t="str">
        <f>IF(AND(C728=Master!$H$1,B728="2012-2013",E728="",G728="PLN03"),H728,"")</f>
        <v/>
      </c>
      <c r="AA728" s="42" t="str">
        <f>IF(AND(C728=Master!$H$2,B728="2012-2013",E728&gt;1000,G728="PLN03"),H728,"")</f>
        <v/>
      </c>
      <c r="AB728" s="42" t="str">
        <f>IF(AND(C728=Master!$H$2,B728="2012-2013",E728="",G728="PLN03"),H728,"")</f>
        <v/>
      </c>
      <c r="AC728" s="42" t="str">
        <f>IF(AND(C728=Master!$H$3,B728="2012-2013",E728&gt;1000,G728="PLN03"),H728,"")</f>
        <v/>
      </c>
      <c r="AD728" s="42" t="str">
        <f>IF(AND(C728=Master!$H$3,B728="2012-2013",E728="",G728="PLN03"),H728,"")</f>
        <v/>
      </c>
      <c r="AE728" s="42" t="str">
        <f>IF(AND(C728=Master!$H$4,B728="2012-2013",E728&gt;1000,G728="PLN03"),H728,"")</f>
        <v/>
      </c>
      <c r="AF728" s="42" t="str">
        <f>IF(AND(C728=Master!$H$4,B728="2012-2013",E728="",G728="PLN03"),H728,"")</f>
        <v/>
      </c>
      <c r="AG728" s="42" t="str">
        <f>IF(AND(C728=Master!$H$5,B728="2012-2013",E728&gt;1000,G728="PLN03"),H728,"")</f>
        <v/>
      </c>
      <c r="AH728" s="42" t="str">
        <f>IF(AND(C728=Master!$H$5,B728="2012-2013",E728="",G728="PLN03"),H728,"")</f>
        <v/>
      </c>
      <c r="AI728" s="42" t="str">
        <f>IF(AND(C728=Master!$H$6,B728="2012-2013",E728&gt;1000,G728="PLN03"),H728,"")</f>
        <v/>
      </c>
      <c r="AJ728" s="42" t="str">
        <f>IF(AND(C728=Master!$H$6,B728="2012-2013",E728="",G728="PLN03"),H728,"")</f>
        <v/>
      </c>
      <c r="AK728" s="42" t="str">
        <f>IF(AND(C728=Master!$H$7,B728="2012-2013",E728&gt;1000,G728="PLN03"),H728,"")</f>
        <v/>
      </c>
      <c r="AL728" s="42" t="str">
        <f>IF(AND(C728=Master!$H$7,B728="2012-2013",E728="",G728="PLN03"),H728,"")</f>
        <v/>
      </c>
      <c r="AM728" s="42" t="str">
        <f>IF(AND(C728=Master!$H$8,B728="2012-2013",E728&gt;1000,G728="PLN03"),H728,"")</f>
        <v/>
      </c>
      <c r="AN728" s="42" t="str">
        <f>IF(AND(C728=Master!$H$8,B728="2012-2013",E728="",G728="PLN03"),H728,"")</f>
        <v/>
      </c>
      <c r="AO728" s="42" t="str">
        <f>IF(AND(C728=Master!$H$9,B728="2012-2013",E728&gt;1000,G728="PLN03"),H728,"")</f>
        <v/>
      </c>
      <c r="AP728" s="42" t="str">
        <f>IF(AND(C728=Master!$H$9,B728="2012-2013",E728="",G728="PLN03"),H728,"")</f>
        <v/>
      </c>
      <c r="AQ728" s="44" t="str">
        <f>IF(AND(C728=Master!$H$1,B728="2012-2013",E728&gt;1000,G728="NPN05"),H728,"")</f>
        <v/>
      </c>
      <c r="AR728" s="44" t="str">
        <f>IF(AND(C728=Master!$H$1,B728="2012-2013",E728="",G728="NPN05"),H728,"")</f>
        <v/>
      </c>
      <c r="AS728" s="44" t="str">
        <f>IF(AND(C728=Master!$H$2,B728="2012-2013",E728&gt;1000,G728="NPN05"),H728,"")</f>
        <v/>
      </c>
      <c r="AT728" s="44" t="str">
        <f>IF(AND(C728=Master!$H$2,B728="2012-2013",E728="",G728="NPN05"),H728,"")</f>
        <v/>
      </c>
      <c r="AU728" s="44" t="str">
        <f>IF(AND(C728=Master!$H$3,B728="2012-2013",E728&gt;1000,G728="NPN05"),H728,"")</f>
        <v/>
      </c>
      <c r="AV728" s="44" t="str">
        <f>IF(AND(C728=Master!$H$3,B728="2012-2013",E728="",G728="NPN05"),H728,"")</f>
        <v/>
      </c>
      <c r="AW728" s="44" t="str">
        <f>IF(AND(C728=Master!$H$4,B728="2012-2013",E728&gt;1000,G728="NPN05"),H728,"")</f>
        <v/>
      </c>
      <c r="AX728" s="44" t="str">
        <f>IF(AND(C728=Master!$H$4,B728="2012-2013",E728="",G728="NPN05"),H728,"")</f>
        <v/>
      </c>
      <c r="AY728" s="44" t="str">
        <f>IF(AND(C728=Master!$H$5,B728="2012-2013",E728&gt;1000,G728="NPN05"),H728,"")</f>
        <v/>
      </c>
      <c r="AZ728" s="44" t="str">
        <f>IF(AND(C728=Master!$H$5,B728="2012-2013",E728="",G728="NPN05"),H728,"")</f>
        <v/>
      </c>
      <c r="BA728" s="44" t="str">
        <f>IF(AND(C728=Master!$H$6,B728="2012-2013",E728&gt;1000,G728="NPN05"),H728,"")</f>
        <v/>
      </c>
      <c r="BB728" s="44" t="str">
        <f>IF(AND(C728=Master!$H$6,B728="2012-2013",E728="",G728="NPN05"),H728,"")</f>
        <v/>
      </c>
      <c r="BC728" s="44" t="str">
        <f>IF(AND(C728=Master!$H$7,B728="2012-2013",E728&gt;1000,G728="NPN05"),H728,"")</f>
        <v/>
      </c>
      <c r="BD728" s="44" t="str">
        <f>IF(AND(C728=Master!$H$7,B728="2012-2013",E728="",G728="NPN05"),H728,"")</f>
        <v/>
      </c>
      <c r="BE728" s="44" t="str">
        <f>IF(AND(C728=Master!$H$8,B728="2012-2013",E728&gt;1000,G728="NPN05"),H728,"")</f>
        <v/>
      </c>
      <c r="BF728" s="44" t="str">
        <f>IF(AND(C728=Master!$H$8,B728="2012-2013",E728="",G728="NPN05"),H728,"")</f>
        <v/>
      </c>
      <c r="BG728" s="44" t="str">
        <f>IF(AND(C728=Master!$H$9,B728="2012-2013",E728&gt;1000,G728="NPN05"),H728,"")</f>
        <v/>
      </c>
      <c r="BH728" s="44" t="str">
        <f>IF(AND(C728=Master!$H$9,B728="2012-2013",E728="",G728="NPN05"),H728,"")</f>
        <v/>
      </c>
    </row>
    <row r="729" spans="1:60" x14ac:dyDescent="0.25">
      <c r="A729" s="3">
        <v>727</v>
      </c>
      <c r="B729" s="12"/>
      <c r="C729" s="12"/>
      <c r="D729" s="31"/>
      <c r="E729" s="4"/>
      <c r="F729" s="13"/>
      <c r="G729" s="21"/>
      <c r="H729" s="35"/>
      <c r="I729" s="21"/>
      <c r="J729" s="25" t="str">
        <f>IF(NOT(I729=""),INDEX(Master!$B$1:$B$46,MATCH(I729,Master!$A$1:$A$46,0)),"")</f>
        <v/>
      </c>
      <c r="K729" s="18"/>
      <c r="L729" s="86"/>
      <c r="M729" s="13"/>
      <c r="N729" s="13"/>
      <c r="O729" s="18"/>
      <c r="P729" s="35"/>
      <c r="Q729" s="21"/>
      <c r="R729" s="21"/>
      <c r="S729" s="13"/>
      <c r="T729" s="12"/>
      <c r="U729" s="12"/>
      <c r="V729" s="12"/>
      <c r="W729" s="14"/>
      <c r="Y729" s="42" t="str">
        <f>IF(AND(C729=Master!$H$1,B729="2012-2013",E729&gt;1000,G729="PLN03"),H729,"")</f>
        <v/>
      </c>
      <c r="Z729" s="42" t="str">
        <f>IF(AND(C729=Master!$H$1,B729="2012-2013",E729="",G729="PLN03"),H729,"")</f>
        <v/>
      </c>
      <c r="AA729" s="42" t="str">
        <f>IF(AND(C729=Master!$H$2,B729="2012-2013",E729&gt;1000,G729="PLN03"),H729,"")</f>
        <v/>
      </c>
      <c r="AB729" s="42" t="str">
        <f>IF(AND(C729=Master!$H$2,B729="2012-2013",E729="",G729="PLN03"),H729,"")</f>
        <v/>
      </c>
      <c r="AC729" s="42" t="str">
        <f>IF(AND(C729=Master!$H$3,B729="2012-2013",E729&gt;1000,G729="PLN03"),H729,"")</f>
        <v/>
      </c>
      <c r="AD729" s="42" t="str">
        <f>IF(AND(C729=Master!$H$3,B729="2012-2013",E729="",G729="PLN03"),H729,"")</f>
        <v/>
      </c>
      <c r="AE729" s="42" t="str">
        <f>IF(AND(C729=Master!$H$4,B729="2012-2013",E729&gt;1000,G729="PLN03"),H729,"")</f>
        <v/>
      </c>
      <c r="AF729" s="42" t="str">
        <f>IF(AND(C729=Master!$H$4,B729="2012-2013",E729="",G729="PLN03"),H729,"")</f>
        <v/>
      </c>
      <c r="AG729" s="42" t="str">
        <f>IF(AND(C729=Master!$H$5,B729="2012-2013",E729&gt;1000,G729="PLN03"),H729,"")</f>
        <v/>
      </c>
      <c r="AH729" s="42" t="str">
        <f>IF(AND(C729=Master!$H$5,B729="2012-2013",E729="",G729="PLN03"),H729,"")</f>
        <v/>
      </c>
      <c r="AI729" s="42" t="str">
        <f>IF(AND(C729=Master!$H$6,B729="2012-2013",E729&gt;1000,G729="PLN03"),H729,"")</f>
        <v/>
      </c>
      <c r="AJ729" s="42" t="str">
        <f>IF(AND(C729=Master!$H$6,B729="2012-2013",E729="",G729="PLN03"),H729,"")</f>
        <v/>
      </c>
      <c r="AK729" s="42" t="str">
        <f>IF(AND(C729=Master!$H$7,B729="2012-2013",E729&gt;1000,G729="PLN03"),H729,"")</f>
        <v/>
      </c>
      <c r="AL729" s="42" t="str">
        <f>IF(AND(C729=Master!$H$7,B729="2012-2013",E729="",G729="PLN03"),H729,"")</f>
        <v/>
      </c>
      <c r="AM729" s="42" t="str">
        <f>IF(AND(C729=Master!$H$8,B729="2012-2013",E729&gt;1000,G729="PLN03"),H729,"")</f>
        <v/>
      </c>
      <c r="AN729" s="42" t="str">
        <f>IF(AND(C729=Master!$H$8,B729="2012-2013",E729="",G729="PLN03"),H729,"")</f>
        <v/>
      </c>
      <c r="AO729" s="42" t="str">
        <f>IF(AND(C729=Master!$H$9,B729="2012-2013",E729&gt;1000,G729="PLN03"),H729,"")</f>
        <v/>
      </c>
      <c r="AP729" s="42" t="str">
        <f>IF(AND(C729=Master!$H$9,B729="2012-2013",E729="",G729="PLN03"),H729,"")</f>
        <v/>
      </c>
      <c r="AQ729" s="44" t="str">
        <f>IF(AND(C729=Master!$H$1,B729="2012-2013",E729&gt;1000,G729="NPN05"),H729,"")</f>
        <v/>
      </c>
      <c r="AR729" s="44" t="str">
        <f>IF(AND(C729=Master!$H$1,B729="2012-2013",E729="",G729="NPN05"),H729,"")</f>
        <v/>
      </c>
      <c r="AS729" s="44" t="str">
        <f>IF(AND(C729=Master!$H$2,B729="2012-2013",E729&gt;1000,G729="NPN05"),H729,"")</f>
        <v/>
      </c>
      <c r="AT729" s="44" t="str">
        <f>IF(AND(C729=Master!$H$2,B729="2012-2013",E729="",G729="NPN05"),H729,"")</f>
        <v/>
      </c>
      <c r="AU729" s="44" t="str">
        <f>IF(AND(C729=Master!$H$3,B729="2012-2013",E729&gt;1000,G729="NPN05"),H729,"")</f>
        <v/>
      </c>
      <c r="AV729" s="44" t="str">
        <f>IF(AND(C729=Master!$H$3,B729="2012-2013",E729="",G729="NPN05"),H729,"")</f>
        <v/>
      </c>
      <c r="AW729" s="44" t="str">
        <f>IF(AND(C729=Master!$H$4,B729="2012-2013",E729&gt;1000,G729="NPN05"),H729,"")</f>
        <v/>
      </c>
      <c r="AX729" s="44" t="str">
        <f>IF(AND(C729=Master!$H$4,B729="2012-2013",E729="",G729="NPN05"),H729,"")</f>
        <v/>
      </c>
      <c r="AY729" s="44" t="str">
        <f>IF(AND(C729=Master!$H$5,B729="2012-2013",E729&gt;1000,G729="NPN05"),H729,"")</f>
        <v/>
      </c>
      <c r="AZ729" s="44" t="str">
        <f>IF(AND(C729=Master!$H$5,B729="2012-2013",E729="",G729="NPN05"),H729,"")</f>
        <v/>
      </c>
      <c r="BA729" s="44" t="str">
        <f>IF(AND(C729=Master!$H$6,B729="2012-2013",E729&gt;1000,G729="NPN05"),H729,"")</f>
        <v/>
      </c>
      <c r="BB729" s="44" t="str">
        <f>IF(AND(C729=Master!$H$6,B729="2012-2013",E729="",G729="NPN05"),H729,"")</f>
        <v/>
      </c>
      <c r="BC729" s="44" t="str">
        <f>IF(AND(C729=Master!$H$7,B729="2012-2013",E729&gt;1000,G729="NPN05"),H729,"")</f>
        <v/>
      </c>
      <c r="BD729" s="44" t="str">
        <f>IF(AND(C729=Master!$H$7,B729="2012-2013",E729="",G729="NPN05"),H729,"")</f>
        <v/>
      </c>
      <c r="BE729" s="44" t="str">
        <f>IF(AND(C729=Master!$H$8,B729="2012-2013",E729&gt;1000,G729="NPN05"),H729,"")</f>
        <v/>
      </c>
      <c r="BF729" s="44" t="str">
        <f>IF(AND(C729=Master!$H$8,B729="2012-2013",E729="",G729="NPN05"),H729,"")</f>
        <v/>
      </c>
      <c r="BG729" s="44" t="str">
        <f>IF(AND(C729=Master!$H$9,B729="2012-2013",E729&gt;1000,G729="NPN05"),H729,"")</f>
        <v/>
      </c>
      <c r="BH729" s="44" t="str">
        <f>IF(AND(C729=Master!$H$9,B729="2012-2013",E729="",G729="NPN05"),H729,"")</f>
        <v/>
      </c>
    </row>
    <row r="730" spans="1:60" x14ac:dyDescent="0.25">
      <c r="A730" s="3">
        <v>728</v>
      </c>
      <c r="B730" s="12"/>
      <c r="C730" s="12"/>
      <c r="D730" s="31"/>
      <c r="E730" s="4"/>
      <c r="F730" s="13"/>
      <c r="G730" s="21"/>
      <c r="H730" s="35"/>
      <c r="I730" s="21"/>
      <c r="J730" s="25" t="str">
        <f>IF(NOT(I730=""),INDEX(Master!$B$1:$B$46,MATCH(I730,Master!$A$1:$A$46,0)),"")</f>
        <v/>
      </c>
      <c r="K730" s="18"/>
      <c r="L730" s="86"/>
      <c r="M730" s="13"/>
      <c r="N730" s="13"/>
      <c r="O730" s="18"/>
      <c r="P730" s="35"/>
      <c r="Q730" s="21"/>
      <c r="R730" s="21"/>
      <c r="S730" s="13"/>
      <c r="T730" s="12"/>
      <c r="U730" s="12"/>
      <c r="V730" s="12"/>
      <c r="W730" s="14"/>
      <c r="Y730" s="42" t="str">
        <f>IF(AND(C730=Master!$H$1,B730="2012-2013",E730&gt;1000,G730="PLN03"),H730,"")</f>
        <v/>
      </c>
      <c r="Z730" s="42" t="str">
        <f>IF(AND(C730=Master!$H$1,B730="2012-2013",E730="",G730="PLN03"),H730,"")</f>
        <v/>
      </c>
      <c r="AA730" s="42" t="str">
        <f>IF(AND(C730=Master!$H$2,B730="2012-2013",E730&gt;1000,G730="PLN03"),H730,"")</f>
        <v/>
      </c>
      <c r="AB730" s="42" t="str">
        <f>IF(AND(C730=Master!$H$2,B730="2012-2013",E730="",G730="PLN03"),H730,"")</f>
        <v/>
      </c>
      <c r="AC730" s="42" t="str">
        <f>IF(AND(C730=Master!$H$3,B730="2012-2013",E730&gt;1000,G730="PLN03"),H730,"")</f>
        <v/>
      </c>
      <c r="AD730" s="42" t="str">
        <f>IF(AND(C730=Master!$H$3,B730="2012-2013",E730="",G730="PLN03"),H730,"")</f>
        <v/>
      </c>
      <c r="AE730" s="42" t="str">
        <f>IF(AND(C730=Master!$H$4,B730="2012-2013",E730&gt;1000,G730="PLN03"),H730,"")</f>
        <v/>
      </c>
      <c r="AF730" s="42" t="str">
        <f>IF(AND(C730=Master!$H$4,B730="2012-2013",E730="",G730="PLN03"),H730,"")</f>
        <v/>
      </c>
      <c r="AG730" s="42" t="str">
        <f>IF(AND(C730=Master!$H$5,B730="2012-2013",E730&gt;1000,G730="PLN03"),H730,"")</f>
        <v/>
      </c>
      <c r="AH730" s="42" t="str">
        <f>IF(AND(C730=Master!$H$5,B730="2012-2013",E730="",G730="PLN03"),H730,"")</f>
        <v/>
      </c>
      <c r="AI730" s="42" t="str">
        <f>IF(AND(C730=Master!$H$6,B730="2012-2013",E730&gt;1000,G730="PLN03"),H730,"")</f>
        <v/>
      </c>
      <c r="AJ730" s="42" t="str">
        <f>IF(AND(C730=Master!$H$6,B730="2012-2013",E730="",G730="PLN03"),H730,"")</f>
        <v/>
      </c>
      <c r="AK730" s="42" t="str">
        <f>IF(AND(C730=Master!$H$7,B730="2012-2013",E730&gt;1000,G730="PLN03"),H730,"")</f>
        <v/>
      </c>
      <c r="AL730" s="42" t="str">
        <f>IF(AND(C730=Master!$H$7,B730="2012-2013",E730="",G730="PLN03"),H730,"")</f>
        <v/>
      </c>
      <c r="AM730" s="42" t="str">
        <f>IF(AND(C730=Master!$H$8,B730="2012-2013",E730&gt;1000,G730="PLN03"),H730,"")</f>
        <v/>
      </c>
      <c r="AN730" s="42" t="str">
        <f>IF(AND(C730=Master!$H$8,B730="2012-2013",E730="",G730="PLN03"),H730,"")</f>
        <v/>
      </c>
      <c r="AO730" s="42" t="str">
        <f>IF(AND(C730=Master!$H$9,B730="2012-2013",E730&gt;1000,G730="PLN03"),H730,"")</f>
        <v/>
      </c>
      <c r="AP730" s="42" t="str">
        <f>IF(AND(C730=Master!$H$9,B730="2012-2013",E730="",G730="PLN03"),H730,"")</f>
        <v/>
      </c>
      <c r="AQ730" s="44" t="str">
        <f>IF(AND(C730=Master!$H$1,B730="2012-2013",E730&gt;1000,G730="NPN05"),H730,"")</f>
        <v/>
      </c>
      <c r="AR730" s="44" t="str">
        <f>IF(AND(C730=Master!$H$1,B730="2012-2013",E730="",G730="NPN05"),H730,"")</f>
        <v/>
      </c>
      <c r="AS730" s="44" t="str">
        <f>IF(AND(C730=Master!$H$2,B730="2012-2013",E730&gt;1000,G730="NPN05"),H730,"")</f>
        <v/>
      </c>
      <c r="AT730" s="44" t="str">
        <f>IF(AND(C730=Master!$H$2,B730="2012-2013",E730="",G730="NPN05"),H730,"")</f>
        <v/>
      </c>
      <c r="AU730" s="44" t="str">
        <f>IF(AND(C730=Master!$H$3,B730="2012-2013",E730&gt;1000,G730="NPN05"),H730,"")</f>
        <v/>
      </c>
      <c r="AV730" s="44" t="str">
        <f>IF(AND(C730=Master!$H$3,B730="2012-2013",E730="",G730="NPN05"),H730,"")</f>
        <v/>
      </c>
      <c r="AW730" s="44" t="str">
        <f>IF(AND(C730=Master!$H$4,B730="2012-2013",E730&gt;1000,G730="NPN05"),H730,"")</f>
        <v/>
      </c>
      <c r="AX730" s="44" t="str">
        <f>IF(AND(C730=Master!$H$4,B730="2012-2013",E730="",G730="NPN05"),H730,"")</f>
        <v/>
      </c>
      <c r="AY730" s="44" t="str">
        <f>IF(AND(C730=Master!$H$5,B730="2012-2013",E730&gt;1000,G730="NPN05"),H730,"")</f>
        <v/>
      </c>
      <c r="AZ730" s="44" t="str">
        <f>IF(AND(C730=Master!$H$5,B730="2012-2013",E730="",G730="NPN05"),H730,"")</f>
        <v/>
      </c>
      <c r="BA730" s="44" t="str">
        <f>IF(AND(C730=Master!$H$6,B730="2012-2013",E730&gt;1000,G730="NPN05"),H730,"")</f>
        <v/>
      </c>
      <c r="BB730" s="44" t="str">
        <f>IF(AND(C730=Master!$H$6,B730="2012-2013",E730="",G730="NPN05"),H730,"")</f>
        <v/>
      </c>
      <c r="BC730" s="44" t="str">
        <f>IF(AND(C730=Master!$H$7,B730="2012-2013",E730&gt;1000,G730="NPN05"),H730,"")</f>
        <v/>
      </c>
      <c r="BD730" s="44" t="str">
        <f>IF(AND(C730=Master!$H$7,B730="2012-2013",E730="",G730="NPN05"),H730,"")</f>
        <v/>
      </c>
      <c r="BE730" s="44" t="str">
        <f>IF(AND(C730=Master!$H$8,B730="2012-2013",E730&gt;1000,G730="NPN05"),H730,"")</f>
        <v/>
      </c>
      <c r="BF730" s="44" t="str">
        <f>IF(AND(C730=Master!$H$8,B730="2012-2013",E730="",G730="NPN05"),H730,"")</f>
        <v/>
      </c>
      <c r="BG730" s="44" t="str">
        <f>IF(AND(C730=Master!$H$9,B730="2012-2013",E730&gt;1000,G730="NPN05"),H730,"")</f>
        <v/>
      </c>
      <c r="BH730" s="44" t="str">
        <f>IF(AND(C730=Master!$H$9,B730="2012-2013",E730="",G730="NPN05"),H730,"")</f>
        <v/>
      </c>
    </row>
    <row r="731" spans="1:60" x14ac:dyDescent="0.25">
      <c r="A731" s="3">
        <v>729</v>
      </c>
      <c r="B731" s="12"/>
      <c r="C731" s="12"/>
      <c r="D731" s="31"/>
      <c r="E731" s="4"/>
      <c r="F731" s="13"/>
      <c r="G731" s="21"/>
      <c r="H731" s="35"/>
      <c r="I731" s="21"/>
      <c r="J731" s="25" t="str">
        <f>IF(NOT(I731=""),INDEX(Master!$B$1:$B$46,MATCH(I731,Master!$A$1:$A$46,0)),"")</f>
        <v/>
      </c>
      <c r="K731" s="18"/>
      <c r="L731" s="86"/>
      <c r="M731" s="13"/>
      <c r="N731" s="13"/>
      <c r="O731" s="18"/>
      <c r="P731" s="35"/>
      <c r="Q731" s="21"/>
      <c r="R731" s="21"/>
      <c r="S731" s="13"/>
      <c r="T731" s="12"/>
      <c r="U731" s="12"/>
      <c r="V731" s="12"/>
      <c r="W731" s="14"/>
      <c r="Y731" s="42" t="str">
        <f>IF(AND(C731=Master!$H$1,B731="2012-2013",E731&gt;1000,G731="PLN03"),H731,"")</f>
        <v/>
      </c>
      <c r="Z731" s="42" t="str">
        <f>IF(AND(C731=Master!$H$1,B731="2012-2013",E731="",G731="PLN03"),H731,"")</f>
        <v/>
      </c>
      <c r="AA731" s="42" t="str">
        <f>IF(AND(C731=Master!$H$2,B731="2012-2013",E731&gt;1000,G731="PLN03"),H731,"")</f>
        <v/>
      </c>
      <c r="AB731" s="42" t="str">
        <f>IF(AND(C731=Master!$H$2,B731="2012-2013",E731="",G731="PLN03"),H731,"")</f>
        <v/>
      </c>
      <c r="AC731" s="42" t="str">
        <f>IF(AND(C731=Master!$H$3,B731="2012-2013",E731&gt;1000,G731="PLN03"),H731,"")</f>
        <v/>
      </c>
      <c r="AD731" s="42" t="str">
        <f>IF(AND(C731=Master!$H$3,B731="2012-2013",E731="",G731="PLN03"),H731,"")</f>
        <v/>
      </c>
      <c r="AE731" s="42" t="str">
        <f>IF(AND(C731=Master!$H$4,B731="2012-2013",E731&gt;1000,G731="PLN03"),H731,"")</f>
        <v/>
      </c>
      <c r="AF731" s="42" t="str">
        <f>IF(AND(C731=Master!$H$4,B731="2012-2013",E731="",G731="PLN03"),H731,"")</f>
        <v/>
      </c>
      <c r="AG731" s="42" t="str">
        <f>IF(AND(C731=Master!$H$5,B731="2012-2013",E731&gt;1000,G731="PLN03"),H731,"")</f>
        <v/>
      </c>
      <c r="AH731" s="42" t="str">
        <f>IF(AND(C731=Master!$H$5,B731="2012-2013",E731="",G731="PLN03"),H731,"")</f>
        <v/>
      </c>
      <c r="AI731" s="42" t="str">
        <f>IF(AND(C731=Master!$H$6,B731="2012-2013",E731&gt;1000,G731="PLN03"),H731,"")</f>
        <v/>
      </c>
      <c r="AJ731" s="42" t="str">
        <f>IF(AND(C731=Master!$H$6,B731="2012-2013",E731="",G731="PLN03"),H731,"")</f>
        <v/>
      </c>
      <c r="AK731" s="42" t="str">
        <f>IF(AND(C731=Master!$H$7,B731="2012-2013",E731&gt;1000,G731="PLN03"),H731,"")</f>
        <v/>
      </c>
      <c r="AL731" s="42" t="str">
        <f>IF(AND(C731=Master!$H$7,B731="2012-2013",E731="",G731="PLN03"),H731,"")</f>
        <v/>
      </c>
      <c r="AM731" s="42" t="str">
        <f>IF(AND(C731=Master!$H$8,B731="2012-2013",E731&gt;1000,G731="PLN03"),H731,"")</f>
        <v/>
      </c>
      <c r="AN731" s="42" t="str">
        <f>IF(AND(C731=Master!$H$8,B731="2012-2013",E731="",G731="PLN03"),H731,"")</f>
        <v/>
      </c>
      <c r="AO731" s="42" t="str">
        <f>IF(AND(C731=Master!$H$9,B731="2012-2013",E731&gt;1000,G731="PLN03"),H731,"")</f>
        <v/>
      </c>
      <c r="AP731" s="42" t="str">
        <f>IF(AND(C731=Master!$H$9,B731="2012-2013",E731="",G731="PLN03"),H731,"")</f>
        <v/>
      </c>
      <c r="AQ731" s="44" t="str">
        <f>IF(AND(C731=Master!$H$1,B731="2012-2013",E731&gt;1000,G731="NPN05"),H731,"")</f>
        <v/>
      </c>
      <c r="AR731" s="44" t="str">
        <f>IF(AND(C731=Master!$H$1,B731="2012-2013",E731="",G731="NPN05"),H731,"")</f>
        <v/>
      </c>
      <c r="AS731" s="44" t="str">
        <f>IF(AND(C731=Master!$H$2,B731="2012-2013",E731&gt;1000,G731="NPN05"),H731,"")</f>
        <v/>
      </c>
      <c r="AT731" s="44" t="str">
        <f>IF(AND(C731=Master!$H$2,B731="2012-2013",E731="",G731="NPN05"),H731,"")</f>
        <v/>
      </c>
      <c r="AU731" s="44" t="str">
        <f>IF(AND(C731=Master!$H$3,B731="2012-2013",E731&gt;1000,G731="NPN05"),H731,"")</f>
        <v/>
      </c>
      <c r="AV731" s="44" t="str">
        <f>IF(AND(C731=Master!$H$3,B731="2012-2013",E731="",G731="NPN05"),H731,"")</f>
        <v/>
      </c>
      <c r="AW731" s="44" t="str">
        <f>IF(AND(C731=Master!$H$4,B731="2012-2013",E731&gt;1000,G731="NPN05"),H731,"")</f>
        <v/>
      </c>
      <c r="AX731" s="44" t="str">
        <f>IF(AND(C731=Master!$H$4,B731="2012-2013",E731="",G731="NPN05"),H731,"")</f>
        <v/>
      </c>
      <c r="AY731" s="44" t="str">
        <f>IF(AND(C731=Master!$H$5,B731="2012-2013",E731&gt;1000,G731="NPN05"),H731,"")</f>
        <v/>
      </c>
      <c r="AZ731" s="44" t="str">
        <f>IF(AND(C731=Master!$H$5,B731="2012-2013",E731="",G731="NPN05"),H731,"")</f>
        <v/>
      </c>
      <c r="BA731" s="44" t="str">
        <f>IF(AND(C731=Master!$H$6,B731="2012-2013",E731&gt;1000,G731="NPN05"),H731,"")</f>
        <v/>
      </c>
      <c r="BB731" s="44" t="str">
        <f>IF(AND(C731=Master!$H$6,B731="2012-2013",E731="",G731="NPN05"),H731,"")</f>
        <v/>
      </c>
      <c r="BC731" s="44" t="str">
        <f>IF(AND(C731=Master!$H$7,B731="2012-2013",E731&gt;1000,G731="NPN05"),H731,"")</f>
        <v/>
      </c>
      <c r="BD731" s="44" t="str">
        <f>IF(AND(C731=Master!$H$7,B731="2012-2013",E731="",G731="NPN05"),H731,"")</f>
        <v/>
      </c>
      <c r="BE731" s="44" t="str">
        <f>IF(AND(C731=Master!$H$8,B731="2012-2013",E731&gt;1000,G731="NPN05"),H731,"")</f>
        <v/>
      </c>
      <c r="BF731" s="44" t="str">
        <f>IF(AND(C731=Master!$H$8,B731="2012-2013",E731="",G731="NPN05"),H731,"")</f>
        <v/>
      </c>
      <c r="BG731" s="44" t="str">
        <f>IF(AND(C731=Master!$H$9,B731="2012-2013",E731&gt;1000,G731="NPN05"),H731,"")</f>
        <v/>
      </c>
      <c r="BH731" s="44" t="str">
        <f>IF(AND(C731=Master!$H$9,B731="2012-2013",E731="",G731="NPN05"),H731,"")</f>
        <v/>
      </c>
    </row>
    <row r="732" spans="1:60" x14ac:dyDescent="0.25">
      <c r="A732" s="3">
        <v>730</v>
      </c>
      <c r="B732" s="12"/>
      <c r="C732" s="12"/>
      <c r="D732" s="31"/>
      <c r="E732" s="4"/>
      <c r="F732" s="13"/>
      <c r="G732" s="21"/>
      <c r="H732" s="35"/>
      <c r="I732" s="21"/>
      <c r="J732" s="25" t="str">
        <f>IF(NOT(I732=""),INDEX(Master!$B$1:$B$46,MATCH(I732,Master!$A$1:$A$46,0)),"")</f>
        <v/>
      </c>
      <c r="K732" s="18"/>
      <c r="L732" s="86"/>
      <c r="M732" s="13"/>
      <c r="N732" s="13"/>
      <c r="O732" s="18"/>
      <c r="P732" s="35"/>
      <c r="Q732" s="21"/>
      <c r="R732" s="21"/>
      <c r="S732" s="13"/>
      <c r="T732" s="12"/>
      <c r="U732" s="12"/>
      <c r="V732" s="12"/>
      <c r="W732" s="14"/>
      <c r="Y732" s="42" t="str">
        <f>IF(AND(C732=Master!$H$1,B732="2012-2013",E732&gt;1000,G732="PLN03"),H732,"")</f>
        <v/>
      </c>
      <c r="Z732" s="42" t="str">
        <f>IF(AND(C732=Master!$H$1,B732="2012-2013",E732="",G732="PLN03"),H732,"")</f>
        <v/>
      </c>
      <c r="AA732" s="42" t="str">
        <f>IF(AND(C732=Master!$H$2,B732="2012-2013",E732&gt;1000,G732="PLN03"),H732,"")</f>
        <v/>
      </c>
      <c r="AB732" s="42" t="str">
        <f>IF(AND(C732=Master!$H$2,B732="2012-2013",E732="",G732="PLN03"),H732,"")</f>
        <v/>
      </c>
      <c r="AC732" s="42" t="str">
        <f>IF(AND(C732=Master!$H$3,B732="2012-2013",E732&gt;1000,G732="PLN03"),H732,"")</f>
        <v/>
      </c>
      <c r="AD732" s="42" t="str">
        <f>IF(AND(C732=Master!$H$3,B732="2012-2013",E732="",G732="PLN03"),H732,"")</f>
        <v/>
      </c>
      <c r="AE732" s="42" t="str">
        <f>IF(AND(C732=Master!$H$4,B732="2012-2013",E732&gt;1000,G732="PLN03"),H732,"")</f>
        <v/>
      </c>
      <c r="AF732" s="42" t="str">
        <f>IF(AND(C732=Master!$H$4,B732="2012-2013",E732="",G732="PLN03"),H732,"")</f>
        <v/>
      </c>
      <c r="AG732" s="42" t="str">
        <f>IF(AND(C732=Master!$H$5,B732="2012-2013",E732&gt;1000,G732="PLN03"),H732,"")</f>
        <v/>
      </c>
      <c r="AH732" s="42" t="str">
        <f>IF(AND(C732=Master!$H$5,B732="2012-2013",E732="",G732="PLN03"),H732,"")</f>
        <v/>
      </c>
      <c r="AI732" s="42" t="str">
        <f>IF(AND(C732=Master!$H$6,B732="2012-2013",E732&gt;1000,G732="PLN03"),H732,"")</f>
        <v/>
      </c>
      <c r="AJ732" s="42" t="str">
        <f>IF(AND(C732=Master!$H$6,B732="2012-2013",E732="",G732="PLN03"),H732,"")</f>
        <v/>
      </c>
      <c r="AK732" s="42" t="str">
        <f>IF(AND(C732=Master!$H$7,B732="2012-2013",E732&gt;1000,G732="PLN03"),H732,"")</f>
        <v/>
      </c>
      <c r="AL732" s="42" t="str">
        <f>IF(AND(C732=Master!$H$7,B732="2012-2013",E732="",G732="PLN03"),H732,"")</f>
        <v/>
      </c>
      <c r="AM732" s="42" t="str">
        <f>IF(AND(C732=Master!$H$8,B732="2012-2013",E732&gt;1000,G732="PLN03"),H732,"")</f>
        <v/>
      </c>
      <c r="AN732" s="42" t="str">
        <f>IF(AND(C732=Master!$H$8,B732="2012-2013",E732="",G732="PLN03"),H732,"")</f>
        <v/>
      </c>
      <c r="AO732" s="42" t="str">
        <f>IF(AND(C732=Master!$H$9,B732="2012-2013",E732&gt;1000,G732="PLN03"),H732,"")</f>
        <v/>
      </c>
      <c r="AP732" s="42" t="str">
        <f>IF(AND(C732=Master!$H$9,B732="2012-2013",E732="",G732="PLN03"),H732,"")</f>
        <v/>
      </c>
      <c r="AQ732" s="44" t="str">
        <f>IF(AND(C732=Master!$H$1,B732="2012-2013",E732&gt;1000,G732="NPN05"),H732,"")</f>
        <v/>
      </c>
      <c r="AR732" s="44" t="str">
        <f>IF(AND(C732=Master!$H$1,B732="2012-2013",E732="",G732="NPN05"),H732,"")</f>
        <v/>
      </c>
      <c r="AS732" s="44" t="str">
        <f>IF(AND(C732=Master!$H$2,B732="2012-2013",E732&gt;1000,G732="NPN05"),H732,"")</f>
        <v/>
      </c>
      <c r="AT732" s="44" t="str">
        <f>IF(AND(C732=Master!$H$2,B732="2012-2013",E732="",G732="NPN05"),H732,"")</f>
        <v/>
      </c>
      <c r="AU732" s="44" t="str">
        <f>IF(AND(C732=Master!$H$3,B732="2012-2013",E732&gt;1000,G732="NPN05"),H732,"")</f>
        <v/>
      </c>
      <c r="AV732" s="44" t="str">
        <f>IF(AND(C732=Master!$H$3,B732="2012-2013",E732="",G732="NPN05"),H732,"")</f>
        <v/>
      </c>
      <c r="AW732" s="44" t="str">
        <f>IF(AND(C732=Master!$H$4,B732="2012-2013",E732&gt;1000,G732="NPN05"),H732,"")</f>
        <v/>
      </c>
      <c r="AX732" s="44" t="str">
        <f>IF(AND(C732=Master!$H$4,B732="2012-2013",E732="",G732="NPN05"),H732,"")</f>
        <v/>
      </c>
      <c r="AY732" s="44" t="str">
        <f>IF(AND(C732=Master!$H$5,B732="2012-2013",E732&gt;1000,G732="NPN05"),H732,"")</f>
        <v/>
      </c>
      <c r="AZ732" s="44" t="str">
        <f>IF(AND(C732=Master!$H$5,B732="2012-2013",E732="",G732="NPN05"),H732,"")</f>
        <v/>
      </c>
      <c r="BA732" s="44" t="str">
        <f>IF(AND(C732=Master!$H$6,B732="2012-2013",E732&gt;1000,G732="NPN05"),H732,"")</f>
        <v/>
      </c>
      <c r="BB732" s="44" t="str">
        <f>IF(AND(C732=Master!$H$6,B732="2012-2013",E732="",G732="NPN05"),H732,"")</f>
        <v/>
      </c>
      <c r="BC732" s="44" t="str">
        <f>IF(AND(C732=Master!$H$7,B732="2012-2013",E732&gt;1000,G732="NPN05"),H732,"")</f>
        <v/>
      </c>
      <c r="BD732" s="44" t="str">
        <f>IF(AND(C732=Master!$H$7,B732="2012-2013",E732="",G732="NPN05"),H732,"")</f>
        <v/>
      </c>
      <c r="BE732" s="44" t="str">
        <f>IF(AND(C732=Master!$H$8,B732="2012-2013",E732&gt;1000,G732="NPN05"),H732,"")</f>
        <v/>
      </c>
      <c r="BF732" s="44" t="str">
        <f>IF(AND(C732=Master!$H$8,B732="2012-2013",E732="",G732="NPN05"),H732,"")</f>
        <v/>
      </c>
      <c r="BG732" s="44" t="str">
        <f>IF(AND(C732=Master!$H$9,B732="2012-2013",E732&gt;1000,G732="NPN05"),H732,"")</f>
        <v/>
      </c>
      <c r="BH732" s="44" t="str">
        <f>IF(AND(C732=Master!$H$9,B732="2012-2013",E732="",G732="NPN05"),H732,"")</f>
        <v/>
      </c>
    </row>
    <row r="733" spans="1:60" x14ac:dyDescent="0.25">
      <c r="A733" s="5">
        <v>731</v>
      </c>
      <c r="B733" s="12"/>
      <c r="C733" s="12"/>
      <c r="D733" s="31"/>
      <c r="E733" s="4"/>
      <c r="F733" s="13"/>
      <c r="G733" s="21"/>
      <c r="H733" s="35"/>
      <c r="I733" s="21"/>
      <c r="J733" s="25" t="str">
        <f>IF(NOT(I733=""),INDEX(Master!$B$1:$B$46,MATCH(I733,Master!$A$1:$A$46,0)),"")</f>
        <v/>
      </c>
      <c r="K733" s="18"/>
      <c r="L733" s="86"/>
      <c r="M733" s="13"/>
      <c r="N733" s="13"/>
      <c r="O733" s="18"/>
      <c r="P733" s="35"/>
      <c r="Q733" s="21"/>
      <c r="R733" s="21"/>
      <c r="S733" s="13"/>
      <c r="T733" s="12"/>
      <c r="U733" s="12"/>
      <c r="V733" s="12"/>
      <c r="W733" s="14"/>
      <c r="Y733" s="42" t="str">
        <f>IF(AND(C733=Master!$H$1,B733="2012-2013",E733&gt;1000,G733="PLN03"),H733,"")</f>
        <v/>
      </c>
      <c r="Z733" s="42" t="str">
        <f>IF(AND(C733=Master!$H$1,B733="2012-2013",E733="",G733="PLN03"),H733,"")</f>
        <v/>
      </c>
      <c r="AA733" s="42" t="str">
        <f>IF(AND(C733=Master!$H$2,B733="2012-2013",E733&gt;1000,G733="PLN03"),H733,"")</f>
        <v/>
      </c>
      <c r="AB733" s="42" t="str">
        <f>IF(AND(C733=Master!$H$2,B733="2012-2013",E733="",G733="PLN03"),H733,"")</f>
        <v/>
      </c>
      <c r="AC733" s="42" t="str">
        <f>IF(AND(C733=Master!$H$3,B733="2012-2013",E733&gt;1000,G733="PLN03"),H733,"")</f>
        <v/>
      </c>
      <c r="AD733" s="42" t="str">
        <f>IF(AND(C733=Master!$H$3,B733="2012-2013",E733="",G733="PLN03"),H733,"")</f>
        <v/>
      </c>
      <c r="AE733" s="42" t="str">
        <f>IF(AND(C733=Master!$H$4,B733="2012-2013",E733&gt;1000,G733="PLN03"),H733,"")</f>
        <v/>
      </c>
      <c r="AF733" s="42" t="str">
        <f>IF(AND(C733=Master!$H$4,B733="2012-2013",E733="",G733="PLN03"),H733,"")</f>
        <v/>
      </c>
      <c r="AG733" s="42" t="str">
        <f>IF(AND(C733=Master!$H$5,B733="2012-2013",E733&gt;1000,G733="PLN03"),H733,"")</f>
        <v/>
      </c>
      <c r="AH733" s="42" t="str">
        <f>IF(AND(C733=Master!$H$5,B733="2012-2013",E733="",G733="PLN03"),H733,"")</f>
        <v/>
      </c>
      <c r="AI733" s="42" t="str">
        <f>IF(AND(C733=Master!$H$6,B733="2012-2013",E733&gt;1000,G733="PLN03"),H733,"")</f>
        <v/>
      </c>
      <c r="AJ733" s="42" t="str">
        <f>IF(AND(C733=Master!$H$6,B733="2012-2013",E733="",G733="PLN03"),H733,"")</f>
        <v/>
      </c>
      <c r="AK733" s="42" t="str">
        <f>IF(AND(C733=Master!$H$7,B733="2012-2013",E733&gt;1000,G733="PLN03"),H733,"")</f>
        <v/>
      </c>
      <c r="AL733" s="42" t="str">
        <f>IF(AND(C733=Master!$H$7,B733="2012-2013",E733="",G733="PLN03"),H733,"")</f>
        <v/>
      </c>
      <c r="AM733" s="42" t="str">
        <f>IF(AND(C733=Master!$H$8,B733="2012-2013",E733&gt;1000,G733="PLN03"),H733,"")</f>
        <v/>
      </c>
      <c r="AN733" s="42" t="str">
        <f>IF(AND(C733=Master!$H$8,B733="2012-2013",E733="",G733="PLN03"),H733,"")</f>
        <v/>
      </c>
      <c r="AO733" s="42" t="str">
        <f>IF(AND(C733=Master!$H$9,B733="2012-2013",E733&gt;1000,G733="PLN03"),H733,"")</f>
        <v/>
      </c>
      <c r="AP733" s="42" t="str">
        <f>IF(AND(C733=Master!$H$9,B733="2012-2013",E733="",G733="PLN03"),H733,"")</f>
        <v/>
      </c>
      <c r="AQ733" s="44" t="str">
        <f>IF(AND(C733=Master!$H$1,B733="2012-2013",E733&gt;1000,G733="NPN05"),H733,"")</f>
        <v/>
      </c>
      <c r="AR733" s="44" t="str">
        <f>IF(AND(C733=Master!$H$1,B733="2012-2013",E733="",G733="NPN05"),H733,"")</f>
        <v/>
      </c>
      <c r="AS733" s="44" t="str">
        <f>IF(AND(C733=Master!$H$2,B733="2012-2013",E733&gt;1000,G733="NPN05"),H733,"")</f>
        <v/>
      </c>
      <c r="AT733" s="44" t="str">
        <f>IF(AND(C733=Master!$H$2,B733="2012-2013",E733="",G733="NPN05"),H733,"")</f>
        <v/>
      </c>
      <c r="AU733" s="44" t="str">
        <f>IF(AND(C733=Master!$H$3,B733="2012-2013",E733&gt;1000,G733="NPN05"),H733,"")</f>
        <v/>
      </c>
      <c r="AV733" s="44" t="str">
        <f>IF(AND(C733=Master!$H$3,B733="2012-2013",E733="",G733="NPN05"),H733,"")</f>
        <v/>
      </c>
      <c r="AW733" s="44" t="str">
        <f>IF(AND(C733=Master!$H$4,B733="2012-2013",E733&gt;1000,G733="NPN05"),H733,"")</f>
        <v/>
      </c>
      <c r="AX733" s="44" t="str">
        <f>IF(AND(C733=Master!$H$4,B733="2012-2013",E733="",G733="NPN05"),H733,"")</f>
        <v/>
      </c>
      <c r="AY733" s="44" t="str">
        <f>IF(AND(C733=Master!$H$5,B733="2012-2013",E733&gt;1000,G733="NPN05"),H733,"")</f>
        <v/>
      </c>
      <c r="AZ733" s="44" t="str">
        <f>IF(AND(C733=Master!$H$5,B733="2012-2013",E733="",G733="NPN05"),H733,"")</f>
        <v/>
      </c>
      <c r="BA733" s="44" t="str">
        <f>IF(AND(C733=Master!$H$6,B733="2012-2013",E733&gt;1000,G733="NPN05"),H733,"")</f>
        <v/>
      </c>
      <c r="BB733" s="44" t="str">
        <f>IF(AND(C733=Master!$H$6,B733="2012-2013",E733="",G733="NPN05"),H733,"")</f>
        <v/>
      </c>
      <c r="BC733" s="44" t="str">
        <f>IF(AND(C733=Master!$H$7,B733="2012-2013",E733&gt;1000,G733="NPN05"),H733,"")</f>
        <v/>
      </c>
      <c r="BD733" s="44" t="str">
        <f>IF(AND(C733=Master!$H$7,B733="2012-2013",E733="",G733="NPN05"),H733,"")</f>
        <v/>
      </c>
      <c r="BE733" s="44" t="str">
        <f>IF(AND(C733=Master!$H$8,B733="2012-2013",E733&gt;1000,G733="NPN05"),H733,"")</f>
        <v/>
      </c>
      <c r="BF733" s="44" t="str">
        <f>IF(AND(C733=Master!$H$8,B733="2012-2013",E733="",G733="NPN05"),H733,"")</f>
        <v/>
      </c>
      <c r="BG733" s="44" t="str">
        <f>IF(AND(C733=Master!$H$9,B733="2012-2013",E733&gt;1000,G733="NPN05"),H733,"")</f>
        <v/>
      </c>
      <c r="BH733" s="44" t="str">
        <f>IF(AND(C733=Master!$H$9,B733="2012-2013",E733="",G733="NPN05"),H733,"")</f>
        <v/>
      </c>
    </row>
    <row r="734" spans="1:60" x14ac:dyDescent="0.25">
      <c r="A734" s="3">
        <v>732</v>
      </c>
      <c r="B734" s="12"/>
      <c r="C734" s="12"/>
      <c r="D734" s="31"/>
      <c r="E734" s="4"/>
      <c r="F734" s="13"/>
      <c r="G734" s="21"/>
      <c r="H734" s="35"/>
      <c r="I734" s="21"/>
      <c r="J734" s="25" t="str">
        <f>IF(NOT(I734=""),INDEX(Master!$B$1:$B$46,MATCH(I734,Master!$A$1:$A$46,0)),"")</f>
        <v/>
      </c>
      <c r="K734" s="18"/>
      <c r="L734" s="86"/>
      <c r="M734" s="13"/>
      <c r="N734" s="13"/>
      <c r="O734" s="18"/>
      <c r="P734" s="35"/>
      <c r="Q734" s="21"/>
      <c r="R734" s="21"/>
      <c r="S734" s="13"/>
      <c r="T734" s="12"/>
      <c r="U734" s="12"/>
      <c r="V734" s="12"/>
      <c r="W734" s="14"/>
      <c r="Y734" s="42" t="str">
        <f>IF(AND(C734=Master!$H$1,B734="2012-2013",E734&gt;1000,G734="PLN03"),H734,"")</f>
        <v/>
      </c>
      <c r="Z734" s="42" t="str">
        <f>IF(AND(C734=Master!$H$1,B734="2012-2013",E734="",G734="PLN03"),H734,"")</f>
        <v/>
      </c>
      <c r="AA734" s="42" t="str">
        <f>IF(AND(C734=Master!$H$2,B734="2012-2013",E734&gt;1000,G734="PLN03"),H734,"")</f>
        <v/>
      </c>
      <c r="AB734" s="42" t="str">
        <f>IF(AND(C734=Master!$H$2,B734="2012-2013",E734="",G734="PLN03"),H734,"")</f>
        <v/>
      </c>
      <c r="AC734" s="42" t="str">
        <f>IF(AND(C734=Master!$H$3,B734="2012-2013",E734&gt;1000,G734="PLN03"),H734,"")</f>
        <v/>
      </c>
      <c r="AD734" s="42" t="str">
        <f>IF(AND(C734=Master!$H$3,B734="2012-2013",E734="",G734="PLN03"),H734,"")</f>
        <v/>
      </c>
      <c r="AE734" s="42" t="str">
        <f>IF(AND(C734=Master!$H$4,B734="2012-2013",E734&gt;1000,G734="PLN03"),H734,"")</f>
        <v/>
      </c>
      <c r="AF734" s="42" t="str">
        <f>IF(AND(C734=Master!$H$4,B734="2012-2013",E734="",G734="PLN03"),H734,"")</f>
        <v/>
      </c>
      <c r="AG734" s="42" t="str">
        <f>IF(AND(C734=Master!$H$5,B734="2012-2013",E734&gt;1000,G734="PLN03"),H734,"")</f>
        <v/>
      </c>
      <c r="AH734" s="42" t="str">
        <f>IF(AND(C734=Master!$H$5,B734="2012-2013",E734="",G734="PLN03"),H734,"")</f>
        <v/>
      </c>
      <c r="AI734" s="42" t="str">
        <f>IF(AND(C734=Master!$H$6,B734="2012-2013",E734&gt;1000,G734="PLN03"),H734,"")</f>
        <v/>
      </c>
      <c r="AJ734" s="42" t="str">
        <f>IF(AND(C734=Master!$H$6,B734="2012-2013",E734="",G734="PLN03"),H734,"")</f>
        <v/>
      </c>
      <c r="AK734" s="42" t="str">
        <f>IF(AND(C734=Master!$H$7,B734="2012-2013",E734&gt;1000,G734="PLN03"),H734,"")</f>
        <v/>
      </c>
      <c r="AL734" s="42" t="str">
        <f>IF(AND(C734=Master!$H$7,B734="2012-2013",E734="",G734="PLN03"),H734,"")</f>
        <v/>
      </c>
      <c r="AM734" s="42" t="str">
        <f>IF(AND(C734=Master!$H$8,B734="2012-2013",E734&gt;1000,G734="PLN03"),H734,"")</f>
        <v/>
      </c>
      <c r="AN734" s="42" t="str">
        <f>IF(AND(C734=Master!$H$8,B734="2012-2013",E734="",G734="PLN03"),H734,"")</f>
        <v/>
      </c>
      <c r="AO734" s="42" t="str">
        <f>IF(AND(C734=Master!$H$9,B734="2012-2013",E734&gt;1000,G734="PLN03"),H734,"")</f>
        <v/>
      </c>
      <c r="AP734" s="42" t="str">
        <f>IF(AND(C734=Master!$H$9,B734="2012-2013",E734="",G734="PLN03"),H734,"")</f>
        <v/>
      </c>
      <c r="AQ734" s="44" t="str">
        <f>IF(AND(C734=Master!$H$1,B734="2012-2013",E734&gt;1000,G734="NPN05"),H734,"")</f>
        <v/>
      </c>
      <c r="AR734" s="44" t="str">
        <f>IF(AND(C734=Master!$H$1,B734="2012-2013",E734="",G734="NPN05"),H734,"")</f>
        <v/>
      </c>
      <c r="AS734" s="44" t="str">
        <f>IF(AND(C734=Master!$H$2,B734="2012-2013",E734&gt;1000,G734="NPN05"),H734,"")</f>
        <v/>
      </c>
      <c r="AT734" s="44" t="str">
        <f>IF(AND(C734=Master!$H$2,B734="2012-2013",E734="",G734="NPN05"),H734,"")</f>
        <v/>
      </c>
      <c r="AU734" s="44" t="str">
        <f>IF(AND(C734=Master!$H$3,B734="2012-2013",E734&gt;1000,G734="NPN05"),H734,"")</f>
        <v/>
      </c>
      <c r="AV734" s="44" t="str">
        <f>IF(AND(C734=Master!$H$3,B734="2012-2013",E734="",G734="NPN05"),H734,"")</f>
        <v/>
      </c>
      <c r="AW734" s="44" t="str">
        <f>IF(AND(C734=Master!$H$4,B734="2012-2013",E734&gt;1000,G734="NPN05"),H734,"")</f>
        <v/>
      </c>
      <c r="AX734" s="44" t="str">
        <f>IF(AND(C734=Master!$H$4,B734="2012-2013",E734="",G734="NPN05"),H734,"")</f>
        <v/>
      </c>
      <c r="AY734" s="44" t="str">
        <f>IF(AND(C734=Master!$H$5,B734="2012-2013",E734&gt;1000,G734="NPN05"),H734,"")</f>
        <v/>
      </c>
      <c r="AZ734" s="44" t="str">
        <f>IF(AND(C734=Master!$H$5,B734="2012-2013",E734="",G734="NPN05"),H734,"")</f>
        <v/>
      </c>
      <c r="BA734" s="44" t="str">
        <f>IF(AND(C734=Master!$H$6,B734="2012-2013",E734&gt;1000,G734="NPN05"),H734,"")</f>
        <v/>
      </c>
      <c r="BB734" s="44" t="str">
        <f>IF(AND(C734=Master!$H$6,B734="2012-2013",E734="",G734="NPN05"),H734,"")</f>
        <v/>
      </c>
      <c r="BC734" s="44" t="str">
        <f>IF(AND(C734=Master!$H$7,B734="2012-2013",E734&gt;1000,G734="NPN05"),H734,"")</f>
        <v/>
      </c>
      <c r="BD734" s="44" t="str">
        <f>IF(AND(C734=Master!$H$7,B734="2012-2013",E734="",G734="NPN05"),H734,"")</f>
        <v/>
      </c>
      <c r="BE734" s="44" t="str">
        <f>IF(AND(C734=Master!$H$8,B734="2012-2013",E734&gt;1000,G734="NPN05"),H734,"")</f>
        <v/>
      </c>
      <c r="BF734" s="44" t="str">
        <f>IF(AND(C734=Master!$H$8,B734="2012-2013",E734="",G734="NPN05"),H734,"")</f>
        <v/>
      </c>
      <c r="BG734" s="44" t="str">
        <f>IF(AND(C734=Master!$H$9,B734="2012-2013",E734&gt;1000,G734="NPN05"),H734,"")</f>
        <v/>
      </c>
      <c r="BH734" s="44" t="str">
        <f>IF(AND(C734=Master!$H$9,B734="2012-2013",E734="",G734="NPN05"),H734,"")</f>
        <v/>
      </c>
    </row>
    <row r="735" spans="1:60" x14ac:dyDescent="0.25">
      <c r="A735" s="3">
        <v>733</v>
      </c>
      <c r="B735" s="12"/>
      <c r="C735" s="12"/>
      <c r="D735" s="31"/>
      <c r="E735" s="4"/>
      <c r="F735" s="13"/>
      <c r="G735" s="21"/>
      <c r="H735" s="35"/>
      <c r="I735" s="21"/>
      <c r="J735" s="25" t="str">
        <f>IF(NOT(I735=""),INDEX(Master!$B$1:$B$46,MATCH(I735,Master!$A$1:$A$46,0)),"")</f>
        <v/>
      </c>
      <c r="K735" s="18"/>
      <c r="L735" s="86"/>
      <c r="M735" s="13"/>
      <c r="N735" s="13"/>
      <c r="O735" s="18"/>
      <c r="P735" s="35"/>
      <c r="Q735" s="21"/>
      <c r="R735" s="21"/>
      <c r="S735" s="13"/>
      <c r="T735" s="12"/>
      <c r="U735" s="12"/>
      <c r="V735" s="12"/>
      <c r="W735" s="14"/>
      <c r="Y735" s="42" t="str">
        <f>IF(AND(C735=Master!$H$1,B735="2012-2013",E735&gt;1000,G735="PLN03"),H735,"")</f>
        <v/>
      </c>
      <c r="Z735" s="42" t="str">
        <f>IF(AND(C735=Master!$H$1,B735="2012-2013",E735="",G735="PLN03"),H735,"")</f>
        <v/>
      </c>
      <c r="AA735" s="42" t="str">
        <f>IF(AND(C735=Master!$H$2,B735="2012-2013",E735&gt;1000,G735="PLN03"),H735,"")</f>
        <v/>
      </c>
      <c r="AB735" s="42" t="str">
        <f>IF(AND(C735=Master!$H$2,B735="2012-2013",E735="",G735="PLN03"),H735,"")</f>
        <v/>
      </c>
      <c r="AC735" s="42" t="str">
        <f>IF(AND(C735=Master!$H$3,B735="2012-2013",E735&gt;1000,G735="PLN03"),H735,"")</f>
        <v/>
      </c>
      <c r="AD735" s="42" t="str">
        <f>IF(AND(C735=Master!$H$3,B735="2012-2013",E735="",G735="PLN03"),H735,"")</f>
        <v/>
      </c>
      <c r="AE735" s="42" t="str">
        <f>IF(AND(C735=Master!$H$4,B735="2012-2013",E735&gt;1000,G735="PLN03"),H735,"")</f>
        <v/>
      </c>
      <c r="AF735" s="42" t="str">
        <f>IF(AND(C735=Master!$H$4,B735="2012-2013",E735="",G735="PLN03"),H735,"")</f>
        <v/>
      </c>
      <c r="AG735" s="42" t="str">
        <f>IF(AND(C735=Master!$H$5,B735="2012-2013",E735&gt;1000,G735="PLN03"),H735,"")</f>
        <v/>
      </c>
      <c r="AH735" s="42" t="str">
        <f>IF(AND(C735=Master!$H$5,B735="2012-2013",E735="",G735="PLN03"),H735,"")</f>
        <v/>
      </c>
      <c r="AI735" s="42" t="str">
        <f>IF(AND(C735=Master!$H$6,B735="2012-2013",E735&gt;1000,G735="PLN03"),H735,"")</f>
        <v/>
      </c>
      <c r="AJ735" s="42" t="str">
        <f>IF(AND(C735=Master!$H$6,B735="2012-2013",E735="",G735="PLN03"),H735,"")</f>
        <v/>
      </c>
      <c r="AK735" s="42" t="str">
        <f>IF(AND(C735=Master!$H$7,B735="2012-2013",E735&gt;1000,G735="PLN03"),H735,"")</f>
        <v/>
      </c>
      <c r="AL735" s="42" t="str">
        <f>IF(AND(C735=Master!$H$7,B735="2012-2013",E735="",G735="PLN03"),H735,"")</f>
        <v/>
      </c>
      <c r="AM735" s="42" t="str">
        <f>IF(AND(C735=Master!$H$8,B735="2012-2013",E735&gt;1000,G735="PLN03"),H735,"")</f>
        <v/>
      </c>
      <c r="AN735" s="42" t="str">
        <f>IF(AND(C735=Master!$H$8,B735="2012-2013",E735="",G735="PLN03"),H735,"")</f>
        <v/>
      </c>
      <c r="AO735" s="42" t="str">
        <f>IF(AND(C735=Master!$H$9,B735="2012-2013",E735&gt;1000,G735="PLN03"),H735,"")</f>
        <v/>
      </c>
      <c r="AP735" s="42" t="str">
        <f>IF(AND(C735=Master!$H$9,B735="2012-2013",E735="",G735="PLN03"),H735,"")</f>
        <v/>
      </c>
      <c r="AQ735" s="44" t="str">
        <f>IF(AND(C735=Master!$H$1,B735="2012-2013",E735&gt;1000,G735="NPN05"),H735,"")</f>
        <v/>
      </c>
      <c r="AR735" s="44" t="str">
        <f>IF(AND(C735=Master!$H$1,B735="2012-2013",E735="",G735="NPN05"),H735,"")</f>
        <v/>
      </c>
      <c r="AS735" s="44" t="str">
        <f>IF(AND(C735=Master!$H$2,B735="2012-2013",E735&gt;1000,G735="NPN05"),H735,"")</f>
        <v/>
      </c>
      <c r="AT735" s="44" t="str">
        <f>IF(AND(C735=Master!$H$2,B735="2012-2013",E735="",G735="NPN05"),H735,"")</f>
        <v/>
      </c>
      <c r="AU735" s="44" t="str">
        <f>IF(AND(C735=Master!$H$3,B735="2012-2013",E735&gt;1000,G735="NPN05"),H735,"")</f>
        <v/>
      </c>
      <c r="AV735" s="44" t="str">
        <f>IF(AND(C735=Master!$H$3,B735="2012-2013",E735="",G735="NPN05"),H735,"")</f>
        <v/>
      </c>
      <c r="AW735" s="44" t="str">
        <f>IF(AND(C735=Master!$H$4,B735="2012-2013",E735&gt;1000,G735="NPN05"),H735,"")</f>
        <v/>
      </c>
      <c r="AX735" s="44" t="str">
        <f>IF(AND(C735=Master!$H$4,B735="2012-2013",E735="",G735="NPN05"),H735,"")</f>
        <v/>
      </c>
      <c r="AY735" s="44" t="str">
        <f>IF(AND(C735=Master!$H$5,B735="2012-2013",E735&gt;1000,G735="NPN05"),H735,"")</f>
        <v/>
      </c>
      <c r="AZ735" s="44" t="str">
        <f>IF(AND(C735=Master!$H$5,B735="2012-2013",E735="",G735="NPN05"),H735,"")</f>
        <v/>
      </c>
      <c r="BA735" s="44" t="str">
        <f>IF(AND(C735=Master!$H$6,B735="2012-2013",E735&gt;1000,G735="NPN05"),H735,"")</f>
        <v/>
      </c>
      <c r="BB735" s="44" t="str">
        <f>IF(AND(C735=Master!$H$6,B735="2012-2013",E735="",G735="NPN05"),H735,"")</f>
        <v/>
      </c>
      <c r="BC735" s="44" t="str">
        <f>IF(AND(C735=Master!$H$7,B735="2012-2013",E735&gt;1000,G735="NPN05"),H735,"")</f>
        <v/>
      </c>
      <c r="BD735" s="44" t="str">
        <f>IF(AND(C735=Master!$H$7,B735="2012-2013",E735="",G735="NPN05"),H735,"")</f>
        <v/>
      </c>
      <c r="BE735" s="44" t="str">
        <f>IF(AND(C735=Master!$H$8,B735="2012-2013",E735&gt;1000,G735="NPN05"),H735,"")</f>
        <v/>
      </c>
      <c r="BF735" s="44" t="str">
        <f>IF(AND(C735=Master!$H$8,B735="2012-2013",E735="",G735="NPN05"),H735,"")</f>
        <v/>
      </c>
      <c r="BG735" s="44" t="str">
        <f>IF(AND(C735=Master!$H$9,B735="2012-2013",E735&gt;1000,G735="NPN05"),H735,"")</f>
        <v/>
      </c>
      <c r="BH735" s="44" t="str">
        <f>IF(AND(C735=Master!$H$9,B735="2012-2013",E735="",G735="NPN05"),H735,"")</f>
        <v/>
      </c>
    </row>
    <row r="736" spans="1:60" x14ac:dyDescent="0.25">
      <c r="A736" s="3">
        <v>734</v>
      </c>
      <c r="B736" s="12"/>
      <c r="C736" s="12"/>
      <c r="D736" s="31"/>
      <c r="E736" s="4"/>
      <c r="F736" s="13"/>
      <c r="G736" s="21"/>
      <c r="H736" s="35"/>
      <c r="I736" s="21"/>
      <c r="J736" s="25" t="str">
        <f>IF(NOT(I736=""),INDEX(Master!$B$1:$B$46,MATCH(I736,Master!$A$1:$A$46,0)),"")</f>
        <v/>
      </c>
      <c r="K736" s="18"/>
      <c r="L736" s="86"/>
      <c r="M736" s="13"/>
      <c r="N736" s="13"/>
      <c r="O736" s="18"/>
      <c r="P736" s="35"/>
      <c r="Q736" s="21"/>
      <c r="R736" s="21"/>
      <c r="S736" s="13"/>
      <c r="T736" s="12"/>
      <c r="U736" s="12"/>
      <c r="V736" s="12"/>
      <c r="W736" s="14"/>
      <c r="Y736" s="42" t="str">
        <f>IF(AND(C736=Master!$H$1,B736="2012-2013",E736&gt;1000,G736="PLN03"),H736,"")</f>
        <v/>
      </c>
      <c r="Z736" s="42" t="str">
        <f>IF(AND(C736=Master!$H$1,B736="2012-2013",E736="",G736="PLN03"),H736,"")</f>
        <v/>
      </c>
      <c r="AA736" s="42" t="str">
        <f>IF(AND(C736=Master!$H$2,B736="2012-2013",E736&gt;1000,G736="PLN03"),H736,"")</f>
        <v/>
      </c>
      <c r="AB736" s="42" t="str">
        <f>IF(AND(C736=Master!$H$2,B736="2012-2013",E736="",G736="PLN03"),H736,"")</f>
        <v/>
      </c>
      <c r="AC736" s="42" t="str">
        <f>IF(AND(C736=Master!$H$3,B736="2012-2013",E736&gt;1000,G736="PLN03"),H736,"")</f>
        <v/>
      </c>
      <c r="AD736" s="42" t="str">
        <f>IF(AND(C736=Master!$H$3,B736="2012-2013",E736="",G736="PLN03"),H736,"")</f>
        <v/>
      </c>
      <c r="AE736" s="42" t="str">
        <f>IF(AND(C736=Master!$H$4,B736="2012-2013",E736&gt;1000,G736="PLN03"),H736,"")</f>
        <v/>
      </c>
      <c r="AF736" s="42" t="str">
        <f>IF(AND(C736=Master!$H$4,B736="2012-2013",E736="",G736="PLN03"),H736,"")</f>
        <v/>
      </c>
      <c r="AG736" s="42" t="str">
        <f>IF(AND(C736=Master!$H$5,B736="2012-2013",E736&gt;1000,G736="PLN03"),H736,"")</f>
        <v/>
      </c>
      <c r="AH736" s="42" t="str">
        <f>IF(AND(C736=Master!$H$5,B736="2012-2013",E736="",G736="PLN03"),H736,"")</f>
        <v/>
      </c>
      <c r="AI736" s="42" t="str">
        <f>IF(AND(C736=Master!$H$6,B736="2012-2013",E736&gt;1000,G736="PLN03"),H736,"")</f>
        <v/>
      </c>
      <c r="AJ736" s="42" t="str">
        <f>IF(AND(C736=Master!$H$6,B736="2012-2013",E736="",G736="PLN03"),H736,"")</f>
        <v/>
      </c>
      <c r="AK736" s="42" t="str">
        <f>IF(AND(C736=Master!$H$7,B736="2012-2013",E736&gt;1000,G736="PLN03"),H736,"")</f>
        <v/>
      </c>
      <c r="AL736" s="42" t="str">
        <f>IF(AND(C736=Master!$H$7,B736="2012-2013",E736="",G736="PLN03"),H736,"")</f>
        <v/>
      </c>
      <c r="AM736" s="42" t="str">
        <f>IF(AND(C736=Master!$H$8,B736="2012-2013",E736&gt;1000,G736="PLN03"),H736,"")</f>
        <v/>
      </c>
      <c r="AN736" s="42" t="str">
        <f>IF(AND(C736=Master!$H$8,B736="2012-2013",E736="",G736="PLN03"),H736,"")</f>
        <v/>
      </c>
      <c r="AO736" s="42" t="str">
        <f>IF(AND(C736=Master!$H$9,B736="2012-2013",E736&gt;1000,G736="PLN03"),H736,"")</f>
        <v/>
      </c>
      <c r="AP736" s="42" t="str">
        <f>IF(AND(C736=Master!$H$9,B736="2012-2013",E736="",G736="PLN03"),H736,"")</f>
        <v/>
      </c>
      <c r="AQ736" s="44" t="str">
        <f>IF(AND(C736=Master!$H$1,B736="2012-2013",E736&gt;1000,G736="NPN05"),H736,"")</f>
        <v/>
      </c>
      <c r="AR736" s="44" t="str">
        <f>IF(AND(C736=Master!$H$1,B736="2012-2013",E736="",G736="NPN05"),H736,"")</f>
        <v/>
      </c>
      <c r="AS736" s="44" t="str">
        <f>IF(AND(C736=Master!$H$2,B736="2012-2013",E736&gt;1000,G736="NPN05"),H736,"")</f>
        <v/>
      </c>
      <c r="AT736" s="44" t="str">
        <f>IF(AND(C736=Master!$H$2,B736="2012-2013",E736="",G736="NPN05"),H736,"")</f>
        <v/>
      </c>
      <c r="AU736" s="44" t="str">
        <f>IF(AND(C736=Master!$H$3,B736="2012-2013",E736&gt;1000,G736="NPN05"),H736,"")</f>
        <v/>
      </c>
      <c r="AV736" s="44" t="str">
        <f>IF(AND(C736=Master!$H$3,B736="2012-2013",E736="",G736="NPN05"),H736,"")</f>
        <v/>
      </c>
      <c r="AW736" s="44" t="str">
        <f>IF(AND(C736=Master!$H$4,B736="2012-2013",E736&gt;1000,G736="NPN05"),H736,"")</f>
        <v/>
      </c>
      <c r="AX736" s="44" t="str">
        <f>IF(AND(C736=Master!$H$4,B736="2012-2013",E736="",G736="NPN05"),H736,"")</f>
        <v/>
      </c>
      <c r="AY736" s="44" t="str">
        <f>IF(AND(C736=Master!$H$5,B736="2012-2013",E736&gt;1000,G736="NPN05"),H736,"")</f>
        <v/>
      </c>
      <c r="AZ736" s="44" t="str">
        <f>IF(AND(C736=Master!$H$5,B736="2012-2013",E736="",G736="NPN05"),H736,"")</f>
        <v/>
      </c>
      <c r="BA736" s="44" t="str">
        <f>IF(AND(C736=Master!$H$6,B736="2012-2013",E736&gt;1000,G736="NPN05"),H736,"")</f>
        <v/>
      </c>
      <c r="BB736" s="44" t="str">
        <f>IF(AND(C736=Master!$H$6,B736="2012-2013",E736="",G736="NPN05"),H736,"")</f>
        <v/>
      </c>
      <c r="BC736" s="44" t="str">
        <f>IF(AND(C736=Master!$H$7,B736="2012-2013",E736&gt;1000,G736="NPN05"),H736,"")</f>
        <v/>
      </c>
      <c r="BD736" s="44" t="str">
        <f>IF(AND(C736=Master!$H$7,B736="2012-2013",E736="",G736="NPN05"),H736,"")</f>
        <v/>
      </c>
      <c r="BE736" s="44" t="str">
        <f>IF(AND(C736=Master!$H$8,B736="2012-2013",E736&gt;1000,G736="NPN05"),H736,"")</f>
        <v/>
      </c>
      <c r="BF736" s="44" t="str">
        <f>IF(AND(C736=Master!$H$8,B736="2012-2013",E736="",G736="NPN05"),H736,"")</f>
        <v/>
      </c>
      <c r="BG736" s="44" t="str">
        <f>IF(AND(C736=Master!$H$9,B736="2012-2013",E736&gt;1000,G736="NPN05"),H736,"")</f>
        <v/>
      </c>
      <c r="BH736" s="44" t="str">
        <f>IF(AND(C736=Master!$H$9,B736="2012-2013",E736="",G736="NPN05"),H736,"")</f>
        <v/>
      </c>
    </row>
    <row r="737" spans="1:60" x14ac:dyDescent="0.25">
      <c r="A737" s="3">
        <v>735</v>
      </c>
      <c r="B737" s="12"/>
      <c r="C737" s="12"/>
      <c r="D737" s="31"/>
      <c r="E737" s="4"/>
      <c r="F737" s="13"/>
      <c r="G737" s="21"/>
      <c r="H737" s="35"/>
      <c r="I737" s="21"/>
      <c r="J737" s="25" t="str">
        <f>IF(NOT(I737=""),INDEX(Master!$B$1:$B$46,MATCH(I737,Master!$A$1:$A$46,0)),"")</f>
        <v/>
      </c>
      <c r="K737" s="18"/>
      <c r="L737" s="86"/>
      <c r="M737" s="13"/>
      <c r="N737" s="13"/>
      <c r="O737" s="18"/>
      <c r="P737" s="35"/>
      <c r="Q737" s="21"/>
      <c r="R737" s="21"/>
      <c r="S737" s="13"/>
      <c r="T737" s="12"/>
      <c r="U737" s="12"/>
      <c r="V737" s="12"/>
      <c r="W737" s="14"/>
      <c r="Y737" s="42" t="str">
        <f>IF(AND(C737=Master!$H$1,B737="2012-2013",E737&gt;1000,G737="PLN03"),H737,"")</f>
        <v/>
      </c>
      <c r="Z737" s="42" t="str">
        <f>IF(AND(C737=Master!$H$1,B737="2012-2013",E737="",G737="PLN03"),H737,"")</f>
        <v/>
      </c>
      <c r="AA737" s="42" t="str">
        <f>IF(AND(C737=Master!$H$2,B737="2012-2013",E737&gt;1000,G737="PLN03"),H737,"")</f>
        <v/>
      </c>
      <c r="AB737" s="42" t="str">
        <f>IF(AND(C737=Master!$H$2,B737="2012-2013",E737="",G737="PLN03"),H737,"")</f>
        <v/>
      </c>
      <c r="AC737" s="42" t="str">
        <f>IF(AND(C737=Master!$H$3,B737="2012-2013",E737&gt;1000,G737="PLN03"),H737,"")</f>
        <v/>
      </c>
      <c r="AD737" s="42" t="str">
        <f>IF(AND(C737=Master!$H$3,B737="2012-2013",E737="",G737="PLN03"),H737,"")</f>
        <v/>
      </c>
      <c r="AE737" s="42" t="str">
        <f>IF(AND(C737=Master!$H$4,B737="2012-2013",E737&gt;1000,G737="PLN03"),H737,"")</f>
        <v/>
      </c>
      <c r="AF737" s="42" t="str">
        <f>IF(AND(C737=Master!$H$4,B737="2012-2013",E737="",G737="PLN03"),H737,"")</f>
        <v/>
      </c>
      <c r="AG737" s="42" t="str">
        <f>IF(AND(C737=Master!$H$5,B737="2012-2013",E737&gt;1000,G737="PLN03"),H737,"")</f>
        <v/>
      </c>
      <c r="AH737" s="42" t="str">
        <f>IF(AND(C737=Master!$H$5,B737="2012-2013",E737="",G737="PLN03"),H737,"")</f>
        <v/>
      </c>
      <c r="AI737" s="42" t="str">
        <f>IF(AND(C737=Master!$H$6,B737="2012-2013",E737&gt;1000,G737="PLN03"),H737,"")</f>
        <v/>
      </c>
      <c r="AJ737" s="42" t="str">
        <f>IF(AND(C737=Master!$H$6,B737="2012-2013",E737="",G737="PLN03"),H737,"")</f>
        <v/>
      </c>
      <c r="AK737" s="42" t="str">
        <f>IF(AND(C737=Master!$H$7,B737="2012-2013",E737&gt;1000,G737="PLN03"),H737,"")</f>
        <v/>
      </c>
      <c r="AL737" s="42" t="str">
        <f>IF(AND(C737=Master!$H$7,B737="2012-2013",E737="",G737="PLN03"),H737,"")</f>
        <v/>
      </c>
      <c r="AM737" s="42" t="str">
        <f>IF(AND(C737=Master!$H$8,B737="2012-2013",E737&gt;1000,G737="PLN03"),H737,"")</f>
        <v/>
      </c>
      <c r="AN737" s="42" t="str">
        <f>IF(AND(C737=Master!$H$8,B737="2012-2013",E737="",G737="PLN03"),H737,"")</f>
        <v/>
      </c>
      <c r="AO737" s="42" t="str">
        <f>IF(AND(C737=Master!$H$9,B737="2012-2013",E737&gt;1000,G737="PLN03"),H737,"")</f>
        <v/>
      </c>
      <c r="AP737" s="42" t="str">
        <f>IF(AND(C737=Master!$H$9,B737="2012-2013",E737="",G737="PLN03"),H737,"")</f>
        <v/>
      </c>
      <c r="AQ737" s="44" t="str">
        <f>IF(AND(C737=Master!$H$1,B737="2012-2013",E737&gt;1000,G737="NPN05"),H737,"")</f>
        <v/>
      </c>
      <c r="AR737" s="44" t="str">
        <f>IF(AND(C737=Master!$H$1,B737="2012-2013",E737="",G737="NPN05"),H737,"")</f>
        <v/>
      </c>
      <c r="AS737" s="44" t="str">
        <f>IF(AND(C737=Master!$H$2,B737="2012-2013",E737&gt;1000,G737="NPN05"),H737,"")</f>
        <v/>
      </c>
      <c r="AT737" s="44" t="str">
        <f>IF(AND(C737=Master!$H$2,B737="2012-2013",E737="",G737="NPN05"),H737,"")</f>
        <v/>
      </c>
      <c r="AU737" s="44" t="str">
        <f>IF(AND(C737=Master!$H$3,B737="2012-2013",E737&gt;1000,G737="NPN05"),H737,"")</f>
        <v/>
      </c>
      <c r="AV737" s="44" t="str">
        <f>IF(AND(C737=Master!$H$3,B737="2012-2013",E737="",G737="NPN05"),H737,"")</f>
        <v/>
      </c>
      <c r="AW737" s="44" t="str">
        <f>IF(AND(C737=Master!$H$4,B737="2012-2013",E737&gt;1000,G737="NPN05"),H737,"")</f>
        <v/>
      </c>
      <c r="AX737" s="44" t="str">
        <f>IF(AND(C737=Master!$H$4,B737="2012-2013",E737="",G737="NPN05"),H737,"")</f>
        <v/>
      </c>
      <c r="AY737" s="44" t="str">
        <f>IF(AND(C737=Master!$H$5,B737="2012-2013",E737&gt;1000,G737="NPN05"),H737,"")</f>
        <v/>
      </c>
      <c r="AZ737" s="44" t="str">
        <f>IF(AND(C737=Master!$H$5,B737="2012-2013",E737="",G737="NPN05"),H737,"")</f>
        <v/>
      </c>
      <c r="BA737" s="44" t="str">
        <f>IF(AND(C737=Master!$H$6,B737="2012-2013",E737&gt;1000,G737="NPN05"),H737,"")</f>
        <v/>
      </c>
      <c r="BB737" s="44" t="str">
        <f>IF(AND(C737=Master!$H$6,B737="2012-2013",E737="",G737="NPN05"),H737,"")</f>
        <v/>
      </c>
      <c r="BC737" s="44" t="str">
        <f>IF(AND(C737=Master!$H$7,B737="2012-2013",E737&gt;1000,G737="NPN05"),H737,"")</f>
        <v/>
      </c>
      <c r="BD737" s="44" t="str">
        <f>IF(AND(C737=Master!$H$7,B737="2012-2013",E737="",G737="NPN05"),H737,"")</f>
        <v/>
      </c>
      <c r="BE737" s="44" t="str">
        <f>IF(AND(C737=Master!$H$8,B737="2012-2013",E737&gt;1000,G737="NPN05"),H737,"")</f>
        <v/>
      </c>
      <c r="BF737" s="44" t="str">
        <f>IF(AND(C737=Master!$H$8,B737="2012-2013",E737="",G737="NPN05"),H737,"")</f>
        <v/>
      </c>
      <c r="BG737" s="44" t="str">
        <f>IF(AND(C737=Master!$H$9,B737="2012-2013",E737&gt;1000,G737="NPN05"),H737,"")</f>
        <v/>
      </c>
      <c r="BH737" s="44" t="str">
        <f>IF(AND(C737=Master!$H$9,B737="2012-2013",E737="",G737="NPN05"),H737,"")</f>
        <v/>
      </c>
    </row>
    <row r="738" spans="1:60" x14ac:dyDescent="0.25">
      <c r="A738" s="3">
        <v>736</v>
      </c>
      <c r="B738" s="12"/>
      <c r="C738" s="12"/>
      <c r="D738" s="31"/>
      <c r="E738" s="4"/>
      <c r="F738" s="13"/>
      <c r="G738" s="21"/>
      <c r="H738" s="35"/>
      <c r="I738" s="21"/>
      <c r="J738" s="25" t="str">
        <f>IF(NOT(I738=""),INDEX(Master!$B$1:$B$46,MATCH(I738,Master!$A$1:$A$46,0)),"")</f>
        <v/>
      </c>
      <c r="K738" s="18"/>
      <c r="L738" s="86"/>
      <c r="M738" s="13"/>
      <c r="N738" s="13"/>
      <c r="O738" s="18"/>
      <c r="P738" s="35"/>
      <c r="Q738" s="21"/>
      <c r="R738" s="21"/>
      <c r="S738" s="13"/>
      <c r="T738" s="12"/>
      <c r="U738" s="12"/>
      <c r="V738" s="12"/>
      <c r="W738" s="14"/>
      <c r="Y738" s="42" t="str">
        <f>IF(AND(C738=Master!$H$1,B738="2012-2013",E738&gt;1000,G738="PLN03"),H738,"")</f>
        <v/>
      </c>
      <c r="Z738" s="42" t="str">
        <f>IF(AND(C738=Master!$H$1,B738="2012-2013",E738="",G738="PLN03"),H738,"")</f>
        <v/>
      </c>
      <c r="AA738" s="42" t="str">
        <f>IF(AND(C738=Master!$H$2,B738="2012-2013",E738&gt;1000,G738="PLN03"),H738,"")</f>
        <v/>
      </c>
      <c r="AB738" s="42" t="str">
        <f>IF(AND(C738=Master!$H$2,B738="2012-2013",E738="",G738="PLN03"),H738,"")</f>
        <v/>
      </c>
      <c r="AC738" s="42" t="str">
        <f>IF(AND(C738=Master!$H$3,B738="2012-2013",E738&gt;1000,G738="PLN03"),H738,"")</f>
        <v/>
      </c>
      <c r="AD738" s="42" t="str">
        <f>IF(AND(C738=Master!$H$3,B738="2012-2013",E738="",G738="PLN03"),H738,"")</f>
        <v/>
      </c>
      <c r="AE738" s="42" t="str">
        <f>IF(AND(C738=Master!$H$4,B738="2012-2013",E738&gt;1000,G738="PLN03"),H738,"")</f>
        <v/>
      </c>
      <c r="AF738" s="42" t="str">
        <f>IF(AND(C738=Master!$H$4,B738="2012-2013",E738="",G738="PLN03"),H738,"")</f>
        <v/>
      </c>
      <c r="AG738" s="42" t="str">
        <f>IF(AND(C738=Master!$H$5,B738="2012-2013",E738&gt;1000,G738="PLN03"),H738,"")</f>
        <v/>
      </c>
      <c r="AH738" s="42" t="str">
        <f>IF(AND(C738=Master!$H$5,B738="2012-2013",E738="",G738="PLN03"),H738,"")</f>
        <v/>
      </c>
      <c r="AI738" s="42" t="str">
        <f>IF(AND(C738=Master!$H$6,B738="2012-2013",E738&gt;1000,G738="PLN03"),H738,"")</f>
        <v/>
      </c>
      <c r="AJ738" s="42" t="str">
        <f>IF(AND(C738=Master!$H$6,B738="2012-2013",E738="",G738="PLN03"),H738,"")</f>
        <v/>
      </c>
      <c r="AK738" s="42" t="str">
        <f>IF(AND(C738=Master!$H$7,B738="2012-2013",E738&gt;1000,G738="PLN03"),H738,"")</f>
        <v/>
      </c>
      <c r="AL738" s="42" t="str">
        <f>IF(AND(C738=Master!$H$7,B738="2012-2013",E738="",G738="PLN03"),H738,"")</f>
        <v/>
      </c>
      <c r="AM738" s="42" t="str">
        <f>IF(AND(C738=Master!$H$8,B738="2012-2013",E738&gt;1000,G738="PLN03"),H738,"")</f>
        <v/>
      </c>
      <c r="AN738" s="42" t="str">
        <f>IF(AND(C738=Master!$H$8,B738="2012-2013",E738="",G738="PLN03"),H738,"")</f>
        <v/>
      </c>
      <c r="AO738" s="42" t="str">
        <f>IF(AND(C738=Master!$H$9,B738="2012-2013",E738&gt;1000,G738="PLN03"),H738,"")</f>
        <v/>
      </c>
      <c r="AP738" s="42" t="str">
        <f>IF(AND(C738=Master!$H$9,B738="2012-2013",E738="",G738="PLN03"),H738,"")</f>
        <v/>
      </c>
      <c r="AQ738" s="44" t="str">
        <f>IF(AND(C738=Master!$H$1,B738="2012-2013",E738&gt;1000,G738="NPN05"),H738,"")</f>
        <v/>
      </c>
      <c r="AR738" s="44" t="str">
        <f>IF(AND(C738=Master!$H$1,B738="2012-2013",E738="",G738="NPN05"),H738,"")</f>
        <v/>
      </c>
      <c r="AS738" s="44" t="str">
        <f>IF(AND(C738=Master!$H$2,B738="2012-2013",E738&gt;1000,G738="NPN05"),H738,"")</f>
        <v/>
      </c>
      <c r="AT738" s="44" t="str">
        <f>IF(AND(C738=Master!$H$2,B738="2012-2013",E738="",G738="NPN05"),H738,"")</f>
        <v/>
      </c>
      <c r="AU738" s="44" t="str">
        <f>IF(AND(C738=Master!$H$3,B738="2012-2013",E738&gt;1000,G738="NPN05"),H738,"")</f>
        <v/>
      </c>
      <c r="AV738" s="44" t="str">
        <f>IF(AND(C738=Master!$H$3,B738="2012-2013",E738="",G738="NPN05"),H738,"")</f>
        <v/>
      </c>
      <c r="AW738" s="44" t="str">
        <f>IF(AND(C738=Master!$H$4,B738="2012-2013",E738&gt;1000,G738="NPN05"),H738,"")</f>
        <v/>
      </c>
      <c r="AX738" s="44" t="str">
        <f>IF(AND(C738=Master!$H$4,B738="2012-2013",E738="",G738="NPN05"),H738,"")</f>
        <v/>
      </c>
      <c r="AY738" s="44" t="str">
        <f>IF(AND(C738=Master!$H$5,B738="2012-2013",E738&gt;1000,G738="NPN05"),H738,"")</f>
        <v/>
      </c>
      <c r="AZ738" s="44" t="str">
        <f>IF(AND(C738=Master!$H$5,B738="2012-2013",E738="",G738="NPN05"),H738,"")</f>
        <v/>
      </c>
      <c r="BA738" s="44" t="str">
        <f>IF(AND(C738=Master!$H$6,B738="2012-2013",E738&gt;1000,G738="NPN05"),H738,"")</f>
        <v/>
      </c>
      <c r="BB738" s="44" t="str">
        <f>IF(AND(C738=Master!$H$6,B738="2012-2013",E738="",G738="NPN05"),H738,"")</f>
        <v/>
      </c>
      <c r="BC738" s="44" t="str">
        <f>IF(AND(C738=Master!$H$7,B738="2012-2013",E738&gt;1000,G738="NPN05"),H738,"")</f>
        <v/>
      </c>
      <c r="BD738" s="44" t="str">
        <f>IF(AND(C738=Master!$H$7,B738="2012-2013",E738="",G738="NPN05"),H738,"")</f>
        <v/>
      </c>
      <c r="BE738" s="44" t="str">
        <f>IF(AND(C738=Master!$H$8,B738="2012-2013",E738&gt;1000,G738="NPN05"),H738,"")</f>
        <v/>
      </c>
      <c r="BF738" s="44" t="str">
        <f>IF(AND(C738=Master!$H$8,B738="2012-2013",E738="",G738="NPN05"),H738,"")</f>
        <v/>
      </c>
      <c r="BG738" s="44" t="str">
        <f>IF(AND(C738=Master!$H$9,B738="2012-2013",E738&gt;1000,G738="NPN05"),H738,"")</f>
        <v/>
      </c>
      <c r="BH738" s="44" t="str">
        <f>IF(AND(C738=Master!$H$9,B738="2012-2013",E738="",G738="NPN05"),H738,"")</f>
        <v/>
      </c>
    </row>
    <row r="739" spans="1:60" x14ac:dyDescent="0.25">
      <c r="A739" s="3">
        <v>737</v>
      </c>
      <c r="B739" s="12"/>
      <c r="C739" s="12"/>
      <c r="D739" s="31"/>
      <c r="E739" s="4"/>
      <c r="F739" s="13"/>
      <c r="G739" s="21"/>
      <c r="H739" s="35"/>
      <c r="I739" s="21"/>
      <c r="J739" s="25" t="str">
        <f>IF(NOT(I739=""),INDEX(Master!$B$1:$B$46,MATCH(I739,Master!$A$1:$A$46,0)),"")</f>
        <v/>
      </c>
      <c r="K739" s="18"/>
      <c r="L739" s="86"/>
      <c r="M739" s="13"/>
      <c r="N739" s="13"/>
      <c r="O739" s="18"/>
      <c r="P739" s="35"/>
      <c r="Q739" s="21"/>
      <c r="R739" s="21"/>
      <c r="S739" s="13"/>
      <c r="T739" s="12"/>
      <c r="U739" s="12"/>
      <c r="V739" s="12"/>
      <c r="W739" s="14"/>
      <c r="Y739" s="42" t="str">
        <f>IF(AND(C739=Master!$H$1,B739="2012-2013",E739&gt;1000,G739="PLN03"),H739,"")</f>
        <v/>
      </c>
      <c r="Z739" s="42" t="str">
        <f>IF(AND(C739=Master!$H$1,B739="2012-2013",E739="",G739="PLN03"),H739,"")</f>
        <v/>
      </c>
      <c r="AA739" s="42" t="str">
        <f>IF(AND(C739=Master!$H$2,B739="2012-2013",E739&gt;1000,G739="PLN03"),H739,"")</f>
        <v/>
      </c>
      <c r="AB739" s="42" t="str">
        <f>IF(AND(C739=Master!$H$2,B739="2012-2013",E739="",G739="PLN03"),H739,"")</f>
        <v/>
      </c>
      <c r="AC739" s="42" t="str">
        <f>IF(AND(C739=Master!$H$3,B739="2012-2013",E739&gt;1000,G739="PLN03"),H739,"")</f>
        <v/>
      </c>
      <c r="AD739" s="42" t="str">
        <f>IF(AND(C739=Master!$H$3,B739="2012-2013",E739="",G739="PLN03"),H739,"")</f>
        <v/>
      </c>
      <c r="AE739" s="42" t="str">
        <f>IF(AND(C739=Master!$H$4,B739="2012-2013",E739&gt;1000,G739="PLN03"),H739,"")</f>
        <v/>
      </c>
      <c r="AF739" s="42" t="str">
        <f>IF(AND(C739=Master!$H$4,B739="2012-2013",E739="",G739="PLN03"),H739,"")</f>
        <v/>
      </c>
      <c r="AG739" s="42" t="str">
        <f>IF(AND(C739=Master!$H$5,B739="2012-2013",E739&gt;1000,G739="PLN03"),H739,"")</f>
        <v/>
      </c>
      <c r="AH739" s="42" t="str">
        <f>IF(AND(C739=Master!$H$5,B739="2012-2013",E739="",G739="PLN03"),H739,"")</f>
        <v/>
      </c>
      <c r="AI739" s="42" t="str">
        <f>IF(AND(C739=Master!$H$6,B739="2012-2013",E739&gt;1000,G739="PLN03"),H739,"")</f>
        <v/>
      </c>
      <c r="AJ739" s="42" t="str">
        <f>IF(AND(C739=Master!$H$6,B739="2012-2013",E739="",G739="PLN03"),H739,"")</f>
        <v/>
      </c>
      <c r="AK739" s="42" t="str">
        <f>IF(AND(C739=Master!$H$7,B739="2012-2013",E739&gt;1000,G739="PLN03"),H739,"")</f>
        <v/>
      </c>
      <c r="AL739" s="42" t="str">
        <f>IF(AND(C739=Master!$H$7,B739="2012-2013",E739="",G739="PLN03"),H739,"")</f>
        <v/>
      </c>
      <c r="AM739" s="42" t="str">
        <f>IF(AND(C739=Master!$H$8,B739="2012-2013",E739&gt;1000,G739="PLN03"),H739,"")</f>
        <v/>
      </c>
      <c r="AN739" s="42" t="str">
        <f>IF(AND(C739=Master!$H$8,B739="2012-2013",E739="",G739="PLN03"),H739,"")</f>
        <v/>
      </c>
      <c r="AO739" s="42" t="str">
        <f>IF(AND(C739=Master!$H$9,B739="2012-2013",E739&gt;1000,G739="PLN03"),H739,"")</f>
        <v/>
      </c>
      <c r="AP739" s="42" t="str">
        <f>IF(AND(C739=Master!$H$9,B739="2012-2013",E739="",G739="PLN03"),H739,"")</f>
        <v/>
      </c>
      <c r="AQ739" s="44" t="str">
        <f>IF(AND(C739=Master!$H$1,B739="2012-2013",E739&gt;1000,G739="NPN05"),H739,"")</f>
        <v/>
      </c>
      <c r="AR739" s="44" t="str">
        <f>IF(AND(C739=Master!$H$1,B739="2012-2013",E739="",G739="NPN05"),H739,"")</f>
        <v/>
      </c>
      <c r="AS739" s="44" t="str">
        <f>IF(AND(C739=Master!$H$2,B739="2012-2013",E739&gt;1000,G739="NPN05"),H739,"")</f>
        <v/>
      </c>
      <c r="AT739" s="44" t="str">
        <f>IF(AND(C739=Master!$H$2,B739="2012-2013",E739="",G739="NPN05"),H739,"")</f>
        <v/>
      </c>
      <c r="AU739" s="44" t="str">
        <f>IF(AND(C739=Master!$H$3,B739="2012-2013",E739&gt;1000,G739="NPN05"),H739,"")</f>
        <v/>
      </c>
      <c r="AV739" s="44" t="str">
        <f>IF(AND(C739=Master!$H$3,B739="2012-2013",E739="",G739="NPN05"),H739,"")</f>
        <v/>
      </c>
      <c r="AW739" s="44" t="str">
        <f>IF(AND(C739=Master!$H$4,B739="2012-2013",E739&gt;1000,G739="NPN05"),H739,"")</f>
        <v/>
      </c>
      <c r="AX739" s="44" t="str">
        <f>IF(AND(C739=Master!$H$4,B739="2012-2013",E739="",G739="NPN05"),H739,"")</f>
        <v/>
      </c>
      <c r="AY739" s="44" t="str">
        <f>IF(AND(C739=Master!$H$5,B739="2012-2013",E739&gt;1000,G739="NPN05"),H739,"")</f>
        <v/>
      </c>
      <c r="AZ739" s="44" t="str">
        <f>IF(AND(C739=Master!$H$5,B739="2012-2013",E739="",G739="NPN05"),H739,"")</f>
        <v/>
      </c>
      <c r="BA739" s="44" t="str">
        <f>IF(AND(C739=Master!$H$6,B739="2012-2013",E739&gt;1000,G739="NPN05"),H739,"")</f>
        <v/>
      </c>
      <c r="BB739" s="44" t="str">
        <f>IF(AND(C739=Master!$H$6,B739="2012-2013",E739="",G739="NPN05"),H739,"")</f>
        <v/>
      </c>
      <c r="BC739" s="44" t="str">
        <f>IF(AND(C739=Master!$H$7,B739="2012-2013",E739&gt;1000,G739="NPN05"),H739,"")</f>
        <v/>
      </c>
      <c r="BD739" s="44" t="str">
        <f>IF(AND(C739=Master!$H$7,B739="2012-2013",E739="",G739="NPN05"),H739,"")</f>
        <v/>
      </c>
      <c r="BE739" s="44" t="str">
        <f>IF(AND(C739=Master!$H$8,B739="2012-2013",E739&gt;1000,G739="NPN05"),H739,"")</f>
        <v/>
      </c>
      <c r="BF739" s="44" t="str">
        <f>IF(AND(C739=Master!$H$8,B739="2012-2013",E739="",G739="NPN05"),H739,"")</f>
        <v/>
      </c>
      <c r="BG739" s="44" t="str">
        <f>IF(AND(C739=Master!$H$9,B739="2012-2013",E739&gt;1000,G739="NPN05"),H739,"")</f>
        <v/>
      </c>
      <c r="BH739" s="44" t="str">
        <f>IF(AND(C739=Master!$H$9,B739="2012-2013",E739="",G739="NPN05"),H739,"")</f>
        <v/>
      </c>
    </row>
    <row r="740" spans="1:60" x14ac:dyDescent="0.25">
      <c r="A740" s="3">
        <v>738</v>
      </c>
      <c r="B740" s="12"/>
      <c r="C740" s="12"/>
      <c r="D740" s="31"/>
      <c r="E740" s="4"/>
      <c r="F740" s="13"/>
      <c r="G740" s="21"/>
      <c r="H740" s="35"/>
      <c r="I740" s="21"/>
      <c r="J740" s="25" t="str">
        <f>IF(NOT(I740=""),INDEX(Master!$B$1:$B$46,MATCH(I740,Master!$A$1:$A$46,0)),"")</f>
        <v/>
      </c>
      <c r="K740" s="18"/>
      <c r="L740" s="86"/>
      <c r="M740" s="13"/>
      <c r="N740" s="13"/>
      <c r="O740" s="18"/>
      <c r="P740" s="35"/>
      <c r="Q740" s="21"/>
      <c r="R740" s="21"/>
      <c r="S740" s="13"/>
      <c r="T740" s="12"/>
      <c r="U740" s="12"/>
      <c r="V740" s="12"/>
      <c r="W740" s="14"/>
      <c r="Y740" s="42" t="str">
        <f>IF(AND(C740=Master!$H$1,B740="2012-2013",E740&gt;1000,G740="PLN03"),H740,"")</f>
        <v/>
      </c>
      <c r="Z740" s="42" t="str">
        <f>IF(AND(C740=Master!$H$1,B740="2012-2013",E740="",G740="PLN03"),H740,"")</f>
        <v/>
      </c>
      <c r="AA740" s="42" t="str">
        <f>IF(AND(C740=Master!$H$2,B740="2012-2013",E740&gt;1000,G740="PLN03"),H740,"")</f>
        <v/>
      </c>
      <c r="AB740" s="42" t="str">
        <f>IF(AND(C740=Master!$H$2,B740="2012-2013",E740="",G740="PLN03"),H740,"")</f>
        <v/>
      </c>
      <c r="AC740" s="42" t="str">
        <f>IF(AND(C740=Master!$H$3,B740="2012-2013",E740&gt;1000,G740="PLN03"),H740,"")</f>
        <v/>
      </c>
      <c r="AD740" s="42" t="str">
        <f>IF(AND(C740=Master!$H$3,B740="2012-2013",E740="",G740="PLN03"),H740,"")</f>
        <v/>
      </c>
      <c r="AE740" s="42" t="str">
        <f>IF(AND(C740=Master!$H$4,B740="2012-2013",E740&gt;1000,G740="PLN03"),H740,"")</f>
        <v/>
      </c>
      <c r="AF740" s="42" t="str">
        <f>IF(AND(C740=Master!$H$4,B740="2012-2013",E740="",G740="PLN03"),H740,"")</f>
        <v/>
      </c>
      <c r="AG740" s="42" t="str">
        <f>IF(AND(C740=Master!$H$5,B740="2012-2013",E740&gt;1000,G740="PLN03"),H740,"")</f>
        <v/>
      </c>
      <c r="AH740" s="42" t="str">
        <f>IF(AND(C740=Master!$H$5,B740="2012-2013",E740="",G740="PLN03"),H740,"")</f>
        <v/>
      </c>
      <c r="AI740" s="42" t="str">
        <f>IF(AND(C740=Master!$H$6,B740="2012-2013",E740&gt;1000,G740="PLN03"),H740,"")</f>
        <v/>
      </c>
      <c r="AJ740" s="42" t="str">
        <f>IF(AND(C740=Master!$H$6,B740="2012-2013",E740="",G740="PLN03"),H740,"")</f>
        <v/>
      </c>
      <c r="AK740" s="42" t="str">
        <f>IF(AND(C740=Master!$H$7,B740="2012-2013",E740&gt;1000,G740="PLN03"),H740,"")</f>
        <v/>
      </c>
      <c r="AL740" s="42" t="str">
        <f>IF(AND(C740=Master!$H$7,B740="2012-2013",E740="",G740="PLN03"),H740,"")</f>
        <v/>
      </c>
      <c r="AM740" s="42" t="str">
        <f>IF(AND(C740=Master!$H$8,B740="2012-2013",E740&gt;1000,G740="PLN03"),H740,"")</f>
        <v/>
      </c>
      <c r="AN740" s="42" t="str">
        <f>IF(AND(C740=Master!$H$8,B740="2012-2013",E740="",G740="PLN03"),H740,"")</f>
        <v/>
      </c>
      <c r="AO740" s="42" t="str">
        <f>IF(AND(C740=Master!$H$9,B740="2012-2013",E740&gt;1000,G740="PLN03"),H740,"")</f>
        <v/>
      </c>
      <c r="AP740" s="42" t="str">
        <f>IF(AND(C740=Master!$H$9,B740="2012-2013",E740="",G740="PLN03"),H740,"")</f>
        <v/>
      </c>
      <c r="AQ740" s="44" t="str">
        <f>IF(AND(C740=Master!$H$1,B740="2012-2013",E740&gt;1000,G740="NPN05"),H740,"")</f>
        <v/>
      </c>
      <c r="AR740" s="44" t="str">
        <f>IF(AND(C740=Master!$H$1,B740="2012-2013",E740="",G740="NPN05"),H740,"")</f>
        <v/>
      </c>
      <c r="AS740" s="44" t="str">
        <f>IF(AND(C740=Master!$H$2,B740="2012-2013",E740&gt;1000,G740="NPN05"),H740,"")</f>
        <v/>
      </c>
      <c r="AT740" s="44" t="str">
        <f>IF(AND(C740=Master!$H$2,B740="2012-2013",E740="",G740="NPN05"),H740,"")</f>
        <v/>
      </c>
      <c r="AU740" s="44" t="str">
        <f>IF(AND(C740=Master!$H$3,B740="2012-2013",E740&gt;1000,G740="NPN05"),H740,"")</f>
        <v/>
      </c>
      <c r="AV740" s="44" t="str">
        <f>IF(AND(C740=Master!$H$3,B740="2012-2013",E740="",G740="NPN05"),H740,"")</f>
        <v/>
      </c>
      <c r="AW740" s="44" t="str">
        <f>IF(AND(C740=Master!$H$4,B740="2012-2013",E740&gt;1000,G740="NPN05"),H740,"")</f>
        <v/>
      </c>
      <c r="AX740" s="44" t="str">
        <f>IF(AND(C740=Master!$H$4,B740="2012-2013",E740="",G740="NPN05"),H740,"")</f>
        <v/>
      </c>
      <c r="AY740" s="44" t="str">
        <f>IF(AND(C740=Master!$H$5,B740="2012-2013",E740&gt;1000,G740="NPN05"),H740,"")</f>
        <v/>
      </c>
      <c r="AZ740" s="44" t="str">
        <f>IF(AND(C740=Master!$H$5,B740="2012-2013",E740="",G740="NPN05"),H740,"")</f>
        <v/>
      </c>
      <c r="BA740" s="44" t="str">
        <f>IF(AND(C740=Master!$H$6,B740="2012-2013",E740&gt;1000,G740="NPN05"),H740,"")</f>
        <v/>
      </c>
      <c r="BB740" s="44" t="str">
        <f>IF(AND(C740=Master!$H$6,B740="2012-2013",E740="",G740="NPN05"),H740,"")</f>
        <v/>
      </c>
      <c r="BC740" s="44" t="str">
        <f>IF(AND(C740=Master!$H$7,B740="2012-2013",E740&gt;1000,G740="NPN05"),H740,"")</f>
        <v/>
      </c>
      <c r="BD740" s="44" t="str">
        <f>IF(AND(C740=Master!$H$7,B740="2012-2013",E740="",G740="NPN05"),H740,"")</f>
        <v/>
      </c>
      <c r="BE740" s="44" t="str">
        <f>IF(AND(C740=Master!$H$8,B740="2012-2013",E740&gt;1000,G740="NPN05"),H740,"")</f>
        <v/>
      </c>
      <c r="BF740" s="44" t="str">
        <f>IF(AND(C740=Master!$H$8,B740="2012-2013",E740="",G740="NPN05"),H740,"")</f>
        <v/>
      </c>
      <c r="BG740" s="44" t="str">
        <f>IF(AND(C740=Master!$H$9,B740="2012-2013",E740&gt;1000,G740="NPN05"),H740,"")</f>
        <v/>
      </c>
      <c r="BH740" s="44" t="str">
        <f>IF(AND(C740=Master!$H$9,B740="2012-2013",E740="",G740="NPN05"),H740,"")</f>
        <v/>
      </c>
    </row>
    <row r="741" spans="1:60" x14ac:dyDescent="0.25">
      <c r="A741" s="3">
        <v>739</v>
      </c>
      <c r="B741" s="12"/>
      <c r="C741" s="12"/>
      <c r="D741" s="31"/>
      <c r="E741" s="4"/>
      <c r="F741" s="13"/>
      <c r="G741" s="21"/>
      <c r="H741" s="35"/>
      <c r="I741" s="21"/>
      <c r="J741" s="25" t="str">
        <f>IF(NOT(I741=""),INDEX(Master!$B$1:$B$46,MATCH(I741,Master!$A$1:$A$46,0)),"")</f>
        <v/>
      </c>
      <c r="K741" s="18"/>
      <c r="L741" s="86"/>
      <c r="M741" s="13"/>
      <c r="N741" s="13"/>
      <c r="O741" s="18"/>
      <c r="P741" s="35"/>
      <c r="Q741" s="21"/>
      <c r="R741" s="21"/>
      <c r="S741" s="13"/>
      <c r="T741" s="12"/>
      <c r="U741" s="12"/>
      <c r="V741" s="12"/>
      <c r="W741" s="14"/>
      <c r="Y741" s="42" t="str">
        <f>IF(AND(C741=Master!$H$1,B741="2012-2013",E741&gt;1000,G741="PLN03"),H741,"")</f>
        <v/>
      </c>
      <c r="Z741" s="42" t="str">
        <f>IF(AND(C741=Master!$H$1,B741="2012-2013",E741="",G741="PLN03"),H741,"")</f>
        <v/>
      </c>
      <c r="AA741" s="42" t="str">
        <f>IF(AND(C741=Master!$H$2,B741="2012-2013",E741&gt;1000,G741="PLN03"),H741,"")</f>
        <v/>
      </c>
      <c r="AB741" s="42" t="str">
        <f>IF(AND(C741=Master!$H$2,B741="2012-2013",E741="",G741="PLN03"),H741,"")</f>
        <v/>
      </c>
      <c r="AC741" s="42" t="str">
        <f>IF(AND(C741=Master!$H$3,B741="2012-2013",E741&gt;1000,G741="PLN03"),H741,"")</f>
        <v/>
      </c>
      <c r="AD741" s="42" t="str">
        <f>IF(AND(C741=Master!$H$3,B741="2012-2013",E741="",G741="PLN03"),H741,"")</f>
        <v/>
      </c>
      <c r="AE741" s="42" t="str">
        <f>IF(AND(C741=Master!$H$4,B741="2012-2013",E741&gt;1000,G741="PLN03"),H741,"")</f>
        <v/>
      </c>
      <c r="AF741" s="42" t="str">
        <f>IF(AND(C741=Master!$H$4,B741="2012-2013",E741="",G741="PLN03"),H741,"")</f>
        <v/>
      </c>
      <c r="AG741" s="42" t="str">
        <f>IF(AND(C741=Master!$H$5,B741="2012-2013",E741&gt;1000,G741="PLN03"),H741,"")</f>
        <v/>
      </c>
      <c r="AH741" s="42" t="str">
        <f>IF(AND(C741=Master!$H$5,B741="2012-2013",E741="",G741="PLN03"),H741,"")</f>
        <v/>
      </c>
      <c r="AI741" s="42" t="str">
        <f>IF(AND(C741=Master!$H$6,B741="2012-2013",E741&gt;1000,G741="PLN03"),H741,"")</f>
        <v/>
      </c>
      <c r="AJ741" s="42" t="str">
        <f>IF(AND(C741=Master!$H$6,B741="2012-2013",E741="",G741="PLN03"),H741,"")</f>
        <v/>
      </c>
      <c r="AK741" s="42" t="str">
        <f>IF(AND(C741=Master!$H$7,B741="2012-2013",E741&gt;1000,G741="PLN03"),H741,"")</f>
        <v/>
      </c>
      <c r="AL741" s="42" t="str">
        <f>IF(AND(C741=Master!$H$7,B741="2012-2013",E741="",G741="PLN03"),H741,"")</f>
        <v/>
      </c>
      <c r="AM741" s="42" t="str">
        <f>IF(AND(C741=Master!$H$8,B741="2012-2013",E741&gt;1000,G741="PLN03"),H741,"")</f>
        <v/>
      </c>
      <c r="AN741" s="42" t="str">
        <f>IF(AND(C741=Master!$H$8,B741="2012-2013",E741="",G741="PLN03"),H741,"")</f>
        <v/>
      </c>
      <c r="AO741" s="42" t="str">
        <f>IF(AND(C741=Master!$H$9,B741="2012-2013",E741&gt;1000,G741="PLN03"),H741,"")</f>
        <v/>
      </c>
      <c r="AP741" s="42" t="str">
        <f>IF(AND(C741=Master!$H$9,B741="2012-2013",E741="",G741="PLN03"),H741,"")</f>
        <v/>
      </c>
      <c r="AQ741" s="44" t="str">
        <f>IF(AND(C741=Master!$H$1,B741="2012-2013",E741&gt;1000,G741="NPN05"),H741,"")</f>
        <v/>
      </c>
      <c r="AR741" s="44" t="str">
        <f>IF(AND(C741=Master!$H$1,B741="2012-2013",E741="",G741="NPN05"),H741,"")</f>
        <v/>
      </c>
      <c r="AS741" s="44" t="str">
        <f>IF(AND(C741=Master!$H$2,B741="2012-2013",E741&gt;1000,G741="NPN05"),H741,"")</f>
        <v/>
      </c>
      <c r="AT741" s="44" t="str">
        <f>IF(AND(C741=Master!$H$2,B741="2012-2013",E741="",G741="NPN05"),H741,"")</f>
        <v/>
      </c>
      <c r="AU741" s="44" t="str">
        <f>IF(AND(C741=Master!$H$3,B741="2012-2013",E741&gt;1000,G741="NPN05"),H741,"")</f>
        <v/>
      </c>
      <c r="AV741" s="44" t="str">
        <f>IF(AND(C741=Master!$H$3,B741="2012-2013",E741="",G741="NPN05"),H741,"")</f>
        <v/>
      </c>
      <c r="AW741" s="44" t="str">
        <f>IF(AND(C741=Master!$H$4,B741="2012-2013",E741&gt;1000,G741="NPN05"),H741,"")</f>
        <v/>
      </c>
      <c r="AX741" s="44" t="str">
        <f>IF(AND(C741=Master!$H$4,B741="2012-2013",E741="",G741="NPN05"),H741,"")</f>
        <v/>
      </c>
      <c r="AY741" s="44" t="str">
        <f>IF(AND(C741=Master!$H$5,B741="2012-2013",E741&gt;1000,G741="NPN05"),H741,"")</f>
        <v/>
      </c>
      <c r="AZ741" s="44" t="str">
        <f>IF(AND(C741=Master!$H$5,B741="2012-2013",E741="",G741="NPN05"),H741,"")</f>
        <v/>
      </c>
      <c r="BA741" s="44" t="str">
        <f>IF(AND(C741=Master!$H$6,B741="2012-2013",E741&gt;1000,G741="NPN05"),H741,"")</f>
        <v/>
      </c>
      <c r="BB741" s="44" t="str">
        <f>IF(AND(C741=Master!$H$6,B741="2012-2013",E741="",G741="NPN05"),H741,"")</f>
        <v/>
      </c>
      <c r="BC741" s="44" t="str">
        <f>IF(AND(C741=Master!$H$7,B741="2012-2013",E741&gt;1000,G741="NPN05"),H741,"")</f>
        <v/>
      </c>
      <c r="BD741" s="44" t="str">
        <f>IF(AND(C741=Master!$H$7,B741="2012-2013",E741="",G741="NPN05"),H741,"")</f>
        <v/>
      </c>
      <c r="BE741" s="44" t="str">
        <f>IF(AND(C741=Master!$H$8,B741="2012-2013",E741&gt;1000,G741="NPN05"),H741,"")</f>
        <v/>
      </c>
      <c r="BF741" s="44" t="str">
        <f>IF(AND(C741=Master!$H$8,B741="2012-2013",E741="",G741="NPN05"),H741,"")</f>
        <v/>
      </c>
      <c r="BG741" s="44" t="str">
        <f>IF(AND(C741=Master!$H$9,B741="2012-2013",E741&gt;1000,G741="NPN05"),H741,"")</f>
        <v/>
      </c>
      <c r="BH741" s="44" t="str">
        <f>IF(AND(C741=Master!$H$9,B741="2012-2013",E741="",G741="NPN05"),H741,"")</f>
        <v/>
      </c>
    </row>
    <row r="742" spans="1:60" x14ac:dyDescent="0.25">
      <c r="A742" s="5">
        <v>740</v>
      </c>
      <c r="B742" s="12"/>
      <c r="C742" s="12"/>
      <c r="D742" s="31"/>
      <c r="E742" s="4"/>
      <c r="F742" s="13"/>
      <c r="G742" s="21"/>
      <c r="H742" s="35"/>
      <c r="I742" s="21"/>
      <c r="J742" s="25" t="str">
        <f>IF(NOT(I742=""),INDEX(Master!$B$1:$B$46,MATCH(I742,Master!$A$1:$A$46,0)),"")</f>
        <v/>
      </c>
      <c r="K742" s="18"/>
      <c r="L742" s="86"/>
      <c r="M742" s="13"/>
      <c r="N742" s="13"/>
      <c r="O742" s="18"/>
      <c r="P742" s="35"/>
      <c r="Q742" s="21"/>
      <c r="R742" s="21"/>
      <c r="S742" s="13"/>
      <c r="T742" s="12"/>
      <c r="U742" s="12"/>
      <c r="V742" s="12"/>
      <c r="W742" s="14"/>
      <c r="Y742" s="42" t="str">
        <f>IF(AND(C742=Master!$H$1,B742="2012-2013",E742&gt;1000,G742="PLN03"),H742,"")</f>
        <v/>
      </c>
      <c r="Z742" s="42" t="str">
        <f>IF(AND(C742=Master!$H$1,B742="2012-2013",E742="",G742="PLN03"),H742,"")</f>
        <v/>
      </c>
      <c r="AA742" s="42" t="str">
        <f>IF(AND(C742=Master!$H$2,B742="2012-2013",E742&gt;1000,G742="PLN03"),H742,"")</f>
        <v/>
      </c>
      <c r="AB742" s="42" t="str">
        <f>IF(AND(C742=Master!$H$2,B742="2012-2013",E742="",G742="PLN03"),H742,"")</f>
        <v/>
      </c>
      <c r="AC742" s="42" t="str">
        <f>IF(AND(C742=Master!$H$3,B742="2012-2013",E742&gt;1000,G742="PLN03"),H742,"")</f>
        <v/>
      </c>
      <c r="AD742" s="42" t="str">
        <f>IF(AND(C742=Master!$H$3,B742="2012-2013",E742="",G742="PLN03"),H742,"")</f>
        <v/>
      </c>
      <c r="AE742" s="42" t="str">
        <f>IF(AND(C742=Master!$H$4,B742="2012-2013",E742&gt;1000,G742="PLN03"),H742,"")</f>
        <v/>
      </c>
      <c r="AF742" s="42" t="str">
        <f>IF(AND(C742=Master!$H$4,B742="2012-2013",E742="",G742="PLN03"),H742,"")</f>
        <v/>
      </c>
      <c r="AG742" s="42" t="str">
        <f>IF(AND(C742=Master!$H$5,B742="2012-2013",E742&gt;1000,G742="PLN03"),H742,"")</f>
        <v/>
      </c>
      <c r="AH742" s="42" t="str">
        <f>IF(AND(C742=Master!$H$5,B742="2012-2013",E742="",G742="PLN03"),H742,"")</f>
        <v/>
      </c>
      <c r="AI742" s="42" t="str">
        <f>IF(AND(C742=Master!$H$6,B742="2012-2013",E742&gt;1000,G742="PLN03"),H742,"")</f>
        <v/>
      </c>
      <c r="AJ742" s="42" t="str">
        <f>IF(AND(C742=Master!$H$6,B742="2012-2013",E742="",G742="PLN03"),H742,"")</f>
        <v/>
      </c>
      <c r="AK742" s="42" t="str">
        <f>IF(AND(C742=Master!$H$7,B742="2012-2013",E742&gt;1000,G742="PLN03"),H742,"")</f>
        <v/>
      </c>
      <c r="AL742" s="42" t="str">
        <f>IF(AND(C742=Master!$H$7,B742="2012-2013",E742="",G742="PLN03"),H742,"")</f>
        <v/>
      </c>
      <c r="AM742" s="42" t="str">
        <f>IF(AND(C742=Master!$H$8,B742="2012-2013",E742&gt;1000,G742="PLN03"),H742,"")</f>
        <v/>
      </c>
      <c r="AN742" s="42" t="str">
        <f>IF(AND(C742=Master!$H$8,B742="2012-2013",E742="",G742="PLN03"),H742,"")</f>
        <v/>
      </c>
      <c r="AO742" s="42" t="str">
        <f>IF(AND(C742=Master!$H$9,B742="2012-2013",E742&gt;1000,G742="PLN03"),H742,"")</f>
        <v/>
      </c>
      <c r="AP742" s="42" t="str">
        <f>IF(AND(C742=Master!$H$9,B742="2012-2013",E742="",G742="PLN03"),H742,"")</f>
        <v/>
      </c>
      <c r="AQ742" s="44" t="str">
        <f>IF(AND(C742=Master!$H$1,B742="2012-2013",E742&gt;1000,G742="NPN05"),H742,"")</f>
        <v/>
      </c>
      <c r="AR742" s="44" t="str">
        <f>IF(AND(C742=Master!$H$1,B742="2012-2013",E742="",G742="NPN05"),H742,"")</f>
        <v/>
      </c>
      <c r="AS742" s="44" t="str">
        <f>IF(AND(C742=Master!$H$2,B742="2012-2013",E742&gt;1000,G742="NPN05"),H742,"")</f>
        <v/>
      </c>
      <c r="AT742" s="44" t="str">
        <f>IF(AND(C742=Master!$H$2,B742="2012-2013",E742="",G742="NPN05"),H742,"")</f>
        <v/>
      </c>
      <c r="AU742" s="44" t="str">
        <f>IF(AND(C742=Master!$H$3,B742="2012-2013",E742&gt;1000,G742="NPN05"),H742,"")</f>
        <v/>
      </c>
      <c r="AV742" s="44" t="str">
        <f>IF(AND(C742=Master!$H$3,B742="2012-2013",E742="",G742="NPN05"),H742,"")</f>
        <v/>
      </c>
      <c r="AW742" s="44" t="str">
        <f>IF(AND(C742=Master!$H$4,B742="2012-2013",E742&gt;1000,G742="NPN05"),H742,"")</f>
        <v/>
      </c>
      <c r="AX742" s="44" t="str">
        <f>IF(AND(C742=Master!$H$4,B742="2012-2013",E742="",G742="NPN05"),H742,"")</f>
        <v/>
      </c>
      <c r="AY742" s="44" t="str">
        <f>IF(AND(C742=Master!$H$5,B742="2012-2013",E742&gt;1000,G742="NPN05"),H742,"")</f>
        <v/>
      </c>
      <c r="AZ742" s="44" t="str">
        <f>IF(AND(C742=Master!$H$5,B742="2012-2013",E742="",G742="NPN05"),H742,"")</f>
        <v/>
      </c>
      <c r="BA742" s="44" t="str">
        <f>IF(AND(C742=Master!$H$6,B742="2012-2013",E742&gt;1000,G742="NPN05"),H742,"")</f>
        <v/>
      </c>
      <c r="BB742" s="44" t="str">
        <f>IF(AND(C742=Master!$H$6,B742="2012-2013",E742="",G742="NPN05"),H742,"")</f>
        <v/>
      </c>
      <c r="BC742" s="44" t="str">
        <f>IF(AND(C742=Master!$H$7,B742="2012-2013",E742&gt;1000,G742="NPN05"),H742,"")</f>
        <v/>
      </c>
      <c r="BD742" s="44" t="str">
        <f>IF(AND(C742=Master!$H$7,B742="2012-2013",E742="",G742="NPN05"),H742,"")</f>
        <v/>
      </c>
      <c r="BE742" s="44" t="str">
        <f>IF(AND(C742=Master!$H$8,B742="2012-2013",E742&gt;1000,G742="NPN05"),H742,"")</f>
        <v/>
      </c>
      <c r="BF742" s="44" t="str">
        <f>IF(AND(C742=Master!$H$8,B742="2012-2013",E742="",G742="NPN05"),H742,"")</f>
        <v/>
      </c>
      <c r="BG742" s="44" t="str">
        <f>IF(AND(C742=Master!$H$9,B742="2012-2013",E742&gt;1000,G742="NPN05"),H742,"")</f>
        <v/>
      </c>
      <c r="BH742" s="44" t="str">
        <f>IF(AND(C742=Master!$H$9,B742="2012-2013",E742="",G742="NPN05"),H742,"")</f>
        <v/>
      </c>
    </row>
    <row r="743" spans="1:60" x14ac:dyDescent="0.25">
      <c r="A743" s="3">
        <v>741</v>
      </c>
      <c r="B743" s="12"/>
      <c r="C743" s="12"/>
      <c r="D743" s="31"/>
      <c r="E743" s="4"/>
      <c r="F743" s="13"/>
      <c r="G743" s="21"/>
      <c r="H743" s="35"/>
      <c r="I743" s="21"/>
      <c r="J743" s="25" t="str">
        <f>IF(NOT(I743=""),INDEX(Master!$B$1:$B$46,MATCH(I743,Master!$A$1:$A$46,0)),"")</f>
        <v/>
      </c>
      <c r="K743" s="18"/>
      <c r="L743" s="86"/>
      <c r="M743" s="13"/>
      <c r="N743" s="13"/>
      <c r="O743" s="18"/>
      <c r="P743" s="35"/>
      <c r="Q743" s="21"/>
      <c r="R743" s="21"/>
      <c r="S743" s="13"/>
      <c r="T743" s="12"/>
      <c r="U743" s="12"/>
      <c r="V743" s="12"/>
      <c r="W743" s="14"/>
      <c r="Y743" s="42" t="str">
        <f>IF(AND(C743=Master!$H$1,B743="2012-2013",E743&gt;1000,G743="PLN03"),H743,"")</f>
        <v/>
      </c>
      <c r="Z743" s="42" t="str">
        <f>IF(AND(C743=Master!$H$1,B743="2012-2013",E743="",G743="PLN03"),H743,"")</f>
        <v/>
      </c>
      <c r="AA743" s="42" t="str">
        <f>IF(AND(C743=Master!$H$2,B743="2012-2013",E743&gt;1000,G743="PLN03"),H743,"")</f>
        <v/>
      </c>
      <c r="AB743" s="42" t="str">
        <f>IF(AND(C743=Master!$H$2,B743="2012-2013",E743="",G743="PLN03"),H743,"")</f>
        <v/>
      </c>
      <c r="AC743" s="42" t="str">
        <f>IF(AND(C743=Master!$H$3,B743="2012-2013",E743&gt;1000,G743="PLN03"),H743,"")</f>
        <v/>
      </c>
      <c r="AD743" s="42" t="str">
        <f>IF(AND(C743=Master!$H$3,B743="2012-2013",E743="",G743="PLN03"),H743,"")</f>
        <v/>
      </c>
      <c r="AE743" s="42" t="str">
        <f>IF(AND(C743=Master!$H$4,B743="2012-2013",E743&gt;1000,G743="PLN03"),H743,"")</f>
        <v/>
      </c>
      <c r="AF743" s="42" t="str">
        <f>IF(AND(C743=Master!$H$4,B743="2012-2013",E743="",G743="PLN03"),H743,"")</f>
        <v/>
      </c>
      <c r="AG743" s="42" t="str">
        <f>IF(AND(C743=Master!$H$5,B743="2012-2013",E743&gt;1000,G743="PLN03"),H743,"")</f>
        <v/>
      </c>
      <c r="AH743" s="42" t="str">
        <f>IF(AND(C743=Master!$H$5,B743="2012-2013",E743="",G743="PLN03"),H743,"")</f>
        <v/>
      </c>
      <c r="AI743" s="42" t="str">
        <f>IF(AND(C743=Master!$H$6,B743="2012-2013",E743&gt;1000,G743="PLN03"),H743,"")</f>
        <v/>
      </c>
      <c r="AJ743" s="42" t="str">
        <f>IF(AND(C743=Master!$H$6,B743="2012-2013",E743="",G743="PLN03"),H743,"")</f>
        <v/>
      </c>
      <c r="AK743" s="42" t="str">
        <f>IF(AND(C743=Master!$H$7,B743="2012-2013",E743&gt;1000,G743="PLN03"),H743,"")</f>
        <v/>
      </c>
      <c r="AL743" s="42" t="str">
        <f>IF(AND(C743=Master!$H$7,B743="2012-2013",E743="",G743="PLN03"),H743,"")</f>
        <v/>
      </c>
      <c r="AM743" s="42" t="str">
        <f>IF(AND(C743=Master!$H$8,B743="2012-2013",E743&gt;1000,G743="PLN03"),H743,"")</f>
        <v/>
      </c>
      <c r="AN743" s="42" t="str">
        <f>IF(AND(C743=Master!$H$8,B743="2012-2013",E743="",G743="PLN03"),H743,"")</f>
        <v/>
      </c>
      <c r="AO743" s="42" t="str">
        <f>IF(AND(C743=Master!$H$9,B743="2012-2013",E743&gt;1000,G743="PLN03"),H743,"")</f>
        <v/>
      </c>
      <c r="AP743" s="42" t="str">
        <f>IF(AND(C743=Master!$H$9,B743="2012-2013",E743="",G743="PLN03"),H743,"")</f>
        <v/>
      </c>
      <c r="AQ743" s="44" t="str">
        <f>IF(AND(C743=Master!$H$1,B743="2012-2013",E743&gt;1000,G743="NPN05"),H743,"")</f>
        <v/>
      </c>
      <c r="AR743" s="44" t="str">
        <f>IF(AND(C743=Master!$H$1,B743="2012-2013",E743="",G743="NPN05"),H743,"")</f>
        <v/>
      </c>
      <c r="AS743" s="44" t="str">
        <f>IF(AND(C743=Master!$H$2,B743="2012-2013",E743&gt;1000,G743="NPN05"),H743,"")</f>
        <v/>
      </c>
      <c r="AT743" s="44" t="str">
        <f>IF(AND(C743=Master!$H$2,B743="2012-2013",E743="",G743="NPN05"),H743,"")</f>
        <v/>
      </c>
      <c r="AU743" s="44" t="str">
        <f>IF(AND(C743=Master!$H$3,B743="2012-2013",E743&gt;1000,G743="NPN05"),H743,"")</f>
        <v/>
      </c>
      <c r="AV743" s="44" t="str">
        <f>IF(AND(C743=Master!$H$3,B743="2012-2013",E743="",G743="NPN05"),H743,"")</f>
        <v/>
      </c>
      <c r="AW743" s="44" t="str">
        <f>IF(AND(C743=Master!$H$4,B743="2012-2013",E743&gt;1000,G743="NPN05"),H743,"")</f>
        <v/>
      </c>
      <c r="AX743" s="44" t="str">
        <f>IF(AND(C743=Master!$H$4,B743="2012-2013",E743="",G743="NPN05"),H743,"")</f>
        <v/>
      </c>
      <c r="AY743" s="44" t="str">
        <f>IF(AND(C743=Master!$H$5,B743="2012-2013",E743&gt;1000,G743="NPN05"),H743,"")</f>
        <v/>
      </c>
      <c r="AZ743" s="44" t="str">
        <f>IF(AND(C743=Master!$H$5,B743="2012-2013",E743="",G743="NPN05"),H743,"")</f>
        <v/>
      </c>
      <c r="BA743" s="44" t="str">
        <f>IF(AND(C743=Master!$H$6,B743="2012-2013",E743&gt;1000,G743="NPN05"),H743,"")</f>
        <v/>
      </c>
      <c r="BB743" s="44" t="str">
        <f>IF(AND(C743=Master!$H$6,B743="2012-2013",E743="",G743="NPN05"),H743,"")</f>
        <v/>
      </c>
      <c r="BC743" s="44" t="str">
        <f>IF(AND(C743=Master!$H$7,B743="2012-2013",E743&gt;1000,G743="NPN05"),H743,"")</f>
        <v/>
      </c>
      <c r="BD743" s="44" t="str">
        <f>IF(AND(C743=Master!$H$7,B743="2012-2013",E743="",G743="NPN05"),H743,"")</f>
        <v/>
      </c>
      <c r="BE743" s="44" t="str">
        <f>IF(AND(C743=Master!$H$8,B743="2012-2013",E743&gt;1000,G743="NPN05"),H743,"")</f>
        <v/>
      </c>
      <c r="BF743" s="44" t="str">
        <f>IF(AND(C743=Master!$H$8,B743="2012-2013",E743="",G743="NPN05"),H743,"")</f>
        <v/>
      </c>
      <c r="BG743" s="44" t="str">
        <f>IF(AND(C743=Master!$H$9,B743="2012-2013",E743&gt;1000,G743="NPN05"),H743,"")</f>
        <v/>
      </c>
      <c r="BH743" s="44" t="str">
        <f>IF(AND(C743=Master!$H$9,B743="2012-2013",E743="",G743="NPN05"),H743,"")</f>
        <v/>
      </c>
    </row>
    <row r="744" spans="1:60" x14ac:dyDescent="0.25">
      <c r="A744" s="3">
        <v>742</v>
      </c>
      <c r="B744" s="12"/>
      <c r="C744" s="12"/>
      <c r="D744" s="31"/>
      <c r="E744" s="4"/>
      <c r="F744" s="13"/>
      <c r="G744" s="21"/>
      <c r="H744" s="35"/>
      <c r="I744" s="21"/>
      <c r="J744" s="25" t="str">
        <f>IF(NOT(I744=""),INDEX(Master!$B$1:$B$46,MATCH(I744,Master!$A$1:$A$46,0)),"")</f>
        <v/>
      </c>
      <c r="K744" s="18"/>
      <c r="L744" s="86"/>
      <c r="M744" s="13"/>
      <c r="N744" s="13"/>
      <c r="O744" s="18"/>
      <c r="P744" s="35"/>
      <c r="Q744" s="21"/>
      <c r="R744" s="21"/>
      <c r="S744" s="13"/>
      <c r="T744" s="12"/>
      <c r="U744" s="12"/>
      <c r="V744" s="12"/>
      <c r="W744" s="14"/>
      <c r="Y744" s="42" t="str">
        <f>IF(AND(C744=Master!$H$1,B744="2012-2013",E744&gt;1000,G744="PLN03"),H744,"")</f>
        <v/>
      </c>
      <c r="Z744" s="42" t="str">
        <f>IF(AND(C744=Master!$H$1,B744="2012-2013",E744="",G744="PLN03"),H744,"")</f>
        <v/>
      </c>
      <c r="AA744" s="42" t="str">
        <f>IF(AND(C744=Master!$H$2,B744="2012-2013",E744&gt;1000,G744="PLN03"),H744,"")</f>
        <v/>
      </c>
      <c r="AB744" s="42" t="str">
        <f>IF(AND(C744=Master!$H$2,B744="2012-2013",E744="",G744="PLN03"),H744,"")</f>
        <v/>
      </c>
      <c r="AC744" s="42" t="str">
        <f>IF(AND(C744=Master!$H$3,B744="2012-2013",E744&gt;1000,G744="PLN03"),H744,"")</f>
        <v/>
      </c>
      <c r="AD744" s="42" t="str">
        <f>IF(AND(C744=Master!$H$3,B744="2012-2013",E744="",G744="PLN03"),H744,"")</f>
        <v/>
      </c>
      <c r="AE744" s="42" t="str">
        <f>IF(AND(C744=Master!$H$4,B744="2012-2013",E744&gt;1000,G744="PLN03"),H744,"")</f>
        <v/>
      </c>
      <c r="AF744" s="42" t="str">
        <f>IF(AND(C744=Master!$H$4,B744="2012-2013",E744="",G744="PLN03"),H744,"")</f>
        <v/>
      </c>
      <c r="AG744" s="42" t="str">
        <f>IF(AND(C744=Master!$H$5,B744="2012-2013",E744&gt;1000,G744="PLN03"),H744,"")</f>
        <v/>
      </c>
      <c r="AH744" s="42" t="str">
        <f>IF(AND(C744=Master!$H$5,B744="2012-2013",E744="",G744="PLN03"),H744,"")</f>
        <v/>
      </c>
      <c r="AI744" s="42" t="str">
        <f>IF(AND(C744=Master!$H$6,B744="2012-2013",E744&gt;1000,G744="PLN03"),H744,"")</f>
        <v/>
      </c>
      <c r="AJ744" s="42" t="str">
        <f>IF(AND(C744=Master!$H$6,B744="2012-2013",E744="",G744="PLN03"),H744,"")</f>
        <v/>
      </c>
      <c r="AK744" s="42" t="str">
        <f>IF(AND(C744=Master!$H$7,B744="2012-2013",E744&gt;1000,G744="PLN03"),H744,"")</f>
        <v/>
      </c>
      <c r="AL744" s="42" t="str">
        <f>IF(AND(C744=Master!$H$7,B744="2012-2013",E744="",G744="PLN03"),H744,"")</f>
        <v/>
      </c>
      <c r="AM744" s="42" t="str">
        <f>IF(AND(C744=Master!$H$8,B744="2012-2013",E744&gt;1000,G744="PLN03"),H744,"")</f>
        <v/>
      </c>
      <c r="AN744" s="42" t="str">
        <f>IF(AND(C744=Master!$H$8,B744="2012-2013",E744="",G744="PLN03"),H744,"")</f>
        <v/>
      </c>
      <c r="AO744" s="42" t="str">
        <f>IF(AND(C744=Master!$H$9,B744="2012-2013",E744&gt;1000,G744="PLN03"),H744,"")</f>
        <v/>
      </c>
      <c r="AP744" s="42" t="str">
        <f>IF(AND(C744=Master!$H$9,B744="2012-2013",E744="",G744="PLN03"),H744,"")</f>
        <v/>
      </c>
      <c r="AQ744" s="44" t="str">
        <f>IF(AND(C744=Master!$H$1,B744="2012-2013",E744&gt;1000,G744="NPN05"),H744,"")</f>
        <v/>
      </c>
      <c r="AR744" s="44" t="str">
        <f>IF(AND(C744=Master!$H$1,B744="2012-2013",E744="",G744="NPN05"),H744,"")</f>
        <v/>
      </c>
      <c r="AS744" s="44" t="str">
        <f>IF(AND(C744=Master!$H$2,B744="2012-2013",E744&gt;1000,G744="NPN05"),H744,"")</f>
        <v/>
      </c>
      <c r="AT744" s="44" t="str">
        <f>IF(AND(C744=Master!$H$2,B744="2012-2013",E744="",G744="NPN05"),H744,"")</f>
        <v/>
      </c>
      <c r="AU744" s="44" t="str">
        <f>IF(AND(C744=Master!$H$3,B744="2012-2013",E744&gt;1000,G744="NPN05"),H744,"")</f>
        <v/>
      </c>
      <c r="AV744" s="44" t="str">
        <f>IF(AND(C744=Master!$H$3,B744="2012-2013",E744="",G744="NPN05"),H744,"")</f>
        <v/>
      </c>
      <c r="AW744" s="44" t="str">
        <f>IF(AND(C744=Master!$H$4,B744="2012-2013",E744&gt;1000,G744="NPN05"),H744,"")</f>
        <v/>
      </c>
      <c r="AX744" s="44" t="str">
        <f>IF(AND(C744=Master!$H$4,B744="2012-2013",E744="",G744="NPN05"),H744,"")</f>
        <v/>
      </c>
      <c r="AY744" s="44" t="str">
        <f>IF(AND(C744=Master!$H$5,B744="2012-2013",E744&gt;1000,G744="NPN05"),H744,"")</f>
        <v/>
      </c>
      <c r="AZ744" s="44" t="str">
        <f>IF(AND(C744=Master!$H$5,B744="2012-2013",E744="",G744="NPN05"),H744,"")</f>
        <v/>
      </c>
      <c r="BA744" s="44" t="str">
        <f>IF(AND(C744=Master!$H$6,B744="2012-2013",E744&gt;1000,G744="NPN05"),H744,"")</f>
        <v/>
      </c>
      <c r="BB744" s="44" t="str">
        <f>IF(AND(C744=Master!$H$6,B744="2012-2013",E744="",G744="NPN05"),H744,"")</f>
        <v/>
      </c>
      <c r="BC744" s="44" t="str">
        <f>IF(AND(C744=Master!$H$7,B744="2012-2013",E744&gt;1000,G744="NPN05"),H744,"")</f>
        <v/>
      </c>
      <c r="BD744" s="44" t="str">
        <f>IF(AND(C744=Master!$H$7,B744="2012-2013",E744="",G744="NPN05"),H744,"")</f>
        <v/>
      </c>
      <c r="BE744" s="44" t="str">
        <f>IF(AND(C744=Master!$H$8,B744="2012-2013",E744&gt;1000,G744="NPN05"),H744,"")</f>
        <v/>
      </c>
      <c r="BF744" s="44" t="str">
        <f>IF(AND(C744=Master!$H$8,B744="2012-2013",E744="",G744="NPN05"),H744,"")</f>
        <v/>
      </c>
      <c r="BG744" s="44" t="str">
        <f>IF(AND(C744=Master!$H$9,B744="2012-2013",E744&gt;1000,G744="NPN05"),H744,"")</f>
        <v/>
      </c>
      <c r="BH744" s="44" t="str">
        <f>IF(AND(C744=Master!$H$9,B744="2012-2013",E744="",G744="NPN05"),H744,"")</f>
        <v/>
      </c>
    </row>
    <row r="745" spans="1:60" x14ac:dyDescent="0.25">
      <c r="A745" s="3">
        <v>743</v>
      </c>
      <c r="B745" s="12"/>
      <c r="C745" s="12"/>
      <c r="D745" s="31"/>
      <c r="E745" s="4"/>
      <c r="F745" s="13"/>
      <c r="G745" s="21"/>
      <c r="H745" s="35"/>
      <c r="I745" s="21"/>
      <c r="J745" s="25" t="str">
        <f>IF(NOT(I745=""),INDEX(Master!$B$1:$B$46,MATCH(I745,Master!$A$1:$A$46,0)),"")</f>
        <v/>
      </c>
      <c r="K745" s="18"/>
      <c r="L745" s="86"/>
      <c r="M745" s="13"/>
      <c r="N745" s="13"/>
      <c r="O745" s="18"/>
      <c r="P745" s="35"/>
      <c r="Q745" s="21"/>
      <c r="R745" s="21"/>
      <c r="S745" s="13"/>
      <c r="T745" s="12"/>
      <c r="U745" s="12"/>
      <c r="V745" s="12"/>
      <c r="W745" s="14"/>
      <c r="Y745" s="42" t="str">
        <f>IF(AND(C745=Master!$H$1,B745="2012-2013",E745&gt;1000,G745="PLN03"),H745,"")</f>
        <v/>
      </c>
      <c r="Z745" s="42" t="str">
        <f>IF(AND(C745=Master!$H$1,B745="2012-2013",E745="",G745="PLN03"),H745,"")</f>
        <v/>
      </c>
      <c r="AA745" s="42" t="str">
        <f>IF(AND(C745=Master!$H$2,B745="2012-2013",E745&gt;1000,G745="PLN03"),H745,"")</f>
        <v/>
      </c>
      <c r="AB745" s="42" t="str">
        <f>IF(AND(C745=Master!$H$2,B745="2012-2013",E745="",G745="PLN03"),H745,"")</f>
        <v/>
      </c>
      <c r="AC745" s="42" t="str">
        <f>IF(AND(C745=Master!$H$3,B745="2012-2013",E745&gt;1000,G745="PLN03"),H745,"")</f>
        <v/>
      </c>
      <c r="AD745" s="42" t="str">
        <f>IF(AND(C745=Master!$H$3,B745="2012-2013",E745="",G745="PLN03"),H745,"")</f>
        <v/>
      </c>
      <c r="AE745" s="42" t="str">
        <f>IF(AND(C745=Master!$H$4,B745="2012-2013",E745&gt;1000,G745="PLN03"),H745,"")</f>
        <v/>
      </c>
      <c r="AF745" s="42" t="str">
        <f>IF(AND(C745=Master!$H$4,B745="2012-2013",E745="",G745="PLN03"),H745,"")</f>
        <v/>
      </c>
      <c r="AG745" s="42" t="str">
        <f>IF(AND(C745=Master!$H$5,B745="2012-2013",E745&gt;1000,G745="PLN03"),H745,"")</f>
        <v/>
      </c>
      <c r="AH745" s="42" t="str">
        <f>IF(AND(C745=Master!$H$5,B745="2012-2013",E745="",G745="PLN03"),H745,"")</f>
        <v/>
      </c>
      <c r="AI745" s="42" t="str">
        <f>IF(AND(C745=Master!$H$6,B745="2012-2013",E745&gt;1000,G745="PLN03"),H745,"")</f>
        <v/>
      </c>
      <c r="AJ745" s="42" t="str">
        <f>IF(AND(C745=Master!$H$6,B745="2012-2013",E745="",G745="PLN03"),H745,"")</f>
        <v/>
      </c>
      <c r="AK745" s="42" t="str">
        <f>IF(AND(C745=Master!$H$7,B745="2012-2013",E745&gt;1000,G745="PLN03"),H745,"")</f>
        <v/>
      </c>
      <c r="AL745" s="42" t="str">
        <f>IF(AND(C745=Master!$H$7,B745="2012-2013",E745="",G745="PLN03"),H745,"")</f>
        <v/>
      </c>
      <c r="AM745" s="42" t="str">
        <f>IF(AND(C745=Master!$H$8,B745="2012-2013",E745&gt;1000,G745="PLN03"),H745,"")</f>
        <v/>
      </c>
      <c r="AN745" s="42" t="str">
        <f>IF(AND(C745=Master!$H$8,B745="2012-2013",E745="",G745="PLN03"),H745,"")</f>
        <v/>
      </c>
      <c r="AO745" s="42" t="str">
        <f>IF(AND(C745=Master!$H$9,B745="2012-2013",E745&gt;1000,G745="PLN03"),H745,"")</f>
        <v/>
      </c>
      <c r="AP745" s="42" t="str">
        <f>IF(AND(C745=Master!$H$9,B745="2012-2013",E745="",G745="PLN03"),H745,"")</f>
        <v/>
      </c>
      <c r="AQ745" s="44" t="str">
        <f>IF(AND(C745=Master!$H$1,B745="2012-2013",E745&gt;1000,G745="NPN05"),H745,"")</f>
        <v/>
      </c>
      <c r="AR745" s="44" t="str">
        <f>IF(AND(C745=Master!$H$1,B745="2012-2013",E745="",G745="NPN05"),H745,"")</f>
        <v/>
      </c>
      <c r="AS745" s="44" t="str">
        <f>IF(AND(C745=Master!$H$2,B745="2012-2013",E745&gt;1000,G745="NPN05"),H745,"")</f>
        <v/>
      </c>
      <c r="AT745" s="44" t="str">
        <f>IF(AND(C745=Master!$H$2,B745="2012-2013",E745="",G745="NPN05"),H745,"")</f>
        <v/>
      </c>
      <c r="AU745" s="44" t="str">
        <f>IF(AND(C745=Master!$H$3,B745="2012-2013",E745&gt;1000,G745="NPN05"),H745,"")</f>
        <v/>
      </c>
      <c r="AV745" s="44" t="str">
        <f>IF(AND(C745=Master!$H$3,B745="2012-2013",E745="",G745="NPN05"),H745,"")</f>
        <v/>
      </c>
      <c r="AW745" s="44" t="str">
        <f>IF(AND(C745=Master!$H$4,B745="2012-2013",E745&gt;1000,G745="NPN05"),H745,"")</f>
        <v/>
      </c>
      <c r="AX745" s="44" t="str">
        <f>IF(AND(C745=Master!$H$4,B745="2012-2013",E745="",G745="NPN05"),H745,"")</f>
        <v/>
      </c>
      <c r="AY745" s="44" t="str">
        <f>IF(AND(C745=Master!$H$5,B745="2012-2013",E745&gt;1000,G745="NPN05"),H745,"")</f>
        <v/>
      </c>
      <c r="AZ745" s="44" t="str">
        <f>IF(AND(C745=Master!$H$5,B745="2012-2013",E745="",G745="NPN05"),H745,"")</f>
        <v/>
      </c>
      <c r="BA745" s="44" t="str">
        <f>IF(AND(C745=Master!$H$6,B745="2012-2013",E745&gt;1000,G745="NPN05"),H745,"")</f>
        <v/>
      </c>
      <c r="BB745" s="44" t="str">
        <f>IF(AND(C745=Master!$H$6,B745="2012-2013",E745="",G745="NPN05"),H745,"")</f>
        <v/>
      </c>
      <c r="BC745" s="44" t="str">
        <f>IF(AND(C745=Master!$H$7,B745="2012-2013",E745&gt;1000,G745="NPN05"),H745,"")</f>
        <v/>
      </c>
      <c r="BD745" s="44" t="str">
        <f>IF(AND(C745=Master!$H$7,B745="2012-2013",E745="",G745="NPN05"),H745,"")</f>
        <v/>
      </c>
      <c r="BE745" s="44" t="str">
        <f>IF(AND(C745=Master!$H$8,B745="2012-2013",E745&gt;1000,G745="NPN05"),H745,"")</f>
        <v/>
      </c>
      <c r="BF745" s="44" t="str">
        <f>IF(AND(C745=Master!$H$8,B745="2012-2013",E745="",G745="NPN05"),H745,"")</f>
        <v/>
      </c>
      <c r="BG745" s="44" t="str">
        <f>IF(AND(C745=Master!$H$9,B745="2012-2013",E745&gt;1000,G745="NPN05"),H745,"")</f>
        <v/>
      </c>
      <c r="BH745" s="44" t="str">
        <f>IF(AND(C745=Master!$H$9,B745="2012-2013",E745="",G745="NPN05"),H745,"")</f>
        <v/>
      </c>
    </row>
    <row r="746" spans="1:60" x14ac:dyDescent="0.25">
      <c r="A746" s="3">
        <v>744</v>
      </c>
      <c r="B746" s="12"/>
      <c r="C746" s="12"/>
      <c r="D746" s="31"/>
      <c r="E746" s="4"/>
      <c r="F746" s="13"/>
      <c r="G746" s="21"/>
      <c r="H746" s="35"/>
      <c r="I746" s="21"/>
      <c r="J746" s="25" t="str">
        <f>IF(NOT(I746=""),INDEX(Master!$B$1:$B$46,MATCH(I746,Master!$A$1:$A$46,0)),"")</f>
        <v/>
      </c>
      <c r="K746" s="18"/>
      <c r="L746" s="86"/>
      <c r="M746" s="13"/>
      <c r="N746" s="13"/>
      <c r="O746" s="18"/>
      <c r="P746" s="35"/>
      <c r="Q746" s="21"/>
      <c r="R746" s="21"/>
      <c r="S746" s="13"/>
      <c r="T746" s="12"/>
      <c r="U746" s="12"/>
      <c r="V746" s="12"/>
      <c r="W746" s="14"/>
      <c r="Y746" s="42" t="str">
        <f>IF(AND(C746=Master!$H$1,B746="2012-2013",E746&gt;1000,G746="PLN03"),H746,"")</f>
        <v/>
      </c>
      <c r="Z746" s="42" t="str">
        <f>IF(AND(C746=Master!$H$1,B746="2012-2013",E746="",G746="PLN03"),H746,"")</f>
        <v/>
      </c>
      <c r="AA746" s="42" t="str">
        <f>IF(AND(C746=Master!$H$2,B746="2012-2013",E746&gt;1000,G746="PLN03"),H746,"")</f>
        <v/>
      </c>
      <c r="AB746" s="42" t="str">
        <f>IF(AND(C746=Master!$H$2,B746="2012-2013",E746="",G746="PLN03"),H746,"")</f>
        <v/>
      </c>
      <c r="AC746" s="42" t="str">
        <f>IF(AND(C746=Master!$H$3,B746="2012-2013",E746&gt;1000,G746="PLN03"),H746,"")</f>
        <v/>
      </c>
      <c r="AD746" s="42" t="str">
        <f>IF(AND(C746=Master!$H$3,B746="2012-2013",E746="",G746="PLN03"),H746,"")</f>
        <v/>
      </c>
      <c r="AE746" s="42" t="str">
        <f>IF(AND(C746=Master!$H$4,B746="2012-2013",E746&gt;1000,G746="PLN03"),H746,"")</f>
        <v/>
      </c>
      <c r="AF746" s="42" t="str">
        <f>IF(AND(C746=Master!$H$4,B746="2012-2013",E746="",G746="PLN03"),H746,"")</f>
        <v/>
      </c>
      <c r="AG746" s="42" t="str">
        <f>IF(AND(C746=Master!$H$5,B746="2012-2013",E746&gt;1000,G746="PLN03"),H746,"")</f>
        <v/>
      </c>
      <c r="AH746" s="42" t="str">
        <f>IF(AND(C746=Master!$H$5,B746="2012-2013",E746="",G746="PLN03"),H746,"")</f>
        <v/>
      </c>
      <c r="AI746" s="42" t="str">
        <f>IF(AND(C746=Master!$H$6,B746="2012-2013",E746&gt;1000,G746="PLN03"),H746,"")</f>
        <v/>
      </c>
      <c r="AJ746" s="42" t="str">
        <f>IF(AND(C746=Master!$H$6,B746="2012-2013",E746="",G746="PLN03"),H746,"")</f>
        <v/>
      </c>
      <c r="AK746" s="42" t="str">
        <f>IF(AND(C746=Master!$H$7,B746="2012-2013",E746&gt;1000,G746="PLN03"),H746,"")</f>
        <v/>
      </c>
      <c r="AL746" s="42" t="str">
        <f>IF(AND(C746=Master!$H$7,B746="2012-2013",E746="",G746="PLN03"),H746,"")</f>
        <v/>
      </c>
      <c r="AM746" s="42" t="str">
        <f>IF(AND(C746=Master!$H$8,B746="2012-2013",E746&gt;1000,G746="PLN03"),H746,"")</f>
        <v/>
      </c>
      <c r="AN746" s="42" t="str">
        <f>IF(AND(C746=Master!$H$8,B746="2012-2013",E746="",G746="PLN03"),H746,"")</f>
        <v/>
      </c>
      <c r="AO746" s="42" t="str">
        <f>IF(AND(C746=Master!$H$9,B746="2012-2013",E746&gt;1000,G746="PLN03"),H746,"")</f>
        <v/>
      </c>
      <c r="AP746" s="42" t="str">
        <f>IF(AND(C746=Master!$H$9,B746="2012-2013",E746="",G746="PLN03"),H746,"")</f>
        <v/>
      </c>
      <c r="AQ746" s="44" t="str">
        <f>IF(AND(C746=Master!$H$1,B746="2012-2013",E746&gt;1000,G746="NPN05"),H746,"")</f>
        <v/>
      </c>
      <c r="AR746" s="44" t="str">
        <f>IF(AND(C746=Master!$H$1,B746="2012-2013",E746="",G746="NPN05"),H746,"")</f>
        <v/>
      </c>
      <c r="AS746" s="44" t="str">
        <f>IF(AND(C746=Master!$H$2,B746="2012-2013",E746&gt;1000,G746="NPN05"),H746,"")</f>
        <v/>
      </c>
      <c r="AT746" s="44" t="str">
        <f>IF(AND(C746=Master!$H$2,B746="2012-2013",E746="",G746="NPN05"),H746,"")</f>
        <v/>
      </c>
      <c r="AU746" s="44" t="str">
        <f>IF(AND(C746=Master!$H$3,B746="2012-2013",E746&gt;1000,G746="NPN05"),H746,"")</f>
        <v/>
      </c>
      <c r="AV746" s="44" t="str">
        <f>IF(AND(C746=Master!$H$3,B746="2012-2013",E746="",G746="NPN05"),H746,"")</f>
        <v/>
      </c>
      <c r="AW746" s="44" t="str">
        <f>IF(AND(C746=Master!$H$4,B746="2012-2013",E746&gt;1000,G746="NPN05"),H746,"")</f>
        <v/>
      </c>
      <c r="AX746" s="44" t="str">
        <f>IF(AND(C746=Master!$H$4,B746="2012-2013",E746="",G746="NPN05"),H746,"")</f>
        <v/>
      </c>
      <c r="AY746" s="44" t="str">
        <f>IF(AND(C746=Master!$H$5,B746="2012-2013",E746&gt;1000,G746="NPN05"),H746,"")</f>
        <v/>
      </c>
      <c r="AZ746" s="44" t="str">
        <f>IF(AND(C746=Master!$H$5,B746="2012-2013",E746="",G746="NPN05"),H746,"")</f>
        <v/>
      </c>
      <c r="BA746" s="44" t="str">
        <f>IF(AND(C746=Master!$H$6,B746="2012-2013",E746&gt;1000,G746="NPN05"),H746,"")</f>
        <v/>
      </c>
      <c r="BB746" s="44" t="str">
        <f>IF(AND(C746=Master!$H$6,B746="2012-2013",E746="",G746="NPN05"),H746,"")</f>
        <v/>
      </c>
      <c r="BC746" s="44" t="str">
        <f>IF(AND(C746=Master!$H$7,B746="2012-2013",E746&gt;1000,G746="NPN05"),H746,"")</f>
        <v/>
      </c>
      <c r="BD746" s="44" t="str">
        <f>IF(AND(C746=Master!$H$7,B746="2012-2013",E746="",G746="NPN05"),H746,"")</f>
        <v/>
      </c>
      <c r="BE746" s="44" t="str">
        <f>IF(AND(C746=Master!$H$8,B746="2012-2013",E746&gt;1000,G746="NPN05"),H746,"")</f>
        <v/>
      </c>
      <c r="BF746" s="44" t="str">
        <f>IF(AND(C746=Master!$H$8,B746="2012-2013",E746="",G746="NPN05"),H746,"")</f>
        <v/>
      </c>
      <c r="BG746" s="44" t="str">
        <f>IF(AND(C746=Master!$H$9,B746="2012-2013",E746&gt;1000,G746="NPN05"),H746,"")</f>
        <v/>
      </c>
      <c r="BH746" s="44" t="str">
        <f>IF(AND(C746=Master!$H$9,B746="2012-2013",E746="",G746="NPN05"),H746,"")</f>
        <v/>
      </c>
    </row>
    <row r="747" spans="1:60" x14ac:dyDescent="0.25">
      <c r="A747" s="3">
        <v>745</v>
      </c>
      <c r="B747" s="12"/>
      <c r="C747" s="12"/>
      <c r="D747" s="31"/>
      <c r="E747" s="4"/>
      <c r="F747" s="13"/>
      <c r="G747" s="21"/>
      <c r="H747" s="35"/>
      <c r="I747" s="21"/>
      <c r="J747" s="25" t="str">
        <f>IF(NOT(I747=""),INDEX(Master!$B$1:$B$46,MATCH(I747,Master!$A$1:$A$46,0)),"")</f>
        <v/>
      </c>
      <c r="K747" s="18"/>
      <c r="L747" s="86"/>
      <c r="M747" s="13"/>
      <c r="N747" s="13"/>
      <c r="O747" s="18"/>
      <c r="P747" s="35"/>
      <c r="Q747" s="21"/>
      <c r="R747" s="21"/>
      <c r="S747" s="13"/>
      <c r="T747" s="12"/>
      <c r="U747" s="12"/>
      <c r="V747" s="12"/>
      <c r="W747" s="14"/>
      <c r="Y747" s="42" t="str">
        <f>IF(AND(C747=Master!$H$1,B747="2012-2013",E747&gt;1000,G747="PLN03"),H747,"")</f>
        <v/>
      </c>
      <c r="Z747" s="42" t="str">
        <f>IF(AND(C747=Master!$H$1,B747="2012-2013",E747="",G747="PLN03"),H747,"")</f>
        <v/>
      </c>
      <c r="AA747" s="42" t="str">
        <f>IF(AND(C747=Master!$H$2,B747="2012-2013",E747&gt;1000,G747="PLN03"),H747,"")</f>
        <v/>
      </c>
      <c r="AB747" s="42" t="str">
        <f>IF(AND(C747=Master!$H$2,B747="2012-2013",E747="",G747="PLN03"),H747,"")</f>
        <v/>
      </c>
      <c r="AC747" s="42" t="str">
        <f>IF(AND(C747=Master!$H$3,B747="2012-2013",E747&gt;1000,G747="PLN03"),H747,"")</f>
        <v/>
      </c>
      <c r="AD747" s="42" t="str">
        <f>IF(AND(C747=Master!$H$3,B747="2012-2013",E747="",G747="PLN03"),H747,"")</f>
        <v/>
      </c>
      <c r="AE747" s="42" t="str">
        <f>IF(AND(C747=Master!$H$4,B747="2012-2013",E747&gt;1000,G747="PLN03"),H747,"")</f>
        <v/>
      </c>
      <c r="AF747" s="42" t="str">
        <f>IF(AND(C747=Master!$H$4,B747="2012-2013",E747="",G747="PLN03"),H747,"")</f>
        <v/>
      </c>
      <c r="AG747" s="42" t="str">
        <f>IF(AND(C747=Master!$H$5,B747="2012-2013",E747&gt;1000,G747="PLN03"),H747,"")</f>
        <v/>
      </c>
      <c r="AH747" s="42" t="str">
        <f>IF(AND(C747=Master!$H$5,B747="2012-2013",E747="",G747="PLN03"),H747,"")</f>
        <v/>
      </c>
      <c r="AI747" s="42" t="str">
        <f>IF(AND(C747=Master!$H$6,B747="2012-2013",E747&gt;1000,G747="PLN03"),H747,"")</f>
        <v/>
      </c>
      <c r="AJ747" s="42" t="str">
        <f>IF(AND(C747=Master!$H$6,B747="2012-2013",E747="",G747="PLN03"),H747,"")</f>
        <v/>
      </c>
      <c r="AK747" s="42" t="str">
        <f>IF(AND(C747=Master!$H$7,B747="2012-2013",E747&gt;1000,G747="PLN03"),H747,"")</f>
        <v/>
      </c>
      <c r="AL747" s="42" t="str">
        <f>IF(AND(C747=Master!$H$7,B747="2012-2013",E747="",G747="PLN03"),H747,"")</f>
        <v/>
      </c>
      <c r="AM747" s="42" t="str">
        <f>IF(AND(C747=Master!$H$8,B747="2012-2013",E747&gt;1000,G747="PLN03"),H747,"")</f>
        <v/>
      </c>
      <c r="AN747" s="42" t="str">
        <f>IF(AND(C747=Master!$H$8,B747="2012-2013",E747="",G747="PLN03"),H747,"")</f>
        <v/>
      </c>
      <c r="AO747" s="42" t="str">
        <f>IF(AND(C747=Master!$H$9,B747="2012-2013",E747&gt;1000,G747="PLN03"),H747,"")</f>
        <v/>
      </c>
      <c r="AP747" s="42" t="str">
        <f>IF(AND(C747=Master!$H$9,B747="2012-2013",E747="",G747="PLN03"),H747,"")</f>
        <v/>
      </c>
      <c r="AQ747" s="44" t="str">
        <f>IF(AND(C747=Master!$H$1,B747="2012-2013",E747&gt;1000,G747="NPN05"),H747,"")</f>
        <v/>
      </c>
      <c r="AR747" s="44" t="str">
        <f>IF(AND(C747=Master!$H$1,B747="2012-2013",E747="",G747="NPN05"),H747,"")</f>
        <v/>
      </c>
      <c r="AS747" s="44" t="str">
        <f>IF(AND(C747=Master!$H$2,B747="2012-2013",E747&gt;1000,G747="NPN05"),H747,"")</f>
        <v/>
      </c>
      <c r="AT747" s="44" t="str">
        <f>IF(AND(C747=Master!$H$2,B747="2012-2013",E747="",G747="NPN05"),H747,"")</f>
        <v/>
      </c>
      <c r="AU747" s="44" t="str">
        <f>IF(AND(C747=Master!$H$3,B747="2012-2013",E747&gt;1000,G747="NPN05"),H747,"")</f>
        <v/>
      </c>
      <c r="AV747" s="44" t="str">
        <f>IF(AND(C747=Master!$H$3,B747="2012-2013",E747="",G747="NPN05"),H747,"")</f>
        <v/>
      </c>
      <c r="AW747" s="44" t="str">
        <f>IF(AND(C747=Master!$H$4,B747="2012-2013",E747&gt;1000,G747="NPN05"),H747,"")</f>
        <v/>
      </c>
      <c r="AX747" s="44" t="str">
        <f>IF(AND(C747=Master!$H$4,B747="2012-2013",E747="",G747="NPN05"),H747,"")</f>
        <v/>
      </c>
      <c r="AY747" s="44" t="str">
        <f>IF(AND(C747=Master!$H$5,B747="2012-2013",E747&gt;1000,G747="NPN05"),H747,"")</f>
        <v/>
      </c>
      <c r="AZ747" s="44" t="str">
        <f>IF(AND(C747=Master!$H$5,B747="2012-2013",E747="",G747="NPN05"),H747,"")</f>
        <v/>
      </c>
      <c r="BA747" s="44" t="str">
        <f>IF(AND(C747=Master!$H$6,B747="2012-2013",E747&gt;1000,G747="NPN05"),H747,"")</f>
        <v/>
      </c>
      <c r="BB747" s="44" t="str">
        <f>IF(AND(C747=Master!$H$6,B747="2012-2013",E747="",G747="NPN05"),H747,"")</f>
        <v/>
      </c>
      <c r="BC747" s="44" t="str">
        <f>IF(AND(C747=Master!$H$7,B747="2012-2013",E747&gt;1000,G747="NPN05"),H747,"")</f>
        <v/>
      </c>
      <c r="BD747" s="44" t="str">
        <f>IF(AND(C747=Master!$H$7,B747="2012-2013",E747="",G747="NPN05"),H747,"")</f>
        <v/>
      </c>
      <c r="BE747" s="44" t="str">
        <f>IF(AND(C747=Master!$H$8,B747="2012-2013",E747&gt;1000,G747="NPN05"),H747,"")</f>
        <v/>
      </c>
      <c r="BF747" s="44" t="str">
        <f>IF(AND(C747=Master!$H$8,B747="2012-2013",E747="",G747="NPN05"),H747,"")</f>
        <v/>
      </c>
      <c r="BG747" s="44" t="str">
        <f>IF(AND(C747=Master!$H$9,B747="2012-2013",E747&gt;1000,G747="NPN05"),H747,"")</f>
        <v/>
      </c>
      <c r="BH747" s="44" t="str">
        <f>IF(AND(C747=Master!$H$9,B747="2012-2013",E747="",G747="NPN05"),H747,"")</f>
        <v/>
      </c>
    </row>
    <row r="748" spans="1:60" x14ac:dyDescent="0.25">
      <c r="A748" s="3">
        <v>746</v>
      </c>
      <c r="B748" s="12"/>
      <c r="C748" s="12"/>
      <c r="D748" s="31"/>
      <c r="E748" s="4"/>
      <c r="F748" s="13"/>
      <c r="G748" s="21"/>
      <c r="H748" s="35"/>
      <c r="I748" s="21"/>
      <c r="J748" s="25" t="str">
        <f>IF(NOT(I748=""),INDEX(Master!$B$1:$B$46,MATCH(I748,Master!$A$1:$A$46,0)),"")</f>
        <v/>
      </c>
      <c r="K748" s="18"/>
      <c r="L748" s="86"/>
      <c r="M748" s="13"/>
      <c r="N748" s="13"/>
      <c r="O748" s="18"/>
      <c r="P748" s="35"/>
      <c r="Q748" s="21"/>
      <c r="R748" s="21"/>
      <c r="S748" s="13"/>
      <c r="T748" s="12"/>
      <c r="U748" s="12"/>
      <c r="V748" s="12"/>
      <c r="W748" s="14"/>
      <c r="Y748" s="42" t="str">
        <f>IF(AND(C748=Master!$H$1,B748="2012-2013",E748&gt;1000,G748="PLN03"),H748,"")</f>
        <v/>
      </c>
      <c r="Z748" s="42" t="str">
        <f>IF(AND(C748=Master!$H$1,B748="2012-2013",E748="",G748="PLN03"),H748,"")</f>
        <v/>
      </c>
      <c r="AA748" s="42" t="str">
        <f>IF(AND(C748=Master!$H$2,B748="2012-2013",E748&gt;1000,G748="PLN03"),H748,"")</f>
        <v/>
      </c>
      <c r="AB748" s="42" t="str">
        <f>IF(AND(C748=Master!$H$2,B748="2012-2013",E748="",G748="PLN03"),H748,"")</f>
        <v/>
      </c>
      <c r="AC748" s="42" t="str">
        <f>IF(AND(C748=Master!$H$3,B748="2012-2013",E748&gt;1000,G748="PLN03"),H748,"")</f>
        <v/>
      </c>
      <c r="AD748" s="42" t="str">
        <f>IF(AND(C748=Master!$H$3,B748="2012-2013",E748="",G748="PLN03"),H748,"")</f>
        <v/>
      </c>
      <c r="AE748" s="42" t="str">
        <f>IF(AND(C748=Master!$H$4,B748="2012-2013",E748&gt;1000,G748="PLN03"),H748,"")</f>
        <v/>
      </c>
      <c r="AF748" s="42" t="str">
        <f>IF(AND(C748=Master!$H$4,B748="2012-2013",E748="",G748="PLN03"),H748,"")</f>
        <v/>
      </c>
      <c r="AG748" s="42" t="str">
        <f>IF(AND(C748=Master!$H$5,B748="2012-2013",E748&gt;1000,G748="PLN03"),H748,"")</f>
        <v/>
      </c>
      <c r="AH748" s="42" t="str">
        <f>IF(AND(C748=Master!$H$5,B748="2012-2013",E748="",G748="PLN03"),H748,"")</f>
        <v/>
      </c>
      <c r="AI748" s="42" t="str">
        <f>IF(AND(C748=Master!$H$6,B748="2012-2013",E748&gt;1000,G748="PLN03"),H748,"")</f>
        <v/>
      </c>
      <c r="AJ748" s="42" t="str">
        <f>IF(AND(C748=Master!$H$6,B748="2012-2013",E748="",G748="PLN03"),H748,"")</f>
        <v/>
      </c>
      <c r="AK748" s="42" t="str">
        <f>IF(AND(C748=Master!$H$7,B748="2012-2013",E748&gt;1000,G748="PLN03"),H748,"")</f>
        <v/>
      </c>
      <c r="AL748" s="42" t="str">
        <f>IF(AND(C748=Master!$H$7,B748="2012-2013",E748="",G748="PLN03"),H748,"")</f>
        <v/>
      </c>
      <c r="AM748" s="42" t="str">
        <f>IF(AND(C748=Master!$H$8,B748="2012-2013",E748&gt;1000,G748="PLN03"),H748,"")</f>
        <v/>
      </c>
      <c r="AN748" s="42" t="str">
        <f>IF(AND(C748=Master!$H$8,B748="2012-2013",E748="",G748="PLN03"),H748,"")</f>
        <v/>
      </c>
      <c r="AO748" s="42" t="str">
        <f>IF(AND(C748=Master!$H$9,B748="2012-2013",E748&gt;1000,G748="PLN03"),H748,"")</f>
        <v/>
      </c>
      <c r="AP748" s="42" t="str">
        <f>IF(AND(C748=Master!$H$9,B748="2012-2013",E748="",G748="PLN03"),H748,"")</f>
        <v/>
      </c>
      <c r="AQ748" s="44" t="str">
        <f>IF(AND(C748=Master!$H$1,B748="2012-2013",E748&gt;1000,G748="NPN05"),H748,"")</f>
        <v/>
      </c>
      <c r="AR748" s="44" t="str">
        <f>IF(AND(C748=Master!$H$1,B748="2012-2013",E748="",G748="NPN05"),H748,"")</f>
        <v/>
      </c>
      <c r="AS748" s="44" t="str">
        <f>IF(AND(C748=Master!$H$2,B748="2012-2013",E748&gt;1000,G748="NPN05"),H748,"")</f>
        <v/>
      </c>
      <c r="AT748" s="44" t="str">
        <f>IF(AND(C748=Master!$H$2,B748="2012-2013",E748="",G748="NPN05"),H748,"")</f>
        <v/>
      </c>
      <c r="AU748" s="44" t="str">
        <f>IF(AND(C748=Master!$H$3,B748="2012-2013",E748&gt;1000,G748="NPN05"),H748,"")</f>
        <v/>
      </c>
      <c r="AV748" s="44" t="str">
        <f>IF(AND(C748=Master!$H$3,B748="2012-2013",E748="",G748="NPN05"),H748,"")</f>
        <v/>
      </c>
      <c r="AW748" s="44" t="str">
        <f>IF(AND(C748=Master!$H$4,B748="2012-2013",E748&gt;1000,G748="NPN05"),H748,"")</f>
        <v/>
      </c>
      <c r="AX748" s="44" t="str">
        <f>IF(AND(C748=Master!$H$4,B748="2012-2013",E748="",G748="NPN05"),H748,"")</f>
        <v/>
      </c>
      <c r="AY748" s="44" t="str">
        <f>IF(AND(C748=Master!$H$5,B748="2012-2013",E748&gt;1000,G748="NPN05"),H748,"")</f>
        <v/>
      </c>
      <c r="AZ748" s="44" t="str">
        <f>IF(AND(C748=Master!$H$5,B748="2012-2013",E748="",G748="NPN05"),H748,"")</f>
        <v/>
      </c>
      <c r="BA748" s="44" t="str">
        <f>IF(AND(C748=Master!$H$6,B748="2012-2013",E748&gt;1000,G748="NPN05"),H748,"")</f>
        <v/>
      </c>
      <c r="BB748" s="44" t="str">
        <f>IF(AND(C748=Master!$H$6,B748="2012-2013",E748="",G748="NPN05"),H748,"")</f>
        <v/>
      </c>
      <c r="BC748" s="44" t="str">
        <f>IF(AND(C748=Master!$H$7,B748="2012-2013",E748&gt;1000,G748="NPN05"),H748,"")</f>
        <v/>
      </c>
      <c r="BD748" s="44" t="str">
        <f>IF(AND(C748=Master!$H$7,B748="2012-2013",E748="",G748="NPN05"),H748,"")</f>
        <v/>
      </c>
      <c r="BE748" s="44" t="str">
        <f>IF(AND(C748=Master!$H$8,B748="2012-2013",E748&gt;1000,G748="NPN05"),H748,"")</f>
        <v/>
      </c>
      <c r="BF748" s="44" t="str">
        <f>IF(AND(C748=Master!$H$8,B748="2012-2013",E748="",G748="NPN05"),H748,"")</f>
        <v/>
      </c>
      <c r="BG748" s="44" t="str">
        <f>IF(AND(C748=Master!$H$9,B748="2012-2013",E748&gt;1000,G748="NPN05"),H748,"")</f>
        <v/>
      </c>
      <c r="BH748" s="44" t="str">
        <f>IF(AND(C748=Master!$H$9,B748="2012-2013",E748="",G748="NPN05"),H748,"")</f>
        <v/>
      </c>
    </row>
    <row r="749" spans="1:60" x14ac:dyDescent="0.25">
      <c r="A749" s="3">
        <v>747</v>
      </c>
      <c r="B749" s="12"/>
      <c r="C749" s="12"/>
      <c r="D749" s="31"/>
      <c r="E749" s="4"/>
      <c r="F749" s="13"/>
      <c r="G749" s="21"/>
      <c r="H749" s="35"/>
      <c r="I749" s="21"/>
      <c r="J749" s="25" t="str">
        <f>IF(NOT(I749=""),INDEX(Master!$B$1:$B$46,MATCH(I749,Master!$A$1:$A$46,0)),"")</f>
        <v/>
      </c>
      <c r="K749" s="18"/>
      <c r="L749" s="86"/>
      <c r="M749" s="13"/>
      <c r="N749" s="13"/>
      <c r="O749" s="18"/>
      <c r="P749" s="35"/>
      <c r="Q749" s="21"/>
      <c r="R749" s="21"/>
      <c r="S749" s="13"/>
      <c r="T749" s="12"/>
      <c r="U749" s="12"/>
      <c r="V749" s="12"/>
      <c r="W749" s="14"/>
      <c r="Y749" s="42" t="str">
        <f>IF(AND(C749=Master!$H$1,B749="2012-2013",E749&gt;1000,G749="PLN03"),H749,"")</f>
        <v/>
      </c>
      <c r="Z749" s="42" t="str">
        <f>IF(AND(C749=Master!$H$1,B749="2012-2013",E749="",G749="PLN03"),H749,"")</f>
        <v/>
      </c>
      <c r="AA749" s="42" t="str">
        <f>IF(AND(C749=Master!$H$2,B749="2012-2013",E749&gt;1000,G749="PLN03"),H749,"")</f>
        <v/>
      </c>
      <c r="AB749" s="42" t="str">
        <f>IF(AND(C749=Master!$H$2,B749="2012-2013",E749="",G749="PLN03"),H749,"")</f>
        <v/>
      </c>
      <c r="AC749" s="42" t="str">
        <f>IF(AND(C749=Master!$H$3,B749="2012-2013",E749&gt;1000,G749="PLN03"),H749,"")</f>
        <v/>
      </c>
      <c r="AD749" s="42" t="str">
        <f>IF(AND(C749=Master!$H$3,B749="2012-2013",E749="",G749="PLN03"),H749,"")</f>
        <v/>
      </c>
      <c r="AE749" s="42" t="str">
        <f>IF(AND(C749=Master!$H$4,B749="2012-2013",E749&gt;1000,G749="PLN03"),H749,"")</f>
        <v/>
      </c>
      <c r="AF749" s="42" t="str">
        <f>IF(AND(C749=Master!$H$4,B749="2012-2013",E749="",G749="PLN03"),H749,"")</f>
        <v/>
      </c>
      <c r="AG749" s="42" t="str">
        <f>IF(AND(C749=Master!$H$5,B749="2012-2013",E749&gt;1000,G749="PLN03"),H749,"")</f>
        <v/>
      </c>
      <c r="AH749" s="42" t="str">
        <f>IF(AND(C749=Master!$H$5,B749="2012-2013",E749="",G749="PLN03"),H749,"")</f>
        <v/>
      </c>
      <c r="AI749" s="42" t="str">
        <f>IF(AND(C749=Master!$H$6,B749="2012-2013",E749&gt;1000,G749="PLN03"),H749,"")</f>
        <v/>
      </c>
      <c r="AJ749" s="42" t="str">
        <f>IF(AND(C749=Master!$H$6,B749="2012-2013",E749="",G749="PLN03"),H749,"")</f>
        <v/>
      </c>
      <c r="AK749" s="42" t="str">
        <f>IF(AND(C749=Master!$H$7,B749="2012-2013",E749&gt;1000,G749="PLN03"),H749,"")</f>
        <v/>
      </c>
      <c r="AL749" s="42" t="str">
        <f>IF(AND(C749=Master!$H$7,B749="2012-2013",E749="",G749="PLN03"),H749,"")</f>
        <v/>
      </c>
      <c r="AM749" s="42" t="str">
        <f>IF(AND(C749=Master!$H$8,B749="2012-2013",E749&gt;1000,G749="PLN03"),H749,"")</f>
        <v/>
      </c>
      <c r="AN749" s="42" t="str">
        <f>IF(AND(C749=Master!$H$8,B749="2012-2013",E749="",G749="PLN03"),H749,"")</f>
        <v/>
      </c>
      <c r="AO749" s="42" t="str">
        <f>IF(AND(C749=Master!$H$9,B749="2012-2013",E749&gt;1000,G749="PLN03"),H749,"")</f>
        <v/>
      </c>
      <c r="AP749" s="42" t="str">
        <f>IF(AND(C749=Master!$H$9,B749="2012-2013",E749="",G749="PLN03"),H749,"")</f>
        <v/>
      </c>
      <c r="AQ749" s="44" t="str">
        <f>IF(AND(C749=Master!$H$1,B749="2012-2013",E749&gt;1000,G749="NPN05"),H749,"")</f>
        <v/>
      </c>
      <c r="AR749" s="44" t="str">
        <f>IF(AND(C749=Master!$H$1,B749="2012-2013",E749="",G749="NPN05"),H749,"")</f>
        <v/>
      </c>
      <c r="AS749" s="44" t="str">
        <f>IF(AND(C749=Master!$H$2,B749="2012-2013",E749&gt;1000,G749="NPN05"),H749,"")</f>
        <v/>
      </c>
      <c r="AT749" s="44" t="str">
        <f>IF(AND(C749=Master!$H$2,B749="2012-2013",E749="",G749="NPN05"),H749,"")</f>
        <v/>
      </c>
      <c r="AU749" s="44" t="str">
        <f>IF(AND(C749=Master!$H$3,B749="2012-2013",E749&gt;1000,G749="NPN05"),H749,"")</f>
        <v/>
      </c>
      <c r="AV749" s="44" t="str">
        <f>IF(AND(C749=Master!$H$3,B749="2012-2013",E749="",G749="NPN05"),H749,"")</f>
        <v/>
      </c>
      <c r="AW749" s="44" t="str">
        <f>IF(AND(C749=Master!$H$4,B749="2012-2013",E749&gt;1000,G749="NPN05"),H749,"")</f>
        <v/>
      </c>
      <c r="AX749" s="44" t="str">
        <f>IF(AND(C749=Master!$H$4,B749="2012-2013",E749="",G749="NPN05"),H749,"")</f>
        <v/>
      </c>
      <c r="AY749" s="44" t="str">
        <f>IF(AND(C749=Master!$H$5,B749="2012-2013",E749&gt;1000,G749="NPN05"),H749,"")</f>
        <v/>
      </c>
      <c r="AZ749" s="44" t="str">
        <f>IF(AND(C749=Master!$H$5,B749="2012-2013",E749="",G749="NPN05"),H749,"")</f>
        <v/>
      </c>
      <c r="BA749" s="44" t="str">
        <f>IF(AND(C749=Master!$H$6,B749="2012-2013",E749&gt;1000,G749="NPN05"),H749,"")</f>
        <v/>
      </c>
      <c r="BB749" s="44" t="str">
        <f>IF(AND(C749=Master!$H$6,B749="2012-2013",E749="",G749="NPN05"),H749,"")</f>
        <v/>
      </c>
      <c r="BC749" s="44" t="str">
        <f>IF(AND(C749=Master!$H$7,B749="2012-2013",E749&gt;1000,G749="NPN05"),H749,"")</f>
        <v/>
      </c>
      <c r="BD749" s="44" t="str">
        <f>IF(AND(C749=Master!$H$7,B749="2012-2013",E749="",G749="NPN05"),H749,"")</f>
        <v/>
      </c>
      <c r="BE749" s="44" t="str">
        <f>IF(AND(C749=Master!$H$8,B749="2012-2013",E749&gt;1000,G749="NPN05"),H749,"")</f>
        <v/>
      </c>
      <c r="BF749" s="44" t="str">
        <f>IF(AND(C749=Master!$H$8,B749="2012-2013",E749="",G749="NPN05"),H749,"")</f>
        <v/>
      </c>
      <c r="BG749" s="44" t="str">
        <f>IF(AND(C749=Master!$H$9,B749="2012-2013",E749&gt;1000,G749="NPN05"),H749,"")</f>
        <v/>
      </c>
      <c r="BH749" s="44" t="str">
        <f>IF(AND(C749=Master!$H$9,B749="2012-2013",E749="",G749="NPN05"),H749,"")</f>
        <v/>
      </c>
    </row>
    <row r="750" spans="1:60" x14ac:dyDescent="0.25">
      <c r="A750" s="3">
        <v>748</v>
      </c>
      <c r="B750" s="12"/>
      <c r="C750" s="12"/>
      <c r="D750" s="31"/>
      <c r="E750" s="4"/>
      <c r="F750" s="13"/>
      <c r="G750" s="21"/>
      <c r="H750" s="35"/>
      <c r="I750" s="21"/>
      <c r="J750" s="25" t="str">
        <f>IF(NOT(I750=""),INDEX(Master!$B$1:$B$46,MATCH(I750,Master!$A$1:$A$46,0)),"")</f>
        <v/>
      </c>
      <c r="K750" s="18"/>
      <c r="L750" s="86"/>
      <c r="M750" s="13"/>
      <c r="N750" s="13"/>
      <c r="O750" s="18"/>
      <c r="P750" s="35"/>
      <c r="Q750" s="21"/>
      <c r="R750" s="21"/>
      <c r="S750" s="13"/>
      <c r="T750" s="12"/>
      <c r="U750" s="12"/>
      <c r="V750" s="12"/>
      <c r="W750" s="14"/>
      <c r="Y750" s="42" t="str">
        <f>IF(AND(C750=Master!$H$1,B750="2012-2013",E750&gt;1000,G750="PLN03"),H750,"")</f>
        <v/>
      </c>
      <c r="Z750" s="42" t="str">
        <f>IF(AND(C750=Master!$H$1,B750="2012-2013",E750="",G750="PLN03"),H750,"")</f>
        <v/>
      </c>
      <c r="AA750" s="42" t="str">
        <f>IF(AND(C750=Master!$H$2,B750="2012-2013",E750&gt;1000,G750="PLN03"),H750,"")</f>
        <v/>
      </c>
      <c r="AB750" s="42" t="str">
        <f>IF(AND(C750=Master!$H$2,B750="2012-2013",E750="",G750="PLN03"),H750,"")</f>
        <v/>
      </c>
      <c r="AC750" s="42" t="str">
        <f>IF(AND(C750=Master!$H$3,B750="2012-2013",E750&gt;1000,G750="PLN03"),H750,"")</f>
        <v/>
      </c>
      <c r="AD750" s="42" t="str">
        <f>IF(AND(C750=Master!$H$3,B750="2012-2013",E750="",G750="PLN03"),H750,"")</f>
        <v/>
      </c>
      <c r="AE750" s="42" t="str">
        <f>IF(AND(C750=Master!$H$4,B750="2012-2013",E750&gt;1000,G750="PLN03"),H750,"")</f>
        <v/>
      </c>
      <c r="AF750" s="42" t="str">
        <f>IF(AND(C750=Master!$H$4,B750="2012-2013",E750="",G750="PLN03"),H750,"")</f>
        <v/>
      </c>
      <c r="AG750" s="42" t="str">
        <f>IF(AND(C750=Master!$H$5,B750="2012-2013",E750&gt;1000,G750="PLN03"),H750,"")</f>
        <v/>
      </c>
      <c r="AH750" s="42" t="str">
        <f>IF(AND(C750=Master!$H$5,B750="2012-2013",E750="",G750="PLN03"),H750,"")</f>
        <v/>
      </c>
      <c r="AI750" s="42" t="str">
        <f>IF(AND(C750=Master!$H$6,B750="2012-2013",E750&gt;1000,G750="PLN03"),H750,"")</f>
        <v/>
      </c>
      <c r="AJ750" s="42" t="str">
        <f>IF(AND(C750=Master!$H$6,B750="2012-2013",E750="",G750="PLN03"),H750,"")</f>
        <v/>
      </c>
      <c r="AK750" s="42" t="str">
        <f>IF(AND(C750=Master!$H$7,B750="2012-2013",E750&gt;1000,G750="PLN03"),H750,"")</f>
        <v/>
      </c>
      <c r="AL750" s="42" t="str">
        <f>IF(AND(C750=Master!$H$7,B750="2012-2013",E750="",G750="PLN03"),H750,"")</f>
        <v/>
      </c>
      <c r="AM750" s="42" t="str">
        <f>IF(AND(C750=Master!$H$8,B750="2012-2013",E750&gt;1000,G750="PLN03"),H750,"")</f>
        <v/>
      </c>
      <c r="AN750" s="42" t="str">
        <f>IF(AND(C750=Master!$H$8,B750="2012-2013",E750="",G750="PLN03"),H750,"")</f>
        <v/>
      </c>
      <c r="AO750" s="42" t="str">
        <f>IF(AND(C750=Master!$H$9,B750="2012-2013",E750&gt;1000,G750="PLN03"),H750,"")</f>
        <v/>
      </c>
      <c r="AP750" s="42" t="str">
        <f>IF(AND(C750=Master!$H$9,B750="2012-2013",E750="",G750="PLN03"),H750,"")</f>
        <v/>
      </c>
      <c r="AQ750" s="44" t="str">
        <f>IF(AND(C750=Master!$H$1,B750="2012-2013",E750&gt;1000,G750="NPN05"),H750,"")</f>
        <v/>
      </c>
      <c r="AR750" s="44" t="str">
        <f>IF(AND(C750=Master!$H$1,B750="2012-2013",E750="",G750="NPN05"),H750,"")</f>
        <v/>
      </c>
      <c r="AS750" s="44" t="str">
        <f>IF(AND(C750=Master!$H$2,B750="2012-2013",E750&gt;1000,G750="NPN05"),H750,"")</f>
        <v/>
      </c>
      <c r="AT750" s="44" t="str">
        <f>IF(AND(C750=Master!$H$2,B750="2012-2013",E750="",G750="NPN05"),H750,"")</f>
        <v/>
      </c>
      <c r="AU750" s="44" t="str">
        <f>IF(AND(C750=Master!$H$3,B750="2012-2013",E750&gt;1000,G750="NPN05"),H750,"")</f>
        <v/>
      </c>
      <c r="AV750" s="44" t="str">
        <f>IF(AND(C750=Master!$H$3,B750="2012-2013",E750="",G750="NPN05"),H750,"")</f>
        <v/>
      </c>
      <c r="AW750" s="44" t="str">
        <f>IF(AND(C750=Master!$H$4,B750="2012-2013",E750&gt;1000,G750="NPN05"),H750,"")</f>
        <v/>
      </c>
      <c r="AX750" s="44" t="str">
        <f>IF(AND(C750=Master!$H$4,B750="2012-2013",E750="",G750="NPN05"),H750,"")</f>
        <v/>
      </c>
      <c r="AY750" s="44" t="str">
        <f>IF(AND(C750=Master!$H$5,B750="2012-2013",E750&gt;1000,G750="NPN05"),H750,"")</f>
        <v/>
      </c>
      <c r="AZ750" s="44" t="str">
        <f>IF(AND(C750=Master!$H$5,B750="2012-2013",E750="",G750="NPN05"),H750,"")</f>
        <v/>
      </c>
      <c r="BA750" s="44" t="str">
        <f>IF(AND(C750=Master!$H$6,B750="2012-2013",E750&gt;1000,G750="NPN05"),H750,"")</f>
        <v/>
      </c>
      <c r="BB750" s="44" t="str">
        <f>IF(AND(C750=Master!$H$6,B750="2012-2013",E750="",G750="NPN05"),H750,"")</f>
        <v/>
      </c>
      <c r="BC750" s="44" t="str">
        <f>IF(AND(C750=Master!$H$7,B750="2012-2013",E750&gt;1000,G750="NPN05"),H750,"")</f>
        <v/>
      </c>
      <c r="BD750" s="44" t="str">
        <f>IF(AND(C750=Master!$H$7,B750="2012-2013",E750="",G750="NPN05"),H750,"")</f>
        <v/>
      </c>
      <c r="BE750" s="44" t="str">
        <f>IF(AND(C750=Master!$H$8,B750="2012-2013",E750&gt;1000,G750="NPN05"),H750,"")</f>
        <v/>
      </c>
      <c r="BF750" s="44" t="str">
        <f>IF(AND(C750=Master!$H$8,B750="2012-2013",E750="",G750="NPN05"),H750,"")</f>
        <v/>
      </c>
      <c r="BG750" s="44" t="str">
        <f>IF(AND(C750=Master!$H$9,B750="2012-2013",E750&gt;1000,G750="NPN05"),H750,"")</f>
        <v/>
      </c>
      <c r="BH750" s="44" t="str">
        <f>IF(AND(C750=Master!$H$9,B750="2012-2013",E750="",G750="NPN05"),H750,"")</f>
        <v/>
      </c>
    </row>
    <row r="751" spans="1:60" x14ac:dyDescent="0.25">
      <c r="A751" s="5">
        <v>749</v>
      </c>
      <c r="B751" s="12"/>
      <c r="C751" s="12"/>
      <c r="D751" s="31"/>
      <c r="E751" s="4"/>
      <c r="F751" s="13"/>
      <c r="G751" s="21"/>
      <c r="H751" s="35"/>
      <c r="I751" s="21"/>
      <c r="J751" s="25" t="str">
        <f>IF(NOT(I751=""),INDEX(Master!$B$1:$B$46,MATCH(I751,Master!$A$1:$A$46,0)),"")</f>
        <v/>
      </c>
      <c r="K751" s="18"/>
      <c r="L751" s="86"/>
      <c r="M751" s="13"/>
      <c r="N751" s="13"/>
      <c r="O751" s="18"/>
      <c r="P751" s="35"/>
      <c r="Q751" s="21"/>
      <c r="R751" s="21"/>
      <c r="S751" s="13"/>
      <c r="T751" s="12"/>
      <c r="U751" s="12"/>
      <c r="V751" s="12"/>
      <c r="W751" s="14"/>
      <c r="Y751" s="42" t="str">
        <f>IF(AND(C751=Master!$H$1,B751="2012-2013",E751&gt;1000,G751="PLN03"),H751,"")</f>
        <v/>
      </c>
      <c r="Z751" s="42" t="str">
        <f>IF(AND(C751=Master!$H$1,B751="2012-2013",E751="",G751="PLN03"),H751,"")</f>
        <v/>
      </c>
      <c r="AA751" s="42" t="str">
        <f>IF(AND(C751=Master!$H$2,B751="2012-2013",E751&gt;1000,G751="PLN03"),H751,"")</f>
        <v/>
      </c>
      <c r="AB751" s="42" t="str">
        <f>IF(AND(C751=Master!$H$2,B751="2012-2013",E751="",G751="PLN03"),H751,"")</f>
        <v/>
      </c>
      <c r="AC751" s="42" t="str">
        <f>IF(AND(C751=Master!$H$3,B751="2012-2013",E751&gt;1000,G751="PLN03"),H751,"")</f>
        <v/>
      </c>
      <c r="AD751" s="42" t="str">
        <f>IF(AND(C751=Master!$H$3,B751="2012-2013",E751="",G751="PLN03"),H751,"")</f>
        <v/>
      </c>
      <c r="AE751" s="42" t="str">
        <f>IF(AND(C751=Master!$H$4,B751="2012-2013",E751&gt;1000,G751="PLN03"),H751,"")</f>
        <v/>
      </c>
      <c r="AF751" s="42" t="str">
        <f>IF(AND(C751=Master!$H$4,B751="2012-2013",E751="",G751="PLN03"),H751,"")</f>
        <v/>
      </c>
      <c r="AG751" s="42" t="str">
        <f>IF(AND(C751=Master!$H$5,B751="2012-2013",E751&gt;1000,G751="PLN03"),H751,"")</f>
        <v/>
      </c>
      <c r="AH751" s="42" t="str">
        <f>IF(AND(C751=Master!$H$5,B751="2012-2013",E751="",G751="PLN03"),H751,"")</f>
        <v/>
      </c>
      <c r="AI751" s="42" t="str">
        <f>IF(AND(C751=Master!$H$6,B751="2012-2013",E751&gt;1000,G751="PLN03"),H751,"")</f>
        <v/>
      </c>
      <c r="AJ751" s="42" t="str">
        <f>IF(AND(C751=Master!$H$6,B751="2012-2013",E751="",G751="PLN03"),H751,"")</f>
        <v/>
      </c>
      <c r="AK751" s="42" t="str">
        <f>IF(AND(C751=Master!$H$7,B751="2012-2013",E751&gt;1000,G751="PLN03"),H751,"")</f>
        <v/>
      </c>
      <c r="AL751" s="42" t="str">
        <f>IF(AND(C751=Master!$H$7,B751="2012-2013",E751="",G751="PLN03"),H751,"")</f>
        <v/>
      </c>
      <c r="AM751" s="42" t="str">
        <f>IF(AND(C751=Master!$H$8,B751="2012-2013",E751&gt;1000,G751="PLN03"),H751,"")</f>
        <v/>
      </c>
      <c r="AN751" s="42" t="str">
        <f>IF(AND(C751=Master!$H$8,B751="2012-2013",E751="",G751="PLN03"),H751,"")</f>
        <v/>
      </c>
      <c r="AO751" s="42" t="str">
        <f>IF(AND(C751=Master!$H$9,B751="2012-2013",E751&gt;1000,G751="PLN03"),H751,"")</f>
        <v/>
      </c>
      <c r="AP751" s="42" t="str">
        <f>IF(AND(C751=Master!$H$9,B751="2012-2013",E751="",G751="PLN03"),H751,"")</f>
        <v/>
      </c>
      <c r="AQ751" s="44" t="str">
        <f>IF(AND(C751=Master!$H$1,B751="2012-2013",E751&gt;1000,G751="NPN05"),H751,"")</f>
        <v/>
      </c>
      <c r="AR751" s="44" t="str">
        <f>IF(AND(C751=Master!$H$1,B751="2012-2013",E751="",G751="NPN05"),H751,"")</f>
        <v/>
      </c>
      <c r="AS751" s="44" t="str">
        <f>IF(AND(C751=Master!$H$2,B751="2012-2013",E751&gt;1000,G751="NPN05"),H751,"")</f>
        <v/>
      </c>
      <c r="AT751" s="44" t="str">
        <f>IF(AND(C751=Master!$H$2,B751="2012-2013",E751="",G751="NPN05"),H751,"")</f>
        <v/>
      </c>
      <c r="AU751" s="44" t="str">
        <f>IF(AND(C751=Master!$H$3,B751="2012-2013",E751&gt;1000,G751="NPN05"),H751,"")</f>
        <v/>
      </c>
      <c r="AV751" s="44" t="str">
        <f>IF(AND(C751=Master!$H$3,B751="2012-2013",E751="",G751="NPN05"),H751,"")</f>
        <v/>
      </c>
      <c r="AW751" s="44" t="str">
        <f>IF(AND(C751=Master!$H$4,B751="2012-2013",E751&gt;1000,G751="NPN05"),H751,"")</f>
        <v/>
      </c>
      <c r="AX751" s="44" t="str">
        <f>IF(AND(C751=Master!$H$4,B751="2012-2013",E751="",G751="NPN05"),H751,"")</f>
        <v/>
      </c>
      <c r="AY751" s="44" t="str">
        <f>IF(AND(C751=Master!$H$5,B751="2012-2013",E751&gt;1000,G751="NPN05"),H751,"")</f>
        <v/>
      </c>
      <c r="AZ751" s="44" t="str">
        <f>IF(AND(C751=Master!$H$5,B751="2012-2013",E751="",G751="NPN05"),H751,"")</f>
        <v/>
      </c>
      <c r="BA751" s="44" t="str">
        <f>IF(AND(C751=Master!$H$6,B751="2012-2013",E751&gt;1000,G751="NPN05"),H751,"")</f>
        <v/>
      </c>
      <c r="BB751" s="44" t="str">
        <f>IF(AND(C751=Master!$H$6,B751="2012-2013",E751="",G751="NPN05"),H751,"")</f>
        <v/>
      </c>
      <c r="BC751" s="44" t="str">
        <f>IF(AND(C751=Master!$H$7,B751="2012-2013",E751&gt;1000,G751="NPN05"),H751,"")</f>
        <v/>
      </c>
      <c r="BD751" s="44" t="str">
        <f>IF(AND(C751=Master!$H$7,B751="2012-2013",E751="",G751="NPN05"),H751,"")</f>
        <v/>
      </c>
      <c r="BE751" s="44" t="str">
        <f>IF(AND(C751=Master!$H$8,B751="2012-2013",E751&gt;1000,G751="NPN05"),H751,"")</f>
        <v/>
      </c>
      <c r="BF751" s="44" t="str">
        <f>IF(AND(C751=Master!$H$8,B751="2012-2013",E751="",G751="NPN05"),H751,"")</f>
        <v/>
      </c>
      <c r="BG751" s="44" t="str">
        <f>IF(AND(C751=Master!$H$9,B751="2012-2013",E751&gt;1000,G751="NPN05"),H751,"")</f>
        <v/>
      </c>
      <c r="BH751" s="44" t="str">
        <f>IF(AND(C751=Master!$H$9,B751="2012-2013",E751="",G751="NPN05"),H751,"")</f>
        <v/>
      </c>
    </row>
    <row r="752" spans="1:60" x14ac:dyDescent="0.25">
      <c r="A752" s="3">
        <v>750</v>
      </c>
      <c r="B752" s="12"/>
      <c r="C752" s="12"/>
      <c r="D752" s="31"/>
      <c r="E752" s="4"/>
      <c r="F752" s="13"/>
      <c r="G752" s="21"/>
      <c r="H752" s="35"/>
      <c r="I752" s="21"/>
      <c r="J752" s="25" t="str">
        <f>IF(NOT(I752=""),INDEX(Master!$B$1:$B$46,MATCH(I752,Master!$A$1:$A$46,0)),"")</f>
        <v/>
      </c>
      <c r="K752" s="18"/>
      <c r="L752" s="86"/>
      <c r="M752" s="13"/>
      <c r="N752" s="13"/>
      <c r="O752" s="18"/>
      <c r="P752" s="35"/>
      <c r="Q752" s="21"/>
      <c r="R752" s="21"/>
      <c r="S752" s="13"/>
      <c r="T752" s="12"/>
      <c r="U752" s="12"/>
      <c r="V752" s="12"/>
      <c r="W752" s="14"/>
      <c r="Y752" s="42" t="str">
        <f>IF(AND(C752=Master!$H$1,B752="2012-2013",E752&gt;1000,G752="PLN03"),H752,"")</f>
        <v/>
      </c>
      <c r="Z752" s="42" t="str">
        <f>IF(AND(C752=Master!$H$1,B752="2012-2013",E752="",G752="PLN03"),H752,"")</f>
        <v/>
      </c>
      <c r="AA752" s="42" t="str">
        <f>IF(AND(C752=Master!$H$2,B752="2012-2013",E752&gt;1000,G752="PLN03"),H752,"")</f>
        <v/>
      </c>
      <c r="AB752" s="42" t="str">
        <f>IF(AND(C752=Master!$H$2,B752="2012-2013",E752="",G752="PLN03"),H752,"")</f>
        <v/>
      </c>
      <c r="AC752" s="42" t="str">
        <f>IF(AND(C752=Master!$H$3,B752="2012-2013",E752&gt;1000,G752="PLN03"),H752,"")</f>
        <v/>
      </c>
      <c r="AD752" s="42" t="str">
        <f>IF(AND(C752=Master!$H$3,B752="2012-2013",E752="",G752="PLN03"),H752,"")</f>
        <v/>
      </c>
      <c r="AE752" s="42" t="str">
        <f>IF(AND(C752=Master!$H$4,B752="2012-2013",E752&gt;1000,G752="PLN03"),H752,"")</f>
        <v/>
      </c>
      <c r="AF752" s="42" t="str">
        <f>IF(AND(C752=Master!$H$4,B752="2012-2013",E752="",G752="PLN03"),H752,"")</f>
        <v/>
      </c>
      <c r="AG752" s="42" t="str">
        <f>IF(AND(C752=Master!$H$5,B752="2012-2013",E752&gt;1000,G752="PLN03"),H752,"")</f>
        <v/>
      </c>
      <c r="AH752" s="42" t="str">
        <f>IF(AND(C752=Master!$H$5,B752="2012-2013",E752="",G752="PLN03"),H752,"")</f>
        <v/>
      </c>
      <c r="AI752" s="42" t="str">
        <f>IF(AND(C752=Master!$H$6,B752="2012-2013",E752&gt;1000,G752="PLN03"),H752,"")</f>
        <v/>
      </c>
      <c r="AJ752" s="42" t="str">
        <f>IF(AND(C752=Master!$H$6,B752="2012-2013",E752="",G752="PLN03"),H752,"")</f>
        <v/>
      </c>
      <c r="AK752" s="42" t="str">
        <f>IF(AND(C752=Master!$H$7,B752="2012-2013",E752&gt;1000,G752="PLN03"),H752,"")</f>
        <v/>
      </c>
      <c r="AL752" s="42" t="str">
        <f>IF(AND(C752=Master!$H$7,B752="2012-2013",E752="",G752="PLN03"),H752,"")</f>
        <v/>
      </c>
      <c r="AM752" s="42" t="str">
        <f>IF(AND(C752=Master!$H$8,B752="2012-2013",E752&gt;1000,G752="PLN03"),H752,"")</f>
        <v/>
      </c>
      <c r="AN752" s="42" t="str">
        <f>IF(AND(C752=Master!$H$8,B752="2012-2013",E752="",G752="PLN03"),H752,"")</f>
        <v/>
      </c>
      <c r="AO752" s="42" t="str">
        <f>IF(AND(C752=Master!$H$9,B752="2012-2013",E752&gt;1000,G752="PLN03"),H752,"")</f>
        <v/>
      </c>
      <c r="AP752" s="42" t="str">
        <f>IF(AND(C752=Master!$H$9,B752="2012-2013",E752="",G752="PLN03"),H752,"")</f>
        <v/>
      </c>
      <c r="AQ752" s="44" t="str">
        <f>IF(AND(C752=Master!$H$1,B752="2012-2013",E752&gt;1000,G752="NPN05"),H752,"")</f>
        <v/>
      </c>
      <c r="AR752" s="44" t="str">
        <f>IF(AND(C752=Master!$H$1,B752="2012-2013",E752="",G752="NPN05"),H752,"")</f>
        <v/>
      </c>
      <c r="AS752" s="44" t="str">
        <f>IF(AND(C752=Master!$H$2,B752="2012-2013",E752&gt;1000,G752="NPN05"),H752,"")</f>
        <v/>
      </c>
      <c r="AT752" s="44" t="str">
        <f>IF(AND(C752=Master!$H$2,B752="2012-2013",E752="",G752="NPN05"),H752,"")</f>
        <v/>
      </c>
      <c r="AU752" s="44" t="str">
        <f>IF(AND(C752=Master!$H$3,B752="2012-2013",E752&gt;1000,G752="NPN05"),H752,"")</f>
        <v/>
      </c>
      <c r="AV752" s="44" t="str">
        <f>IF(AND(C752=Master!$H$3,B752="2012-2013",E752="",G752="NPN05"),H752,"")</f>
        <v/>
      </c>
      <c r="AW752" s="44" t="str">
        <f>IF(AND(C752=Master!$H$4,B752="2012-2013",E752&gt;1000,G752="NPN05"),H752,"")</f>
        <v/>
      </c>
      <c r="AX752" s="44" t="str">
        <f>IF(AND(C752=Master!$H$4,B752="2012-2013",E752="",G752="NPN05"),H752,"")</f>
        <v/>
      </c>
      <c r="AY752" s="44" t="str">
        <f>IF(AND(C752=Master!$H$5,B752="2012-2013",E752&gt;1000,G752="NPN05"),H752,"")</f>
        <v/>
      </c>
      <c r="AZ752" s="44" t="str">
        <f>IF(AND(C752=Master!$H$5,B752="2012-2013",E752="",G752="NPN05"),H752,"")</f>
        <v/>
      </c>
      <c r="BA752" s="44" t="str">
        <f>IF(AND(C752=Master!$H$6,B752="2012-2013",E752&gt;1000,G752="NPN05"),H752,"")</f>
        <v/>
      </c>
      <c r="BB752" s="44" t="str">
        <f>IF(AND(C752=Master!$H$6,B752="2012-2013",E752="",G752="NPN05"),H752,"")</f>
        <v/>
      </c>
      <c r="BC752" s="44" t="str">
        <f>IF(AND(C752=Master!$H$7,B752="2012-2013",E752&gt;1000,G752="NPN05"),H752,"")</f>
        <v/>
      </c>
      <c r="BD752" s="44" t="str">
        <f>IF(AND(C752=Master!$H$7,B752="2012-2013",E752="",G752="NPN05"),H752,"")</f>
        <v/>
      </c>
      <c r="BE752" s="44" t="str">
        <f>IF(AND(C752=Master!$H$8,B752="2012-2013",E752&gt;1000,G752="NPN05"),H752,"")</f>
        <v/>
      </c>
      <c r="BF752" s="44" t="str">
        <f>IF(AND(C752=Master!$H$8,B752="2012-2013",E752="",G752="NPN05"),H752,"")</f>
        <v/>
      </c>
      <c r="BG752" s="44" t="str">
        <f>IF(AND(C752=Master!$H$9,B752="2012-2013",E752&gt;1000,G752="NPN05"),H752,"")</f>
        <v/>
      </c>
      <c r="BH752" s="44" t="str">
        <f>IF(AND(C752=Master!$H$9,B752="2012-2013",E752="",G752="NPN05"),H752,"")</f>
        <v/>
      </c>
    </row>
    <row r="753" spans="1:60" x14ac:dyDescent="0.25">
      <c r="A753" s="3">
        <v>751</v>
      </c>
      <c r="B753" s="12"/>
      <c r="C753" s="12"/>
      <c r="D753" s="31"/>
      <c r="E753" s="4"/>
      <c r="F753" s="13"/>
      <c r="G753" s="21"/>
      <c r="H753" s="35"/>
      <c r="I753" s="21"/>
      <c r="J753" s="25" t="str">
        <f>IF(NOT(I753=""),INDEX(Master!$B$1:$B$46,MATCH(I753,Master!$A$1:$A$46,0)),"")</f>
        <v/>
      </c>
      <c r="K753" s="18"/>
      <c r="L753" s="86"/>
      <c r="M753" s="13"/>
      <c r="N753" s="13"/>
      <c r="O753" s="18"/>
      <c r="P753" s="35"/>
      <c r="Q753" s="21"/>
      <c r="R753" s="21"/>
      <c r="S753" s="13"/>
      <c r="T753" s="12"/>
      <c r="U753" s="12"/>
      <c r="V753" s="12"/>
      <c r="W753" s="14"/>
      <c r="Y753" s="42" t="str">
        <f>IF(AND(C753=Master!$H$1,B753="2012-2013",E753&gt;1000,G753="PLN03"),H753,"")</f>
        <v/>
      </c>
      <c r="Z753" s="42" t="str">
        <f>IF(AND(C753=Master!$H$1,B753="2012-2013",E753="",G753="PLN03"),H753,"")</f>
        <v/>
      </c>
      <c r="AA753" s="42" t="str">
        <f>IF(AND(C753=Master!$H$2,B753="2012-2013",E753&gt;1000,G753="PLN03"),H753,"")</f>
        <v/>
      </c>
      <c r="AB753" s="42" t="str">
        <f>IF(AND(C753=Master!$H$2,B753="2012-2013",E753="",G753="PLN03"),H753,"")</f>
        <v/>
      </c>
      <c r="AC753" s="42" t="str">
        <f>IF(AND(C753=Master!$H$3,B753="2012-2013",E753&gt;1000,G753="PLN03"),H753,"")</f>
        <v/>
      </c>
      <c r="AD753" s="42" t="str">
        <f>IF(AND(C753=Master!$H$3,B753="2012-2013",E753="",G753="PLN03"),H753,"")</f>
        <v/>
      </c>
      <c r="AE753" s="42" t="str">
        <f>IF(AND(C753=Master!$H$4,B753="2012-2013",E753&gt;1000,G753="PLN03"),H753,"")</f>
        <v/>
      </c>
      <c r="AF753" s="42" t="str">
        <f>IF(AND(C753=Master!$H$4,B753="2012-2013",E753="",G753="PLN03"),H753,"")</f>
        <v/>
      </c>
      <c r="AG753" s="42" t="str">
        <f>IF(AND(C753=Master!$H$5,B753="2012-2013",E753&gt;1000,G753="PLN03"),H753,"")</f>
        <v/>
      </c>
      <c r="AH753" s="42" t="str">
        <f>IF(AND(C753=Master!$H$5,B753="2012-2013",E753="",G753="PLN03"),H753,"")</f>
        <v/>
      </c>
      <c r="AI753" s="42" t="str">
        <f>IF(AND(C753=Master!$H$6,B753="2012-2013",E753&gt;1000,G753="PLN03"),H753,"")</f>
        <v/>
      </c>
      <c r="AJ753" s="42" t="str">
        <f>IF(AND(C753=Master!$H$6,B753="2012-2013",E753="",G753="PLN03"),H753,"")</f>
        <v/>
      </c>
      <c r="AK753" s="42" t="str">
        <f>IF(AND(C753=Master!$H$7,B753="2012-2013",E753&gt;1000,G753="PLN03"),H753,"")</f>
        <v/>
      </c>
      <c r="AL753" s="42" t="str">
        <f>IF(AND(C753=Master!$H$7,B753="2012-2013",E753="",G753="PLN03"),H753,"")</f>
        <v/>
      </c>
      <c r="AM753" s="42" t="str">
        <f>IF(AND(C753=Master!$H$8,B753="2012-2013",E753&gt;1000,G753="PLN03"),H753,"")</f>
        <v/>
      </c>
      <c r="AN753" s="42" t="str">
        <f>IF(AND(C753=Master!$H$8,B753="2012-2013",E753="",G753="PLN03"),H753,"")</f>
        <v/>
      </c>
      <c r="AO753" s="42" t="str">
        <f>IF(AND(C753=Master!$H$9,B753="2012-2013",E753&gt;1000,G753="PLN03"),H753,"")</f>
        <v/>
      </c>
      <c r="AP753" s="42" t="str">
        <f>IF(AND(C753=Master!$H$9,B753="2012-2013",E753="",G753="PLN03"),H753,"")</f>
        <v/>
      </c>
      <c r="AQ753" s="44" t="str">
        <f>IF(AND(C753=Master!$H$1,B753="2012-2013",E753&gt;1000,G753="NPN05"),H753,"")</f>
        <v/>
      </c>
      <c r="AR753" s="44" t="str">
        <f>IF(AND(C753=Master!$H$1,B753="2012-2013",E753="",G753="NPN05"),H753,"")</f>
        <v/>
      </c>
      <c r="AS753" s="44" t="str">
        <f>IF(AND(C753=Master!$H$2,B753="2012-2013",E753&gt;1000,G753="NPN05"),H753,"")</f>
        <v/>
      </c>
      <c r="AT753" s="44" t="str">
        <f>IF(AND(C753=Master!$H$2,B753="2012-2013",E753="",G753="NPN05"),H753,"")</f>
        <v/>
      </c>
      <c r="AU753" s="44" t="str">
        <f>IF(AND(C753=Master!$H$3,B753="2012-2013",E753&gt;1000,G753="NPN05"),H753,"")</f>
        <v/>
      </c>
      <c r="AV753" s="44" t="str">
        <f>IF(AND(C753=Master!$H$3,B753="2012-2013",E753="",G753="NPN05"),H753,"")</f>
        <v/>
      </c>
      <c r="AW753" s="44" t="str">
        <f>IF(AND(C753=Master!$H$4,B753="2012-2013",E753&gt;1000,G753="NPN05"),H753,"")</f>
        <v/>
      </c>
      <c r="AX753" s="44" t="str">
        <f>IF(AND(C753=Master!$H$4,B753="2012-2013",E753="",G753="NPN05"),H753,"")</f>
        <v/>
      </c>
      <c r="AY753" s="44" t="str">
        <f>IF(AND(C753=Master!$H$5,B753="2012-2013",E753&gt;1000,G753="NPN05"),H753,"")</f>
        <v/>
      </c>
      <c r="AZ753" s="44" t="str">
        <f>IF(AND(C753=Master!$H$5,B753="2012-2013",E753="",G753="NPN05"),H753,"")</f>
        <v/>
      </c>
      <c r="BA753" s="44" t="str">
        <f>IF(AND(C753=Master!$H$6,B753="2012-2013",E753&gt;1000,G753="NPN05"),H753,"")</f>
        <v/>
      </c>
      <c r="BB753" s="44" t="str">
        <f>IF(AND(C753=Master!$H$6,B753="2012-2013",E753="",G753="NPN05"),H753,"")</f>
        <v/>
      </c>
      <c r="BC753" s="44" t="str">
        <f>IF(AND(C753=Master!$H$7,B753="2012-2013",E753&gt;1000,G753="NPN05"),H753,"")</f>
        <v/>
      </c>
      <c r="BD753" s="44" t="str">
        <f>IF(AND(C753=Master!$H$7,B753="2012-2013",E753="",G753="NPN05"),H753,"")</f>
        <v/>
      </c>
      <c r="BE753" s="44" t="str">
        <f>IF(AND(C753=Master!$H$8,B753="2012-2013",E753&gt;1000,G753="NPN05"),H753,"")</f>
        <v/>
      </c>
      <c r="BF753" s="44" t="str">
        <f>IF(AND(C753=Master!$H$8,B753="2012-2013",E753="",G753="NPN05"),H753,"")</f>
        <v/>
      </c>
      <c r="BG753" s="44" t="str">
        <f>IF(AND(C753=Master!$H$9,B753="2012-2013",E753&gt;1000,G753="NPN05"),H753,"")</f>
        <v/>
      </c>
      <c r="BH753" s="44" t="str">
        <f>IF(AND(C753=Master!$H$9,B753="2012-2013",E753="",G753="NPN05"),H753,"")</f>
        <v/>
      </c>
    </row>
    <row r="754" spans="1:60" x14ac:dyDescent="0.25">
      <c r="A754" s="3">
        <v>752</v>
      </c>
      <c r="B754" s="12"/>
      <c r="C754" s="12"/>
      <c r="D754" s="31"/>
      <c r="E754" s="4"/>
      <c r="F754" s="13"/>
      <c r="G754" s="21"/>
      <c r="H754" s="35"/>
      <c r="I754" s="21"/>
      <c r="J754" s="25" t="str">
        <f>IF(NOT(I754=""),INDEX(Master!$B$1:$B$46,MATCH(I754,Master!$A$1:$A$46,0)),"")</f>
        <v/>
      </c>
      <c r="K754" s="18"/>
      <c r="L754" s="86"/>
      <c r="M754" s="13"/>
      <c r="N754" s="13"/>
      <c r="O754" s="18"/>
      <c r="P754" s="35"/>
      <c r="Q754" s="21"/>
      <c r="R754" s="21"/>
      <c r="S754" s="13"/>
      <c r="T754" s="12"/>
      <c r="U754" s="12"/>
      <c r="V754" s="12"/>
      <c r="W754" s="14"/>
      <c r="Y754" s="42" t="str">
        <f>IF(AND(C754=Master!$H$1,B754="2012-2013",E754&gt;1000,G754="PLN03"),H754,"")</f>
        <v/>
      </c>
      <c r="Z754" s="42" t="str">
        <f>IF(AND(C754=Master!$H$1,B754="2012-2013",E754="",G754="PLN03"),H754,"")</f>
        <v/>
      </c>
      <c r="AA754" s="42" t="str">
        <f>IF(AND(C754=Master!$H$2,B754="2012-2013",E754&gt;1000,G754="PLN03"),H754,"")</f>
        <v/>
      </c>
      <c r="AB754" s="42" t="str">
        <f>IF(AND(C754=Master!$H$2,B754="2012-2013",E754="",G754="PLN03"),H754,"")</f>
        <v/>
      </c>
      <c r="AC754" s="42" t="str">
        <f>IF(AND(C754=Master!$H$3,B754="2012-2013",E754&gt;1000,G754="PLN03"),H754,"")</f>
        <v/>
      </c>
      <c r="AD754" s="42" t="str">
        <f>IF(AND(C754=Master!$H$3,B754="2012-2013",E754="",G754="PLN03"),H754,"")</f>
        <v/>
      </c>
      <c r="AE754" s="42" t="str">
        <f>IF(AND(C754=Master!$H$4,B754="2012-2013",E754&gt;1000,G754="PLN03"),H754,"")</f>
        <v/>
      </c>
      <c r="AF754" s="42" t="str">
        <f>IF(AND(C754=Master!$H$4,B754="2012-2013",E754="",G754="PLN03"),H754,"")</f>
        <v/>
      </c>
      <c r="AG754" s="42" t="str">
        <f>IF(AND(C754=Master!$H$5,B754="2012-2013",E754&gt;1000,G754="PLN03"),H754,"")</f>
        <v/>
      </c>
      <c r="AH754" s="42" t="str">
        <f>IF(AND(C754=Master!$H$5,B754="2012-2013",E754="",G754="PLN03"),H754,"")</f>
        <v/>
      </c>
      <c r="AI754" s="42" t="str">
        <f>IF(AND(C754=Master!$H$6,B754="2012-2013",E754&gt;1000,G754="PLN03"),H754,"")</f>
        <v/>
      </c>
      <c r="AJ754" s="42" t="str">
        <f>IF(AND(C754=Master!$H$6,B754="2012-2013",E754="",G754="PLN03"),H754,"")</f>
        <v/>
      </c>
      <c r="AK754" s="42" t="str">
        <f>IF(AND(C754=Master!$H$7,B754="2012-2013",E754&gt;1000,G754="PLN03"),H754,"")</f>
        <v/>
      </c>
      <c r="AL754" s="42" t="str">
        <f>IF(AND(C754=Master!$H$7,B754="2012-2013",E754="",G754="PLN03"),H754,"")</f>
        <v/>
      </c>
      <c r="AM754" s="42" t="str">
        <f>IF(AND(C754=Master!$H$8,B754="2012-2013",E754&gt;1000,G754="PLN03"),H754,"")</f>
        <v/>
      </c>
      <c r="AN754" s="42" t="str">
        <f>IF(AND(C754=Master!$H$8,B754="2012-2013",E754="",G754="PLN03"),H754,"")</f>
        <v/>
      </c>
      <c r="AO754" s="42" t="str">
        <f>IF(AND(C754=Master!$H$9,B754="2012-2013",E754&gt;1000,G754="PLN03"),H754,"")</f>
        <v/>
      </c>
      <c r="AP754" s="42" t="str">
        <f>IF(AND(C754=Master!$H$9,B754="2012-2013",E754="",G754="PLN03"),H754,"")</f>
        <v/>
      </c>
      <c r="AQ754" s="44" t="str">
        <f>IF(AND(C754=Master!$H$1,B754="2012-2013",E754&gt;1000,G754="NPN05"),H754,"")</f>
        <v/>
      </c>
      <c r="AR754" s="44" t="str">
        <f>IF(AND(C754=Master!$H$1,B754="2012-2013",E754="",G754="NPN05"),H754,"")</f>
        <v/>
      </c>
      <c r="AS754" s="44" t="str">
        <f>IF(AND(C754=Master!$H$2,B754="2012-2013",E754&gt;1000,G754="NPN05"),H754,"")</f>
        <v/>
      </c>
      <c r="AT754" s="44" t="str">
        <f>IF(AND(C754=Master!$H$2,B754="2012-2013",E754="",G754="NPN05"),H754,"")</f>
        <v/>
      </c>
      <c r="AU754" s="44" t="str">
        <f>IF(AND(C754=Master!$H$3,B754="2012-2013",E754&gt;1000,G754="NPN05"),H754,"")</f>
        <v/>
      </c>
      <c r="AV754" s="44" t="str">
        <f>IF(AND(C754=Master!$H$3,B754="2012-2013",E754="",G754="NPN05"),H754,"")</f>
        <v/>
      </c>
      <c r="AW754" s="44" t="str">
        <f>IF(AND(C754=Master!$H$4,B754="2012-2013",E754&gt;1000,G754="NPN05"),H754,"")</f>
        <v/>
      </c>
      <c r="AX754" s="44" t="str">
        <f>IF(AND(C754=Master!$H$4,B754="2012-2013",E754="",G754="NPN05"),H754,"")</f>
        <v/>
      </c>
      <c r="AY754" s="44" t="str">
        <f>IF(AND(C754=Master!$H$5,B754="2012-2013",E754&gt;1000,G754="NPN05"),H754,"")</f>
        <v/>
      </c>
      <c r="AZ754" s="44" t="str">
        <f>IF(AND(C754=Master!$H$5,B754="2012-2013",E754="",G754="NPN05"),H754,"")</f>
        <v/>
      </c>
      <c r="BA754" s="44" t="str">
        <f>IF(AND(C754=Master!$H$6,B754="2012-2013",E754&gt;1000,G754="NPN05"),H754,"")</f>
        <v/>
      </c>
      <c r="BB754" s="44" t="str">
        <f>IF(AND(C754=Master!$H$6,B754="2012-2013",E754="",G754="NPN05"),H754,"")</f>
        <v/>
      </c>
      <c r="BC754" s="44" t="str">
        <f>IF(AND(C754=Master!$H$7,B754="2012-2013",E754&gt;1000,G754="NPN05"),H754,"")</f>
        <v/>
      </c>
      <c r="BD754" s="44" t="str">
        <f>IF(AND(C754=Master!$H$7,B754="2012-2013",E754="",G754="NPN05"),H754,"")</f>
        <v/>
      </c>
      <c r="BE754" s="44" t="str">
        <f>IF(AND(C754=Master!$H$8,B754="2012-2013",E754&gt;1000,G754="NPN05"),H754,"")</f>
        <v/>
      </c>
      <c r="BF754" s="44" t="str">
        <f>IF(AND(C754=Master!$H$8,B754="2012-2013",E754="",G754="NPN05"),H754,"")</f>
        <v/>
      </c>
      <c r="BG754" s="44" t="str">
        <f>IF(AND(C754=Master!$H$9,B754="2012-2013",E754&gt;1000,G754="NPN05"),H754,"")</f>
        <v/>
      </c>
      <c r="BH754" s="44" t="str">
        <f>IF(AND(C754=Master!$H$9,B754="2012-2013",E754="",G754="NPN05"),H754,"")</f>
        <v/>
      </c>
    </row>
    <row r="755" spans="1:60" x14ac:dyDescent="0.25">
      <c r="A755" s="3">
        <v>753</v>
      </c>
      <c r="B755" s="12"/>
      <c r="C755" s="12"/>
      <c r="D755" s="31"/>
      <c r="E755" s="4"/>
      <c r="F755" s="13"/>
      <c r="G755" s="21"/>
      <c r="H755" s="35"/>
      <c r="I755" s="21"/>
      <c r="J755" s="25" t="str">
        <f>IF(NOT(I755=""),INDEX(Master!$B$1:$B$46,MATCH(I755,Master!$A$1:$A$46,0)),"")</f>
        <v/>
      </c>
      <c r="K755" s="18"/>
      <c r="L755" s="86"/>
      <c r="M755" s="13"/>
      <c r="N755" s="13"/>
      <c r="O755" s="18"/>
      <c r="P755" s="35"/>
      <c r="Q755" s="21"/>
      <c r="R755" s="21"/>
      <c r="S755" s="13"/>
      <c r="T755" s="12"/>
      <c r="U755" s="12"/>
      <c r="V755" s="12"/>
      <c r="W755" s="14"/>
      <c r="Y755" s="42" t="str">
        <f>IF(AND(C755=Master!$H$1,B755="2012-2013",E755&gt;1000,G755="PLN03"),H755,"")</f>
        <v/>
      </c>
      <c r="Z755" s="42" t="str">
        <f>IF(AND(C755=Master!$H$1,B755="2012-2013",E755="",G755="PLN03"),H755,"")</f>
        <v/>
      </c>
      <c r="AA755" s="42" t="str">
        <f>IF(AND(C755=Master!$H$2,B755="2012-2013",E755&gt;1000,G755="PLN03"),H755,"")</f>
        <v/>
      </c>
      <c r="AB755" s="42" t="str">
        <f>IF(AND(C755=Master!$H$2,B755="2012-2013",E755="",G755="PLN03"),H755,"")</f>
        <v/>
      </c>
      <c r="AC755" s="42" t="str">
        <f>IF(AND(C755=Master!$H$3,B755="2012-2013",E755&gt;1000,G755="PLN03"),H755,"")</f>
        <v/>
      </c>
      <c r="AD755" s="42" t="str">
        <f>IF(AND(C755=Master!$H$3,B755="2012-2013",E755="",G755="PLN03"),H755,"")</f>
        <v/>
      </c>
      <c r="AE755" s="42" t="str">
        <f>IF(AND(C755=Master!$H$4,B755="2012-2013",E755&gt;1000,G755="PLN03"),H755,"")</f>
        <v/>
      </c>
      <c r="AF755" s="42" t="str">
        <f>IF(AND(C755=Master!$H$4,B755="2012-2013",E755="",G755="PLN03"),H755,"")</f>
        <v/>
      </c>
      <c r="AG755" s="42" t="str">
        <f>IF(AND(C755=Master!$H$5,B755="2012-2013",E755&gt;1000,G755="PLN03"),H755,"")</f>
        <v/>
      </c>
      <c r="AH755" s="42" t="str">
        <f>IF(AND(C755=Master!$H$5,B755="2012-2013",E755="",G755="PLN03"),H755,"")</f>
        <v/>
      </c>
      <c r="AI755" s="42" t="str">
        <f>IF(AND(C755=Master!$H$6,B755="2012-2013",E755&gt;1000,G755="PLN03"),H755,"")</f>
        <v/>
      </c>
      <c r="AJ755" s="42" t="str">
        <f>IF(AND(C755=Master!$H$6,B755="2012-2013",E755="",G755="PLN03"),H755,"")</f>
        <v/>
      </c>
      <c r="AK755" s="42" t="str">
        <f>IF(AND(C755=Master!$H$7,B755="2012-2013",E755&gt;1000,G755="PLN03"),H755,"")</f>
        <v/>
      </c>
      <c r="AL755" s="42" t="str">
        <f>IF(AND(C755=Master!$H$7,B755="2012-2013",E755="",G755="PLN03"),H755,"")</f>
        <v/>
      </c>
      <c r="AM755" s="42" t="str">
        <f>IF(AND(C755=Master!$H$8,B755="2012-2013",E755&gt;1000,G755="PLN03"),H755,"")</f>
        <v/>
      </c>
      <c r="AN755" s="42" t="str">
        <f>IF(AND(C755=Master!$H$8,B755="2012-2013",E755="",G755="PLN03"),H755,"")</f>
        <v/>
      </c>
      <c r="AO755" s="42" t="str">
        <f>IF(AND(C755=Master!$H$9,B755="2012-2013",E755&gt;1000,G755="PLN03"),H755,"")</f>
        <v/>
      </c>
      <c r="AP755" s="42" t="str">
        <f>IF(AND(C755=Master!$H$9,B755="2012-2013",E755="",G755="PLN03"),H755,"")</f>
        <v/>
      </c>
      <c r="AQ755" s="44" t="str">
        <f>IF(AND(C755=Master!$H$1,B755="2012-2013",E755&gt;1000,G755="NPN05"),H755,"")</f>
        <v/>
      </c>
      <c r="AR755" s="44" t="str">
        <f>IF(AND(C755=Master!$H$1,B755="2012-2013",E755="",G755="NPN05"),H755,"")</f>
        <v/>
      </c>
      <c r="AS755" s="44" t="str">
        <f>IF(AND(C755=Master!$H$2,B755="2012-2013",E755&gt;1000,G755="NPN05"),H755,"")</f>
        <v/>
      </c>
      <c r="AT755" s="44" t="str">
        <f>IF(AND(C755=Master!$H$2,B755="2012-2013",E755="",G755="NPN05"),H755,"")</f>
        <v/>
      </c>
      <c r="AU755" s="44" t="str">
        <f>IF(AND(C755=Master!$H$3,B755="2012-2013",E755&gt;1000,G755="NPN05"),H755,"")</f>
        <v/>
      </c>
      <c r="AV755" s="44" t="str">
        <f>IF(AND(C755=Master!$H$3,B755="2012-2013",E755="",G755="NPN05"),H755,"")</f>
        <v/>
      </c>
      <c r="AW755" s="44" t="str">
        <f>IF(AND(C755=Master!$H$4,B755="2012-2013",E755&gt;1000,G755="NPN05"),H755,"")</f>
        <v/>
      </c>
      <c r="AX755" s="44" t="str">
        <f>IF(AND(C755=Master!$H$4,B755="2012-2013",E755="",G755="NPN05"),H755,"")</f>
        <v/>
      </c>
      <c r="AY755" s="44" t="str">
        <f>IF(AND(C755=Master!$H$5,B755="2012-2013",E755&gt;1000,G755="NPN05"),H755,"")</f>
        <v/>
      </c>
      <c r="AZ755" s="44" t="str">
        <f>IF(AND(C755=Master!$H$5,B755="2012-2013",E755="",G755="NPN05"),H755,"")</f>
        <v/>
      </c>
      <c r="BA755" s="44" t="str">
        <f>IF(AND(C755=Master!$H$6,B755="2012-2013",E755&gt;1000,G755="NPN05"),H755,"")</f>
        <v/>
      </c>
      <c r="BB755" s="44" t="str">
        <f>IF(AND(C755=Master!$H$6,B755="2012-2013",E755="",G755="NPN05"),H755,"")</f>
        <v/>
      </c>
      <c r="BC755" s="44" t="str">
        <f>IF(AND(C755=Master!$H$7,B755="2012-2013",E755&gt;1000,G755="NPN05"),H755,"")</f>
        <v/>
      </c>
      <c r="BD755" s="44" t="str">
        <f>IF(AND(C755=Master!$H$7,B755="2012-2013",E755="",G755="NPN05"),H755,"")</f>
        <v/>
      </c>
      <c r="BE755" s="44" t="str">
        <f>IF(AND(C755=Master!$H$8,B755="2012-2013",E755&gt;1000,G755="NPN05"),H755,"")</f>
        <v/>
      </c>
      <c r="BF755" s="44" t="str">
        <f>IF(AND(C755=Master!$H$8,B755="2012-2013",E755="",G755="NPN05"),H755,"")</f>
        <v/>
      </c>
      <c r="BG755" s="44" t="str">
        <f>IF(AND(C755=Master!$H$9,B755="2012-2013",E755&gt;1000,G755="NPN05"),H755,"")</f>
        <v/>
      </c>
      <c r="BH755" s="44" t="str">
        <f>IF(AND(C755=Master!$H$9,B755="2012-2013",E755="",G755="NPN05"),H755,"")</f>
        <v/>
      </c>
    </row>
    <row r="756" spans="1:60" x14ac:dyDescent="0.25">
      <c r="A756" s="3">
        <v>754</v>
      </c>
      <c r="B756" s="12"/>
      <c r="C756" s="12"/>
      <c r="D756" s="31"/>
      <c r="E756" s="4"/>
      <c r="F756" s="13"/>
      <c r="G756" s="21"/>
      <c r="H756" s="35"/>
      <c r="I756" s="21"/>
      <c r="J756" s="25" t="str">
        <f>IF(NOT(I756=""),INDEX(Master!$B$1:$B$46,MATCH(I756,Master!$A$1:$A$46,0)),"")</f>
        <v/>
      </c>
      <c r="K756" s="18"/>
      <c r="L756" s="86"/>
      <c r="M756" s="13"/>
      <c r="N756" s="13"/>
      <c r="O756" s="18"/>
      <c r="P756" s="35"/>
      <c r="Q756" s="21"/>
      <c r="R756" s="21"/>
      <c r="S756" s="13"/>
      <c r="T756" s="12"/>
      <c r="U756" s="12"/>
      <c r="V756" s="12"/>
      <c r="W756" s="14"/>
      <c r="Y756" s="42" t="str">
        <f>IF(AND(C756=Master!$H$1,B756="2012-2013",E756&gt;1000,G756="PLN03"),H756,"")</f>
        <v/>
      </c>
      <c r="Z756" s="42" t="str">
        <f>IF(AND(C756=Master!$H$1,B756="2012-2013",E756="",G756="PLN03"),H756,"")</f>
        <v/>
      </c>
      <c r="AA756" s="42" t="str">
        <f>IF(AND(C756=Master!$H$2,B756="2012-2013",E756&gt;1000,G756="PLN03"),H756,"")</f>
        <v/>
      </c>
      <c r="AB756" s="42" t="str">
        <f>IF(AND(C756=Master!$H$2,B756="2012-2013",E756="",G756="PLN03"),H756,"")</f>
        <v/>
      </c>
      <c r="AC756" s="42" t="str">
        <f>IF(AND(C756=Master!$H$3,B756="2012-2013",E756&gt;1000,G756="PLN03"),H756,"")</f>
        <v/>
      </c>
      <c r="AD756" s="42" t="str">
        <f>IF(AND(C756=Master!$H$3,B756="2012-2013",E756="",G756="PLN03"),H756,"")</f>
        <v/>
      </c>
      <c r="AE756" s="42" t="str">
        <f>IF(AND(C756=Master!$H$4,B756="2012-2013",E756&gt;1000,G756="PLN03"),H756,"")</f>
        <v/>
      </c>
      <c r="AF756" s="42" t="str">
        <f>IF(AND(C756=Master!$H$4,B756="2012-2013",E756="",G756="PLN03"),H756,"")</f>
        <v/>
      </c>
      <c r="AG756" s="42" t="str">
        <f>IF(AND(C756=Master!$H$5,B756="2012-2013",E756&gt;1000,G756="PLN03"),H756,"")</f>
        <v/>
      </c>
      <c r="AH756" s="42" t="str">
        <f>IF(AND(C756=Master!$H$5,B756="2012-2013",E756="",G756="PLN03"),H756,"")</f>
        <v/>
      </c>
      <c r="AI756" s="42" t="str">
        <f>IF(AND(C756=Master!$H$6,B756="2012-2013",E756&gt;1000,G756="PLN03"),H756,"")</f>
        <v/>
      </c>
      <c r="AJ756" s="42" t="str">
        <f>IF(AND(C756=Master!$H$6,B756="2012-2013",E756="",G756="PLN03"),H756,"")</f>
        <v/>
      </c>
      <c r="AK756" s="42" t="str">
        <f>IF(AND(C756=Master!$H$7,B756="2012-2013",E756&gt;1000,G756="PLN03"),H756,"")</f>
        <v/>
      </c>
      <c r="AL756" s="42" t="str">
        <f>IF(AND(C756=Master!$H$7,B756="2012-2013",E756="",G756="PLN03"),H756,"")</f>
        <v/>
      </c>
      <c r="AM756" s="42" t="str">
        <f>IF(AND(C756=Master!$H$8,B756="2012-2013",E756&gt;1000,G756="PLN03"),H756,"")</f>
        <v/>
      </c>
      <c r="AN756" s="42" t="str">
        <f>IF(AND(C756=Master!$H$8,B756="2012-2013",E756="",G756="PLN03"),H756,"")</f>
        <v/>
      </c>
      <c r="AO756" s="42" t="str">
        <f>IF(AND(C756=Master!$H$9,B756="2012-2013",E756&gt;1000,G756="PLN03"),H756,"")</f>
        <v/>
      </c>
      <c r="AP756" s="42" t="str">
        <f>IF(AND(C756=Master!$H$9,B756="2012-2013",E756="",G756="PLN03"),H756,"")</f>
        <v/>
      </c>
      <c r="AQ756" s="44" t="str">
        <f>IF(AND(C756=Master!$H$1,B756="2012-2013",E756&gt;1000,G756="NPN05"),H756,"")</f>
        <v/>
      </c>
      <c r="AR756" s="44" t="str">
        <f>IF(AND(C756=Master!$H$1,B756="2012-2013",E756="",G756="NPN05"),H756,"")</f>
        <v/>
      </c>
      <c r="AS756" s="44" t="str">
        <f>IF(AND(C756=Master!$H$2,B756="2012-2013",E756&gt;1000,G756="NPN05"),H756,"")</f>
        <v/>
      </c>
      <c r="AT756" s="44" t="str">
        <f>IF(AND(C756=Master!$H$2,B756="2012-2013",E756="",G756="NPN05"),H756,"")</f>
        <v/>
      </c>
      <c r="AU756" s="44" t="str">
        <f>IF(AND(C756=Master!$H$3,B756="2012-2013",E756&gt;1000,G756="NPN05"),H756,"")</f>
        <v/>
      </c>
      <c r="AV756" s="44" t="str">
        <f>IF(AND(C756=Master!$H$3,B756="2012-2013",E756="",G756="NPN05"),H756,"")</f>
        <v/>
      </c>
      <c r="AW756" s="44" t="str">
        <f>IF(AND(C756=Master!$H$4,B756="2012-2013",E756&gt;1000,G756="NPN05"),H756,"")</f>
        <v/>
      </c>
      <c r="AX756" s="44" t="str">
        <f>IF(AND(C756=Master!$H$4,B756="2012-2013",E756="",G756="NPN05"),H756,"")</f>
        <v/>
      </c>
      <c r="AY756" s="44" t="str">
        <f>IF(AND(C756=Master!$H$5,B756="2012-2013",E756&gt;1000,G756="NPN05"),H756,"")</f>
        <v/>
      </c>
      <c r="AZ756" s="44" t="str">
        <f>IF(AND(C756=Master!$H$5,B756="2012-2013",E756="",G756="NPN05"),H756,"")</f>
        <v/>
      </c>
      <c r="BA756" s="44" t="str">
        <f>IF(AND(C756=Master!$H$6,B756="2012-2013",E756&gt;1000,G756="NPN05"),H756,"")</f>
        <v/>
      </c>
      <c r="BB756" s="44" t="str">
        <f>IF(AND(C756=Master!$H$6,B756="2012-2013",E756="",G756="NPN05"),H756,"")</f>
        <v/>
      </c>
      <c r="BC756" s="44" t="str">
        <f>IF(AND(C756=Master!$H$7,B756="2012-2013",E756&gt;1000,G756="NPN05"),H756,"")</f>
        <v/>
      </c>
      <c r="BD756" s="44" t="str">
        <f>IF(AND(C756=Master!$H$7,B756="2012-2013",E756="",G756="NPN05"),H756,"")</f>
        <v/>
      </c>
      <c r="BE756" s="44" t="str">
        <f>IF(AND(C756=Master!$H$8,B756="2012-2013",E756&gt;1000,G756="NPN05"),H756,"")</f>
        <v/>
      </c>
      <c r="BF756" s="44" t="str">
        <f>IF(AND(C756=Master!$H$8,B756="2012-2013",E756="",G756="NPN05"),H756,"")</f>
        <v/>
      </c>
      <c r="BG756" s="44" t="str">
        <f>IF(AND(C756=Master!$H$9,B756="2012-2013",E756&gt;1000,G756="NPN05"),H756,"")</f>
        <v/>
      </c>
      <c r="BH756" s="44" t="str">
        <f>IF(AND(C756=Master!$H$9,B756="2012-2013",E756="",G756="NPN05"),H756,"")</f>
        <v/>
      </c>
    </row>
    <row r="757" spans="1:60" x14ac:dyDescent="0.25">
      <c r="A757" s="3">
        <v>755</v>
      </c>
      <c r="B757" s="12"/>
      <c r="C757" s="12"/>
      <c r="D757" s="31"/>
      <c r="E757" s="4"/>
      <c r="F757" s="13"/>
      <c r="G757" s="21"/>
      <c r="H757" s="35"/>
      <c r="I757" s="21"/>
      <c r="J757" s="25" t="str">
        <f>IF(NOT(I757=""),INDEX(Master!$B$1:$B$46,MATCH(I757,Master!$A$1:$A$46,0)),"")</f>
        <v/>
      </c>
      <c r="K757" s="18"/>
      <c r="L757" s="86"/>
      <c r="M757" s="13"/>
      <c r="N757" s="13"/>
      <c r="O757" s="18"/>
      <c r="P757" s="35"/>
      <c r="Q757" s="21"/>
      <c r="R757" s="21"/>
      <c r="S757" s="13"/>
      <c r="T757" s="12"/>
      <c r="U757" s="12"/>
      <c r="V757" s="12"/>
      <c r="W757" s="14"/>
      <c r="Y757" s="42" t="str">
        <f>IF(AND(C757=Master!$H$1,B757="2012-2013",E757&gt;1000,G757="PLN03"),H757,"")</f>
        <v/>
      </c>
      <c r="Z757" s="42" t="str">
        <f>IF(AND(C757=Master!$H$1,B757="2012-2013",E757="",G757="PLN03"),H757,"")</f>
        <v/>
      </c>
      <c r="AA757" s="42" t="str">
        <f>IF(AND(C757=Master!$H$2,B757="2012-2013",E757&gt;1000,G757="PLN03"),H757,"")</f>
        <v/>
      </c>
      <c r="AB757" s="42" t="str">
        <f>IF(AND(C757=Master!$H$2,B757="2012-2013",E757="",G757="PLN03"),H757,"")</f>
        <v/>
      </c>
      <c r="AC757" s="42" t="str">
        <f>IF(AND(C757=Master!$H$3,B757="2012-2013",E757&gt;1000,G757="PLN03"),H757,"")</f>
        <v/>
      </c>
      <c r="AD757" s="42" t="str">
        <f>IF(AND(C757=Master!$H$3,B757="2012-2013",E757="",G757="PLN03"),H757,"")</f>
        <v/>
      </c>
      <c r="AE757" s="42" t="str">
        <f>IF(AND(C757=Master!$H$4,B757="2012-2013",E757&gt;1000,G757="PLN03"),H757,"")</f>
        <v/>
      </c>
      <c r="AF757" s="42" t="str">
        <f>IF(AND(C757=Master!$H$4,B757="2012-2013",E757="",G757="PLN03"),H757,"")</f>
        <v/>
      </c>
      <c r="AG757" s="42" t="str">
        <f>IF(AND(C757=Master!$H$5,B757="2012-2013",E757&gt;1000,G757="PLN03"),H757,"")</f>
        <v/>
      </c>
      <c r="AH757" s="42" t="str">
        <f>IF(AND(C757=Master!$H$5,B757="2012-2013",E757="",G757="PLN03"),H757,"")</f>
        <v/>
      </c>
      <c r="AI757" s="42" t="str">
        <f>IF(AND(C757=Master!$H$6,B757="2012-2013",E757&gt;1000,G757="PLN03"),H757,"")</f>
        <v/>
      </c>
      <c r="AJ757" s="42" t="str">
        <f>IF(AND(C757=Master!$H$6,B757="2012-2013",E757="",G757="PLN03"),H757,"")</f>
        <v/>
      </c>
      <c r="AK757" s="42" t="str">
        <f>IF(AND(C757=Master!$H$7,B757="2012-2013",E757&gt;1000,G757="PLN03"),H757,"")</f>
        <v/>
      </c>
      <c r="AL757" s="42" t="str">
        <f>IF(AND(C757=Master!$H$7,B757="2012-2013",E757="",G757="PLN03"),H757,"")</f>
        <v/>
      </c>
      <c r="AM757" s="42" t="str">
        <f>IF(AND(C757=Master!$H$8,B757="2012-2013",E757&gt;1000,G757="PLN03"),H757,"")</f>
        <v/>
      </c>
      <c r="AN757" s="42" t="str">
        <f>IF(AND(C757=Master!$H$8,B757="2012-2013",E757="",G757="PLN03"),H757,"")</f>
        <v/>
      </c>
      <c r="AO757" s="42" t="str">
        <f>IF(AND(C757=Master!$H$9,B757="2012-2013",E757&gt;1000,G757="PLN03"),H757,"")</f>
        <v/>
      </c>
      <c r="AP757" s="42" t="str">
        <f>IF(AND(C757=Master!$H$9,B757="2012-2013",E757="",G757="PLN03"),H757,"")</f>
        <v/>
      </c>
      <c r="AQ757" s="44" t="str">
        <f>IF(AND(C757=Master!$H$1,B757="2012-2013",E757&gt;1000,G757="NPN05"),H757,"")</f>
        <v/>
      </c>
      <c r="AR757" s="44" t="str">
        <f>IF(AND(C757=Master!$H$1,B757="2012-2013",E757="",G757="NPN05"),H757,"")</f>
        <v/>
      </c>
      <c r="AS757" s="44" t="str">
        <f>IF(AND(C757=Master!$H$2,B757="2012-2013",E757&gt;1000,G757="NPN05"),H757,"")</f>
        <v/>
      </c>
      <c r="AT757" s="44" t="str">
        <f>IF(AND(C757=Master!$H$2,B757="2012-2013",E757="",G757="NPN05"),H757,"")</f>
        <v/>
      </c>
      <c r="AU757" s="44" t="str">
        <f>IF(AND(C757=Master!$H$3,B757="2012-2013",E757&gt;1000,G757="NPN05"),H757,"")</f>
        <v/>
      </c>
      <c r="AV757" s="44" t="str">
        <f>IF(AND(C757=Master!$H$3,B757="2012-2013",E757="",G757="NPN05"),H757,"")</f>
        <v/>
      </c>
      <c r="AW757" s="44" t="str">
        <f>IF(AND(C757=Master!$H$4,B757="2012-2013",E757&gt;1000,G757="NPN05"),H757,"")</f>
        <v/>
      </c>
      <c r="AX757" s="44" t="str">
        <f>IF(AND(C757=Master!$H$4,B757="2012-2013",E757="",G757="NPN05"),H757,"")</f>
        <v/>
      </c>
      <c r="AY757" s="44" t="str">
        <f>IF(AND(C757=Master!$H$5,B757="2012-2013",E757&gt;1000,G757="NPN05"),H757,"")</f>
        <v/>
      </c>
      <c r="AZ757" s="44" t="str">
        <f>IF(AND(C757=Master!$H$5,B757="2012-2013",E757="",G757="NPN05"),H757,"")</f>
        <v/>
      </c>
      <c r="BA757" s="44" t="str">
        <f>IF(AND(C757=Master!$H$6,B757="2012-2013",E757&gt;1000,G757="NPN05"),H757,"")</f>
        <v/>
      </c>
      <c r="BB757" s="44" t="str">
        <f>IF(AND(C757=Master!$H$6,B757="2012-2013",E757="",G757="NPN05"),H757,"")</f>
        <v/>
      </c>
      <c r="BC757" s="44" t="str">
        <f>IF(AND(C757=Master!$H$7,B757="2012-2013",E757&gt;1000,G757="NPN05"),H757,"")</f>
        <v/>
      </c>
      <c r="BD757" s="44" t="str">
        <f>IF(AND(C757=Master!$H$7,B757="2012-2013",E757="",G757="NPN05"),H757,"")</f>
        <v/>
      </c>
      <c r="BE757" s="44" t="str">
        <f>IF(AND(C757=Master!$H$8,B757="2012-2013",E757&gt;1000,G757="NPN05"),H757,"")</f>
        <v/>
      </c>
      <c r="BF757" s="44" t="str">
        <f>IF(AND(C757=Master!$H$8,B757="2012-2013",E757="",G757="NPN05"),H757,"")</f>
        <v/>
      </c>
      <c r="BG757" s="44" t="str">
        <f>IF(AND(C757=Master!$H$9,B757="2012-2013",E757&gt;1000,G757="NPN05"),H757,"")</f>
        <v/>
      </c>
      <c r="BH757" s="44" t="str">
        <f>IF(AND(C757=Master!$H$9,B757="2012-2013",E757="",G757="NPN05"),H757,"")</f>
        <v/>
      </c>
    </row>
    <row r="758" spans="1:60" x14ac:dyDescent="0.25">
      <c r="A758" s="3">
        <v>756</v>
      </c>
      <c r="B758" s="12"/>
      <c r="C758" s="12"/>
      <c r="D758" s="31"/>
      <c r="E758" s="4"/>
      <c r="F758" s="13"/>
      <c r="G758" s="21"/>
      <c r="H758" s="35"/>
      <c r="I758" s="21"/>
      <c r="J758" s="25" t="str">
        <f>IF(NOT(I758=""),INDEX(Master!$B$1:$B$46,MATCH(I758,Master!$A$1:$A$46,0)),"")</f>
        <v/>
      </c>
      <c r="K758" s="18"/>
      <c r="L758" s="86"/>
      <c r="M758" s="13"/>
      <c r="N758" s="13"/>
      <c r="O758" s="18"/>
      <c r="P758" s="35"/>
      <c r="Q758" s="21"/>
      <c r="R758" s="21"/>
      <c r="S758" s="13"/>
      <c r="T758" s="12"/>
      <c r="U758" s="12"/>
      <c r="V758" s="12"/>
      <c r="W758" s="14"/>
      <c r="Y758" s="42" t="str">
        <f>IF(AND(C758=Master!$H$1,B758="2012-2013",E758&gt;1000,G758="PLN03"),H758,"")</f>
        <v/>
      </c>
      <c r="Z758" s="42" t="str">
        <f>IF(AND(C758=Master!$H$1,B758="2012-2013",E758="",G758="PLN03"),H758,"")</f>
        <v/>
      </c>
      <c r="AA758" s="42" t="str">
        <f>IF(AND(C758=Master!$H$2,B758="2012-2013",E758&gt;1000,G758="PLN03"),H758,"")</f>
        <v/>
      </c>
      <c r="AB758" s="42" t="str">
        <f>IF(AND(C758=Master!$H$2,B758="2012-2013",E758="",G758="PLN03"),H758,"")</f>
        <v/>
      </c>
      <c r="AC758" s="42" t="str">
        <f>IF(AND(C758=Master!$H$3,B758="2012-2013",E758&gt;1000,G758="PLN03"),H758,"")</f>
        <v/>
      </c>
      <c r="AD758" s="42" t="str">
        <f>IF(AND(C758=Master!$H$3,B758="2012-2013",E758="",G758="PLN03"),H758,"")</f>
        <v/>
      </c>
      <c r="AE758" s="42" t="str">
        <f>IF(AND(C758=Master!$H$4,B758="2012-2013",E758&gt;1000,G758="PLN03"),H758,"")</f>
        <v/>
      </c>
      <c r="AF758" s="42" t="str">
        <f>IF(AND(C758=Master!$H$4,B758="2012-2013",E758="",G758="PLN03"),H758,"")</f>
        <v/>
      </c>
      <c r="AG758" s="42" t="str">
        <f>IF(AND(C758=Master!$H$5,B758="2012-2013",E758&gt;1000,G758="PLN03"),H758,"")</f>
        <v/>
      </c>
      <c r="AH758" s="42" t="str">
        <f>IF(AND(C758=Master!$H$5,B758="2012-2013",E758="",G758="PLN03"),H758,"")</f>
        <v/>
      </c>
      <c r="AI758" s="42" t="str">
        <f>IF(AND(C758=Master!$H$6,B758="2012-2013",E758&gt;1000,G758="PLN03"),H758,"")</f>
        <v/>
      </c>
      <c r="AJ758" s="42" t="str">
        <f>IF(AND(C758=Master!$H$6,B758="2012-2013",E758="",G758="PLN03"),H758,"")</f>
        <v/>
      </c>
      <c r="AK758" s="42" t="str">
        <f>IF(AND(C758=Master!$H$7,B758="2012-2013",E758&gt;1000,G758="PLN03"),H758,"")</f>
        <v/>
      </c>
      <c r="AL758" s="42" t="str">
        <f>IF(AND(C758=Master!$H$7,B758="2012-2013",E758="",G758="PLN03"),H758,"")</f>
        <v/>
      </c>
      <c r="AM758" s="42" t="str">
        <f>IF(AND(C758=Master!$H$8,B758="2012-2013",E758&gt;1000,G758="PLN03"),H758,"")</f>
        <v/>
      </c>
      <c r="AN758" s="42" t="str">
        <f>IF(AND(C758=Master!$H$8,B758="2012-2013",E758="",G758="PLN03"),H758,"")</f>
        <v/>
      </c>
      <c r="AO758" s="42" t="str">
        <f>IF(AND(C758=Master!$H$9,B758="2012-2013",E758&gt;1000,G758="PLN03"),H758,"")</f>
        <v/>
      </c>
      <c r="AP758" s="42" t="str">
        <f>IF(AND(C758=Master!$H$9,B758="2012-2013",E758="",G758="PLN03"),H758,"")</f>
        <v/>
      </c>
      <c r="AQ758" s="44" t="str">
        <f>IF(AND(C758=Master!$H$1,B758="2012-2013",E758&gt;1000,G758="NPN05"),H758,"")</f>
        <v/>
      </c>
      <c r="AR758" s="44" t="str">
        <f>IF(AND(C758=Master!$H$1,B758="2012-2013",E758="",G758="NPN05"),H758,"")</f>
        <v/>
      </c>
      <c r="AS758" s="44" t="str">
        <f>IF(AND(C758=Master!$H$2,B758="2012-2013",E758&gt;1000,G758="NPN05"),H758,"")</f>
        <v/>
      </c>
      <c r="AT758" s="44" t="str">
        <f>IF(AND(C758=Master!$H$2,B758="2012-2013",E758="",G758="NPN05"),H758,"")</f>
        <v/>
      </c>
      <c r="AU758" s="44" t="str">
        <f>IF(AND(C758=Master!$H$3,B758="2012-2013",E758&gt;1000,G758="NPN05"),H758,"")</f>
        <v/>
      </c>
      <c r="AV758" s="44" t="str">
        <f>IF(AND(C758=Master!$H$3,B758="2012-2013",E758="",G758="NPN05"),H758,"")</f>
        <v/>
      </c>
      <c r="AW758" s="44" t="str">
        <f>IF(AND(C758=Master!$H$4,B758="2012-2013",E758&gt;1000,G758="NPN05"),H758,"")</f>
        <v/>
      </c>
      <c r="AX758" s="44" t="str">
        <f>IF(AND(C758=Master!$H$4,B758="2012-2013",E758="",G758="NPN05"),H758,"")</f>
        <v/>
      </c>
      <c r="AY758" s="44" t="str">
        <f>IF(AND(C758=Master!$H$5,B758="2012-2013",E758&gt;1000,G758="NPN05"),H758,"")</f>
        <v/>
      </c>
      <c r="AZ758" s="44" t="str">
        <f>IF(AND(C758=Master!$H$5,B758="2012-2013",E758="",G758="NPN05"),H758,"")</f>
        <v/>
      </c>
      <c r="BA758" s="44" t="str">
        <f>IF(AND(C758=Master!$H$6,B758="2012-2013",E758&gt;1000,G758="NPN05"),H758,"")</f>
        <v/>
      </c>
      <c r="BB758" s="44" t="str">
        <f>IF(AND(C758=Master!$H$6,B758="2012-2013",E758="",G758="NPN05"),H758,"")</f>
        <v/>
      </c>
      <c r="BC758" s="44" t="str">
        <f>IF(AND(C758=Master!$H$7,B758="2012-2013",E758&gt;1000,G758="NPN05"),H758,"")</f>
        <v/>
      </c>
      <c r="BD758" s="44" t="str">
        <f>IF(AND(C758=Master!$H$7,B758="2012-2013",E758="",G758="NPN05"),H758,"")</f>
        <v/>
      </c>
      <c r="BE758" s="44" t="str">
        <f>IF(AND(C758=Master!$H$8,B758="2012-2013",E758&gt;1000,G758="NPN05"),H758,"")</f>
        <v/>
      </c>
      <c r="BF758" s="44" t="str">
        <f>IF(AND(C758=Master!$H$8,B758="2012-2013",E758="",G758="NPN05"),H758,"")</f>
        <v/>
      </c>
      <c r="BG758" s="44" t="str">
        <f>IF(AND(C758=Master!$H$9,B758="2012-2013",E758&gt;1000,G758="NPN05"),H758,"")</f>
        <v/>
      </c>
      <c r="BH758" s="44" t="str">
        <f>IF(AND(C758=Master!$H$9,B758="2012-2013",E758="",G758="NPN05"),H758,"")</f>
        <v/>
      </c>
    </row>
    <row r="759" spans="1:60" x14ac:dyDescent="0.25">
      <c r="A759" s="3">
        <v>757</v>
      </c>
      <c r="B759" s="12"/>
      <c r="C759" s="12"/>
      <c r="D759" s="31"/>
      <c r="E759" s="4"/>
      <c r="F759" s="13"/>
      <c r="G759" s="21"/>
      <c r="H759" s="35"/>
      <c r="I759" s="21"/>
      <c r="J759" s="25" t="str">
        <f>IF(NOT(I759=""),INDEX(Master!$B$1:$B$46,MATCH(I759,Master!$A$1:$A$46,0)),"")</f>
        <v/>
      </c>
      <c r="K759" s="18"/>
      <c r="L759" s="86"/>
      <c r="M759" s="13"/>
      <c r="N759" s="13"/>
      <c r="O759" s="18"/>
      <c r="P759" s="35"/>
      <c r="Q759" s="21"/>
      <c r="R759" s="21"/>
      <c r="S759" s="13"/>
      <c r="T759" s="12"/>
      <c r="U759" s="12"/>
      <c r="V759" s="12"/>
      <c r="W759" s="14"/>
      <c r="Y759" s="42" t="str">
        <f>IF(AND(C759=Master!$H$1,B759="2012-2013",E759&gt;1000,G759="PLN03"),H759,"")</f>
        <v/>
      </c>
      <c r="Z759" s="42" t="str">
        <f>IF(AND(C759=Master!$H$1,B759="2012-2013",E759="",G759="PLN03"),H759,"")</f>
        <v/>
      </c>
      <c r="AA759" s="42" t="str">
        <f>IF(AND(C759=Master!$H$2,B759="2012-2013",E759&gt;1000,G759="PLN03"),H759,"")</f>
        <v/>
      </c>
      <c r="AB759" s="42" t="str">
        <f>IF(AND(C759=Master!$H$2,B759="2012-2013",E759="",G759="PLN03"),H759,"")</f>
        <v/>
      </c>
      <c r="AC759" s="42" t="str">
        <f>IF(AND(C759=Master!$H$3,B759="2012-2013",E759&gt;1000,G759="PLN03"),H759,"")</f>
        <v/>
      </c>
      <c r="AD759" s="42" t="str">
        <f>IF(AND(C759=Master!$H$3,B759="2012-2013",E759="",G759="PLN03"),H759,"")</f>
        <v/>
      </c>
      <c r="AE759" s="42" t="str">
        <f>IF(AND(C759=Master!$H$4,B759="2012-2013",E759&gt;1000,G759="PLN03"),H759,"")</f>
        <v/>
      </c>
      <c r="AF759" s="42" t="str">
        <f>IF(AND(C759=Master!$H$4,B759="2012-2013",E759="",G759="PLN03"),H759,"")</f>
        <v/>
      </c>
      <c r="AG759" s="42" t="str">
        <f>IF(AND(C759=Master!$H$5,B759="2012-2013",E759&gt;1000,G759="PLN03"),H759,"")</f>
        <v/>
      </c>
      <c r="AH759" s="42" t="str">
        <f>IF(AND(C759=Master!$H$5,B759="2012-2013",E759="",G759="PLN03"),H759,"")</f>
        <v/>
      </c>
      <c r="AI759" s="42" t="str">
        <f>IF(AND(C759=Master!$H$6,B759="2012-2013",E759&gt;1000,G759="PLN03"),H759,"")</f>
        <v/>
      </c>
      <c r="AJ759" s="42" t="str">
        <f>IF(AND(C759=Master!$H$6,B759="2012-2013",E759="",G759="PLN03"),H759,"")</f>
        <v/>
      </c>
      <c r="AK759" s="42" t="str">
        <f>IF(AND(C759=Master!$H$7,B759="2012-2013",E759&gt;1000,G759="PLN03"),H759,"")</f>
        <v/>
      </c>
      <c r="AL759" s="42" t="str">
        <f>IF(AND(C759=Master!$H$7,B759="2012-2013",E759="",G759="PLN03"),H759,"")</f>
        <v/>
      </c>
      <c r="AM759" s="42" t="str">
        <f>IF(AND(C759=Master!$H$8,B759="2012-2013",E759&gt;1000,G759="PLN03"),H759,"")</f>
        <v/>
      </c>
      <c r="AN759" s="42" t="str">
        <f>IF(AND(C759=Master!$H$8,B759="2012-2013",E759="",G759="PLN03"),H759,"")</f>
        <v/>
      </c>
      <c r="AO759" s="42" t="str">
        <f>IF(AND(C759=Master!$H$9,B759="2012-2013",E759&gt;1000,G759="PLN03"),H759,"")</f>
        <v/>
      </c>
      <c r="AP759" s="42" t="str">
        <f>IF(AND(C759=Master!$H$9,B759="2012-2013",E759="",G759="PLN03"),H759,"")</f>
        <v/>
      </c>
      <c r="AQ759" s="44" t="str">
        <f>IF(AND(C759=Master!$H$1,B759="2012-2013",E759&gt;1000,G759="NPN05"),H759,"")</f>
        <v/>
      </c>
      <c r="AR759" s="44" t="str">
        <f>IF(AND(C759=Master!$H$1,B759="2012-2013",E759="",G759="NPN05"),H759,"")</f>
        <v/>
      </c>
      <c r="AS759" s="44" t="str">
        <f>IF(AND(C759=Master!$H$2,B759="2012-2013",E759&gt;1000,G759="NPN05"),H759,"")</f>
        <v/>
      </c>
      <c r="AT759" s="44" t="str">
        <f>IF(AND(C759=Master!$H$2,B759="2012-2013",E759="",G759="NPN05"),H759,"")</f>
        <v/>
      </c>
      <c r="AU759" s="44" t="str">
        <f>IF(AND(C759=Master!$H$3,B759="2012-2013",E759&gt;1000,G759="NPN05"),H759,"")</f>
        <v/>
      </c>
      <c r="AV759" s="44" t="str">
        <f>IF(AND(C759=Master!$H$3,B759="2012-2013",E759="",G759="NPN05"),H759,"")</f>
        <v/>
      </c>
      <c r="AW759" s="44" t="str">
        <f>IF(AND(C759=Master!$H$4,B759="2012-2013",E759&gt;1000,G759="NPN05"),H759,"")</f>
        <v/>
      </c>
      <c r="AX759" s="44" t="str">
        <f>IF(AND(C759=Master!$H$4,B759="2012-2013",E759="",G759="NPN05"),H759,"")</f>
        <v/>
      </c>
      <c r="AY759" s="44" t="str">
        <f>IF(AND(C759=Master!$H$5,B759="2012-2013",E759&gt;1000,G759="NPN05"),H759,"")</f>
        <v/>
      </c>
      <c r="AZ759" s="44" t="str">
        <f>IF(AND(C759=Master!$H$5,B759="2012-2013",E759="",G759="NPN05"),H759,"")</f>
        <v/>
      </c>
      <c r="BA759" s="44" t="str">
        <f>IF(AND(C759=Master!$H$6,B759="2012-2013",E759&gt;1000,G759="NPN05"),H759,"")</f>
        <v/>
      </c>
      <c r="BB759" s="44" t="str">
        <f>IF(AND(C759=Master!$H$6,B759="2012-2013",E759="",G759="NPN05"),H759,"")</f>
        <v/>
      </c>
      <c r="BC759" s="44" t="str">
        <f>IF(AND(C759=Master!$H$7,B759="2012-2013",E759&gt;1000,G759="NPN05"),H759,"")</f>
        <v/>
      </c>
      <c r="BD759" s="44" t="str">
        <f>IF(AND(C759=Master!$H$7,B759="2012-2013",E759="",G759="NPN05"),H759,"")</f>
        <v/>
      </c>
      <c r="BE759" s="44" t="str">
        <f>IF(AND(C759=Master!$H$8,B759="2012-2013",E759&gt;1000,G759="NPN05"),H759,"")</f>
        <v/>
      </c>
      <c r="BF759" s="44" t="str">
        <f>IF(AND(C759=Master!$H$8,B759="2012-2013",E759="",G759="NPN05"),H759,"")</f>
        <v/>
      </c>
      <c r="BG759" s="44" t="str">
        <f>IF(AND(C759=Master!$H$9,B759="2012-2013",E759&gt;1000,G759="NPN05"),H759,"")</f>
        <v/>
      </c>
      <c r="BH759" s="44" t="str">
        <f>IF(AND(C759=Master!$H$9,B759="2012-2013",E759="",G759="NPN05"),H759,"")</f>
        <v/>
      </c>
    </row>
    <row r="760" spans="1:60" x14ac:dyDescent="0.25">
      <c r="A760" s="5">
        <v>758</v>
      </c>
      <c r="B760" s="12"/>
      <c r="C760" s="12"/>
      <c r="D760" s="31"/>
      <c r="E760" s="4"/>
      <c r="F760" s="13"/>
      <c r="G760" s="21"/>
      <c r="H760" s="35"/>
      <c r="I760" s="21"/>
      <c r="J760" s="25" t="str">
        <f>IF(NOT(I760=""),INDEX(Master!$B$1:$B$46,MATCH(I760,Master!$A$1:$A$46,0)),"")</f>
        <v/>
      </c>
      <c r="K760" s="18"/>
      <c r="L760" s="86"/>
      <c r="M760" s="13"/>
      <c r="N760" s="13"/>
      <c r="O760" s="18"/>
      <c r="P760" s="35"/>
      <c r="Q760" s="21"/>
      <c r="R760" s="21"/>
      <c r="S760" s="13"/>
      <c r="T760" s="12"/>
      <c r="U760" s="12"/>
      <c r="V760" s="12"/>
      <c r="W760" s="14"/>
      <c r="Y760" s="42" t="str">
        <f>IF(AND(C760=Master!$H$1,B760="2012-2013",E760&gt;1000,G760="PLN03"),H760,"")</f>
        <v/>
      </c>
      <c r="Z760" s="42" t="str">
        <f>IF(AND(C760=Master!$H$1,B760="2012-2013",E760="",G760="PLN03"),H760,"")</f>
        <v/>
      </c>
      <c r="AA760" s="42" t="str">
        <f>IF(AND(C760=Master!$H$2,B760="2012-2013",E760&gt;1000,G760="PLN03"),H760,"")</f>
        <v/>
      </c>
      <c r="AB760" s="42" t="str">
        <f>IF(AND(C760=Master!$H$2,B760="2012-2013",E760="",G760="PLN03"),H760,"")</f>
        <v/>
      </c>
      <c r="AC760" s="42" t="str">
        <f>IF(AND(C760=Master!$H$3,B760="2012-2013",E760&gt;1000,G760="PLN03"),H760,"")</f>
        <v/>
      </c>
      <c r="AD760" s="42" t="str">
        <f>IF(AND(C760=Master!$H$3,B760="2012-2013",E760="",G760="PLN03"),H760,"")</f>
        <v/>
      </c>
      <c r="AE760" s="42" t="str">
        <f>IF(AND(C760=Master!$H$4,B760="2012-2013",E760&gt;1000,G760="PLN03"),H760,"")</f>
        <v/>
      </c>
      <c r="AF760" s="42" t="str">
        <f>IF(AND(C760=Master!$H$4,B760="2012-2013",E760="",G760="PLN03"),H760,"")</f>
        <v/>
      </c>
      <c r="AG760" s="42" t="str">
        <f>IF(AND(C760=Master!$H$5,B760="2012-2013",E760&gt;1000,G760="PLN03"),H760,"")</f>
        <v/>
      </c>
      <c r="AH760" s="42" t="str">
        <f>IF(AND(C760=Master!$H$5,B760="2012-2013",E760="",G760="PLN03"),H760,"")</f>
        <v/>
      </c>
      <c r="AI760" s="42" t="str">
        <f>IF(AND(C760=Master!$H$6,B760="2012-2013",E760&gt;1000,G760="PLN03"),H760,"")</f>
        <v/>
      </c>
      <c r="AJ760" s="42" t="str">
        <f>IF(AND(C760=Master!$H$6,B760="2012-2013",E760="",G760="PLN03"),H760,"")</f>
        <v/>
      </c>
      <c r="AK760" s="42" t="str">
        <f>IF(AND(C760=Master!$H$7,B760="2012-2013",E760&gt;1000,G760="PLN03"),H760,"")</f>
        <v/>
      </c>
      <c r="AL760" s="42" t="str">
        <f>IF(AND(C760=Master!$H$7,B760="2012-2013",E760="",G760="PLN03"),H760,"")</f>
        <v/>
      </c>
      <c r="AM760" s="42" t="str">
        <f>IF(AND(C760=Master!$H$8,B760="2012-2013",E760&gt;1000,G760="PLN03"),H760,"")</f>
        <v/>
      </c>
      <c r="AN760" s="42" t="str">
        <f>IF(AND(C760=Master!$H$8,B760="2012-2013",E760="",G760="PLN03"),H760,"")</f>
        <v/>
      </c>
      <c r="AO760" s="42" t="str">
        <f>IF(AND(C760=Master!$H$9,B760="2012-2013",E760&gt;1000,G760="PLN03"),H760,"")</f>
        <v/>
      </c>
      <c r="AP760" s="42" t="str">
        <f>IF(AND(C760=Master!$H$9,B760="2012-2013",E760="",G760="PLN03"),H760,"")</f>
        <v/>
      </c>
      <c r="AQ760" s="44" t="str">
        <f>IF(AND(C760=Master!$H$1,B760="2012-2013",E760&gt;1000,G760="NPN05"),H760,"")</f>
        <v/>
      </c>
      <c r="AR760" s="44" t="str">
        <f>IF(AND(C760=Master!$H$1,B760="2012-2013",E760="",G760="NPN05"),H760,"")</f>
        <v/>
      </c>
      <c r="AS760" s="44" t="str">
        <f>IF(AND(C760=Master!$H$2,B760="2012-2013",E760&gt;1000,G760="NPN05"),H760,"")</f>
        <v/>
      </c>
      <c r="AT760" s="44" t="str">
        <f>IF(AND(C760=Master!$H$2,B760="2012-2013",E760="",G760="NPN05"),H760,"")</f>
        <v/>
      </c>
      <c r="AU760" s="44" t="str">
        <f>IF(AND(C760=Master!$H$3,B760="2012-2013",E760&gt;1000,G760="NPN05"),H760,"")</f>
        <v/>
      </c>
      <c r="AV760" s="44" t="str">
        <f>IF(AND(C760=Master!$H$3,B760="2012-2013",E760="",G760="NPN05"),H760,"")</f>
        <v/>
      </c>
      <c r="AW760" s="44" t="str">
        <f>IF(AND(C760=Master!$H$4,B760="2012-2013",E760&gt;1000,G760="NPN05"),H760,"")</f>
        <v/>
      </c>
      <c r="AX760" s="44" t="str">
        <f>IF(AND(C760=Master!$H$4,B760="2012-2013",E760="",G760="NPN05"),H760,"")</f>
        <v/>
      </c>
      <c r="AY760" s="44" t="str">
        <f>IF(AND(C760=Master!$H$5,B760="2012-2013",E760&gt;1000,G760="NPN05"),H760,"")</f>
        <v/>
      </c>
      <c r="AZ760" s="44" t="str">
        <f>IF(AND(C760=Master!$H$5,B760="2012-2013",E760="",G760="NPN05"),H760,"")</f>
        <v/>
      </c>
      <c r="BA760" s="44" t="str">
        <f>IF(AND(C760=Master!$H$6,B760="2012-2013",E760&gt;1000,G760="NPN05"),H760,"")</f>
        <v/>
      </c>
      <c r="BB760" s="44" t="str">
        <f>IF(AND(C760=Master!$H$6,B760="2012-2013",E760="",G760="NPN05"),H760,"")</f>
        <v/>
      </c>
      <c r="BC760" s="44" t="str">
        <f>IF(AND(C760=Master!$H$7,B760="2012-2013",E760&gt;1000,G760="NPN05"),H760,"")</f>
        <v/>
      </c>
      <c r="BD760" s="44" t="str">
        <f>IF(AND(C760=Master!$H$7,B760="2012-2013",E760="",G760="NPN05"),H760,"")</f>
        <v/>
      </c>
      <c r="BE760" s="44" t="str">
        <f>IF(AND(C760=Master!$H$8,B760="2012-2013",E760&gt;1000,G760="NPN05"),H760,"")</f>
        <v/>
      </c>
      <c r="BF760" s="44" t="str">
        <f>IF(AND(C760=Master!$H$8,B760="2012-2013",E760="",G760="NPN05"),H760,"")</f>
        <v/>
      </c>
      <c r="BG760" s="44" t="str">
        <f>IF(AND(C760=Master!$H$9,B760="2012-2013",E760&gt;1000,G760="NPN05"),H760,"")</f>
        <v/>
      </c>
      <c r="BH760" s="44" t="str">
        <f>IF(AND(C760=Master!$H$9,B760="2012-2013",E760="",G760="NPN05"),H760,"")</f>
        <v/>
      </c>
    </row>
    <row r="761" spans="1:60" x14ac:dyDescent="0.25">
      <c r="A761" s="3">
        <v>759</v>
      </c>
      <c r="B761" s="12"/>
      <c r="C761" s="12"/>
      <c r="D761" s="31"/>
      <c r="E761" s="4"/>
      <c r="F761" s="13"/>
      <c r="G761" s="21"/>
      <c r="H761" s="35"/>
      <c r="I761" s="21"/>
      <c r="J761" s="25" t="str">
        <f>IF(NOT(I761=""),INDEX(Master!$B$1:$B$46,MATCH(I761,Master!$A$1:$A$46,0)),"")</f>
        <v/>
      </c>
      <c r="K761" s="18"/>
      <c r="L761" s="86"/>
      <c r="M761" s="13"/>
      <c r="N761" s="13"/>
      <c r="O761" s="18"/>
      <c r="P761" s="35"/>
      <c r="Q761" s="21"/>
      <c r="R761" s="21"/>
      <c r="S761" s="13"/>
      <c r="T761" s="12"/>
      <c r="U761" s="12"/>
      <c r="V761" s="12"/>
      <c r="W761" s="14"/>
      <c r="Y761" s="42" t="str">
        <f>IF(AND(C761=Master!$H$1,B761="2012-2013",E761&gt;1000,G761="PLN03"),H761,"")</f>
        <v/>
      </c>
      <c r="Z761" s="42" t="str">
        <f>IF(AND(C761=Master!$H$1,B761="2012-2013",E761="",G761="PLN03"),H761,"")</f>
        <v/>
      </c>
      <c r="AA761" s="42" t="str">
        <f>IF(AND(C761=Master!$H$2,B761="2012-2013",E761&gt;1000,G761="PLN03"),H761,"")</f>
        <v/>
      </c>
      <c r="AB761" s="42" t="str">
        <f>IF(AND(C761=Master!$H$2,B761="2012-2013",E761="",G761="PLN03"),H761,"")</f>
        <v/>
      </c>
      <c r="AC761" s="42" t="str">
        <f>IF(AND(C761=Master!$H$3,B761="2012-2013",E761&gt;1000,G761="PLN03"),H761,"")</f>
        <v/>
      </c>
      <c r="AD761" s="42" t="str">
        <f>IF(AND(C761=Master!$H$3,B761="2012-2013",E761="",G761="PLN03"),H761,"")</f>
        <v/>
      </c>
      <c r="AE761" s="42" t="str">
        <f>IF(AND(C761=Master!$H$4,B761="2012-2013",E761&gt;1000,G761="PLN03"),H761,"")</f>
        <v/>
      </c>
      <c r="AF761" s="42" t="str">
        <f>IF(AND(C761=Master!$H$4,B761="2012-2013",E761="",G761="PLN03"),H761,"")</f>
        <v/>
      </c>
      <c r="AG761" s="42" t="str">
        <f>IF(AND(C761=Master!$H$5,B761="2012-2013",E761&gt;1000,G761="PLN03"),H761,"")</f>
        <v/>
      </c>
      <c r="AH761" s="42" t="str">
        <f>IF(AND(C761=Master!$H$5,B761="2012-2013",E761="",G761="PLN03"),H761,"")</f>
        <v/>
      </c>
      <c r="AI761" s="42" t="str">
        <f>IF(AND(C761=Master!$H$6,B761="2012-2013",E761&gt;1000,G761="PLN03"),H761,"")</f>
        <v/>
      </c>
      <c r="AJ761" s="42" t="str">
        <f>IF(AND(C761=Master!$H$6,B761="2012-2013",E761="",G761="PLN03"),H761,"")</f>
        <v/>
      </c>
      <c r="AK761" s="42" t="str">
        <f>IF(AND(C761=Master!$H$7,B761="2012-2013",E761&gt;1000,G761="PLN03"),H761,"")</f>
        <v/>
      </c>
      <c r="AL761" s="42" t="str">
        <f>IF(AND(C761=Master!$H$7,B761="2012-2013",E761="",G761="PLN03"),H761,"")</f>
        <v/>
      </c>
      <c r="AM761" s="42" t="str">
        <f>IF(AND(C761=Master!$H$8,B761="2012-2013",E761&gt;1000,G761="PLN03"),H761,"")</f>
        <v/>
      </c>
      <c r="AN761" s="42" t="str">
        <f>IF(AND(C761=Master!$H$8,B761="2012-2013",E761="",G761="PLN03"),H761,"")</f>
        <v/>
      </c>
      <c r="AO761" s="42" t="str">
        <f>IF(AND(C761=Master!$H$9,B761="2012-2013",E761&gt;1000,G761="PLN03"),H761,"")</f>
        <v/>
      </c>
      <c r="AP761" s="42" t="str">
        <f>IF(AND(C761=Master!$H$9,B761="2012-2013",E761="",G761="PLN03"),H761,"")</f>
        <v/>
      </c>
      <c r="AQ761" s="44" t="str">
        <f>IF(AND(C761=Master!$H$1,B761="2012-2013",E761&gt;1000,G761="NPN05"),H761,"")</f>
        <v/>
      </c>
      <c r="AR761" s="44" t="str">
        <f>IF(AND(C761=Master!$H$1,B761="2012-2013",E761="",G761="NPN05"),H761,"")</f>
        <v/>
      </c>
      <c r="AS761" s="44" t="str">
        <f>IF(AND(C761=Master!$H$2,B761="2012-2013",E761&gt;1000,G761="NPN05"),H761,"")</f>
        <v/>
      </c>
      <c r="AT761" s="44" t="str">
        <f>IF(AND(C761=Master!$H$2,B761="2012-2013",E761="",G761="NPN05"),H761,"")</f>
        <v/>
      </c>
      <c r="AU761" s="44" t="str">
        <f>IF(AND(C761=Master!$H$3,B761="2012-2013",E761&gt;1000,G761="NPN05"),H761,"")</f>
        <v/>
      </c>
      <c r="AV761" s="44" t="str">
        <f>IF(AND(C761=Master!$H$3,B761="2012-2013",E761="",G761="NPN05"),H761,"")</f>
        <v/>
      </c>
      <c r="AW761" s="44" t="str">
        <f>IF(AND(C761=Master!$H$4,B761="2012-2013",E761&gt;1000,G761="NPN05"),H761,"")</f>
        <v/>
      </c>
      <c r="AX761" s="44" t="str">
        <f>IF(AND(C761=Master!$H$4,B761="2012-2013",E761="",G761="NPN05"),H761,"")</f>
        <v/>
      </c>
      <c r="AY761" s="44" t="str">
        <f>IF(AND(C761=Master!$H$5,B761="2012-2013",E761&gt;1000,G761="NPN05"),H761,"")</f>
        <v/>
      </c>
      <c r="AZ761" s="44" t="str">
        <f>IF(AND(C761=Master!$H$5,B761="2012-2013",E761="",G761="NPN05"),H761,"")</f>
        <v/>
      </c>
      <c r="BA761" s="44" t="str">
        <f>IF(AND(C761=Master!$H$6,B761="2012-2013",E761&gt;1000,G761="NPN05"),H761,"")</f>
        <v/>
      </c>
      <c r="BB761" s="44" t="str">
        <f>IF(AND(C761=Master!$H$6,B761="2012-2013",E761="",G761="NPN05"),H761,"")</f>
        <v/>
      </c>
      <c r="BC761" s="44" t="str">
        <f>IF(AND(C761=Master!$H$7,B761="2012-2013",E761&gt;1000,G761="NPN05"),H761,"")</f>
        <v/>
      </c>
      <c r="BD761" s="44" t="str">
        <f>IF(AND(C761=Master!$H$7,B761="2012-2013",E761="",G761="NPN05"),H761,"")</f>
        <v/>
      </c>
      <c r="BE761" s="44" t="str">
        <f>IF(AND(C761=Master!$H$8,B761="2012-2013",E761&gt;1000,G761="NPN05"),H761,"")</f>
        <v/>
      </c>
      <c r="BF761" s="44" t="str">
        <f>IF(AND(C761=Master!$H$8,B761="2012-2013",E761="",G761="NPN05"),H761,"")</f>
        <v/>
      </c>
      <c r="BG761" s="44" t="str">
        <f>IF(AND(C761=Master!$H$9,B761="2012-2013",E761&gt;1000,G761="NPN05"),H761,"")</f>
        <v/>
      </c>
      <c r="BH761" s="44" t="str">
        <f>IF(AND(C761=Master!$H$9,B761="2012-2013",E761="",G761="NPN05"),H761,"")</f>
        <v/>
      </c>
    </row>
    <row r="762" spans="1:60" x14ac:dyDescent="0.25">
      <c r="A762" s="3">
        <v>760</v>
      </c>
      <c r="B762" s="12"/>
      <c r="C762" s="12"/>
      <c r="D762" s="31"/>
      <c r="E762" s="4"/>
      <c r="F762" s="13"/>
      <c r="G762" s="21"/>
      <c r="H762" s="35"/>
      <c r="I762" s="21"/>
      <c r="J762" s="25" t="str">
        <f>IF(NOT(I762=""),INDEX(Master!$B$1:$B$46,MATCH(I762,Master!$A$1:$A$46,0)),"")</f>
        <v/>
      </c>
      <c r="K762" s="18"/>
      <c r="L762" s="86"/>
      <c r="M762" s="13"/>
      <c r="N762" s="13"/>
      <c r="O762" s="18"/>
      <c r="P762" s="35"/>
      <c r="Q762" s="21"/>
      <c r="R762" s="21"/>
      <c r="S762" s="13"/>
      <c r="T762" s="12"/>
      <c r="U762" s="12"/>
      <c r="V762" s="12"/>
      <c r="W762" s="14"/>
      <c r="Y762" s="42" t="str">
        <f>IF(AND(C762=Master!$H$1,B762="2012-2013",E762&gt;1000,G762="PLN03"),H762,"")</f>
        <v/>
      </c>
      <c r="Z762" s="42" t="str">
        <f>IF(AND(C762=Master!$H$1,B762="2012-2013",E762="",G762="PLN03"),H762,"")</f>
        <v/>
      </c>
      <c r="AA762" s="42" t="str">
        <f>IF(AND(C762=Master!$H$2,B762="2012-2013",E762&gt;1000,G762="PLN03"),H762,"")</f>
        <v/>
      </c>
      <c r="AB762" s="42" t="str">
        <f>IF(AND(C762=Master!$H$2,B762="2012-2013",E762="",G762="PLN03"),H762,"")</f>
        <v/>
      </c>
      <c r="AC762" s="42" t="str">
        <f>IF(AND(C762=Master!$H$3,B762="2012-2013",E762&gt;1000,G762="PLN03"),H762,"")</f>
        <v/>
      </c>
      <c r="AD762" s="42" t="str">
        <f>IF(AND(C762=Master!$H$3,B762="2012-2013",E762="",G762="PLN03"),H762,"")</f>
        <v/>
      </c>
      <c r="AE762" s="42" t="str">
        <f>IF(AND(C762=Master!$H$4,B762="2012-2013",E762&gt;1000,G762="PLN03"),H762,"")</f>
        <v/>
      </c>
      <c r="AF762" s="42" t="str">
        <f>IF(AND(C762=Master!$H$4,B762="2012-2013",E762="",G762="PLN03"),H762,"")</f>
        <v/>
      </c>
      <c r="AG762" s="42" t="str">
        <f>IF(AND(C762=Master!$H$5,B762="2012-2013",E762&gt;1000,G762="PLN03"),H762,"")</f>
        <v/>
      </c>
      <c r="AH762" s="42" t="str">
        <f>IF(AND(C762=Master!$H$5,B762="2012-2013",E762="",G762="PLN03"),H762,"")</f>
        <v/>
      </c>
      <c r="AI762" s="42" t="str">
        <f>IF(AND(C762=Master!$H$6,B762="2012-2013",E762&gt;1000,G762="PLN03"),H762,"")</f>
        <v/>
      </c>
      <c r="AJ762" s="42" t="str">
        <f>IF(AND(C762=Master!$H$6,B762="2012-2013",E762="",G762="PLN03"),H762,"")</f>
        <v/>
      </c>
      <c r="AK762" s="42" t="str">
        <f>IF(AND(C762=Master!$H$7,B762="2012-2013",E762&gt;1000,G762="PLN03"),H762,"")</f>
        <v/>
      </c>
      <c r="AL762" s="42" t="str">
        <f>IF(AND(C762=Master!$H$7,B762="2012-2013",E762="",G762="PLN03"),H762,"")</f>
        <v/>
      </c>
      <c r="AM762" s="42" t="str">
        <f>IF(AND(C762=Master!$H$8,B762="2012-2013",E762&gt;1000,G762="PLN03"),H762,"")</f>
        <v/>
      </c>
      <c r="AN762" s="42" t="str">
        <f>IF(AND(C762=Master!$H$8,B762="2012-2013",E762="",G762="PLN03"),H762,"")</f>
        <v/>
      </c>
      <c r="AO762" s="42" t="str">
        <f>IF(AND(C762=Master!$H$9,B762="2012-2013",E762&gt;1000,G762="PLN03"),H762,"")</f>
        <v/>
      </c>
      <c r="AP762" s="42" t="str">
        <f>IF(AND(C762=Master!$H$9,B762="2012-2013",E762="",G762="PLN03"),H762,"")</f>
        <v/>
      </c>
      <c r="AQ762" s="44" t="str">
        <f>IF(AND(C762=Master!$H$1,B762="2012-2013",E762&gt;1000,G762="NPN05"),H762,"")</f>
        <v/>
      </c>
      <c r="AR762" s="44" t="str">
        <f>IF(AND(C762=Master!$H$1,B762="2012-2013",E762="",G762="NPN05"),H762,"")</f>
        <v/>
      </c>
      <c r="AS762" s="44" t="str">
        <f>IF(AND(C762=Master!$H$2,B762="2012-2013",E762&gt;1000,G762="NPN05"),H762,"")</f>
        <v/>
      </c>
      <c r="AT762" s="44" t="str">
        <f>IF(AND(C762=Master!$H$2,B762="2012-2013",E762="",G762="NPN05"),H762,"")</f>
        <v/>
      </c>
      <c r="AU762" s="44" t="str">
        <f>IF(AND(C762=Master!$H$3,B762="2012-2013",E762&gt;1000,G762="NPN05"),H762,"")</f>
        <v/>
      </c>
      <c r="AV762" s="44" t="str">
        <f>IF(AND(C762=Master!$H$3,B762="2012-2013",E762="",G762="NPN05"),H762,"")</f>
        <v/>
      </c>
      <c r="AW762" s="44" t="str">
        <f>IF(AND(C762=Master!$H$4,B762="2012-2013",E762&gt;1000,G762="NPN05"),H762,"")</f>
        <v/>
      </c>
      <c r="AX762" s="44" t="str">
        <f>IF(AND(C762=Master!$H$4,B762="2012-2013",E762="",G762="NPN05"),H762,"")</f>
        <v/>
      </c>
      <c r="AY762" s="44" t="str">
        <f>IF(AND(C762=Master!$H$5,B762="2012-2013",E762&gt;1000,G762="NPN05"),H762,"")</f>
        <v/>
      </c>
      <c r="AZ762" s="44" t="str">
        <f>IF(AND(C762=Master!$H$5,B762="2012-2013",E762="",G762="NPN05"),H762,"")</f>
        <v/>
      </c>
      <c r="BA762" s="44" t="str">
        <f>IF(AND(C762=Master!$H$6,B762="2012-2013",E762&gt;1000,G762="NPN05"),H762,"")</f>
        <v/>
      </c>
      <c r="BB762" s="44" t="str">
        <f>IF(AND(C762=Master!$H$6,B762="2012-2013",E762="",G762="NPN05"),H762,"")</f>
        <v/>
      </c>
      <c r="BC762" s="44" t="str">
        <f>IF(AND(C762=Master!$H$7,B762="2012-2013",E762&gt;1000,G762="NPN05"),H762,"")</f>
        <v/>
      </c>
      <c r="BD762" s="44" t="str">
        <f>IF(AND(C762=Master!$H$7,B762="2012-2013",E762="",G762="NPN05"),H762,"")</f>
        <v/>
      </c>
      <c r="BE762" s="44" t="str">
        <f>IF(AND(C762=Master!$H$8,B762="2012-2013",E762&gt;1000,G762="NPN05"),H762,"")</f>
        <v/>
      </c>
      <c r="BF762" s="44" t="str">
        <f>IF(AND(C762=Master!$H$8,B762="2012-2013",E762="",G762="NPN05"),H762,"")</f>
        <v/>
      </c>
      <c r="BG762" s="44" t="str">
        <f>IF(AND(C762=Master!$H$9,B762="2012-2013",E762&gt;1000,G762="NPN05"),H762,"")</f>
        <v/>
      </c>
      <c r="BH762" s="44" t="str">
        <f>IF(AND(C762=Master!$H$9,B762="2012-2013",E762="",G762="NPN05"),H762,"")</f>
        <v/>
      </c>
    </row>
    <row r="763" spans="1:60" x14ac:dyDescent="0.25">
      <c r="A763" s="3">
        <v>761</v>
      </c>
      <c r="B763" s="12"/>
      <c r="C763" s="12"/>
      <c r="D763" s="31"/>
      <c r="E763" s="4"/>
      <c r="F763" s="13"/>
      <c r="G763" s="21"/>
      <c r="H763" s="35"/>
      <c r="I763" s="21"/>
      <c r="J763" s="25" t="str">
        <f>IF(NOT(I763=""),INDEX(Master!$B$1:$B$46,MATCH(I763,Master!$A$1:$A$46,0)),"")</f>
        <v/>
      </c>
      <c r="K763" s="18"/>
      <c r="L763" s="86"/>
      <c r="M763" s="13"/>
      <c r="N763" s="13"/>
      <c r="O763" s="18"/>
      <c r="P763" s="35"/>
      <c r="Q763" s="21"/>
      <c r="R763" s="21"/>
      <c r="S763" s="13"/>
      <c r="T763" s="12"/>
      <c r="U763" s="12"/>
      <c r="V763" s="12"/>
      <c r="W763" s="14"/>
      <c r="Y763" s="42" t="str">
        <f>IF(AND(C763=Master!$H$1,B763="2012-2013",E763&gt;1000,G763="PLN03"),H763,"")</f>
        <v/>
      </c>
      <c r="Z763" s="42" t="str">
        <f>IF(AND(C763=Master!$H$1,B763="2012-2013",E763="",G763="PLN03"),H763,"")</f>
        <v/>
      </c>
      <c r="AA763" s="42" t="str">
        <f>IF(AND(C763=Master!$H$2,B763="2012-2013",E763&gt;1000,G763="PLN03"),H763,"")</f>
        <v/>
      </c>
      <c r="AB763" s="42" t="str">
        <f>IF(AND(C763=Master!$H$2,B763="2012-2013",E763="",G763="PLN03"),H763,"")</f>
        <v/>
      </c>
      <c r="AC763" s="42" t="str">
        <f>IF(AND(C763=Master!$H$3,B763="2012-2013",E763&gt;1000,G763="PLN03"),H763,"")</f>
        <v/>
      </c>
      <c r="AD763" s="42" t="str">
        <f>IF(AND(C763=Master!$H$3,B763="2012-2013",E763="",G763="PLN03"),H763,"")</f>
        <v/>
      </c>
      <c r="AE763" s="42" t="str">
        <f>IF(AND(C763=Master!$H$4,B763="2012-2013",E763&gt;1000,G763="PLN03"),H763,"")</f>
        <v/>
      </c>
      <c r="AF763" s="42" t="str">
        <f>IF(AND(C763=Master!$H$4,B763="2012-2013",E763="",G763="PLN03"),H763,"")</f>
        <v/>
      </c>
      <c r="AG763" s="42" t="str">
        <f>IF(AND(C763=Master!$H$5,B763="2012-2013",E763&gt;1000,G763="PLN03"),H763,"")</f>
        <v/>
      </c>
      <c r="AH763" s="42" t="str">
        <f>IF(AND(C763=Master!$H$5,B763="2012-2013",E763="",G763="PLN03"),H763,"")</f>
        <v/>
      </c>
      <c r="AI763" s="42" t="str">
        <f>IF(AND(C763=Master!$H$6,B763="2012-2013",E763&gt;1000,G763="PLN03"),H763,"")</f>
        <v/>
      </c>
      <c r="AJ763" s="42" t="str">
        <f>IF(AND(C763=Master!$H$6,B763="2012-2013",E763="",G763="PLN03"),H763,"")</f>
        <v/>
      </c>
      <c r="AK763" s="42" t="str">
        <f>IF(AND(C763=Master!$H$7,B763="2012-2013",E763&gt;1000,G763="PLN03"),H763,"")</f>
        <v/>
      </c>
      <c r="AL763" s="42" t="str">
        <f>IF(AND(C763=Master!$H$7,B763="2012-2013",E763="",G763="PLN03"),H763,"")</f>
        <v/>
      </c>
      <c r="AM763" s="42" t="str">
        <f>IF(AND(C763=Master!$H$8,B763="2012-2013",E763&gt;1000,G763="PLN03"),H763,"")</f>
        <v/>
      </c>
      <c r="AN763" s="42" t="str">
        <f>IF(AND(C763=Master!$H$8,B763="2012-2013",E763="",G763="PLN03"),H763,"")</f>
        <v/>
      </c>
      <c r="AO763" s="42" t="str">
        <f>IF(AND(C763=Master!$H$9,B763="2012-2013",E763&gt;1000,G763="PLN03"),H763,"")</f>
        <v/>
      </c>
      <c r="AP763" s="42" t="str">
        <f>IF(AND(C763=Master!$H$9,B763="2012-2013",E763="",G763="PLN03"),H763,"")</f>
        <v/>
      </c>
      <c r="AQ763" s="44" t="str">
        <f>IF(AND(C763=Master!$H$1,B763="2012-2013",E763&gt;1000,G763="NPN05"),H763,"")</f>
        <v/>
      </c>
      <c r="AR763" s="44" t="str">
        <f>IF(AND(C763=Master!$H$1,B763="2012-2013",E763="",G763="NPN05"),H763,"")</f>
        <v/>
      </c>
      <c r="AS763" s="44" t="str">
        <f>IF(AND(C763=Master!$H$2,B763="2012-2013",E763&gt;1000,G763="NPN05"),H763,"")</f>
        <v/>
      </c>
      <c r="AT763" s="44" t="str">
        <f>IF(AND(C763=Master!$H$2,B763="2012-2013",E763="",G763="NPN05"),H763,"")</f>
        <v/>
      </c>
      <c r="AU763" s="44" t="str">
        <f>IF(AND(C763=Master!$H$3,B763="2012-2013",E763&gt;1000,G763="NPN05"),H763,"")</f>
        <v/>
      </c>
      <c r="AV763" s="44" t="str">
        <f>IF(AND(C763=Master!$H$3,B763="2012-2013",E763="",G763="NPN05"),H763,"")</f>
        <v/>
      </c>
      <c r="AW763" s="44" t="str">
        <f>IF(AND(C763=Master!$H$4,B763="2012-2013",E763&gt;1000,G763="NPN05"),H763,"")</f>
        <v/>
      </c>
      <c r="AX763" s="44" t="str">
        <f>IF(AND(C763=Master!$H$4,B763="2012-2013",E763="",G763="NPN05"),H763,"")</f>
        <v/>
      </c>
      <c r="AY763" s="44" t="str">
        <f>IF(AND(C763=Master!$H$5,B763="2012-2013",E763&gt;1000,G763="NPN05"),H763,"")</f>
        <v/>
      </c>
      <c r="AZ763" s="44" t="str">
        <f>IF(AND(C763=Master!$H$5,B763="2012-2013",E763="",G763="NPN05"),H763,"")</f>
        <v/>
      </c>
      <c r="BA763" s="44" t="str">
        <f>IF(AND(C763=Master!$H$6,B763="2012-2013",E763&gt;1000,G763="NPN05"),H763,"")</f>
        <v/>
      </c>
      <c r="BB763" s="44" t="str">
        <f>IF(AND(C763=Master!$H$6,B763="2012-2013",E763="",G763="NPN05"),H763,"")</f>
        <v/>
      </c>
      <c r="BC763" s="44" t="str">
        <f>IF(AND(C763=Master!$H$7,B763="2012-2013",E763&gt;1000,G763="NPN05"),H763,"")</f>
        <v/>
      </c>
      <c r="BD763" s="44" t="str">
        <f>IF(AND(C763=Master!$H$7,B763="2012-2013",E763="",G763="NPN05"),H763,"")</f>
        <v/>
      </c>
      <c r="BE763" s="44" t="str">
        <f>IF(AND(C763=Master!$H$8,B763="2012-2013",E763&gt;1000,G763="NPN05"),H763,"")</f>
        <v/>
      </c>
      <c r="BF763" s="44" t="str">
        <f>IF(AND(C763=Master!$H$8,B763="2012-2013",E763="",G763="NPN05"),H763,"")</f>
        <v/>
      </c>
      <c r="BG763" s="44" t="str">
        <f>IF(AND(C763=Master!$H$9,B763="2012-2013",E763&gt;1000,G763="NPN05"),H763,"")</f>
        <v/>
      </c>
      <c r="BH763" s="44" t="str">
        <f>IF(AND(C763=Master!$H$9,B763="2012-2013",E763="",G763="NPN05"),H763,"")</f>
        <v/>
      </c>
    </row>
    <row r="764" spans="1:60" x14ac:dyDescent="0.25">
      <c r="A764" s="3">
        <v>762</v>
      </c>
      <c r="B764" s="12"/>
      <c r="C764" s="12"/>
      <c r="D764" s="31"/>
      <c r="E764" s="4"/>
      <c r="F764" s="13"/>
      <c r="G764" s="21"/>
      <c r="H764" s="35"/>
      <c r="I764" s="21"/>
      <c r="J764" s="25" t="str">
        <f>IF(NOT(I764=""),INDEX(Master!$B$1:$B$46,MATCH(I764,Master!$A$1:$A$46,0)),"")</f>
        <v/>
      </c>
      <c r="K764" s="18"/>
      <c r="L764" s="86"/>
      <c r="M764" s="13"/>
      <c r="N764" s="13"/>
      <c r="O764" s="18"/>
      <c r="P764" s="35"/>
      <c r="Q764" s="21"/>
      <c r="R764" s="21"/>
      <c r="S764" s="13"/>
      <c r="T764" s="12"/>
      <c r="U764" s="12"/>
      <c r="V764" s="12"/>
      <c r="W764" s="14"/>
      <c r="Y764" s="42" t="str">
        <f>IF(AND(C764=Master!$H$1,B764="2012-2013",E764&gt;1000,G764="PLN03"),H764,"")</f>
        <v/>
      </c>
      <c r="Z764" s="42" t="str">
        <f>IF(AND(C764=Master!$H$1,B764="2012-2013",E764="",G764="PLN03"),H764,"")</f>
        <v/>
      </c>
      <c r="AA764" s="42" t="str">
        <f>IF(AND(C764=Master!$H$2,B764="2012-2013",E764&gt;1000,G764="PLN03"),H764,"")</f>
        <v/>
      </c>
      <c r="AB764" s="42" t="str">
        <f>IF(AND(C764=Master!$H$2,B764="2012-2013",E764="",G764="PLN03"),H764,"")</f>
        <v/>
      </c>
      <c r="AC764" s="42" t="str">
        <f>IF(AND(C764=Master!$H$3,B764="2012-2013",E764&gt;1000,G764="PLN03"),H764,"")</f>
        <v/>
      </c>
      <c r="AD764" s="42" t="str">
        <f>IF(AND(C764=Master!$H$3,B764="2012-2013",E764="",G764="PLN03"),H764,"")</f>
        <v/>
      </c>
      <c r="AE764" s="42" t="str">
        <f>IF(AND(C764=Master!$H$4,B764="2012-2013",E764&gt;1000,G764="PLN03"),H764,"")</f>
        <v/>
      </c>
      <c r="AF764" s="42" t="str">
        <f>IF(AND(C764=Master!$H$4,B764="2012-2013",E764="",G764="PLN03"),H764,"")</f>
        <v/>
      </c>
      <c r="AG764" s="42" t="str">
        <f>IF(AND(C764=Master!$H$5,B764="2012-2013",E764&gt;1000,G764="PLN03"),H764,"")</f>
        <v/>
      </c>
      <c r="AH764" s="42" t="str">
        <f>IF(AND(C764=Master!$H$5,B764="2012-2013",E764="",G764="PLN03"),H764,"")</f>
        <v/>
      </c>
      <c r="AI764" s="42" t="str">
        <f>IF(AND(C764=Master!$H$6,B764="2012-2013",E764&gt;1000,G764="PLN03"),H764,"")</f>
        <v/>
      </c>
      <c r="AJ764" s="42" t="str">
        <f>IF(AND(C764=Master!$H$6,B764="2012-2013",E764="",G764="PLN03"),H764,"")</f>
        <v/>
      </c>
      <c r="AK764" s="42" t="str">
        <f>IF(AND(C764=Master!$H$7,B764="2012-2013",E764&gt;1000,G764="PLN03"),H764,"")</f>
        <v/>
      </c>
      <c r="AL764" s="42" t="str">
        <f>IF(AND(C764=Master!$H$7,B764="2012-2013",E764="",G764="PLN03"),H764,"")</f>
        <v/>
      </c>
      <c r="AM764" s="42" t="str">
        <f>IF(AND(C764=Master!$H$8,B764="2012-2013",E764&gt;1000,G764="PLN03"),H764,"")</f>
        <v/>
      </c>
      <c r="AN764" s="42" t="str">
        <f>IF(AND(C764=Master!$H$8,B764="2012-2013",E764="",G764="PLN03"),H764,"")</f>
        <v/>
      </c>
      <c r="AO764" s="42" t="str">
        <f>IF(AND(C764=Master!$H$9,B764="2012-2013",E764&gt;1000,G764="PLN03"),H764,"")</f>
        <v/>
      </c>
      <c r="AP764" s="42" t="str">
        <f>IF(AND(C764=Master!$H$9,B764="2012-2013",E764="",G764="PLN03"),H764,"")</f>
        <v/>
      </c>
      <c r="AQ764" s="44" t="str">
        <f>IF(AND(C764=Master!$H$1,B764="2012-2013",E764&gt;1000,G764="NPN05"),H764,"")</f>
        <v/>
      </c>
      <c r="AR764" s="44" t="str">
        <f>IF(AND(C764=Master!$H$1,B764="2012-2013",E764="",G764="NPN05"),H764,"")</f>
        <v/>
      </c>
      <c r="AS764" s="44" t="str">
        <f>IF(AND(C764=Master!$H$2,B764="2012-2013",E764&gt;1000,G764="NPN05"),H764,"")</f>
        <v/>
      </c>
      <c r="AT764" s="44" t="str">
        <f>IF(AND(C764=Master!$H$2,B764="2012-2013",E764="",G764="NPN05"),H764,"")</f>
        <v/>
      </c>
      <c r="AU764" s="44" t="str">
        <f>IF(AND(C764=Master!$H$3,B764="2012-2013",E764&gt;1000,G764="NPN05"),H764,"")</f>
        <v/>
      </c>
      <c r="AV764" s="44" t="str">
        <f>IF(AND(C764=Master!$H$3,B764="2012-2013",E764="",G764="NPN05"),H764,"")</f>
        <v/>
      </c>
      <c r="AW764" s="44" t="str">
        <f>IF(AND(C764=Master!$H$4,B764="2012-2013",E764&gt;1000,G764="NPN05"),H764,"")</f>
        <v/>
      </c>
      <c r="AX764" s="44" t="str">
        <f>IF(AND(C764=Master!$H$4,B764="2012-2013",E764="",G764="NPN05"),H764,"")</f>
        <v/>
      </c>
      <c r="AY764" s="44" t="str">
        <f>IF(AND(C764=Master!$H$5,B764="2012-2013",E764&gt;1000,G764="NPN05"),H764,"")</f>
        <v/>
      </c>
      <c r="AZ764" s="44" t="str">
        <f>IF(AND(C764=Master!$H$5,B764="2012-2013",E764="",G764="NPN05"),H764,"")</f>
        <v/>
      </c>
      <c r="BA764" s="44" t="str">
        <f>IF(AND(C764=Master!$H$6,B764="2012-2013",E764&gt;1000,G764="NPN05"),H764,"")</f>
        <v/>
      </c>
      <c r="BB764" s="44" t="str">
        <f>IF(AND(C764=Master!$H$6,B764="2012-2013",E764="",G764="NPN05"),H764,"")</f>
        <v/>
      </c>
      <c r="BC764" s="44" t="str">
        <f>IF(AND(C764=Master!$H$7,B764="2012-2013",E764&gt;1000,G764="NPN05"),H764,"")</f>
        <v/>
      </c>
      <c r="BD764" s="44" t="str">
        <f>IF(AND(C764=Master!$H$7,B764="2012-2013",E764="",G764="NPN05"),H764,"")</f>
        <v/>
      </c>
      <c r="BE764" s="44" t="str">
        <f>IF(AND(C764=Master!$H$8,B764="2012-2013",E764&gt;1000,G764="NPN05"),H764,"")</f>
        <v/>
      </c>
      <c r="BF764" s="44" t="str">
        <f>IF(AND(C764=Master!$H$8,B764="2012-2013",E764="",G764="NPN05"),H764,"")</f>
        <v/>
      </c>
      <c r="BG764" s="44" t="str">
        <f>IF(AND(C764=Master!$H$9,B764="2012-2013",E764&gt;1000,G764="NPN05"),H764,"")</f>
        <v/>
      </c>
      <c r="BH764" s="44" t="str">
        <f>IF(AND(C764=Master!$H$9,B764="2012-2013",E764="",G764="NPN05"),H764,"")</f>
        <v/>
      </c>
    </row>
    <row r="765" spans="1:60" x14ac:dyDescent="0.25">
      <c r="A765" s="3">
        <v>763</v>
      </c>
      <c r="B765" s="12"/>
      <c r="C765" s="12"/>
      <c r="D765" s="31"/>
      <c r="E765" s="4"/>
      <c r="F765" s="13"/>
      <c r="G765" s="21"/>
      <c r="H765" s="35"/>
      <c r="I765" s="21"/>
      <c r="J765" s="25" t="str">
        <f>IF(NOT(I765=""),INDEX(Master!$B$1:$B$46,MATCH(I765,Master!$A$1:$A$46,0)),"")</f>
        <v/>
      </c>
      <c r="K765" s="18"/>
      <c r="L765" s="86"/>
      <c r="M765" s="13"/>
      <c r="N765" s="13"/>
      <c r="O765" s="18"/>
      <c r="P765" s="35"/>
      <c r="Q765" s="21"/>
      <c r="R765" s="21"/>
      <c r="S765" s="13"/>
      <c r="T765" s="12"/>
      <c r="U765" s="12"/>
      <c r="V765" s="12"/>
      <c r="W765" s="14"/>
      <c r="Y765" s="42" t="str">
        <f>IF(AND(C765=Master!$H$1,B765="2012-2013",E765&gt;1000,G765="PLN03"),H765,"")</f>
        <v/>
      </c>
      <c r="Z765" s="42" t="str">
        <f>IF(AND(C765=Master!$H$1,B765="2012-2013",E765="",G765="PLN03"),H765,"")</f>
        <v/>
      </c>
      <c r="AA765" s="42" t="str">
        <f>IF(AND(C765=Master!$H$2,B765="2012-2013",E765&gt;1000,G765="PLN03"),H765,"")</f>
        <v/>
      </c>
      <c r="AB765" s="42" t="str">
        <f>IF(AND(C765=Master!$H$2,B765="2012-2013",E765="",G765="PLN03"),H765,"")</f>
        <v/>
      </c>
      <c r="AC765" s="42" t="str">
        <f>IF(AND(C765=Master!$H$3,B765="2012-2013",E765&gt;1000,G765="PLN03"),H765,"")</f>
        <v/>
      </c>
      <c r="AD765" s="42" t="str">
        <f>IF(AND(C765=Master!$H$3,B765="2012-2013",E765="",G765="PLN03"),H765,"")</f>
        <v/>
      </c>
      <c r="AE765" s="42" t="str">
        <f>IF(AND(C765=Master!$H$4,B765="2012-2013",E765&gt;1000,G765="PLN03"),H765,"")</f>
        <v/>
      </c>
      <c r="AF765" s="42" t="str">
        <f>IF(AND(C765=Master!$H$4,B765="2012-2013",E765="",G765="PLN03"),H765,"")</f>
        <v/>
      </c>
      <c r="AG765" s="42" t="str">
        <f>IF(AND(C765=Master!$H$5,B765="2012-2013",E765&gt;1000,G765="PLN03"),H765,"")</f>
        <v/>
      </c>
      <c r="AH765" s="42" t="str">
        <f>IF(AND(C765=Master!$H$5,B765="2012-2013",E765="",G765="PLN03"),H765,"")</f>
        <v/>
      </c>
      <c r="AI765" s="42" t="str">
        <f>IF(AND(C765=Master!$H$6,B765="2012-2013",E765&gt;1000,G765="PLN03"),H765,"")</f>
        <v/>
      </c>
      <c r="AJ765" s="42" t="str">
        <f>IF(AND(C765=Master!$H$6,B765="2012-2013",E765="",G765="PLN03"),H765,"")</f>
        <v/>
      </c>
      <c r="AK765" s="42" t="str">
        <f>IF(AND(C765=Master!$H$7,B765="2012-2013",E765&gt;1000,G765="PLN03"),H765,"")</f>
        <v/>
      </c>
      <c r="AL765" s="42" t="str">
        <f>IF(AND(C765=Master!$H$7,B765="2012-2013",E765="",G765="PLN03"),H765,"")</f>
        <v/>
      </c>
      <c r="AM765" s="42" t="str">
        <f>IF(AND(C765=Master!$H$8,B765="2012-2013",E765&gt;1000,G765="PLN03"),H765,"")</f>
        <v/>
      </c>
      <c r="AN765" s="42" t="str">
        <f>IF(AND(C765=Master!$H$8,B765="2012-2013",E765="",G765="PLN03"),H765,"")</f>
        <v/>
      </c>
      <c r="AO765" s="42" t="str">
        <f>IF(AND(C765=Master!$H$9,B765="2012-2013",E765&gt;1000,G765="PLN03"),H765,"")</f>
        <v/>
      </c>
      <c r="AP765" s="42" t="str">
        <f>IF(AND(C765=Master!$H$9,B765="2012-2013",E765="",G765="PLN03"),H765,"")</f>
        <v/>
      </c>
      <c r="AQ765" s="44" t="str">
        <f>IF(AND(C765=Master!$H$1,B765="2012-2013",E765&gt;1000,G765="NPN05"),H765,"")</f>
        <v/>
      </c>
      <c r="AR765" s="44" t="str">
        <f>IF(AND(C765=Master!$H$1,B765="2012-2013",E765="",G765="NPN05"),H765,"")</f>
        <v/>
      </c>
      <c r="AS765" s="44" t="str">
        <f>IF(AND(C765=Master!$H$2,B765="2012-2013",E765&gt;1000,G765="NPN05"),H765,"")</f>
        <v/>
      </c>
      <c r="AT765" s="44" t="str">
        <f>IF(AND(C765=Master!$H$2,B765="2012-2013",E765="",G765="NPN05"),H765,"")</f>
        <v/>
      </c>
      <c r="AU765" s="44" t="str">
        <f>IF(AND(C765=Master!$H$3,B765="2012-2013",E765&gt;1000,G765="NPN05"),H765,"")</f>
        <v/>
      </c>
      <c r="AV765" s="44" t="str">
        <f>IF(AND(C765=Master!$H$3,B765="2012-2013",E765="",G765="NPN05"),H765,"")</f>
        <v/>
      </c>
      <c r="AW765" s="44" t="str">
        <f>IF(AND(C765=Master!$H$4,B765="2012-2013",E765&gt;1000,G765="NPN05"),H765,"")</f>
        <v/>
      </c>
      <c r="AX765" s="44" t="str">
        <f>IF(AND(C765=Master!$H$4,B765="2012-2013",E765="",G765="NPN05"),H765,"")</f>
        <v/>
      </c>
      <c r="AY765" s="44" t="str">
        <f>IF(AND(C765=Master!$H$5,B765="2012-2013",E765&gt;1000,G765="NPN05"),H765,"")</f>
        <v/>
      </c>
      <c r="AZ765" s="44" t="str">
        <f>IF(AND(C765=Master!$H$5,B765="2012-2013",E765="",G765="NPN05"),H765,"")</f>
        <v/>
      </c>
      <c r="BA765" s="44" t="str">
        <f>IF(AND(C765=Master!$H$6,B765="2012-2013",E765&gt;1000,G765="NPN05"),H765,"")</f>
        <v/>
      </c>
      <c r="BB765" s="44" t="str">
        <f>IF(AND(C765=Master!$H$6,B765="2012-2013",E765="",G765="NPN05"),H765,"")</f>
        <v/>
      </c>
      <c r="BC765" s="44" t="str">
        <f>IF(AND(C765=Master!$H$7,B765="2012-2013",E765&gt;1000,G765="NPN05"),H765,"")</f>
        <v/>
      </c>
      <c r="BD765" s="44" t="str">
        <f>IF(AND(C765=Master!$H$7,B765="2012-2013",E765="",G765="NPN05"),H765,"")</f>
        <v/>
      </c>
      <c r="BE765" s="44" t="str">
        <f>IF(AND(C765=Master!$H$8,B765="2012-2013",E765&gt;1000,G765="NPN05"),H765,"")</f>
        <v/>
      </c>
      <c r="BF765" s="44" t="str">
        <f>IF(AND(C765=Master!$H$8,B765="2012-2013",E765="",G765="NPN05"),H765,"")</f>
        <v/>
      </c>
      <c r="BG765" s="44" t="str">
        <f>IF(AND(C765=Master!$H$9,B765="2012-2013",E765&gt;1000,G765="NPN05"),H765,"")</f>
        <v/>
      </c>
      <c r="BH765" s="44" t="str">
        <f>IF(AND(C765=Master!$H$9,B765="2012-2013",E765="",G765="NPN05"),H765,"")</f>
        <v/>
      </c>
    </row>
    <row r="766" spans="1:60" x14ac:dyDescent="0.25">
      <c r="A766" s="3">
        <v>764</v>
      </c>
      <c r="B766" s="12"/>
      <c r="C766" s="12"/>
      <c r="D766" s="31"/>
      <c r="E766" s="4"/>
      <c r="F766" s="13"/>
      <c r="G766" s="21"/>
      <c r="H766" s="35"/>
      <c r="I766" s="21"/>
      <c r="J766" s="25" t="str">
        <f>IF(NOT(I766=""),INDEX(Master!$B$1:$B$46,MATCH(I766,Master!$A$1:$A$46,0)),"")</f>
        <v/>
      </c>
      <c r="K766" s="18"/>
      <c r="L766" s="86"/>
      <c r="M766" s="13"/>
      <c r="N766" s="13"/>
      <c r="O766" s="18"/>
      <c r="P766" s="35"/>
      <c r="Q766" s="21"/>
      <c r="R766" s="21"/>
      <c r="S766" s="13"/>
      <c r="T766" s="12"/>
      <c r="U766" s="12"/>
      <c r="V766" s="12"/>
      <c r="W766" s="14"/>
      <c r="Y766" s="42" t="str">
        <f>IF(AND(C766=Master!$H$1,B766="2012-2013",E766&gt;1000,G766="PLN03"),H766,"")</f>
        <v/>
      </c>
      <c r="Z766" s="42" t="str">
        <f>IF(AND(C766=Master!$H$1,B766="2012-2013",E766="",G766="PLN03"),H766,"")</f>
        <v/>
      </c>
      <c r="AA766" s="42" t="str">
        <f>IF(AND(C766=Master!$H$2,B766="2012-2013",E766&gt;1000,G766="PLN03"),H766,"")</f>
        <v/>
      </c>
      <c r="AB766" s="42" t="str">
        <f>IF(AND(C766=Master!$H$2,B766="2012-2013",E766="",G766="PLN03"),H766,"")</f>
        <v/>
      </c>
      <c r="AC766" s="42" t="str">
        <f>IF(AND(C766=Master!$H$3,B766="2012-2013",E766&gt;1000,G766="PLN03"),H766,"")</f>
        <v/>
      </c>
      <c r="AD766" s="42" t="str">
        <f>IF(AND(C766=Master!$H$3,B766="2012-2013",E766="",G766="PLN03"),H766,"")</f>
        <v/>
      </c>
      <c r="AE766" s="42" t="str">
        <f>IF(AND(C766=Master!$H$4,B766="2012-2013",E766&gt;1000,G766="PLN03"),H766,"")</f>
        <v/>
      </c>
      <c r="AF766" s="42" t="str">
        <f>IF(AND(C766=Master!$H$4,B766="2012-2013",E766="",G766="PLN03"),H766,"")</f>
        <v/>
      </c>
      <c r="AG766" s="42" t="str">
        <f>IF(AND(C766=Master!$H$5,B766="2012-2013",E766&gt;1000,G766="PLN03"),H766,"")</f>
        <v/>
      </c>
      <c r="AH766" s="42" t="str">
        <f>IF(AND(C766=Master!$H$5,B766="2012-2013",E766="",G766="PLN03"),H766,"")</f>
        <v/>
      </c>
      <c r="AI766" s="42" t="str">
        <f>IF(AND(C766=Master!$H$6,B766="2012-2013",E766&gt;1000,G766="PLN03"),H766,"")</f>
        <v/>
      </c>
      <c r="AJ766" s="42" t="str">
        <f>IF(AND(C766=Master!$H$6,B766="2012-2013",E766="",G766="PLN03"),H766,"")</f>
        <v/>
      </c>
      <c r="AK766" s="42" t="str">
        <f>IF(AND(C766=Master!$H$7,B766="2012-2013",E766&gt;1000,G766="PLN03"),H766,"")</f>
        <v/>
      </c>
      <c r="AL766" s="42" t="str">
        <f>IF(AND(C766=Master!$H$7,B766="2012-2013",E766="",G766="PLN03"),H766,"")</f>
        <v/>
      </c>
      <c r="AM766" s="42" t="str">
        <f>IF(AND(C766=Master!$H$8,B766="2012-2013",E766&gt;1000,G766="PLN03"),H766,"")</f>
        <v/>
      </c>
      <c r="AN766" s="42" t="str">
        <f>IF(AND(C766=Master!$H$8,B766="2012-2013",E766="",G766="PLN03"),H766,"")</f>
        <v/>
      </c>
      <c r="AO766" s="42" t="str">
        <f>IF(AND(C766=Master!$H$9,B766="2012-2013",E766&gt;1000,G766="PLN03"),H766,"")</f>
        <v/>
      </c>
      <c r="AP766" s="42" t="str">
        <f>IF(AND(C766=Master!$H$9,B766="2012-2013",E766="",G766="PLN03"),H766,"")</f>
        <v/>
      </c>
      <c r="AQ766" s="44" t="str">
        <f>IF(AND(C766=Master!$H$1,B766="2012-2013",E766&gt;1000,G766="NPN05"),H766,"")</f>
        <v/>
      </c>
      <c r="AR766" s="44" t="str">
        <f>IF(AND(C766=Master!$H$1,B766="2012-2013",E766="",G766="NPN05"),H766,"")</f>
        <v/>
      </c>
      <c r="AS766" s="44" t="str">
        <f>IF(AND(C766=Master!$H$2,B766="2012-2013",E766&gt;1000,G766="NPN05"),H766,"")</f>
        <v/>
      </c>
      <c r="AT766" s="44" t="str">
        <f>IF(AND(C766=Master!$H$2,B766="2012-2013",E766="",G766="NPN05"),H766,"")</f>
        <v/>
      </c>
      <c r="AU766" s="44" t="str">
        <f>IF(AND(C766=Master!$H$3,B766="2012-2013",E766&gt;1000,G766="NPN05"),H766,"")</f>
        <v/>
      </c>
      <c r="AV766" s="44" t="str">
        <f>IF(AND(C766=Master!$H$3,B766="2012-2013",E766="",G766="NPN05"),H766,"")</f>
        <v/>
      </c>
      <c r="AW766" s="44" t="str">
        <f>IF(AND(C766=Master!$H$4,B766="2012-2013",E766&gt;1000,G766="NPN05"),H766,"")</f>
        <v/>
      </c>
      <c r="AX766" s="44" t="str">
        <f>IF(AND(C766=Master!$H$4,B766="2012-2013",E766="",G766="NPN05"),H766,"")</f>
        <v/>
      </c>
      <c r="AY766" s="44" t="str">
        <f>IF(AND(C766=Master!$H$5,B766="2012-2013",E766&gt;1000,G766="NPN05"),H766,"")</f>
        <v/>
      </c>
      <c r="AZ766" s="44" t="str">
        <f>IF(AND(C766=Master!$H$5,B766="2012-2013",E766="",G766="NPN05"),H766,"")</f>
        <v/>
      </c>
      <c r="BA766" s="44" t="str">
        <f>IF(AND(C766=Master!$H$6,B766="2012-2013",E766&gt;1000,G766="NPN05"),H766,"")</f>
        <v/>
      </c>
      <c r="BB766" s="44" t="str">
        <f>IF(AND(C766=Master!$H$6,B766="2012-2013",E766="",G766="NPN05"),H766,"")</f>
        <v/>
      </c>
      <c r="BC766" s="44" t="str">
        <f>IF(AND(C766=Master!$H$7,B766="2012-2013",E766&gt;1000,G766="NPN05"),H766,"")</f>
        <v/>
      </c>
      <c r="BD766" s="44" t="str">
        <f>IF(AND(C766=Master!$H$7,B766="2012-2013",E766="",G766="NPN05"),H766,"")</f>
        <v/>
      </c>
      <c r="BE766" s="44" t="str">
        <f>IF(AND(C766=Master!$H$8,B766="2012-2013",E766&gt;1000,G766="NPN05"),H766,"")</f>
        <v/>
      </c>
      <c r="BF766" s="44" t="str">
        <f>IF(AND(C766=Master!$H$8,B766="2012-2013",E766="",G766="NPN05"),H766,"")</f>
        <v/>
      </c>
      <c r="BG766" s="44" t="str">
        <f>IF(AND(C766=Master!$H$9,B766="2012-2013",E766&gt;1000,G766="NPN05"),H766,"")</f>
        <v/>
      </c>
      <c r="BH766" s="44" t="str">
        <f>IF(AND(C766=Master!$H$9,B766="2012-2013",E766="",G766="NPN05"),H766,"")</f>
        <v/>
      </c>
    </row>
    <row r="767" spans="1:60" x14ac:dyDescent="0.25">
      <c r="A767" s="3">
        <v>765</v>
      </c>
      <c r="B767" s="12"/>
      <c r="C767" s="12"/>
      <c r="D767" s="31"/>
      <c r="E767" s="4"/>
      <c r="F767" s="13"/>
      <c r="G767" s="21"/>
      <c r="H767" s="35"/>
      <c r="I767" s="21"/>
      <c r="J767" s="25" t="str">
        <f>IF(NOT(I767=""),INDEX(Master!$B$1:$B$46,MATCH(I767,Master!$A$1:$A$46,0)),"")</f>
        <v/>
      </c>
      <c r="K767" s="18"/>
      <c r="L767" s="86"/>
      <c r="M767" s="13"/>
      <c r="N767" s="13"/>
      <c r="O767" s="18"/>
      <c r="P767" s="35"/>
      <c r="Q767" s="21"/>
      <c r="R767" s="21"/>
      <c r="S767" s="13"/>
      <c r="T767" s="12"/>
      <c r="U767" s="12"/>
      <c r="V767" s="12"/>
      <c r="W767" s="14"/>
      <c r="Y767" s="42" t="str">
        <f>IF(AND(C767=Master!$H$1,B767="2012-2013",E767&gt;1000,G767="PLN03"),H767,"")</f>
        <v/>
      </c>
      <c r="Z767" s="42" t="str">
        <f>IF(AND(C767=Master!$H$1,B767="2012-2013",E767="",G767="PLN03"),H767,"")</f>
        <v/>
      </c>
      <c r="AA767" s="42" t="str">
        <f>IF(AND(C767=Master!$H$2,B767="2012-2013",E767&gt;1000,G767="PLN03"),H767,"")</f>
        <v/>
      </c>
      <c r="AB767" s="42" t="str">
        <f>IF(AND(C767=Master!$H$2,B767="2012-2013",E767="",G767="PLN03"),H767,"")</f>
        <v/>
      </c>
      <c r="AC767" s="42" t="str">
        <f>IF(AND(C767=Master!$H$3,B767="2012-2013",E767&gt;1000,G767="PLN03"),H767,"")</f>
        <v/>
      </c>
      <c r="AD767" s="42" t="str">
        <f>IF(AND(C767=Master!$H$3,B767="2012-2013",E767="",G767="PLN03"),H767,"")</f>
        <v/>
      </c>
      <c r="AE767" s="42" t="str">
        <f>IF(AND(C767=Master!$H$4,B767="2012-2013",E767&gt;1000,G767="PLN03"),H767,"")</f>
        <v/>
      </c>
      <c r="AF767" s="42" t="str">
        <f>IF(AND(C767=Master!$H$4,B767="2012-2013",E767="",G767="PLN03"),H767,"")</f>
        <v/>
      </c>
      <c r="AG767" s="42" t="str">
        <f>IF(AND(C767=Master!$H$5,B767="2012-2013",E767&gt;1000,G767="PLN03"),H767,"")</f>
        <v/>
      </c>
      <c r="AH767" s="42" t="str">
        <f>IF(AND(C767=Master!$H$5,B767="2012-2013",E767="",G767="PLN03"),H767,"")</f>
        <v/>
      </c>
      <c r="AI767" s="42" t="str">
        <f>IF(AND(C767=Master!$H$6,B767="2012-2013",E767&gt;1000,G767="PLN03"),H767,"")</f>
        <v/>
      </c>
      <c r="AJ767" s="42" t="str">
        <f>IF(AND(C767=Master!$H$6,B767="2012-2013",E767="",G767="PLN03"),H767,"")</f>
        <v/>
      </c>
      <c r="AK767" s="42" t="str">
        <f>IF(AND(C767=Master!$H$7,B767="2012-2013",E767&gt;1000,G767="PLN03"),H767,"")</f>
        <v/>
      </c>
      <c r="AL767" s="42" t="str">
        <f>IF(AND(C767=Master!$H$7,B767="2012-2013",E767="",G767="PLN03"),H767,"")</f>
        <v/>
      </c>
      <c r="AM767" s="42" t="str">
        <f>IF(AND(C767=Master!$H$8,B767="2012-2013",E767&gt;1000,G767="PLN03"),H767,"")</f>
        <v/>
      </c>
      <c r="AN767" s="42" t="str">
        <f>IF(AND(C767=Master!$H$8,B767="2012-2013",E767="",G767="PLN03"),H767,"")</f>
        <v/>
      </c>
      <c r="AO767" s="42" t="str">
        <f>IF(AND(C767=Master!$H$9,B767="2012-2013",E767&gt;1000,G767="PLN03"),H767,"")</f>
        <v/>
      </c>
      <c r="AP767" s="42" t="str">
        <f>IF(AND(C767=Master!$H$9,B767="2012-2013",E767="",G767="PLN03"),H767,"")</f>
        <v/>
      </c>
      <c r="AQ767" s="44" t="str">
        <f>IF(AND(C767=Master!$H$1,B767="2012-2013",E767&gt;1000,G767="NPN05"),H767,"")</f>
        <v/>
      </c>
      <c r="AR767" s="44" t="str">
        <f>IF(AND(C767=Master!$H$1,B767="2012-2013",E767="",G767="NPN05"),H767,"")</f>
        <v/>
      </c>
      <c r="AS767" s="44" t="str">
        <f>IF(AND(C767=Master!$H$2,B767="2012-2013",E767&gt;1000,G767="NPN05"),H767,"")</f>
        <v/>
      </c>
      <c r="AT767" s="44" t="str">
        <f>IF(AND(C767=Master!$H$2,B767="2012-2013",E767="",G767="NPN05"),H767,"")</f>
        <v/>
      </c>
      <c r="AU767" s="44" t="str">
        <f>IF(AND(C767=Master!$H$3,B767="2012-2013",E767&gt;1000,G767="NPN05"),H767,"")</f>
        <v/>
      </c>
      <c r="AV767" s="44" t="str">
        <f>IF(AND(C767=Master!$H$3,B767="2012-2013",E767="",G767="NPN05"),H767,"")</f>
        <v/>
      </c>
      <c r="AW767" s="44" t="str">
        <f>IF(AND(C767=Master!$H$4,B767="2012-2013",E767&gt;1000,G767="NPN05"),H767,"")</f>
        <v/>
      </c>
      <c r="AX767" s="44" t="str">
        <f>IF(AND(C767=Master!$H$4,B767="2012-2013",E767="",G767="NPN05"),H767,"")</f>
        <v/>
      </c>
      <c r="AY767" s="44" t="str">
        <f>IF(AND(C767=Master!$H$5,B767="2012-2013",E767&gt;1000,G767="NPN05"),H767,"")</f>
        <v/>
      </c>
      <c r="AZ767" s="44" t="str">
        <f>IF(AND(C767=Master!$H$5,B767="2012-2013",E767="",G767="NPN05"),H767,"")</f>
        <v/>
      </c>
      <c r="BA767" s="44" t="str">
        <f>IF(AND(C767=Master!$H$6,B767="2012-2013",E767&gt;1000,G767="NPN05"),H767,"")</f>
        <v/>
      </c>
      <c r="BB767" s="44" t="str">
        <f>IF(AND(C767=Master!$H$6,B767="2012-2013",E767="",G767="NPN05"),H767,"")</f>
        <v/>
      </c>
      <c r="BC767" s="44" t="str">
        <f>IF(AND(C767=Master!$H$7,B767="2012-2013",E767&gt;1000,G767="NPN05"),H767,"")</f>
        <v/>
      </c>
      <c r="BD767" s="44" t="str">
        <f>IF(AND(C767=Master!$H$7,B767="2012-2013",E767="",G767="NPN05"),H767,"")</f>
        <v/>
      </c>
      <c r="BE767" s="44" t="str">
        <f>IF(AND(C767=Master!$H$8,B767="2012-2013",E767&gt;1000,G767="NPN05"),H767,"")</f>
        <v/>
      </c>
      <c r="BF767" s="44" t="str">
        <f>IF(AND(C767=Master!$H$8,B767="2012-2013",E767="",G767="NPN05"),H767,"")</f>
        <v/>
      </c>
      <c r="BG767" s="44" t="str">
        <f>IF(AND(C767=Master!$H$9,B767="2012-2013",E767&gt;1000,G767="NPN05"),H767,"")</f>
        <v/>
      </c>
      <c r="BH767" s="44" t="str">
        <f>IF(AND(C767=Master!$H$9,B767="2012-2013",E767="",G767="NPN05"),H767,"")</f>
        <v/>
      </c>
    </row>
    <row r="768" spans="1:60" x14ac:dyDescent="0.25">
      <c r="A768" s="3">
        <v>766</v>
      </c>
      <c r="B768" s="12"/>
      <c r="C768" s="12"/>
      <c r="D768" s="31"/>
      <c r="E768" s="4"/>
      <c r="F768" s="13"/>
      <c r="G768" s="21"/>
      <c r="H768" s="35"/>
      <c r="I768" s="21"/>
      <c r="J768" s="25" t="str">
        <f>IF(NOT(I768=""),INDEX(Master!$B$1:$B$46,MATCH(I768,Master!$A$1:$A$46,0)),"")</f>
        <v/>
      </c>
      <c r="K768" s="18"/>
      <c r="L768" s="86"/>
      <c r="M768" s="13"/>
      <c r="N768" s="13"/>
      <c r="O768" s="18"/>
      <c r="P768" s="35"/>
      <c r="Q768" s="21"/>
      <c r="R768" s="21"/>
      <c r="S768" s="13"/>
      <c r="T768" s="12"/>
      <c r="U768" s="12"/>
      <c r="V768" s="12"/>
      <c r="W768" s="14"/>
      <c r="Y768" s="42" t="str">
        <f>IF(AND(C768=Master!$H$1,B768="2012-2013",E768&gt;1000,G768="PLN03"),H768,"")</f>
        <v/>
      </c>
      <c r="Z768" s="42" t="str">
        <f>IF(AND(C768=Master!$H$1,B768="2012-2013",E768="",G768="PLN03"),H768,"")</f>
        <v/>
      </c>
      <c r="AA768" s="42" t="str">
        <f>IF(AND(C768=Master!$H$2,B768="2012-2013",E768&gt;1000,G768="PLN03"),H768,"")</f>
        <v/>
      </c>
      <c r="AB768" s="42" t="str">
        <f>IF(AND(C768=Master!$H$2,B768="2012-2013",E768="",G768="PLN03"),H768,"")</f>
        <v/>
      </c>
      <c r="AC768" s="42" t="str">
        <f>IF(AND(C768=Master!$H$3,B768="2012-2013",E768&gt;1000,G768="PLN03"),H768,"")</f>
        <v/>
      </c>
      <c r="AD768" s="42" t="str">
        <f>IF(AND(C768=Master!$H$3,B768="2012-2013",E768="",G768="PLN03"),H768,"")</f>
        <v/>
      </c>
      <c r="AE768" s="42" t="str">
        <f>IF(AND(C768=Master!$H$4,B768="2012-2013",E768&gt;1000,G768="PLN03"),H768,"")</f>
        <v/>
      </c>
      <c r="AF768" s="42" t="str">
        <f>IF(AND(C768=Master!$H$4,B768="2012-2013",E768="",G768="PLN03"),H768,"")</f>
        <v/>
      </c>
      <c r="AG768" s="42" t="str">
        <f>IF(AND(C768=Master!$H$5,B768="2012-2013",E768&gt;1000,G768="PLN03"),H768,"")</f>
        <v/>
      </c>
      <c r="AH768" s="42" t="str">
        <f>IF(AND(C768=Master!$H$5,B768="2012-2013",E768="",G768="PLN03"),H768,"")</f>
        <v/>
      </c>
      <c r="AI768" s="42" t="str">
        <f>IF(AND(C768=Master!$H$6,B768="2012-2013",E768&gt;1000,G768="PLN03"),H768,"")</f>
        <v/>
      </c>
      <c r="AJ768" s="42" t="str">
        <f>IF(AND(C768=Master!$H$6,B768="2012-2013",E768="",G768="PLN03"),H768,"")</f>
        <v/>
      </c>
      <c r="AK768" s="42" t="str">
        <f>IF(AND(C768=Master!$H$7,B768="2012-2013",E768&gt;1000,G768="PLN03"),H768,"")</f>
        <v/>
      </c>
      <c r="AL768" s="42" t="str">
        <f>IF(AND(C768=Master!$H$7,B768="2012-2013",E768="",G768="PLN03"),H768,"")</f>
        <v/>
      </c>
      <c r="AM768" s="42" t="str">
        <f>IF(AND(C768=Master!$H$8,B768="2012-2013",E768&gt;1000,G768="PLN03"),H768,"")</f>
        <v/>
      </c>
      <c r="AN768" s="42" t="str">
        <f>IF(AND(C768=Master!$H$8,B768="2012-2013",E768="",G768="PLN03"),H768,"")</f>
        <v/>
      </c>
      <c r="AO768" s="42" t="str">
        <f>IF(AND(C768=Master!$H$9,B768="2012-2013",E768&gt;1000,G768="PLN03"),H768,"")</f>
        <v/>
      </c>
      <c r="AP768" s="42" t="str">
        <f>IF(AND(C768=Master!$H$9,B768="2012-2013",E768="",G768="PLN03"),H768,"")</f>
        <v/>
      </c>
      <c r="AQ768" s="44" t="str">
        <f>IF(AND(C768=Master!$H$1,B768="2012-2013",E768&gt;1000,G768="NPN05"),H768,"")</f>
        <v/>
      </c>
      <c r="AR768" s="44" t="str">
        <f>IF(AND(C768=Master!$H$1,B768="2012-2013",E768="",G768="NPN05"),H768,"")</f>
        <v/>
      </c>
      <c r="AS768" s="44" t="str">
        <f>IF(AND(C768=Master!$H$2,B768="2012-2013",E768&gt;1000,G768="NPN05"),H768,"")</f>
        <v/>
      </c>
      <c r="AT768" s="44" t="str">
        <f>IF(AND(C768=Master!$H$2,B768="2012-2013",E768="",G768="NPN05"),H768,"")</f>
        <v/>
      </c>
      <c r="AU768" s="44" t="str">
        <f>IF(AND(C768=Master!$H$3,B768="2012-2013",E768&gt;1000,G768="NPN05"),H768,"")</f>
        <v/>
      </c>
      <c r="AV768" s="44" t="str">
        <f>IF(AND(C768=Master!$H$3,B768="2012-2013",E768="",G768="NPN05"),H768,"")</f>
        <v/>
      </c>
      <c r="AW768" s="44" t="str">
        <f>IF(AND(C768=Master!$H$4,B768="2012-2013",E768&gt;1000,G768="NPN05"),H768,"")</f>
        <v/>
      </c>
      <c r="AX768" s="44" t="str">
        <f>IF(AND(C768=Master!$H$4,B768="2012-2013",E768="",G768="NPN05"),H768,"")</f>
        <v/>
      </c>
      <c r="AY768" s="44" t="str">
        <f>IF(AND(C768=Master!$H$5,B768="2012-2013",E768&gt;1000,G768="NPN05"),H768,"")</f>
        <v/>
      </c>
      <c r="AZ768" s="44" t="str">
        <f>IF(AND(C768=Master!$H$5,B768="2012-2013",E768="",G768="NPN05"),H768,"")</f>
        <v/>
      </c>
      <c r="BA768" s="44" t="str">
        <f>IF(AND(C768=Master!$H$6,B768="2012-2013",E768&gt;1000,G768="NPN05"),H768,"")</f>
        <v/>
      </c>
      <c r="BB768" s="44" t="str">
        <f>IF(AND(C768=Master!$H$6,B768="2012-2013",E768="",G768="NPN05"),H768,"")</f>
        <v/>
      </c>
      <c r="BC768" s="44" t="str">
        <f>IF(AND(C768=Master!$H$7,B768="2012-2013",E768&gt;1000,G768="NPN05"),H768,"")</f>
        <v/>
      </c>
      <c r="BD768" s="44" t="str">
        <f>IF(AND(C768=Master!$H$7,B768="2012-2013",E768="",G768="NPN05"),H768,"")</f>
        <v/>
      </c>
      <c r="BE768" s="44" t="str">
        <f>IF(AND(C768=Master!$H$8,B768="2012-2013",E768&gt;1000,G768="NPN05"),H768,"")</f>
        <v/>
      </c>
      <c r="BF768" s="44" t="str">
        <f>IF(AND(C768=Master!$H$8,B768="2012-2013",E768="",G768="NPN05"),H768,"")</f>
        <v/>
      </c>
      <c r="BG768" s="44" t="str">
        <f>IF(AND(C768=Master!$H$9,B768="2012-2013",E768&gt;1000,G768="NPN05"),H768,"")</f>
        <v/>
      </c>
      <c r="BH768" s="44" t="str">
        <f>IF(AND(C768=Master!$H$9,B768="2012-2013",E768="",G768="NPN05"),H768,"")</f>
        <v/>
      </c>
    </row>
    <row r="769" spans="1:60" x14ac:dyDescent="0.25">
      <c r="A769" s="5">
        <v>767</v>
      </c>
      <c r="B769" s="12"/>
      <c r="C769" s="12"/>
      <c r="D769" s="31"/>
      <c r="E769" s="4"/>
      <c r="F769" s="13"/>
      <c r="G769" s="21"/>
      <c r="H769" s="35"/>
      <c r="I769" s="21"/>
      <c r="J769" s="25" t="str">
        <f>IF(NOT(I769=""),INDEX(Master!$B$1:$B$46,MATCH(I769,Master!$A$1:$A$46,0)),"")</f>
        <v/>
      </c>
      <c r="K769" s="18"/>
      <c r="L769" s="86"/>
      <c r="M769" s="13"/>
      <c r="N769" s="13"/>
      <c r="O769" s="18"/>
      <c r="P769" s="35"/>
      <c r="Q769" s="21"/>
      <c r="R769" s="21"/>
      <c r="S769" s="13"/>
      <c r="T769" s="12"/>
      <c r="U769" s="12"/>
      <c r="V769" s="12"/>
      <c r="W769" s="14"/>
      <c r="Y769" s="42" t="str">
        <f>IF(AND(C769=Master!$H$1,B769="2012-2013",E769&gt;1000,G769="PLN03"),H769,"")</f>
        <v/>
      </c>
      <c r="Z769" s="42" t="str">
        <f>IF(AND(C769=Master!$H$1,B769="2012-2013",E769="",G769="PLN03"),H769,"")</f>
        <v/>
      </c>
      <c r="AA769" s="42" t="str">
        <f>IF(AND(C769=Master!$H$2,B769="2012-2013",E769&gt;1000,G769="PLN03"),H769,"")</f>
        <v/>
      </c>
      <c r="AB769" s="42" t="str">
        <f>IF(AND(C769=Master!$H$2,B769="2012-2013",E769="",G769="PLN03"),H769,"")</f>
        <v/>
      </c>
      <c r="AC769" s="42" t="str">
        <f>IF(AND(C769=Master!$H$3,B769="2012-2013",E769&gt;1000,G769="PLN03"),H769,"")</f>
        <v/>
      </c>
      <c r="AD769" s="42" t="str">
        <f>IF(AND(C769=Master!$H$3,B769="2012-2013",E769="",G769="PLN03"),H769,"")</f>
        <v/>
      </c>
      <c r="AE769" s="42" t="str">
        <f>IF(AND(C769=Master!$H$4,B769="2012-2013",E769&gt;1000,G769="PLN03"),H769,"")</f>
        <v/>
      </c>
      <c r="AF769" s="42" t="str">
        <f>IF(AND(C769=Master!$H$4,B769="2012-2013",E769="",G769="PLN03"),H769,"")</f>
        <v/>
      </c>
      <c r="AG769" s="42" t="str">
        <f>IF(AND(C769=Master!$H$5,B769="2012-2013",E769&gt;1000,G769="PLN03"),H769,"")</f>
        <v/>
      </c>
      <c r="AH769" s="42" t="str">
        <f>IF(AND(C769=Master!$H$5,B769="2012-2013",E769="",G769="PLN03"),H769,"")</f>
        <v/>
      </c>
      <c r="AI769" s="42" t="str">
        <f>IF(AND(C769=Master!$H$6,B769="2012-2013",E769&gt;1000,G769="PLN03"),H769,"")</f>
        <v/>
      </c>
      <c r="AJ769" s="42" t="str">
        <f>IF(AND(C769=Master!$H$6,B769="2012-2013",E769="",G769="PLN03"),H769,"")</f>
        <v/>
      </c>
      <c r="AK769" s="42" t="str">
        <f>IF(AND(C769=Master!$H$7,B769="2012-2013",E769&gt;1000,G769="PLN03"),H769,"")</f>
        <v/>
      </c>
      <c r="AL769" s="42" t="str">
        <f>IF(AND(C769=Master!$H$7,B769="2012-2013",E769="",G769="PLN03"),H769,"")</f>
        <v/>
      </c>
      <c r="AM769" s="42" t="str">
        <f>IF(AND(C769=Master!$H$8,B769="2012-2013",E769&gt;1000,G769="PLN03"),H769,"")</f>
        <v/>
      </c>
      <c r="AN769" s="42" t="str">
        <f>IF(AND(C769=Master!$H$8,B769="2012-2013",E769="",G769="PLN03"),H769,"")</f>
        <v/>
      </c>
      <c r="AO769" s="42" t="str">
        <f>IF(AND(C769=Master!$H$9,B769="2012-2013",E769&gt;1000,G769="PLN03"),H769,"")</f>
        <v/>
      </c>
      <c r="AP769" s="42" t="str">
        <f>IF(AND(C769=Master!$H$9,B769="2012-2013",E769="",G769="PLN03"),H769,"")</f>
        <v/>
      </c>
      <c r="AQ769" s="44" t="str">
        <f>IF(AND(C769=Master!$H$1,B769="2012-2013",E769&gt;1000,G769="NPN05"),H769,"")</f>
        <v/>
      </c>
      <c r="AR769" s="44" t="str">
        <f>IF(AND(C769=Master!$H$1,B769="2012-2013",E769="",G769="NPN05"),H769,"")</f>
        <v/>
      </c>
      <c r="AS769" s="44" t="str">
        <f>IF(AND(C769=Master!$H$2,B769="2012-2013",E769&gt;1000,G769="NPN05"),H769,"")</f>
        <v/>
      </c>
      <c r="AT769" s="44" t="str">
        <f>IF(AND(C769=Master!$H$2,B769="2012-2013",E769="",G769="NPN05"),H769,"")</f>
        <v/>
      </c>
      <c r="AU769" s="44" t="str">
        <f>IF(AND(C769=Master!$H$3,B769="2012-2013",E769&gt;1000,G769="NPN05"),H769,"")</f>
        <v/>
      </c>
      <c r="AV769" s="44" t="str">
        <f>IF(AND(C769=Master!$H$3,B769="2012-2013",E769="",G769="NPN05"),H769,"")</f>
        <v/>
      </c>
      <c r="AW769" s="44" t="str">
        <f>IF(AND(C769=Master!$H$4,B769="2012-2013",E769&gt;1000,G769="NPN05"),H769,"")</f>
        <v/>
      </c>
      <c r="AX769" s="44" t="str">
        <f>IF(AND(C769=Master!$H$4,B769="2012-2013",E769="",G769="NPN05"),H769,"")</f>
        <v/>
      </c>
      <c r="AY769" s="44" t="str">
        <f>IF(AND(C769=Master!$H$5,B769="2012-2013",E769&gt;1000,G769="NPN05"),H769,"")</f>
        <v/>
      </c>
      <c r="AZ769" s="44" t="str">
        <f>IF(AND(C769=Master!$H$5,B769="2012-2013",E769="",G769="NPN05"),H769,"")</f>
        <v/>
      </c>
      <c r="BA769" s="44" t="str">
        <f>IF(AND(C769=Master!$H$6,B769="2012-2013",E769&gt;1000,G769="NPN05"),H769,"")</f>
        <v/>
      </c>
      <c r="BB769" s="44" t="str">
        <f>IF(AND(C769=Master!$H$6,B769="2012-2013",E769="",G769="NPN05"),H769,"")</f>
        <v/>
      </c>
      <c r="BC769" s="44" t="str">
        <f>IF(AND(C769=Master!$H$7,B769="2012-2013",E769&gt;1000,G769="NPN05"),H769,"")</f>
        <v/>
      </c>
      <c r="BD769" s="44" t="str">
        <f>IF(AND(C769=Master!$H$7,B769="2012-2013",E769="",G769="NPN05"),H769,"")</f>
        <v/>
      </c>
      <c r="BE769" s="44" t="str">
        <f>IF(AND(C769=Master!$H$8,B769="2012-2013",E769&gt;1000,G769="NPN05"),H769,"")</f>
        <v/>
      </c>
      <c r="BF769" s="44" t="str">
        <f>IF(AND(C769=Master!$H$8,B769="2012-2013",E769="",G769="NPN05"),H769,"")</f>
        <v/>
      </c>
      <c r="BG769" s="44" t="str">
        <f>IF(AND(C769=Master!$H$9,B769="2012-2013",E769&gt;1000,G769="NPN05"),H769,"")</f>
        <v/>
      </c>
      <c r="BH769" s="44" t="str">
        <f>IF(AND(C769=Master!$H$9,B769="2012-2013",E769="",G769="NPN05"),H769,"")</f>
        <v/>
      </c>
    </row>
    <row r="770" spans="1:60" x14ac:dyDescent="0.25">
      <c r="A770" s="3">
        <v>768</v>
      </c>
      <c r="B770" s="12"/>
      <c r="C770" s="12"/>
      <c r="D770" s="31"/>
      <c r="E770" s="4"/>
      <c r="F770" s="13"/>
      <c r="G770" s="21"/>
      <c r="H770" s="35"/>
      <c r="I770" s="21"/>
      <c r="J770" s="25" t="str">
        <f>IF(NOT(I770=""),INDEX(Master!$B$1:$B$46,MATCH(I770,Master!$A$1:$A$46,0)),"")</f>
        <v/>
      </c>
      <c r="K770" s="18"/>
      <c r="L770" s="86"/>
      <c r="M770" s="13"/>
      <c r="N770" s="13"/>
      <c r="O770" s="18"/>
      <c r="P770" s="35"/>
      <c r="Q770" s="21"/>
      <c r="R770" s="21"/>
      <c r="S770" s="13"/>
      <c r="T770" s="12"/>
      <c r="U770" s="12"/>
      <c r="V770" s="12"/>
      <c r="W770" s="14"/>
      <c r="Y770" s="42" t="str">
        <f>IF(AND(C770=Master!$H$1,B770="2012-2013",E770&gt;1000,G770="PLN03"),H770,"")</f>
        <v/>
      </c>
      <c r="Z770" s="42" t="str">
        <f>IF(AND(C770=Master!$H$1,B770="2012-2013",E770="",G770="PLN03"),H770,"")</f>
        <v/>
      </c>
      <c r="AA770" s="42" t="str">
        <f>IF(AND(C770=Master!$H$2,B770="2012-2013",E770&gt;1000,G770="PLN03"),H770,"")</f>
        <v/>
      </c>
      <c r="AB770" s="42" t="str">
        <f>IF(AND(C770=Master!$H$2,B770="2012-2013",E770="",G770="PLN03"),H770,"")</f>
        <v/>
      </c>
      <c r="AC770" s="42" t="str">
        <f>IF(AND(C770=Master!$H$3,B770="2012-2013",E770&gt;1000,G770="PLN03"),H770,"")</f>
        <v/>
      </c>
      <c r="AD770" s="42" t="str">
        <f>IF(AND(C770=Master!$H$3,B770="2012-2013",E770="",G770="PLN03"),H770,"")</f>
        <v/>
      </c>
      <c r="AE770" s="42" t="str">
        <f>IF(AND(C770=Master!$H$4,B770="2012-2013",E770&gt;1000,G770="PLN03"),H770,"")</f>
        <v/>
      </c>
      <c r="AF770" s="42" t="str">
        <f>IF(AND(C770=Master!$H$4,B770="2012-2013",E770="",G770="PLN03"),H770,"")</f>
        <v/>
      </c>
      <c r="AG770" s="42" t="str">
        <f>IF(AND(C770=Master!$H$5,B770="2012-2013",E770&gt;1000,G770="PLN03"),H770,"")</f>
        <v/>
      </c>
      <c r="AH770" s="42" t="str">
        <f>IF(AND(C770=Master!$H$5,B770="2012-2013",E770="",G770="PLN03"),H770,"")</f>
        <v/>
      </c>
      <c r="AI770" s="42" t="str">
        <f>IF(AND(C770=Master!$H$6,B770="2012-2013",E770&gt;1000,G770="PLN03"),H770,"")</f>
        <v/>
      </c>
      <c r="AJ770" s="42" t="str">
        <f>IF(AND(C770=Master!$H$6,B770="2012-2013",E770="",G770="PLN03"),H770,"")</f>
        <v/>
      </c>
      <c r="AK770" s="42" t="str">
        <f>IF(AND(C770=Master!$H$7,B770="2012-2013",E770&gt;1000,G770="PLN03"),H770,"")</f>
        <v/>
      </c>
      <c r="AL770" s="42" t="str">
        <f>IF(AND(C770=Master!$H$7,B770="2012-2013",E770="",G770="PLN03"),H770,"")</f>
        <v/>
      </c>
      <c r="AM770" s="42" t="str">
        <f>IF(AND(C770=Master!$H$8,B770="2012-2013",E770&gt;1000,G770="PLN03"),H770,"")</f>
        <v/>
      </c>
      <c r="AN770" s="42" t="str">
        <f>IF(AND(C770=Master!$H$8,B770="2012-2013",E770="",G770="PLN03"),H770,"")</f>
        <v/>
      </c>
      <c r="AO770" s="42" t="str">
        <f>IF(AND(C770=Master!$H$9,B770="2012-2013",E770&gt;1000,G770="PLN03"),H770,"")</f>
        <v/>
      </c>
      <c r="AP770" s="42" t="str">
        <f>IF(AND(C770=Master!$H$9,B770="2012-2013",E770="",G770="PLN03"),H770,"")</f>
        <v/>
      </c>
      <c r="AQ770" s="44" t="str">
        <f>IF(AND(C770=Master!$H$1,B770="2012-2013",E770&gt;1000,G770="NPN05"),H770,"")</f>
        <v/>
      </c>
      <c r="AR770" s="44" t="str">
        <f>IF(AND(C770=Master!$H$1,B770="2012-2013",E770="",G770="NPN05"),H770,"")</f>
        <v/>
      </c>
      <c r="AS770" s="44" t="str">
        <f>IF(AND(C770=Master!$H$2,B770="2012-2013",E770&gt;1000,G770="NPN05"),H770,"")</f>
        <v/>
      </c>
      <c r="AT770" s="44" t="str">
        <f>IF(AND(C770=Master!$H$2,B770="2012-2013",E770="",G770="NPN05"),H770,"")</f>
        <v/>
      </c>
      <c r="AU770" s="44" t="str">
        <f>IF(AND(C770=Master!$H$3,B770="2012-2013",E770&gt;1000,G770="NPN05"),H770,"")</f>
        <v/>
      </c>
      <c r="AV770" s="44" t="str">
        <f>IF(AND(C770=Master!$H$3,B770="2012-2013",E770="",G770="NPN05"),H770,"")</f>
        <v/>
      </c>
      <c r="AW770" s="44" t="str">
        <f>IF(AND(C770=Master!$H$4,B770="2012-2013",E770&gt;1000,G770="NPN05"),H770,"")</f>
        <v/>
      </c>
      <c r="AX770" s="44" t="str">
        <f>IF(AND(C770=Master!$H$4,B770="2012-2013",E770="",G770="NPN05"),H770,"")</f>
        <v/>
      </c>
      <c r="AY770" s="44" t="str">
        <f>IF(AND(C770=Master!$H$5,B770="2012-2013",E770&gt;1000,G770="NPN05"),H770,"")</f>
        <v/>
      </c>
      <c r="AZ770" s="44" t="str">
        <f>IF(AND(C770=Master!$H$5,B770="2012-2013",E770="",G770="NPN05"),H770,"")</f>
        <v/>
      </c>
      <c r="BA770" s="44" t="str">
        <f>IF(AND(C770=Master!$H$6,B770="2012-2013",E770&gt;1000,G770="NPN05"),H770,"")</f>
        <v/>
      </c>
      <c r="BB770" s="44" t="str">
        <f>IF(AND(C770=Master!$H$6,B770="2012-2013",E770="",G770="NPN05"),H770,"")</f>
        <v/>
      </c>
      <c r="BC770" s="44" t="str">
        <f>IF(AND(C770=Master!$H$7,B770="2012-2013",E770&gt;1000,G770="NPN05"),H770,"")</f>
        <v/>
      </c>
      <c r="BD770" s="44" t="str">
        <f>IF(AND(C770=Master!$H$7,B770="2012-2013",E770="",G770="NPN05"),H770,"")</f>
        <v/>
      </c>
      <c r="BE770" s="44" t="str">
        <f>IF(AND(C770=Master!$H$8,B770="2012-2013",E770&gt;1000,G770="NPN05"),H770,"")</f>
        <v/>
      </c>
      <c r="BF770" s="44" t="str">
        <f>IF(AND(C770=Master!$H$8,B770="2012-2013",E770="",G770="NPN05"),H770,"")</f>
        <v/>
      </c>
      <c r="BG770" s="44" t="str">
        <f>IF(AND(C770=Master!$H$9,B770="2012-2013",E770&gt;1000,G770="NPN05"),H770,"")</f>
        <v/>
      </c>
      <c r="BH770" s="44" t="str">
        <f>IF(AND(C770=Master!$H$9,B770="2012-2013",E770="",G770="NPN05"),H770,"")</f>
        <v/>
      </c>
    </row>
    <row r="771" spans="1:60" x14ac:dyDescent="0.25">
      <c r="A771" s="3">
        <v>769</v>
      </c>
      <c r="B771" s="12"/>
      <c r="C771" s="12"/>
      <c r="D771" s="31"/>
      <c r="E771" s="4"/>
      <c r="F771" s="13"/>
      <c r="G771" s="21"/>
      <c r="H771" s="35"/>
      <c r="I771" s="21"/>
      <c r="J771" s="25" t="str">
        <f>IF(NOT(I771=""),INDEX(Master!$B$1:$B$46,MATCH(I771,Master!$A$1:$A$46,0)),"")</f>
        <v/>
      </c>
      <c r="K771" s="18"/>
      <c r="L771" s="86"/>
      <c r="M771" s="13"/>
      <c r="N771" s="13"/>
      <c r="O771" s="18"/>
      <c r="P771" s="35"/>
      <c r="Q771" s="21"/>
      <c r="R771" s="21"/>
      <c r="S771" s="13"/>
      <c r="T771" s="12"/>
      <c r="U771" s="12"/>
      <c r="V771" s="12"/>
      <c r="W771" s="14"/>
      <c r="Y771" s="42" t="str">
        <f>IF(AND(C771=Master!$H$1,B771="2012-2013",E771&gt;1000,G771="PLN03"),H771,"")</f>
        <v/>
      </c>
      <c r="Z771" s="42" t="str">
        <f>IF(AND(C771=Master!$H$1,B771="2012-2013",E771="",G771="PLN03"),H771,"")</f>
        <v/>
      </c>
      <c r="AA771" s="42" t="str">
        <f>IF(AND(C771=Master!$H$2,B771="2012-2013",E771&gt;1000,G771="PLN03"),H771,"")</f>
        <v/>
      </c>
      <c r="AB771" s="42" t="str">
        <f>IF(AND(C771=Master!$H$2,B771="2012-2013",E771="",G771="PLN03"),H771,"")</f>
        <v/>
      </c>
      <c r="AC771" s="42" t="str">
        <f>IF(AND(C771=Master!$H$3,B771="2012-2013",E771&gt;1000,G771="PLN03"),H771,"")</f>
        <v/>
      </c>
      <c r="AD771" s="42" t="str">
        <f>IF(AND(C771=Master!$H$3,B771="2012-2013",E771="",G771="PLN03"),H771,"")</f>
        <v/>
      </c>
      <c r="AE771" s="42" t="str">
        <f>IF(AND(C771=Master!$H$4,B771="2012-2013",E771&gt;1000,G771="PLN03"),H771,"")</f>
        <v/>
      </c>
      <c r="AF771" s="42" t="str">
        <f>IF(AND(C771=Master!$H$4,B771="2012-2013",E771="",G771="PLN03"),H771,"")</f>
        <v/>
      </c>
      <c r="AG771" s="42" t="str">
        <f>IF(AND(C771=Master!$H$5,B771="2012-2013",E771&gt;1000,G771="PLN03"),H771,"")</f>
        <v/>
      </c>
      <c r="AH771" s="42" t="str">
        <f>IF(AND(C771=Master!$H$5,B771="2012-2013",E771="",G771="PLN03"),H771,"")</f>
        <v/>
      </c>
      <c r="AI771" s="42" t="str">
        <f>IF(AND(C771=Master!$H$6,B771="2012-2013",E771&gt;1000,G771="PLN03"),H771,"")</f>
        <v/>
      </c>
      <c r="AJ771" s="42" t="str">
        <f>IF(AND(C771=Master!$H$6,B771="2012-2013",E771="",G771="PLN03"),H771,"")</f>
        <v/>
      </c>
      <c r="AK771" s="42" t="str">
        <f>IF(AND(C771=Master!$H$7,B771="2012-2013",E771&gt;1000,G771="PLN03"),H771,"")</f>
        <v/>
      </c>
      <c r="AL771" s="42" t="str">
        <f>IF(AND(C771=Master!$H$7,B771="2012-2013",E771="",G771="PLN03"),H771,"")</f>
        <v/>
      </c>
      <c r="AM771" s="42" t="str">
        <f>IF(AND(C771=Master!$H$8,B771="2012-2013",E771&gt;1000,G771="PLN03"),H771,"")</f>
        <v/>
      </c>
      <c r="AN771" s="42" t="str">
        <f>IF(AND(C771=Master!$H$8,B771="2012-2013",E771="",G771="PLN03"),H771,"")</f>
        <v/>
      </c>
      <c r="AO771" s="42" t="str">
        <f>IF(AND(C771=Master!$H$9,B771="2012-2013",E771&gt;1000,G771="PLN03"),H771,"")</f>
        <v/>
      </c>
      <c r="AP771" s="42" t="str">
        <f>IF(AND(C771=Master!$H$9,B771="2012-2013",E771="",G771="PLN03"),H771,"")</f>
        <v/>
      </c>
      <c r="AQ771" s="44" t="str">
        <f>IF(AND(C771=Master!$H$1,B771="2012-2013",E771&gt;1000,G771="NPN05"),H771,"")</f>
        <v/>
      </c>
      <c r="AR771" s="44" t="str">
        <f>IF(AND(C771=Master!$H$1,B771="2012-2013",E771="",G771="NPN05"),H771,"")</f>
        <v/>
      </c>
      <c r="AS771" s="44" t="str">
        <f>IF(AND(C771=Master!$H$2,B771="2012-2013",E771&gt;1000,G771="NPN05"),H771,"")</f>
        <v/>
      </c>
      <c r="AT771" s="44" t="str">
        <f>IF(AND(C771=Master!$H$2,B771="2012-2013",E771="",G771="NPN05"),H771,"")</f>
        <v/>
      </c>
      <c r="AU771" s="44" t="str">
        <f>IF(AND(C771=Master!$H$3,B771="2012-2013",E771&gt;1000,G771="NPN05"),H771,"")</f>
        <v/>
      </c>
      <c r="AV771" s="44" t="str">
        <f>IF(AND(C771=Master!$H$3,B771="2012-2013",E771="",G771="NPN05"),H771,"")</f>
        <v/>
      </c>
      <c r="AW771" s="44" t="str">
        <f>IF(AND(C771=Master!$H$4,B771="2012-2013",E771&gt;1000,G771="NPN05"),H771,"")</f>
        <v/>
      </c>
      <c r="AX771" s="44" t="str">
        <f>IF(AND(C771=Master!$H$4,B771="2012-2013",E771="",G771="NPN05"),H771,"")</f>
        <v/>
      </c>
      <c r="AY771" s="44" t="str">
        <f>IF(AND(C771=Master!$H$5,B771="2012-2013",E771&gt;1000,G771="NPN05"),H771,"")</f>
        <v/>
      </c>
      <c r="AZ771" s="44" t="str">
        <f>IF(AND(C771=Master!$H$5,B771="2012-2013",E771="",G771="NPN05"),H771,"")</f>
        <v/>
      </c>
      <c r="BA771" s="44" t="str">
        <f>IF(AND(C771=Master!$H$6,B771="2012-2013",E771&gt;1000,G771="NPN05"),H771,"")</f>
        <v/>
      </c>
      <c r="BB771" s="44" t="str">
        <f>IF(AND(C771=Master!$H$6,B771="2012-2013",E771="",G771="NPN05"),H771,"")</f>
        <v/>
      </c>
      <c r="BC771" s="44" t="str">
        <f>IF(AND(C771=Master!$H$7,B771="2012-2013",E771&gt;1000,G771="NPN05"),H771,"")</f>
        <v/>
      </c>
      <c r="BD771" s="44" t="str">
        <f>IF(AND(C771=Master!$H$7,B771="2012-2013",E771="",G771="NPN05"),H771,"")</f>
        <v/>
      </c>
      <c r="BE771" s="44" t="str">
        <f>IF(AND(C771=Master!$H$8,B771="2012-2013",E771&gt;1000,G771="NPN05"),H771,"")</f>
        <v/>
      </c>
      <c r="BF771" s="44" t="str">
        <f>IF(AND(C771=Master!$H$8,B771="2012-2013",E771="",G771="NPN05"),H771,"")</f>
        <v/>
      </c>
      <c r="BG771" s="44" t="str">
        <f>IF(AND(C771=Master!$H$9,B771="2012-2013",E771&gt;1000,G771="NPN05"),H771,"")</f>
        <v/>
      </c>
      <c r="BH771" s="44" t="str">
        <f>IF(AND(C771=Master!$H$9,B771="2012-2013",E771="",G771="NPN05"),H771,"")</f>
        <v/>
      </c>
    </row>
    <row r="772" spans="1:60" x14ac:dyDescent="0.25">
      <c r="A772" s="3">
        <v>770</v>
      </c>
      <c r="B772" s="12"/>
      <c r="C772" s="12"/>
      <c r="D772" s="31"/>
      <c r="E772" s="4"/>
      <c r="F772" s="13"/>
      <c r="G772" s="21"/>
      <c r="H772" s="35"/>
      <c r="I772" s="21"/>
      <c r="J772" s="25" t="str">
        <f>IF(NOT(I772=""),INDEX(Master!$B$1:$B$46,MATCH(I772,Master!$A$1:$A$46,0)),"")</f>
        <v/>
      </c>
      <c r="K772" s="18"/>
      <c r="L772" s="86"/>
      <c r="M772" s="13"/>
      <c r="N772" s="13"/>
      <c r="O772" s="18"/>
      <c r="P772" s="35"/>
      <c r="Q772" s="21"/>
      <c r="R772" s="21"/>
      <c r="S772" s="13"/>
      <c r="T772" s="12"/>
      <c r="U772" s="12"/>
      <c r="V772" s="12"/>
      <c r="W772" s="14"/>
      <c r="Y772" s="42" t="str">
        <f>IF(AND(C772=Master!$H$1,B772="2012-2013",E772&gt;1000,G772="PLN03"),H772,"")</f>
        <v/>
      </c>
      <c r="Z772" s="42" t="str">
        <f>IF(AND(C772=Master!$H$1,B772="2012-2013",E772="",G772="PLN03"),H772,"")</f>
        <v/>
      </c>
      <c r="AA772" s="42" t="str">
        <f>IF(AND(C772=Master!$H$2,B772="2012-2013",E772&gt;1000,G772="PLN03"),H772,"")</f>
        <v/>
      </c>
      <c r="AB772" s="42" t="str">
        <f>IF(AND(C772=Master!$H$2,B772="2012-2013",E772="",G772="PLN03"),H772,"")</f>
        <v/>
      </c>
      <c r="AC772" s="42" t="str">
        <f>IF(AND(C772=Master!$H$3,B772="2012-2013",E772&gt;1000,G772="PLN03"),H772,"")</f>
        <v/>
      </c>
      <c r="AD772" s="42" t="str">
        <f>IF(AND(C772=Master!$H$3,B772="2012-2013",E772="",G772="PLN03"),H772,"")</f>
        <v/>
      </c>
      <c r="AE772" s="42" t="str">
        <f>IF(AND(C772=Master!$H$4,B772="2012-2013",E772&gt;1000,G772="PLN03"),H772,"")</f>
        <v/>
      </c>
      <c r="AF772" s="42" t="str">
        <f>IF(AND(C772=Master!$H$4,B772="2012-2013",E772="",G772="PLN03"),H772,"")</f>
        <v/>
      </c>
      <c r="AG772" s="42" t="str">
        <f>IF(AND(C772=Master!$H$5,B772="2012-2013",E772&gt;1000,G772="PLN03"),H772,"")</f>
        <v/>
      </c>
      <c r="AH772" s="42" t="str">
        <f>IF(AND(C772=Master!$H$5,B772="2012-2013",E772="",G772="PLN03"),H772,"")</f>
        <v/>
      </c>
      <c r="AI772" s="42" t="str">
        <f>IF(AND(C772=Master!$H$6,B772="2012-2013",E772&gt;1000,G772="PLN03"),H772,"")</f>
        <v/>
      </c>
      <c r="AJ772" s="42" t="str">
        <f>IF(AND(C772=Master!$H$6,B772="2012-2013",E772="",G772="PLN03"),H772,"")</f>
        <v/>
      </c>
      <c r="AK772" s="42" t="str">
        <f>IF(AND(C772=Master!$H$7,B772="2012-2013",E772&gt;1000,G772="PLN03"),H772,"")</f>
        <v/>
      </c>
      <c r="AL772" s="42" t="str">
        <f>IF(AND(C772=Master!$H$7,B772="2012-2013",E772="",G772="PLN03"),H772,"")</f>
        <v/>
      </c>
      <c r="AM772" s="42" t="str">
        <f>IF(AND(C772=Master!$H$8,B772="2012-2013",E772&gt;1000,G772="PLN03"),H772,"")</f>
        <v/>
      </c>
      <c r="AN772" s="42" t="str">
        <f>IF(AND(C772=Master!$H$8,B772="2012-2013",E772="",G772="PLN03"),H772,"")</f>
        <v/>
      </c>
      <c r="AO772" s="42" t="str">
        <f>IF(AND(C772=Master!$H$9,B772="2012-2013",E772&gt;1000,G772="PLN03"),H772,"")</f>
        <v/>
      </c>
      <c r="AP772" s="42" t="str">
        <f>IF(AND(C772=Master!$H$9,B772="2012-2013",E772="",G772="PLN03"),H772,"")</f>
        <v/>
      </c>
      <c r="AQ772" s="44" t="str">
        <f>IF(AND(C772=Master!$H$1,B772="2012-2013",E772&gt;1000,G772="NPN05"),H772,"")</f>
        <v/>
      </c>
      <c r="AR772" s="44" t="str">
        <f>IF(AND(C772=Master!$H$1,B772="2012-2013",E772="",G772="NPN05"),H772,"")</f>
        <v/>
      </c>
      <c r="AS772" s="44" t="str">
        <f>IF(AND(C772=Master!$H$2,B772="2012-2013",E772&gt;1000,G772="NPN05"),H772,"")</f>
        <v/>
      </c>
      <c r="AT772" s="44" t="str">
        <f>IF(AND(C772=Master!$H$2,B772="2012-2013",E772="",G772="NPN05"),H772,"")</f>
        <v/>
      </c>
      <c r="AU772" s="44" t="str">
        <f>IF(AND(C772=Master!$H$3,B772="2012-2013",E772&gt;1000,G772="NPN05"),H772,"")</f>
        <v/>
      </c>
      <c r="AV772" s="44" t="str">
        <f>IF(AND(C772=Master!$H$3,B772="2012-2013",E772="",G772="NPN05"),H772,"")</f>
        <v/>
      </c>
      <c r="AW772" s="44" t="str">
        <f>IF(AND(C772=Master!$H$4,B772="2012-2013",E772&gt;1000,G772="NPN05"),H772,"")</f>
        <v/>
      </c>
      <c r="AX772" s="44" t="str">
        <f>IF(AND(C772=Master!$H$4,B772="2012-2013",E772="",G772="NPN05"),H772,"")</f>
        <v/>
      </c>
      <c r="AY772" s="44" t="str">
        <f>IF(AND(C772=Master!$H$5,B772="2012-2013",E772&gt;1000,G772="NPN05"),H772,"")</f>
        <v/>
      </c>
      <c r="AZ772" s="44" t="str">
        <f>IF(AND(C772=Master!$H$5,B772="2012-2013",E772="",G772="NPN05"),H772,"")</f>
        <v/>
      </c>
      <c r="BA772" s="44" t="str">
        <f>IF(AND(C772=Master!$H$6,B772="2012-2013",E772&gt;1000,G772="NPN05"),H772,"")</f>
        <v/>
      </c>
      <c r="BB772" s="44" t="str">
        <f>IF(AND(C772=Master!$H$6,B772="2012-2013",E772="",G772="NPN05"),H772,"")</f>
        <v/>
      </c>
      <c r="BC772" s="44" t="str">
        <f>IF(AND(C772=Master!$H$7,B772="2012-2013",E772&gt;1000,G772="NPN05"),H772,"")</f>
        <v/>
      </c>
      <c r="BD772" s="44" t="str">
        <f>IF(AND(C772=Master!$H$7,B772="2012-2013",E772="",G772="NPN05"),H772,"")</f>
        <v/>
      </c>
      <c r="BE772" s="44" t="str">
        <f>IF(AND(C772=Master!$H$8,B772="2012-2013",E772&gt;1000,G772="NPN05"),H772,"")</f>
        <v/>
      </c>
      <c r="BF772" s="44" t="str">
        <f>IF(AND(C772=Master!$H$8,B772="2012-2013",E772="",G772="NPN05"),H772,"")</f>
        <v/>
      </c>
      <c r="BG772" s="44" t="str">
        <f>IF(AND(C772=Master!$H$9,B772="2012-2013",E772&gt;1000,G772="NPN05"),H772,"")</f>
        <v/>
      </c>
      <c r="BH772" s="44" t="str">
        <f>IF(AND(C772=Master!$H$9,B772="2012-2013",E772="",G772="NPN05"),H772,"")</f>
        <v/>
      </c>
    </row>
    <row r="773" spans="1:60" x14ac:dyDescent="0.25">
      <c r="A773" s="3">
        <v>771</v>
      </c>
      <c r="B773" s="12"/>
      <c r="C773" s="12"/>
      <c r="D773" s="31"/>
      <c r="E773" s="4"/>
      <c r="F773" s="13"/>
      <c r="G773" s="21"/>
      <c r="H773" s="35"/>
      <c r="I773" s="21"/>
      <c r="J773" s="25" t="str">
        <f>IF(NOT(I773=""),INDEX(Master!$B$1:$B$46,MATCH(I773,Master!$A$1:$A$46,0)),"")</f>
        <v/>
      </c>
      <c r="K773" s="18"/>
      <c r="L773" s="86"/>
      <c r="M773" s="13"/>
      <c r="N773" s="13"/>
      <c r="O773" s="18"/>
      <c r="P773" s="35"/>
      <c r="Q773" s="21"/>
      <c r="R773" s="21"/>
      <c r="S773" s="13"/>
      <c r="T773" s="12"/>
      <c r="U773" s="12"/>
      <c r="V773" s="12"/>
      <c r="W773" s="14"/>
      <c r="Y773" s="42" t="str">
        <f>IF(AND(C773=Master!$H$1,B773="2012-2013",E773&gt;1000,G773="PLN03"),H773,"")</f>
        <v/>
      </c>
      <c r="Z773" s="42" t="str">
        <f>IF(AND(C773=Master!$H$1,B773="2012-2013",E773="",G773="PLN03"),H773,"")</f>
        <v/>
      </c>
      <c r="AA773" s="42" t="str">
        <f>IF(AND(C773=Master!$H$2,B773="2012-2013",E773&gt;1000,G773="PLN03"),H773,"")</f>
        <v/>
      </c>
      <c r="AB773" s="42" t="str">
        <f>IF(AND(C773=Master!$H$2,B773="2012-2013",E773="",G773="PLN03"),H773,"")</f>
        <v/>
      </c>
      <c r="AC773" s="42" t="str">
        <f>IF(AND(C773=Master!$H$3,B773="2012-2013",E773&gt;1000,G773="PLN03"),H773,"")</f>
        <v/>
      </c>
      <c r="AD773" s="42" t="str">
        <f>IF(AND(C773=Master!$H$3,B773="2012-2013",E773="",G773="PLN03"),H773,"")</f>
        <v/>
      </c>
      <c r="AE773" s="42" t="str">
        <f>IF(AND(C773=Master!$H$4,B773="2012-2013",E773&gt;1000,G773="PLN03"),H773,"")</f>
        <v/>
      </c>
      <c r="AF773" s="42" t="str">
        <f>IF(AND(C773=Master!$H$4,B773="2012-2013",E773="",G773="PLN03"),H773,"")</f>
        <v/>
      </c>
      <c r="AG773" s="42" t="str">
        <f>IF(AND(C773=Master!$H$5,B773="2012-2013",E773&gt;1000,G773="PLN03"),H773,"")</f>
        <v/>
      </c>
      <c r="AH773" s="42" t="str">
        <f>IF(AND(C773=Master!$H$5,B773="2012-2013",E773="",G773="PLN03"),H773,"")</f>
        <v/>
      </c>
      <c r="AI773" s="42" t="str">
        <f>IF(AND(C773=Master!$H$6,B773="2012-2013",E773&gt;1000,G773="PLN03"),H773,"")</f>
        <v/>
      </c>
      <c r="AJ773" s="42" t="str">
        <f>IF(AND(C773=Master!$H$6,B773="2012-2013",E773="",G773="PLN03"),H773,"")</f>
        <v/>
      </c>
      <c r="AK773" s="42" t="str">
        <f>IF(AND(C773=Master!$H$7,B773="2012-2013",E773&gt;1000,G773="PLN03"),H773,"")</f>
        <v/>
      </c>
      <c r="AL773" s="42" t="str">
        <f>IF(AND(C773=Master!$H$7,B773="2012-2013",E773="",G773="PLN03"),H773,"")</f>
        <v/>
      </c>
      <c r="AM773" s="42" t="str">
        <f>IF(AND(C773=Master!$H$8,B773="2012-2013",E773&gt;1000,G773="PLN03"),H773,"")</f>
        <v/>
      </c>
      <c r="AN773" s="42" t="str">
        <f>IF(AND(C773=Master!$H$8,B773="2012-2013",E773="",G773="PLN03"),H773,"")</f>
        <v/>
      </c>
      <c r="AO773" s="42" t="str">
        <f>IF(AND(C773=Master!$H$9,B773="2012-2013",E773&gt;1000,G773="PLN03"),H773,"")</f>
        <v/>
      </c>
      <c r="AP773" s="42" t="str">
        <f>IF(AND(C773=Master!$H$9,B773="2012-2013",E773="",G773="PLN03"),H773,"")</f>
        <v/>
      </c>
      <c r="AQ773" s="44" t="str">
        <f>IF(AND(C773=Master!$H$1,B773="2012-2013",E773&gt;1000,G773="NPN05"),H773,"")</f>
        <v/>
      </c>
      <c r="AR773" s="44" t="str">
        <f>IF(AND(C773=Master!$H$1,B773="2012-2013",E773="",G773="NPN05"),H773,"")</f>
        <v/>
      </c>
      <c r="AS773" s="44" t="str">
        <f>IF(AND(C773=Master!$H$2,B773="2012-2013",E773&gt;1000,G773="NPN05"),H773,"")</f>
        <v/>
      </c>
      <c r="AT773" s="44" t="str">
        <f>IF(AND(C773=Master!$H$2,B773="2012-2013",E773="",G773="NPN05"),H773,"")</f>
        <v/>
      </c>
      <c r="AU773" s="44" t="str">
        <f>IF(AND(C773=Master!$H$3,B773="2012-2013",E773&gt;1000,G773="NPN05"),H773,"")</f>
        <v/>
      </c>
      <c r="AV773" s="44" t="str">
        <f>IF(AND(C773=Master!$H$3,B773="2012-2013",E773="",G773="NPN05"),H773,"")</f>
        <v/>
      </c>
      <c r="AW773" s="44" t="str">
        <f>IF(AND(C773=Master!$H$4,B773="2012-2013",E773&gt;1000,G773="NPN05"),H773,"")</f>
        <v/>
      </c>
      <c r="AX773" s="44" t="str">
        <f>IF(AND(C773=Master!$H$4,B773="2012-2013",E773="",G773="NPN05"),H773,"")</f>
        <v/>
      </c>
      <c r="AY773" s="44" t="str">
        <f>IF(AND(C773=Master!$H$5,B773="2012-2013",E773&gt;1000,G773="NPN05"),H773,"")</f>
        <v/>
      </c>
      <c r="AZ773" s="44" t="str">
        <f>IF(AND(C773=Master!$H$5,B773="2012-2013",E773="",G773="NPN05"),H773,"")</f>
        <v/>
      </c>
      <c r="BA773" s="44" t="str">
        <f>IF(AND(C773=Master!$H$6,B773="2012-2013",E773&gt;1000,G773="NPN05"),H773,"")</f>
        <v/>
      </c>
      <c r="BB773" s="44" t="str">
        <f>IF(AND(C773=Master!$H$6,B773="2012-2013",E773="",G773="NPN05"),H773,"")</f>
        <v/>
      </c>
      <c r="BC773" s="44" t="str">
        <f>IF(AND(C773=Master!$H$7,B773="2012-2013",E773&gt;1000,G773="NPN05"),H773,"")</f>
        <v/>
      </c>
      <c r="BD773" s="44" t="str">
        <f>IF(AND(C773=Master!$H$7,B773="2012-2013",E773="",G773="NPN05"),H773,"")</f>
        <v/>
      </c>
      <c r="BE773" s="44" t="str">
        <f>IF(AND(C773=Master!$H$8,B773="2012-2013",E773&gt;1000,G773="NPN05"),H773,"")</f>
        <v/>
      </c>
      <c r="BF773" s="44" t="str">
        <f>IF(AND(C773=Master!$H$8,B773="2012-2013",E773="",G773="NPN05"),H773,"")</f>
        <v/>
      </c>
      <c r="BG773" s="44" t="str">
        <f>IF(AND(C773=Master!$H$9,B773="2012-2013",E773&gt;1000,G773="NPN05"),H773,"")</f>
        <v/>
      </c>
      <c r="BH773" s="44" t="str">
        <f>IF(AND(C773=Master!$H$9,B773="2012-2013",E773="",G773="NPN05"),H773,"")</f>
        <v/>
      </c>
    </row>
    <row r="774" spans="1:60" x14ac:dyDescent="0.25">
      <c r="A774" s="3">
        <v>772</v>
      </c>
      <c r="B774" s="12"/>
      <c r="C774" s="12"/>
      <c r="D774" s="31"/>
      <c r="E774" s="4"/>
      <c r="F774" s="13"/>
      <c r="G774" s="21"/>
      <c r="H774" s="35"/>
      <c r="I774" s="21"/>
      <c r="J774" s="25" t="str">
        <f>IF(NOT(I774=""),INDEX(Master!$B$1:$B$46,MATCH(I774,Master!$A$1:$A$46,0)),"")</f>
        <v/>
      </c>
      <c r="K774" s="18"/>
      <c r="L774" s="86"/>
      <c r="M774" s="13"/>
      <c r="N774" s="13"/>
      <c r="O774" s="18"/>
      <c r="P774" s="35"/>
      <c r="Q774" s="21"/>
      <c r="R774" s="21"/>
      <c r="S774" s="13"/>
      <c r="T774" s="12"/>
      <c r="U774" s="12"/>
      <c r="V774" s="12"/>
      <c r="W774" s="14"/>
      <c r="Y774" s="42" t="str">
        <f>IF(AND(C774=Master!$H$1,B774="2012-2013",E774&gt;1000,G774="PLN03"),H774,"")</f>
        <v/>
      </c>
      <c r="Z774" s="42" t="str">
        <f>IF(AND(C774=Master!$H$1,B774="2012-2013",E774="",G774="PLN03"),H774,"")</f>
        <v/>
      </c>
      <c r="AA774" s="42" t="str">
        <f>IF(AND(C774=Master!$H$2,B774="2012-2013",E774&gt;1000,G774="PLN03"),H774,"")</f>
        <v/>
      </c>
      <c r="AB774" s="42" t="str">
        <f>IF(AND(C774=Master!$H$2,B774="2012-2013",E774="",G774="PLN03"),H774,"")</f>
        <v/>
      </c>
      <c r="AC774" s="42" t="str">
        <f>IF(AND(C774=Master!$H$3,B774="2012-2013",E774&gt;1000,G774="PLN03"),H774,"")</f>
        <v/>
      </c>
      <c r="AD774" s="42" t="str">
        <f>IF(AND(C774=Master!$H$3,B774="2012-2013",E774="",G774="PLN03"),H774,"")</f>
        <v/>
      </c>
      <c r="AE774" s="42" t="str">
        <f>IF(AND(C774=Master!$H$4,B774="2012-2013",E774&gt;1000,G774="PLN03"),H774,"")</f>
        <v/>
      </c>
      <c r="AF774" s="42" t="str">
        <f>IF(AND(C774=Master!$H$4,B774="2012-2013",E774="",G774="PLN03"),H774,"")</f>
        <v/>
      </c>
      <c r="AG774" s="42" t="str">
        <f>IF(AND(C774=Master!$H$5,B774="2012-2013",E774&gt;1000,G774="PLN03"),H774,"")</f>
        <v/>
      </c>
      <c r="AH774" s="42" t="str">
        <f>IF(AND(C774=Master!$H$5,B774="2012-2013",E774="",G774="PLN03"),H774,"")</f>
        <v/>
      </c>
      <c r="AI774" s="42" t="str">
        <f>IF(AND(C774=Master!$H$6,B774="2012-2013",E774&gt;1000,G774="PLN03"),H774,"")</f>
        <v/>
      </c>
      <c r="AJ774" s="42" t="str">
        <f>IF(AND(C774=Master!$H$6,B774="2012-2013",E774="",G774="PLN03"),H774,"")</f>
        <v/>
      </c>
      <c r="AK774" s="42" t="str">
        <f>IF(AND(C774=Master!$H$7,B774="2012-2013",E774&gt;1000,G774="PLN03"),H774,"")</f>
        <v/>
      </c>
      <c r="AL774" s="42" t="str">
        <f>IF(AND(C774=Master!$H$7,B774="2012-2013",E774="",G774="PLN03"),H774,"")</f>
        <v/>
      </c>
      <c r="AM774" s="42" t="str">
        <f>IF(AND(C774=Master!$H$8,B774="2012-2013",E774&gt;1000,G774="PLN03"),H774,"")</f>
        <v/>
      </c>
      <c r="AN774" s="42" t="str">
        <f>IF(AND(C774=Master!$H$8,B774="2012-2013",E774="",G774="PLN03"),H774,"")</f>
        <v/>
      </c>
      <c r="AO774" s="42" t="str">
        <f>IF(AND(C774=Master!$H$9,B774="2012-2013",E774&gt;1000,G774="PLN03"),H774,"")</f>
        <v/>
      </c>
      <c r="AP774" s="42" t="str">
        <f>IF(AND(C774=Master!$H$9,B774="2012-2013",E774="",G774="PLN03"),H774,"")</f>
        <v/>
      </c>
      <c r="AQ774" s="44" t="str">
        <f>IF(AND(C774=Master!$H$1,B774="2012-2013",E774&gt;1000,G774="NPN05"),H774,"")</f>
        <v/>
      </c>
      <c r="AR774" s="44" t="str">
        <f>IF(AND(C774=Master!$H$1,B774="2012-2013",E774="",G774="NPN05"),H774,"")</f>
        <v/>
      </c>
      <c r="AS774" s="44" t="str">
        <f>IF(AND(C774=Master!$H$2,B774="2012-2013",E774&gt;1000,G774="NPN05"),H774,"")</f>
        <v/>
      </c>
      <c r="AT774" s="44" t="str">
        <f>IF(AND(C774=Master!$H$2,B774="2012-2013",E774="",G774="NPN05"),H774,"")</f>
        <v/>
      </c>
      <c r="AU774" s="44" t="str">
        <f>IF(AND(C774=Master!$H$3,B774="2012-2013",E774&gt;1000,G774="NPN05"),H774,"")</f>
        <v/>
      </c>
      <c r="AV774" s="44" t="str">
        <f>IF(AND(C774=Master!$H$3,B774="2012-2013",E774="",G774="NPN05"),H774,"")</f>
        <v/>
      </c>
      <c r="AW774" s="44" t="str">
        <f>IF(AND(C774=Master!$H$4,B774="2012-2013",E774&gt;1000,G774="NPN05"),H774,"")</f>
        <v/>
      </c>
      <c r="AX774" s="44" t="str">
        <f>IF(AND(C774=Master!$H$4,B774="2012-2013",E774="",G774="NPN05"),H774,"")</f>
        <v/>
      </c>
      <c r="AY774" s="44" t="str">
        <f>IF(AND(C774=Master!$H$5,B774="2012-2013",E774&gt;1000,G774="NPN05"),H774,"")</f>
        <v/>
      </c>
      <c r="AZ774" s="44" t="str">
        <f>IF(AND(C774=Master!$H$5,B774="2012-2013",E774="",G774="NPN05"),H774,"")</f>
        <v/>
      </c>
      <c r="BA774" s="44" t="str">
        <f>IF(AND(C774=Master!$H$6,B774="2012-2013",E774&gt;1000,G774="NPN05"),H774,"")</f>
        <v/>
      </c>
      <c r="BB774" s="44" t="str">
        <f>IF(AND(C774=Master!$H$6,B774="2012-2013",E774="",G774="NPN05"),H774,"")</f>
        <v/>
      </c>
      <c r="BC774" s="44" t="str">
        <f>IF(AND(C774=Master!$H$7,B774="2012-2013",E774&gt;1000,G774="NPN05"),H774,"")</f>
        <v/>
      </c>
      <c r="BD774" s="44" t="str">
        <f>IF(AND(C774=Master!$H$7,B774="2012-2013",E774="",G774="NPN05"),H774,"")</f>
        <v/>
      </c>
      <c r="BE774" s="44" t="str">
        <f>IF(AND(C774=Master!$H$8,B774="2012-2013",E774&gt;1000,G774="NPN05"),H774,"")</f>
        <v/>
      </c>
      <c r="BF774" s="44" t="str">
        <f>IF(AND(C774=Master!$H$8,B774="2012-2013",E774="",G774="NPN05"),H774,"")</f>
        <v/>
      </c>
      <c r="BG774" s="44" t="str">
        <f>IF(AND(C774=Master!$H$9,B774="2012-2013",E774&gt;1000,G774="NPN05"),H774,"")</f>
        <v/>
      </c>
      <c r="BH774" s="44" t="str">
        <f>IF(AND(C774=Master!$H$9,B774="2012-2013",E774="",G774="NPN05"),H774,"")</f>
        <v/>
      </c>
    </row>
    <row r="775" spans="1:60" x14ac:dyDescent="0.25">
      <c r="A775" s="3">
        <v>773</v>
      </c>
      <c r="B775" s="12"/>
      <c r="C775" s="12"/>
      <c r="D775" s="31"/>
      <c r="E775" s="4"/>
      <c r="F775" s="13"/>
      <c r="G775" s="21"/>
      <c r="H775" s="35"/>
      <c r="I775" s="21"/>
      <c r="J775" s="25" t="str">
        <f>IF(NOT(I775=""),INDEX(Master!$B$1:$B$46,MATCH(I775,Master!$A$1:$A$46,0)),"")</f>
        <v/>
      </c>
      <c r="K775" s="18"/>
      <c r="L775" s="86"/>
      <c r="M775" s="13"/>
      <c r="N775" s="13"/>
      <c r="O775" s="18"/>
      <c r="P775" s="35"/>
      <c r="Q775" s="21"/>
      <c r="R775" s="21"/>
      <c r="S775" s="13"/>
      <c r="T775" s="12"/>
      <c r="U775" s="12"/>
      <c r="V775" s="12"/>
      <c r="W775" s="14"/>
      <c r="Y775" s="42" t="str">
        <f>IF(AND(C775=Master!$H$1,B775="2012-2013",E775&gt;1000,G775="PLN03"),H775,"")</f>
        <v/>
      </c>
      <c r="Z775" s="42" t="str">
        <f>IF(AND(C775=Master!$H$1,B775="2012-2013",E775="",G775="PLN03"),H775,"")</f>
        <v/>
      </c>
      <c r="AA775" s="42" t="str">
        <f>IF(AND(C775=Master!$H$2,B775="2012-2013",E775&gt;1000,G775="PLN03"),H775,"")</f>
        <v/>
      </c>
      <c r="AB775" s="42" t="str">
        <f>IF(AND(C775=Master!$H$2,B775="2012-2013",E775="",G775="PLN03"),H775,"")</f>
        <v/>
      </c>
      <c r="AC775" s="42" t="str">
        <f>IF(AND(C775=Master!$H$3,B775="2012-2013",E775&gt;1000,G775="PLN03"),H775,"")</f>
        <v/>
      </c>
      <c r="AD775" s="42" t="str">
        <f>IF(AND(C775=Master!$H$3,B775="2012-2013",E775="",G775="PLN03"),H775,"")</f>
        <v/>
      </c>
      <c r="AE775" s="42" t="str">
        <f>IF(AND(C775=Master!$H$4,B775="2012-2013",E775&gt;1000,G775="PLN03"),H775,"")</f>
        <v/>
      </c>
      <c r="AF775" s="42" t="str">
        <f>IF(AND(C775=Master!$H$4,B775="2012-2013",E775="",G775="PLN03"),H775,"")</f>
        <v/>
      </c>
      <c r="AG775" s="42" t="str">
        <f>IF(AND(C775=Master!$H$5,B775="2012-2013",E775&gt;1000,G775="PLN03"),H775,"")</f>
        <v/>
      </c>
      <c r="AH775" s="42" t="str">
        <f>IF(AND(C775=Master!$H$5,B775="2012-2013",E775="",G775="PLN03"),H775,"")</f>
        <v/>
      </c>
      <c r="AI775" s="42" t="str">
        <f>IF(AND(C775=Master!$H$6,B775="2012-2013",E775&gt;1000,G775="PLN03"),H775,"")</f>
        <v/>
      </c>
      <c r="AJ775" s="42" t="str">
        <f>IF(AND(C775=Master!$H$6,B775="2012-2013",E775="",G775="PLN03"),H775,"")</f>
        <v/>
      </c>
      <c r="AK775" s="42" t="str">
        <f>IF(AND(C775=Master!$H$7,B775="2012-2013",E775&gt;1000,G775="PLN03"),H775,"")</f>
        <v/>
      </c>
      <c r="AL775" s="42" t="str">
        <f>IF(AND(C775=Master!$H$7,B775="2012-2013",E775="",G775="PLN03"),H775,"")</f>
        <v/>
      </c>
      <c r="AM775" s="42" t="str">
        <f>IF(AND(C775=Master!$H$8,B775="2012-2013",E775&gt;1000,G775="PLN03"),H775,"")</f>
        <v/>
      </c>
      <c r="AN775" s="42" t="str">
        <f>IF(AND(C775=Master!$H$8,B775="2012-2013",E775="",G775="PLN03"),H775,"")</f>
        <v/>
      </c>
      <c r="AO775" s="42" t="str">
        <f>IF(AND(C775=Master!$H$9,B775="2012-2013",E775&gt;1000,G775="PLN03"),H775,"")</f>
        <v/>
      </c>
      <c r="AP775" s="42" t="str">
        <f>IF(AND(C775=Master!$H$9,B775="2012-2013",E775="",G775="PLN03"),H775,"")</f>
        <v/>
      </c>
      <c r="AQ775" s="44" t="str">
        <f>IF(AND(C775=Master!$H$1,B775="2012-2013",E775&gt;1000,G775="NPN05"),H775,"")</f>
        <v/>
      </c>
      <c r="AR775" s="44" t="str">
        <f>IF(AND(C775=Master!$H$1,B775="2012-2013",E775="",G775="NPN05"),H775,"")</f>
        <v/>
      </c>
      <c r="AS775" s="44" t="str">
        <f>IF(AND(C775=Master!$H$2,B775="2012-2013",E775&gt;1000,G775="NPN05"),H775,"")</f>
        <v/>
      </c>
      <c r="AT775" s="44" t="str">
        <f>IF(AND(C775=Master!$H$2,B775="2012-2013",E775="",G775="NPN05"),H775,"")</f>
        <v/>
      </c>
      <c r="AU775" s="44" t="str">
        <f>IF(AND(C775=Master!$H$3,B775="2012-2013",E775&gt;1000,G775="NPN05"),H775,"")</f>
        <v/>
      </c>
      <c r="AV775" s="44" t="str">
        <f>IF(AND(C775=Master!$H$3,B775="2012-2013",E775="",G775="NPN05"),H775,"")</f>
        <v/>
      </c>
      <c r="AW775" s="44" t="str">
        <f>IF(AND(C775=Master!$H$4,B775="2012-2013",E775&gt;1000,G775="NPN05"),H775,"")</f>
        <v/>
      </c>
      <c r="AX775" s="44" t="str">
        <f>IF(AND(C775=Master!$H$4,B775="2012-2013",E775="",G775="NPN05"),H775,"")</f>
        <v/>
      </c>
      <c r="AY775" s="44" t="str">
        <f>IF(AND(C775=Master!$H$5,B775="2012-2013",E775&gt;1000,G775="NPN05"),H775,"")</f>
        <v/>
      </c>
      <c r="AZ775" s="44" t="str">
        <f>IF(AND(C775=Master!$H$5,B775="2012-2013",E775="",G775="NPN05"),H775,"")</f>
        <v/>
      </c>
      <c r="BA775" s="44" t="str">
        <f>IF(AND(C775=Master!$H$6,B775="2012-2013",E775&gt;1000,G775="NPN05"),H775,"")</f>
        <v/>
      </c>
      <c r="BB775" s="44" t="str">
        <f>IF(AND(C775=Master!$H$6,B775="2012-2013",E775="",G775="NPN05"),H775,"")</f>
        <v/>
      </c>
      <c r="BC775" s="44" t="str">
        <f>IF(AND(C775=Master!$H$7,B775="2012-2013",E775&gt;1000,G775="NPN05"),H775,"")</f>
        <v/>
      </c>
      <c r="BD775" s="44" t="str">
        <f>IF(AND(C775=Master!$H$7,B775="2012-2013",E775="",G775="NPN05"),H775,"")</f>
        <v/>
      </c>
      <c r="BE775" s="44" t="str">
        <f>IF(AND(C775=Master!$H$8,B775="2012-2013",E775&gt;1000,G775="NPN05"),H775,"")</f>
        <v/>
      </c>
      <c r="BF775" s="44" t="str">
        <f>IF(AND(C775=Master!$H$8,B775="2012-2013",E775="",G775="NPN05"),H775,"")</f>
        <v/>
      </c>
      <c r="BG775" s="44" t="str">
        <f>IF(AND(C775=Master!$H$9,B775="2012-2013",E775&gt;1000,G775="NPN05"),H775,"")</f>
        <v/>
      </c>
      <c r="BH775" s="44" t="str">
        <f>IF(AND(C775=Master!$H$9,B775="2012-2013",E775="",G775="NPN05"),H775,"")</f>
        <v/>
      </c>
    </row>
    <row r="776" spans="1:60" x14ac:dyDescent="0.25">
      <c r="A776" s="3">
        <v>774</v>
      </c>
      <c r="B776" s="12"/>
      <c r="C776" s="12"/>
      <c r="D776" s="31"/>
      <c r="E776" s="4"/>
      <c r="F776" s="13"/>
      <c r="G776" s="21"/>
      <c r="H776" s="35"/>
      <c r="I776" s="21"/>
      <c r="J776" s="25" t="str">
        <f>IF(NOT(I776=""),INDEX(Master!$B$1:$B$46,MATCH(I776,Master!$A$1:$A$46,0)),"")</f>
        <v/>
      </c>
      <c r="K776" s="18"/>
      <c r="L776" s="86"/>
      <c r="M776" s="13"/>
      <c r="N776" s="13"/>
      <c r="O776" s="18"/>
      <c r="P776" s="35"/>
      <c r="Q776" s="21"/>
      <c r="R776" s="21"/>
      <c r="S776" s="13"/>
      <c r="T776" s="12"/>
      <c r="U776" s="12"/>
      <c r="V776" s="12"/>
      <c r="W776" s="14"/>
      <c r="Y776" s="42" t="str">
        <f>IF(AND(C776=Master!$H$1,B776="2012-2013",E776&gt;1000,G776="PLN03"),H776,"")</f>
        <v/>
      </c>
      <c r="Z776" s="42" t="str">
        <f>IF(AND(C776=Master!$H$1,B776="2012-2013",E776="",G776="PLN03"),H776,"")</f>
        <v/>
      </c>
      <c r="AA776" s="42" t="str">
        <f>IF(AND(C776=Master!$H$2,B776="2012-2013",E776&gt;1000,G776="PLN03"),H776,"")</f>
        <v/>
      </c>
      <c r="AB776" s="42" t="str">
        <f>IF(AND(C776=Master!$H$2,B776="2012-2013",E776="",G776="PLN03"),H776,"")</f>
        <v/>
      </c>
      <c r="AC776" s="42" t="str">
        <f>IF(AND(C776=Master!$H$3,B776="2012-2013",E776&gt;1000,G776="PLN03"),H776,"")</f>
        <v/>
      </c>
      <c r="AD776" s="42" t="str">
        <f>IF(AND(C776=Master!$H$3,B776="2012-2013",E776="",G776="PLN03"),H776,"")</f>
        <v/>
      </c>
      <c r="AE776" s="42" t="str">
        <f>IF(AND(C776=Master!$H$4,B776="2012-2013",E776&gt;1000,G776="PLN03"),H776,"")</f>
        <v/>
      </c>
      <c r="AF776" s="42" t="str">
        <f>IF(AND(C776=Master!$H$4,B776="2012-2013",E776="",G776="PLN03"),H776,"")</f>
        <v/>
      </c>
      <c r="AG776" s="42" t="str">
        <f>IF(AND(C776=Master!$H$5,B776="2012-2013",E776&gt;1000,G776="PLN03"),H776,"")</f>
        <v/>
      </c>
      <c r="AH776" s="42" t="str">
        <f>IF(AND(C776=Master!$H$5,B776="2012-2013",E776="",G776="PLN03"),H776,"")</f>
        <v/>
      </c>
      <c r="AI776" s="42" t="str">
        <f>IF(AND(C776=Master!$H$6,B776="2012-2013",E776&gt;1000,G776="PLN03"),H776,"")</f>
        <v/>
      </c>
      <c r="AJ776" s="42" t="str">
        <f>IF(AND(C776=Master!$H$6,B776="2012-2013",E776="",G776="PLN03"),H776,"")</f>
        <v/>
      </c>
      <c r="AK776" s="42" t="str">
        <f>IF(AND(C776=Master!$H$7,B776="2012-2013",E776&gt;1000,G776="PLN03"),H776,"")</f>
        <v/>
      </c>
      <c r="AL776" s="42" t="str">
        <f>IF(AND(C776=Master!$H$7,B776="2012-2013",E776="",G776="PLN03"),H776,"")</f>
        <v/>
      </c>
      <c r="AM776" s="42" t="str">
        <f>IF(AND(C776=Master!$H$8,B776="2012-2013",E776&gt;1000,G776="PLN03"),H776,"")</f>
        <v/>
      </c>
      <c r="AN776" s="42" t="str">
        <f>IF(AND(C776=Master!$H$8,B776="2012-2013",E776="",G776="PLN03"),H776,"")</f>
        <v/>
      </c>
      <c r="AO776" s="42" t="str">
        <f>IF(AND(C776=Master!$H$9,B776="2012-2013",E776&gt;1000,G776="PLN03"),H776,"")</f>
        <v/>
      </c>
      <c r="AP776" s="42" t="str">
        <f>IF(AND(C776=Master!$H$9,B776="2012-2013",E776="",G776="PLN03"),H776,"")</f>
        <v/>
      </c>
      <c r="AQ776" s="44" t="str">
        <f>IF(AND(C776=Master!$H$1,B776="2012-2013",E776&gt;1000,G776="NPN05"),H776,"")</f>
        <v/>
      </c>
      <c r="AR776" s="44" t="str">
        <f>IF(AND(C776=Master!$H$1,B776="2012-2013",E776="",G776="NPN05"),H776,"")</f>
        <v/>
      </c>
      <c r="AS776" s="44" t="str">
        <f>IF(AND(C776=Master!$H$2,B776="2012-2013",E776&gt;1000,G776="NPN05"),H776,"")</f>
        <v/>
      </c>
      <c r="AT776" s="44" t="str">
        <f>IF(AND(C776=Master!$H$2,B776="2012-2013",E776="",G776="NPN05"),H776,"")</f>
        <v/>
      </c>
      <c r="AU776" s="44" t="str">
        <f>IF(AND(C776=Master!$H$3,B776="2012-2013",E776&gt;1000,G776="NPN05"),H776,"")</f>
        <v/>
      </c>
      <c r="AV776" s="44" t="str">
        <f>IF(AND(C776=Master!$H$3,B776="2012-2013",E776="",G776="NPN05"),H776,"")</f>
        <v/>
      </c>
      <c r="AW776" s="44" t="str">
        <f>IF(AND(C776=Master!$H$4,B776="2012-2013",E776&gt;1000,G776="NPN05"),H776,"")</f>
        <v/>
      </c>
      <c r="AX776" s="44" t="str">
        <f>IF(AND(C776=Master!$H$4,B776="2012-2013",E776="",G776="NPN05"),H776,"")</f>
        <v/>
      </c>
      <c r="AY776" s="44" t="str">
        <f>IF(AND(C776=Master!$H$5,B776="2012-2013",E776&gt;1000,G776="NPN05"),H776,"")</f>
        <v/>
      </c>
      <c r="AZ776" s="44" t="str">
        <f>IF(AND(C776=Master!$H$5,B776="2012-2013",E776="",G776="NPN05"),H776,"")</f>
        <v/>
      </c>
      <c r="BA776" s="44" t="str">
        <f>IF(AND(C776=Master!$H$6,B776="2012-2013",E776&gt;1000,G776="NPN05"),H776,"")</f>
        <v/>
      </c>
      <c r="BB776" s="44" t="str">
        <f>IF(AND(C776=Master!$H$6,B776="2012-2013",E776="",G776="NPN05"),H776,"")</f>
        <v/>
      </c>
      <c r="BC776" s="44" t="str">
        <f>IF(AND(C776=Master!$H$7,B776="2012-2013",E776&gt;1000,G776="NPN05"),H776,"")</f>
        <v/>
      </c>
      <c r="BD776" s="44" t="str">
        <f>IF(AND(C776=Master!$H$7,B776="2012-2013",E776="",G776="NPN05"),H776,"")</f>
        <v/>
      </c>
      <c r="BE776" s="44" t="str">
        <f>IF(AND(C776=Master!$H$8,B776="2012-2013",E776&gt;1000,G776="NPN05"),H776,"")</f>
        <v/>
      </c>
      <c r="BF776" s="44" t="str">
        <f>IF(AND(C776=Master!$H$8,B776="2012-2013",E776="",G776="NPN05"),H776,"")</f>
        <v/>
      </c>
      <c r="BG776" s="44" t="str">
        <f>IF(AND(C776=Master!$H$9,B776="2012-2013",E776&gt;1000,G776="NPN05"),H776,"")</f>
        <v/>
      </c>
      <c r="BH776" s="44" t="str">
        <f>IF(AND(C776=Master!$H$9,B776="2012-2013",E776="",G776="NPN05"),H776,"")</f>
        <v/>
      </c>
    </row>
    <row r="777" spans="1:60" x14ac:dyDescent="0.25">
      <c r="A777" s="3">
        <v>775</v>
      </c>
      <c r="B777" s="12"/>
      <c r="C777" s="12"/>
      <c r="D777" s="31"/>
      <c r="E777" s="4"/>
      <c r="F777" s="13"/>
      <c r="G777" s="21"/>
      <c r="H777" s="35"/>
      <c r="I777" s="21"/>
      <c r="J777" s="25" t="str">
        <f>IF(NOT(I777=""),INDEX(Master!$B$1:$B$46,MATCH(I777,Master!$A$1:$A$46,0)),"")</f>
        <v/>
      </c>
      <c r="K777" s="18"/>
      <c r="L777" s="86"/>
      <c r="M777" s="13"/>
      <c r="N777" s="13"/>
      <c r="O777" s="18"/>
      <c r="P777" s="35"/>
      <c r="Q777" s="21"/>
      <c r="R777" s="21"/>
      <c r="S777" s="13"/>
      <c r="T777" s="12"/>
      <c r="U777" s="12"/>
      <c r="V777" s="12"/>
      <c r="W777" s="14"/>
      <c r="Y777" s="42" t="str">
        <f>IF(AND(C777=Master!$H$1,B777="2012-2013",E777&gt;1000,G777="PLN03"),H777,"")</f>
        <v/>
      </c>
      <c r="Z777" s="42" t="str">
        <f>IF(AND(C777=Master!$H$1,B777="2012-2013",E777="",G777="PLN03"),H777,"")</f>
        <v/>
      </c>
      <c r="AA777" s="42" t="str">
        <f>IF(AND(C777=Master!$H$2,B777="2012-2013",E777&gt;1000,G777="PLN03"),H777,"")</f>
        <v/>
      </c>
      <c r="AB777" s="42" t="str">
        <f>IF(AND(C777=Master!$H$2,B777="2012-2013",E777="",G777="PLN03"),H777,"")</f>
        <v/>
      </c>
      <c r="AC777" s="42" t="str">
        <f>IF(AND(C777=Master!$H$3,B777="2012-2013",E777&gt;1000,G777="PLN03"),H777,"")</f>
        <v/>
      </c>
      <c r="AD777" s="42" t="str">
        <f>IF(AND(C777=Master!$H$3,B777="2012-2013",E777="",G777="PLN03"),H777,"")</f>
        <v/>
      </c>
      <c r="AE777" s="42" t="str">
        <f>IF(AND(C777=Master!$H$4,B777="2012-2013",E777&gt;1000,G777="PLN03"),H777,"")</f>
        <v/>
      </c>
      <c r="AF777" s="42" t="str">
        <f>IF(AND(C777=Master!$H$4,B777="2012-2013",E777="",G777="PLN03"),H777,"")</f>
        <v/>
      </c>
      <c r="AG777" s="42" t="str">
        <f>IF(AND(C777=Master!$H$5,B777="2012-2013",E777&gt;1000,G777="PLN03"),H777,"")</f>
        <v/>
      </c>
      <c r="AH777" s="42" t="str">
        <f>IF(AND(C777=Master!$H$5,B777="2012-2013",E777="",G777="PLN03"),H777,"")</f>
        <v/>
      </c>
      <c r="AI777" s="42" t="str">
        <f>IF(AND(C777=Master!$H$6,B777="2012-2013",E777&gt;1000,G777="PLN03"),H777,"")</f>
        <v/>
      </c>
      <c r="AJ777" s="42" t="str">
        <f>IF(AND(C777=Master!$H$6,B777="2012-2013",E777="",G777="PLN03"),H777,"")</f>
        <v/>
      </c>
      <c r="AK777" s="42" t="str">
        <f>IF(AND(C777=Master!$H$7,B777="2012-2013",E777&gt;1000,G777="PLN03"),H777,"")</f>
        <v/>
      </c>
      <c r="AL777" s="42" t="str">
        <f>IF(AND(C777=Master!$H$7,B777="2012-2013",E777="",G777="PLN03"),H777,"")</f>
        <v/>
      </c>
      <c r="AM777" s="42" t="str">
        <f>IF(AND(C777=Master!$H$8,B777="2012-2013",E777&gt;1000,G777="PLN03"),H777,"")</f>
        <v/>
      </c>
      <c r="AN777" s="42" t="str">
        <f>IF(AND(C777=Master!$H$8,B777="2012-2013",E777="",G777="PLN03"),H777,"")</f>
        <v/>
      </c>
      <c r="AO777" s="42" t="str">
        <f>IF(AND(C777=Master!$H$9,B777="2012-2013",E777&gt;1000,G777="PLN03"),H777,"")</f>
        <v/>
      </c>
      <c r="AP777" s="42" t="str">
        <f>IF(AND(C777=Master!$H$9,B777="2012-2013",E777="",G777="PLN03"),H777,"")</f>
        <v/>
      </c>
      <c r="AQ777" s="44" t="str">
        <f>IF(AND(C777=Master!$H$1,B777="2012-2013",E777&gt;1000,G777="NPN05"),H777,"")</f>
        <v/>
      </c>
      <c r="AR777" s="44" t="str">
        <f>IF(AND(C777=Master!$H$1,B777="2012-2013",E777="",G777="NPN05"),H777,"")</f>
        <v/>
      </c>
      <c r="AS777" s="44" t="str">
        <f>IF(AND(C777=Master!$H$2,B777="2012-2013",E777&gt;1000,G777="NPN05"),H777,"")</f>
        <v/>
      </c>
      <c r="AT777" s="44" t="str">
        <f>IF(AND(C777=Master!$H$2,B777="2012-2013",E777="",G777="NPN05"),H777,"")</f>
        <v/>
      </c>
      <c r="AU777" s="44" t="str">
        <f>IF(AND(C777=Master!$H$3,B777="2012-2013",E777&gt;1000,G777="NPN05"),H777,"")</f>
        <v/>
      </c>
      <c r="AV777" s="44" t="str">
        <f>IF(AND(C777=Master!$H$3,B777="2012-2013",E777="",G777="NPN05"),H777,"")</f>
        <v/>
      </c>
      <c r="AW777" s="44" t="str">
        <f>IF(AND(C777=Master!$H$4,B777="2012-2013",E777&gt;1000,G777="NPN05"),H777,"")</f>
        <v/>
      </c>
      <c r="AX777" s="44" t="str">
        <f>IF(AND(C777=Master!$H$4,B777="2012-2013",E777="",G777="NPN05"),H777,"")</f>
        <v/>
      </c>
      <c r="AY777" s="44" t="str">
        <f>IF(AND(C777=Master!$H$5,B777="2012-2013",E777&gt;1000,G777="NPN05"),H777,"")</f>
        <v/>
      </c>
      <c r="AZ777" s="44" t="str">
        <f>IF(AND(C777=Master!$H$5,B777="2012-2013",E777="",G777="NPN05"),H777,"")</f>
        <v/>
      </c>
      <c r="BA777" s="44" t="str">
        <f>IF(AND(C777=Master!$H$6,B777="2012-2013",E777&gt;1000,G777="NPN05"),H777,"")</f>
        <v/>
      </c>
      <c r="BB777" s="44" t="str">
        <f>IF(AND(C777=Master!$H$6,B777="2012-2013",E777="",G777="NPN05"),H777,"")</f>
        <v/>
      </c>
      <c r="BC777" s="44" t="str">
        <f>IF(AND(C777=Master!$H$7,B777="2012-2013",E777&gt;1000,G777="NPN05"),H777,"")</f>
        <v/>
      </c>
      <c r="BD777" s="44" t="str">
        <f>IF(AND(C777=Master!$H$7,B777="2012-2013",E777="",G777="NPN05"),H777,"")</f>
        <v/>
      </c>
      <c r="BE777" s="44" t="str">
        <f>IF(AND(C777=Master!$H$8,B777="2012-2013",E777&gt;1000,G777="NPN05"),H777,"")</f>
        <v/>
      </c>
      <c r="BF777" s="44" t="str">
        <f>IF(AND(C777=Master!$H$8,B777="2012-2013",E777="",G777="NPN05"),H777,"")</f>
        <v/>
      </c>
      <c r="BG777" s="44" t="str">
        <f>IF(AND(C777=Master!$H$9,B777="2012-2013",E777&gt;1000,G777="NPN05"),H777,"")</f>
        <v/>
      </c>
      <c r="BH777" s="44" t="str">
        <f>IF(AND(C777=Master!$H$9,B777="2012-2013",E777="",G777="NPN05"),H777,"")</f>
        <v/>
      </c>
    </row>
    <row r="778" spans="1:60" x14ac:dyDescent="0.25">
      <c r="A778" s="5">
        <v>776</v>
      </c>
      <c r="B778" s="12"/>
      <c r="C778" s="12"/>
      <c r="D778" s="31"/>
      <c r="E778" s="4"/>
      <c r="F778" s="13"/>
      <c r="G778" s="21"/>
      <c r="H778" s="35"/>
      <c r="I778" s="21"/>
      <c r="J778" s="25" t="str">
        <f>IF(NOT(I778=""),INDEX(Master!$B$1:$B$46,MATCH(I778,Master!$A$1:$A$46,0)),"")</f>
        <v/>
      </c>
      <c r="K778" s="18"/>
      <c r="L778" s="86"/>
      <c r="M778" s="13"/>
      <c r="N778" s="13"/>
      <c r="O778" s="18"/>
      <c r="P778" s="35"/>
      <c r="Q778" s="21"/>
      <c r="R778" s="21"/>
      <c r="S778" s="13"/>
      <c r="T778" s="12"/>
      <c r="U778" s="12"/>
      <c r="V778" s="12"/>
      <c r="W778" s="14"/>
      <c r="Y778" s="42" t="str">
        <f>IF(AND(C778=Master!$H$1,B778="2012-2013",E778&gt;1000,G778="PLN03"),H778,"")</f>
        <v/>
      </c>
      <c r="Z778" s="42" t="str">
        <f>IF(AND(C778=Master!$H$1,B778="2012-2013",E778="",G778="PLN03"),H778,"")</f>
        <v/>
      </c>
      <c r="AA778" s="42" t="str">
        <f>IF(AND(C778=Master!$H$2,B778="2012-2013",E778&gt;1000,G778="PLN03"),H778,"")</f>
        <v/>
      </c>
      <c r="AB778" s="42" t="str">
        <f>IF(AND(C778=Master!$H$2,B778="2012-2013",E778="",G778="PLN03"),H778,"")</f>
        <v/>
      </c>
      <c r="AC778" s="42" t="str">
        <f>IF(AND(C778=Master!$H$3,B778="2012-2013",E778&gt;1000,G778="PLN03"),H778,"")</f>
        <v/>
      </c>
      <c r="AD778" s="42" t="str">
        <f>IF(AND(C778=Master!$H$3,B778="2012-2013",E778="",G778="PLN03"),H778,"")</f>
        <v/>
      </c>
      <c r="AE778" s="42" t="str">
        <f>IF(AND(C778=Master!$H$4,B778="2012-2013",E778&gt;1000,G778="PLN03"),H778,"")</f>
        <v/>
      </c>
      <c r="AF778" s="42" t="str">
        <f>IF(AND(C778=Master!$H$4,B778="2012-2013",E778="",G778="PLN03"),H778,"")</f>
        <v/>
      </c>
      <c r="AG778" s="42" t="str">
        <f>IF(AND(C778=Master!$H$5,B778="2012-2013",E778&gt;1000,G778="PLN03"),H778,"")</f>
        <v/>
      </c>
      <c r="AH778" s="42" t="str">
        <f>IF(AND(C778=Master!$H$5,B778="2012-2013",E778="",G778="PLN03"),H778,"")</f>
        <v/>
      </c>
      <c r="AI778" s="42" t="str">
        <f>IF(AND(C778=Master!$H$6,B778="2012-2013",E778&gt;1000,G778="PLN03"),H778,"")</f>
        <v/>
      </c>
      <c r="AJ778" s="42" t="str">
        <f>IF(AND(C778=Master!$H$6,B778="2012-2013",E778="",G778="PLN03"),H778,"")</f>
        <v/>
      </c>
      <c r="AK778" s="42" t="str">
        <f>IF(AND(C778=Master!$H$7,B778="2012-2013",E778&gt;1000,G778="PLN03"),H778,"")</f>
        <v/>
      </c>
      <c r="AL778" s="42" t="str">
        <f>IF(AND(C778=Master!$H$7,B778="2012-2013",E778="",G778="PLN03"),H778,"")</f>
        <v/>
      </c>
      <c r="AM778" s="42" t="str">
        <f>IF(AND(C778=Master!$H$8,B778="2012-2013",E778&gt;1000,G778="PLN03"),H778,"")</f>
        <v/>
      </c>
      <c r="AN778" s="42" t="str">
        <f>IF(AND(C778=Master!$H$8,B778="2012-2013",E778="",G778="PLN03"),H778,"")</f>
        <v/>
      </c>
      <c r="AO778" s="42" t="str">
        <f>IF(AND(C778=Master!$H$9,B778="2012-2013",E778&gt;1000,G778="PLN03"),H778,"")</f>
        <v/>
      </c>
      <c r="AP778" s="42" t="str">
        <f>IF(AND(C778=Master!$H$9,B778="2012-2013",E778="",G778="PLN03"),H778,"")</f>
        <v/>
      </c>
      <c r="AQ778" s="44" t="str">
        <f>IF(AND(C778=Master!$H$1,B778="2012-2013",E778&gt;1000,G778="NPN05"),H778,"")</f>
        <v/>
      </c>
      <c r="AR778" s="44" t="str">
        <f>IF(AND(C778=Master!$H$1,B778="2012-2013",E778="",G778="NPN05"),H778,"")</f>
        <v/>
      </c>
      <c r="AS778" s="44" t="str">
        <f>IF(AND(C778=Master!$H$2,B778="2012-2013",E778&gt;1000,G778="NPN05"),H778,"")</f>
        <v/>
      </c>
      <c r="AT778" s="44" t="str">
        <f>IF(AND(C778=Master!$H$2,B778="2012-2013",E778="",G778="NPN05"),H778,"")</f>
        <v/>
      </c>
      <c r="AU778" s="44" t="str">
        <f>IF(AND(C778=Master!$H$3,B778="2012-2013",E778&gt;1000,G778="NPN05"),H778,"")</f>
        <v/>
      </c>
      <c r="AV778" s="44" t="str">
        <f>IF(AND(C778=Master!$H$3,B778="2012-2013",E778="",G778="NPN05"),H778,"")</f>
        <v/>
      </c>
      <c r="AW778" s="44" t="str">
        <f>IF(AND(C778=Master!$H$4,B778="2012-2013",E778&gt;1000,G778="NPN05"),H778,"")</f>
        <v/>
      </c>
      <c r="AX778" s="44" t="str">
        <f>IF(AND(C778=Master!$H$4,B778="2012-2013",E778="",G778="NPN05"),H778,"")</f>
        <v/>
      </c>
      <c r="AY778" s="44" t="str">
        <f>IF(AND(C778=Master!$H$5,B778="2012-2013",E778&gt;1000,G778="NPN05"),H778,"")</f>
        <v/>
      </c>
      <c r="AZ778" s="44" t="str">
        <f>IF(AND(C778=Master!$H$5,B778="2012-2013",E778="",G778="NPN05"),H778,"")</f>
        <v/>
      </c>
      <c r="BA778" s="44" t="str">
        <f>IF(AND(C778=Master!$H$6,B778="2012-2013",E778&gt;1000,G778="NPN05"),H778,"")</f>
        <v/>
      </c>
      <c r="BB778" s="44" t="str">
        <f>IF(AND(C778=Master!$H$6,B778="2012-2013",E778="",G778="NPN05"),H778,"")</f>
        <v/>
      </c>
      <c r="BC778" s="44" t="str">
        <f>IF(AND(C778=Master!$H$7,B778="2012-2013",E778&gt;1000,G778="NPN05"),H778,"")</f>
        <v/>
      </c>
      <c r="BD778" s="44" t="str">
        <f>IF(AND(C778=Master!$H$7,B778="2012-2013",E778="",G778="NPN05"),H778,"")</f>
        <v/>
      </c>
      <c r="BE778" s="44" t="str">
        <f>IF(AND(C778=Master!$H$8,B778="2012-2013",E778&gt;1000,G778="NPN05"),H778,"")</f>
        <v/>
      </c>
      <c r="BF778" s="44" t="str">
        <f>IF(AND(C778=Master!$H$8,B778="2012-2013",E778="",G778="NPN05"),H778,"")</f>
        <v/>
      </c>
      <c r="BG778" s="44" t="str">
        <f>IF(AND(C778=Master!$H$9,B778="2012-2013",E778&gt;1000,G778="NPN05"),H778,"")</f>
        <v/>
      </c>
      <c r="BH778" s="44" t="str">
        <f>IF(AND(C778=Master!$H$9,B778="2012-2013",E778="",G778="NPN05"),H778,"")</f>
        <v/>
      </c>
    </row>
    <row r="779" spans="1:60" x14ac:dyDescent="0.25">
      <c r="A779" s="3">
        <v>777</v>
      </c>
      <c r="B779" s="12"/>
      <c r="C779" s="12"/>
      <c r="D779" s="31"/>
      <c r="E779" s="4"/>
      <c r="F779" s="13"/>
      <c r="G779" s="21"/>
      <c r="H779" s="35"/>
      <c r="I779" s="21"/>
      <c r="J779" s="25" t="str">
        <f>IF(NOT(I779=""),INDEX(Master!$B$1:$B$46,MATCH(I779,Master!$A$1:$A$46,0)),"")</f>
        <v/>
      </c>
      <c r="K779" s="18"/>
      <c r="L779" s="86"/>
      <c r="M779" s="13"/>
      <c r="N779" s="13"/>
      <c r="O779" s="18"/>
      <c r="P779" s="35"/>
      <c r="Q779" s="21"/>
      <c r="R779" s="21"/>
      <c r="S779" s="13"/>
      <c r="T779" s="12"/>
      <c r="U779" s="12"/>
      <c r="V779" s="12"/>
      <c r="W779" s="14"/>
      <c r="Y779" s="42" t="str">
        <f>IF(AND(C779=Master!$H$1,B779="2012-2013",E779&gt;1000,G779="PLN03"),H779,"")</f>
        <v/>
      </c>
      <c r="Z779" s="42" t="str">
        <f>IF(AND(C779=Master!$H$1,B779="2012-2013",E779="",G779="PLN03"),H779,"")</f>
        <v/>
      </c>
      <c r="AA779" s="42" t="str">
        <f>IF(AND(C779=Master!$H$2,B779="2012-2013",E779&gt;1000,G779="PLN03"),H779,"")</f>
        <v/>
      </c>
      <c r="AB779" s="42" t="str">
        <f>IF(AND(C779=Master!$H$2,B779="2012-2013",E779="",G779="PLN03"),H779,"")</f>
        <v/>
      </c>
      <c r="AC779" s="42" t="str">
        <f>IF(AND(C779=Master!$H$3,B779="2012-2013",E779&gt;1000,G779="PLN03"),H779,"")</f>
        <v/>
      </c>
      <c r="AD779" s="42" t="str">
        <f>IF(AND(C779=Master!$H$3,B779="2012-2013",E779="",G779="PLN03"),H779,"")</f>
        <v/>
      </c>
      <c r="AE779" s="42" t="str">
        <f>IF(AND(C779=Master!$H$4,B779="2012-2013",E779&gt;1000,G779="PLN03"),H779,"")</f>
        <v/>
      </c>
      <c r="AF779" s="42" t="str">
        <f>IF(AND(C779=Master!$H$4,B779="2012-2013",E779="",G779="PLN03"),H779,"")</f>
        <v/>
      </c>
      <c r="AG779" s="42" t="str">
        <f>IF(AND(C779=Master!$H$5,B779="2012-2013",E779&gt;1000,G779="PLN03"),H779,"")</f>
        <v/>
      </c>
      <c r="AH779" s="42" t="str">
        <f>IF(AND(C779=Master!$H$5,B779="2012-2013",E779="",G779="PLN03"),H779,"")</f>
        <v/>
      </c>
      <c r="AI779" s="42" t="str">
        <f>IF(AND(C779=Master!$H$6,B779="2012-2013",E779&gt;1000,G779="PLN03"),H779,"")</f>
        <v/>
      </c>
      <c r="AJ779" s="42" t="str">
        <f>IF(AND(C779=Master!$H$6,B779="2012-2013",E779="",G779="PLN03"),H779,"")</f>
        <v/>
      </c>
      <c r="AK779" s="42" t="str">
        <f>IF(AND(C779=Master!$H$7,B779="2012-2013",E779&gt;1000,G779="PLN03"),H779,"")</f>
        <v/>
      </c>
      <c r="AL779" s="42" t="str">
        <f>IF(AND(C779=Master!$H$7,B779="2012-2013",E779="",G779="PLN03"),H779,"")</f>
        <v/>
      </c>
      <c r="AM779" s="42" t="str">
        <f>IF(AND(C779=Master!$H$8,B779="2012-2013",E779&gt;1000,G779="PLN03"),H779,"")</f>
        <v/>
      </c>
      <c r="AN779" s="42" t="str">
        <f>IF(AND(C779=Master!$H$8,B779="2012-2013",E779="",G779="PLN03"),H779,"")</f>
        <v/>
      </c>
      <c r="AO779" s="42" t="str">
        <f>IF(AND(C779=Master!$H$9,B779="2012-2013",E779&gt;1000,G779="PLN03"),H779,"")</f>
        <v/>
      </c>
      <c r="AP779" s="42" t="str">
        <f>IF(AND(C779=Master!$H$9,B779="2012-2013",E779="",G779="PLN03"),H779,"")</f>
        <v/>
      </c>
      <c r="AQ779" s="44" t="str">
        <f>IF(AND(C779=Master!$H$1,B779="2012-2013",E779&gt;1000,G779="NPN05"),H779,"")</f>
        <v/>
      </c>
      <c r="AR779" s="44" t="str">
        <f>IF(AND(C779=Master!$H$1,B779="2012-2013",E779="",G779="NPN05"),H779,"")</f>
        <v/>
      </c>
      <c r="AS779" s="44" t="str">
        <f>IF(AND(C779=Master!$H$2,B779="2012-2013",E779&gt;1000,G779="NPN05"),H779,"")</f>
        <v/>
      </c>
      <c r="AT779" s="44" t="str">
        <f>IF(AND(C779=Master!$H$2,B779="2012-2013",E779="",G779="NPN05"),H779,"")</f>
        <v/>
      </c>
      <c r="AU779" s="44" t="str">
        <f>IF(AND(C779=Master!$H$3,B779="2012-2013",E779&gt;1000,G779="NPN05"),H779,"")</f>
        <v/>
      </c>
      <c r="AV779" s="44" t="str">
        <f>IF(AND(C779=Master!$H$3,B779="2012-2013",E779="",G779="NPN05"),H779,"")</f>
        <v/>
      </c>
      <c r="AW779" s="44" t="str">
        <f>IF(AND(C779=Master!$H$4,B779="2012-2013",E779&gt;1000,G779="NPN05"),H779,"")</f>
        <v/>
      </c>
      <c r="AX779" s="44" t="str">
        <f>IF(AND(C779=Master!$H$4,B779="2012-2013",E779="",G779="NPN05"),H779,"")</f>
        <v/>
      </c>
      <c r="AY779" s="44" t="str">
        <f>IF(AND(C779=Master!$H$5,B779="2012-2013",E779&gt;1000,G779="NPN05"),H779,"")</f>
        <v/>
      </c>
      <c r="AZ779" s="44" t="str">
        <f>IF(AND(C779=Master!$H$5,B779="2012-2013",E779="",G779="NPN05"),H779,"")</f>
        <v/>
      </c>
      <c r="BA779" s="44" t="str">
        <f>IF(AND(C779=Master!$H$6,B779="2012-2013",E779&gt;1000,G779="NPN05"),H779,"")</f>
        <v/>
      </c>
      <c r="BB779" s="44" t="str">
        <f>IF(AND(C779=Master!$H$6,B779="2012-2013",E779="",G779="NPN05"),H779,"")</f>
        <v/>
      </c>
      <c r="BC779" s="44" t="str">
        <f>IF(AND(C779=Master!$H$7,B779="2012-2013",E779&gt;1000,G779="NPN05"),H779,"")</f>
        <v/>
      </c>
      <c r="BD779" s="44" t="str">
        <f>IF(AND(C779=Master!$H$7,B779="2012-2013",E779="",G779="NPN05"),H779,"")</f>
        <v/>
      </c>
      <c r="BE779" s="44" t="str">
        <f>IF(AND(C779=Master!$H$8,B779="2012-2013",E779&gt;1000,G779="NPN05"),H779,"")</f>
        <v/>
      </c>
      <c r="BF779" s="44" t="str">
        <f>IF(AND(C779=Master!$H$8,B779="2012-2013",E779="",G779="NPN05"),H779,"")</f>
        <v/>
      </c>
      <c r="BG779" s="44" t="str">
        <f>IF(AND(C779=Master!$H$9,B779="2012-2013",E779&gt;1000,G779="NPN05"),H779,"")</f>
        <v/>
      </c>
      <c r="BH779" s="44" t="str">
        <f>IF(AND(C779=Master!$H$9,B779="2012-2013",E779="",G779="NPN05"),H779,"")</f>
        <v/>
      </c>
    </row>
    <row r="780" spans="1:60" x14ac:dyDescent="0.25">
      <c r="A780" s="3">
        <v>778</v>
      </c>
      <c r="B780" s="12"/>
      <c r="C780" s="12"/>
      <c r="D780" s="31"/>
      <c r="E780" s="4"/>
      <c r="F780" s="13"/>
      <c r="G780" s="21"/>
      <c r="H780" s="35"/>
      <c r="I780" s="21"/>
      <c r="J780" s="25" t="str">
        <f>IF(NOT(I780=""),INDEX(Master!$B$1:$B$46,MATCH(I780,Master!$A$1:$A$46,0)),"")</f>
        <v/>
      </c>
      <c r="K780" s="18"/>
      <c r="L780" s="86"/>
      <c r="M780" s="13"/>
      <c r="N780" s="13"/>
      <c r="O780" s="18"/>
      <c r="P780" s="35"/>
      <c r="Q780" s="21"/>
      <c r="R780" s="21"/>
      <c r="S780" s="13"/>
      <c r="T780" s="12"/>
      <c r="U780" s="12"/>
      <c r="V780" s="12"/>
      <c r="W780" s="14"/>
      <c r="Y780" s="42" t="str">
        <f>IF(AND(C780=Master!$H$1,B780="2012-2013",E780&gt;1000,G780="PLN03"),H780,"")</f>
        <v/>
      </c>
      <c r="Z780" s="42" t="str">
        <f>IF(AND(C780=Master!$H$1,B780="2012-2013",E780="",G780="PLN03"),H780,"")</f>
        <v/>
      </c>
      <c r="AA780" s="42" t="str">
        <f>IF(AND(C780=Master!$H$2,B780="2012-2013",E780&gt;1000,G780="PLN03"),H780,"")</f>
        <v/>
      </c>
      <c r="AB780" s="42" t="str">
        <f>IF(AND(C780=Master!$H$2,B780="2012-2013",E780="",G780="PLN03"),H780,"")</f>
        <v/>
      </c>
      <c r="AC780" s="42" t="str">
        <f>IF(AND(C780=Master!$H$3,B780="2012-2013",E780&gt;1000,G780="PLN03"),H780,"")</f>
        <v/>
      </c>
      <c r="AD780" s="42" t="str">
        <f>IF(AND(C780=Master!$H$3,B780="2012-2013",E780="",G780="PLN03"),H780,"")</f>
        <v/>
      </c>
      <c r="AE780" s="42" t="str">
        <f>IF(AND(C780=Master!$H$4,B780="2012-2013",E780&gt;1000,G780="PLN03"),H780,"")</f>
        <v/>
      </c>
      <c r="AF780" s="42" t="str">
        <f>IF(AND(C780=Master!$H$4,B780="2012-2013",E780="",G780="PLN03"),H780,"")</f>
        <v/>
      </c>
      <c r="AG780" s="42" t="str">
        <f>IF(AND(C780=Master!$H$5,B780="2012-2013",E780&gt;1000,G780="PLN03"),H780,"")</f>
        <v/>
      </c>
      <c r="AH780" s="42" t="str">
        <f>IF(AND(C780=Master!$H$5,B780="2012-2013",E780="",G780="PLN03"),H780,"")</f>
        <v/>
      </c>
      <c r="AI780" s="42" t="str">
        <f>IF(AND(C780=Master!$H$6,B780="2012-2013",E780&gt;1000,G780="PLN03"),H780,"")</f>
        <v/>
      </c>
      <c r="AJ780" s="42" t="str">
        <f>IF(AND(C780=Master!$H$6,B780="2012-2013",E780="",G780="PLN03"),H780,"")</f>
        <v/>
      </c>
      <c r="AK780" s="42" t="str">
        <f>IF(AND(C780=Master!$H$7,B780="2012-2013",E780&gt;1000,G780="PLN03"),H780,"")</f>
        <v/>
      </c>
      <c r="AL780" s="42" t="str">
        <f>IF(AND(C780=Master!$H$7,B780="2012-2013",E780="",G780="PLN03"),H780,"")</f>
        <v/>
      </c>
      <c r="AM780" s="42" t="str">
        <f>IF(AND(C780=Master!$H$8,B780="2012-2013",E780&gt;1000,G780="PLN03"),H780,"")</f>
        <v/>
      </c>
      <c r="AN780" s="42" t="str">
        <f>IF(AND(C780=Master!$H$8,B780="2012-2013",E780="",G780="PLN03"),H780,"")</f>
        <v/>
      </c>
      <c r="AO780" s="42" t="str">
        <f>IF(AND(C780=Master!$H$9,B780="2012-2013",E780&gt;1000,G780="PLN03"),H780,"")</f>
        <v/>
      </c>
      <c r="AP780" s="42" t="str">
        <f>IF(AND(C780=Master!$H$9,B780="2012-2013",E780="",G780="PLN03"),H780,"")</f>
        <v/>
      </c>
      <c r="AQ780" s="44" t="str">
        <f>IF(AND(C780=Master!$H$1,B780="2012-2013",E780&gt;1000,G780="NPN05"),H780,"")</f>
        <v/>
      </c>
      <c r="AR780" s="44" t="str">
        <f>IF(AND(C780=Master!$H$1,B780="2012-2013",E780="",G780="NPN05"),H780,"")</f>
        <v/>
      </c>
      <c r="AS780" s="44" t="str">
        <f>IF(AND(C780=Master!$H$2,B780="2012-2013",E780&gt;1000,G780="NPN05"),H780,"")</f>
        <v/>
      </c>
      <c r="AT780" s="44" t="str">
        <f>IF(AND(C780=Master!$H$2,B780="2012-2013",E780="",G780="NPN05"),H780,"")</f>
        <v/>
      </c>
      <c r="AU780" s="44" t="str">
        <f>IF(AND(C780=Master!$H$3,B780="2012-2013",E780&gt;1000,G780="NPN05"),H780,"")</f>
        <v/>
      </c>
      <c r="AV780" s="44" t="str">
        <f>IF(AND(C780=Master!$H$3,B780="2012-2013",E780="",G780="NPN05"),H780,"")</f>
        <v/>
      </c>
      <c r="AW780" s="44" t="str">
        <f>IF(AND(C780=Master!$H$4,B780="2012-2013",E780&gt;1000,G780="NPN05"),H780,"")</f>
        <v/>
      </c>
      <c r="AX780" s="44" t="str">
        <f>IF(AND(C780=Master!$H$4,B780="2012-2013",E780="",G780="NPN05"),H780,"")</f>
        <v/>
      </c>
      <c r="AY780" s="44" t="str">
        <f>IF(AND(C780=Master!$H$5,B780="2012-2013",E780&gt;1000,G780="NPN05"),H780,"")</f>
        <v/>
      </c>
      <c r="AZ780" s="44" t="str">
        <f>IF(AND(C780=Master!$H$5,B780="2012-2013",E780="",G780="NPN05"),H780,"")</f>
        <v/>
      </c>
      <c r="BA780" s="44" t="str">
        <f>IF(AND(C780=Master!$H$6,B780="2012-2013",E780&gt;1000,G780="NPN05"),H780,"")</f>
        <v/>
      </c>
      <c r="BB780" s="44" t="str">
        <f>IF(AND(C780=Master!$H$6,B780="2012-2013",E780="",G780="NPN05"),H780,"")</f>
        <v/>
      </c>
      <c r="BC780" s="44" t="str">
        <f>IF(AND(C780=Master!$H$7,B780="2012-2013",E780&gt;1000,G780="NPN05"),H780,"")</f>
        <v/>
      </c>
      <c r="BD780" s="44" t="str">
        <f>IF(AND(C780=Master!$H$7,B780="2012-2013",E780="",G780="NPN05"),H780,"")</f>
        <v/>
      </c>
      <c r="BE780" s="44" t="str">
        <f>IF(AND(C780=Master!$H$8,B780="2012-2013",E780&gt;1000,G780="NPN05"),H780,"")</f>
        <v/>
      </c>
      <c r="BF780" s="44" t="str">
        <f>IF(AND(C780=Master!$H$8,B780="2012-2013",E780="",G780="NPN05"),H780,"")</f>
        <v/>
      </c>
      <c r="BG780" s="44" t="str">
        <f>IF(AND(C780=Master!$H$9,B780="2012-2013",E780&gt;1000,G780="NPN05"),H780,"")</f>
        <v/>
      </c>
      <c r="BH780" s="44" t="str">
        <f>IF(AND(C780=Master!$H$9,B780="2012-2013",E780="",G780="NPN05"),H780,"")</f>
        <v/>
      </c>
    </row>
    <row r="781" spans="1:60" x14ac:dyDescent="0.25">
      <c r="A781" s="3">
        <v>779</v>
      </c>
      <c r="B781" s="12"/>
      <c r="C781" s="12"/>
      <c r="D781" s="31"/>
      <c r="E781" s="4"/>
      <c r="F781" s="13"/>
      <c r="G781" s="21"/>
      <c r="H781" s="35"/>
      <c r="I781" s="21"/>
      <c r="J781" s="25" t="str">
        <f>IF(NOT(I781=""),INDEX(Master!$B$1:$B$46,MATCH(I781,Master!$A$1:$A$46,0)),"")</f>
        <v/>
      </c>
      <c r="K781" s="18"/>
      <c r="L781" s="86"/>
      <c r="M781" s="13"/>
      <c r="N781" s="13"/>
      <c r="O781" s="18"/>
      <c r="P781" s="35"/>
      <c r="Q781" s="21"/>
      <c r="R781" s="21"/>
      <c r="S781" s="13"/>
      <c r="T781" s="12"/>
      <c r="U781" s="12"/>
      <c r="V781" s="12"/>
      <c r="W781" s="14"/>
      <c r="Y781" s="42" t="str">
        <f>IF(AND(C781=Master!$H$1,B781="2012-2013",E781&gt;1000,G781="PLN03"),H781,"")</f>
        <v/>
      </c>
      <c r="Z781" s="42" t="str">
        <f>IF(AND(C781=Master!$H$1,B781="2012-2013",E781="",G781="PLN03"),H781,"")</f>
        <v/>
      </c>
      <c r="AA781" s="42" t="str">
        <f>IF(AND(C781=Master!$H$2,B781="2012-2013",E781&gt;1000,G781="PLN03"),H781,"")</f>
        <v/>
      </c>
      <c r="AB781" s="42" t="str">
        <f>IF(AND(C781=Master!$H$2,B781="2012-2013",E781="",G781="PLN03"),H781,"")</f>
        <v/>
      </c>
      <c r="AC781" s="42" t="str">
        <f>IF(AND(C781=Master!$H$3,B781="2012-2013",E781&gt;1000,G781="PLN03"),H781,"")</f>
        <v/>
      </c>
      <c r="AD781" s="42" t="str">
        <f>IF(AND(C781=Master!$H$3,B781="2012-2013",E781="",G781="PLN03"),H781,"")</f>
        <v/>
      </c>
      <c r="AE781" s="42" t="str">
        <f>IF(AND(C781=Master!$H$4,B781="2012-2013",E781&gt;1000,G781="PLN03"),H781,"")</f>
        <v/>
      </c>
      <c r="AF781" s="42" t="str">
        <f>IF(AND(C781=Master!$H$4,B781="2012-2013",E781="",G781="PLN03"),H781,"")</f>
        <v/>
      </c>
      <c r="AG781" s="42" t="str">
        <f>IF(AND(C781=Master!$H$5,B781="2012-2013",E781&gt;1000,G781="PLN03"),H781,"")</f>
        <v/>
      </c>
      <c r="AH781" s="42" t="str">
        <f>IF(AND(C781=Master!$H$5,B781="2012-2013",E781="",G781="PLN03"),H781,"")</f>
        <v/>
      </c>
      <c r="AI781" s="42" t="str">
        <f>IF(AND(C781=Master!$H$6,B781="2012-2013",E781&gt;1000,G781="PLN03"),H781,"")</f>
        <v/>
      </c>
      <c r="AJ781" s="42" t="str">
        <f>IF(AND(C781=Master!$H$6,B781="2012-2013",E781="",G781="PLN03"),H781,"")</f>
        <v/>
      </c>
      <c r="AK781" s="42" t="str">
        <f>IF(AND(C781=Master!$H$7,B781="2012-2013",E781&gt;1000,G781="PLN03"),H781,"")</f>
        <v/>
      </c>
      <c r="AL781" s="42" t="str">
        <f>IF(AND(C781=Master!$H$7,B781="2012-2013",E781="",G781="PLN03"),H781,"")</f>
        <v/>
      </c>
      <c r="AM781" s="42" t="str">
        <f>IF(AND(C781=Master!$H$8,B781="2012-2013",E781&gt;1000,G781="PLN03"),H781,"")</f>
        <v/>
      </c>
      <c r="AN781" s="42" t="str">
        <f>IF(AND(C781=Master!$H$8,B781="2012-2013",E781="",G781="PLN03"),H781,"")</f>
        <v/>
      </c>
      <c r="AO781" s="42" t="str">
        <f>IF(AND(C781=Master!$H$9,B781="2012-2013",E781&gt;1000,G781="PLN03"),H781,"")</f>
        <v/>
      </c>
      <c r="AP781" s="42" t="str">
        <f>IF(AND(C781=Master!$H$9,B781="2012-2013",E781="",G781="PLN03"),H781,"")</f>
        <v/>
      </c>
      <c r="AQ781" s="44" t="str">
        <f>IF(AND(C781=Master!$H$1,B781="2012-2013",E781&gt;1000,G781="NPN05"),H781,"")</f>
        <v/>
      </c>
      <c r="AR781" s="44" t="str">
        <f>IF(AND(C781=Master!$H$1,B781="2012-2013",E781="",G781="NPN05"),H781,"")</f>
        <v/>
      </c>
      <c r="AS781" s="44" t="str">
        <f>IF(AND(C781=Master!$H$2,B781="2012-2013",E781&gt;1000,G781="NPN05"),H781,"")</f>
        <v/>
      </c>
      <c r="AT781" s="44" t="str">
        <f>IF(AND(C781=Master!$H$2,B781="2012-2013",E781="",G781="NPN05"),H781,"")</f>
        <v/>
      </c>
      <c r="AU781" s="44" t="str">
        <f>IF(AND(C781=Master!$H$3,B781="2012-2013",E781&gt;1000,G781="NPN05"),H781,"")</f>
        <v/>
      </c>
      <c r="AV781" s="44" t="str">
        <f>IF(AND(C781=Master!$H$3,B781="2012-2013",E781="",G781="NPN05"),H781,"")</f>
        <v/>
      </c>
      <c r="AW781" s="44" t="str">
        <f>IF(AND(C781=Master!$H$4,B781="2012-2013",E781&gt;1000,G781="NPN05"),H781,"")</f>
        <v/>
      </c>
      <c r="AX781" s="44" t="str">
        <f>IF(AND(C781=Master!$H$4,B781="2012-2013",E781="",G781="NPN05"),H781,"")</f>
        <v/>
      </c>
      <c r="AY781" s="44" t="str">
        <f>IF(AND(C781=Master!$H$5,B781="2012-2013",E781&gt;1000,G781="NPN05"),H781,"")</f>
        <v/>
      </c>
      <c r="AZ781" s="44" t="str">
        <f>IF(AND(C781=Master!$H$5,B781="2012-2013",E781="",G781="NPN05"),H781,"")</f>
        <v/>
      </c>
      <c r="BA781" s="44" t="str">
        <f>IF(AND(C781=Master!$H$6,B781="2012-2013",E781&gt;1000,G781="NPN05"),H781,"")</f>
        <v/>
      </c>
      <c r="BB781" s="44" t="str">
        <f>IF(AND(C781=Master!$H$6,B781="2012-2013",E781="",G781="NPN05"),H781,"")</f>
        <v/>
      </c>
      <c r="BC781" s="44" t="str">
        <f>IF(AND(C781=Master!$H$7,B781="2012-2013",E781&gt;1000,G781="NPN05"),H781,"")</f>
        <v/>
      </c>
      <c r="BD781" s="44" t="str">
        <f>IF(AND(C781=Master!$H$7,B781="2012-2013",E781="",G781="NPN05"),H781,"")</f>
        <v/>
      </c>
      <c r="BE781" s="44" t="str">
        <f>IF(AND(C781=Master!$H$8,B781="2012-2013",E781&gt;1000,G781="NPN05"),H781,"")</f>
        <v/>
      </c>
      <c r="BF781" s="44" t="str">
        <f>IF(AND(C781=Master!$H$8,B781="2012-2013",E781="",G781="NPN05"),H781,"")</f>
        <v/>
      </c>
      <c r="BG781" s="44" t="str">
        <f>IF(AND(C781=Master!$H$9,B781="2012-2013",E781&gt;1000,G781="NPN05"),H781,"")</f>
        <v/>
      </c>
      <c r="BH781" s="44" t="str">
        <f>IF(AND(C781=Master!$H$9,B781="2012-2013",E781="",G781="NPN05"),H781,"")</f>
        <v/>
      </c>
    </row>
    <row r="782" spans="1:60" x14ac:dyDescent="0.25">
      <c r="A782" s="3">
        <v>780</v>
      </c>
      <c r="B782" s="12"/>
      <c r="C782" s="12"/>
      <c r="D782" s="31"/>
      <c r="E782" s="4"/>
      <c r="F782" s="13"/>
      <c r="G782" s="21"/>
      <c r="H782" s="35"/>
      <c r="I782" s="21"/>
      <c r="J782" s="25" t="str">
        <f>IF(NOT(I782=""),INDEX(Master!$B$1:$B$46,MATCH(I782,Master!$A$1:$A$46,0)),"")</f>
        <v/>
      </c>
      <c r="K782" s="18"/>
      <c r="L782" s="86"/>
      <c r="M782" s="13"/>
      <c r="N782" s="13"/>
      <c r="O782" s="18"/>
      <c r="P782" s="35"/>
      <c r="Q782" s="21"/>
      <c r="R782" s="21"/>
      <c r="S782" s="13"/>
      <c r="T782" s="12"/>
      <c r="U782" s="12"/>
      <c r="V782" s="12"/>
      <c r="W782" s="14"/>
      <c r="Y782" s="42" t="str">
        <f>IF(AND(C782=Master!$H$1,B782="2012-2013",E782&gt;1000,G782="PLN03"),H782,"")</f>
        <v/>
      </c>
      <c r="Z782" s="42" t="str">
        <f>IF(AND(C782=Master!$H$1,B782="2012-2013",E782="",G782="PLN03"),H782,"")</f>
        <v/>
      </c>
      <c r="AA782" s="42" t="str">
        <f>IF(AND(C782=Master!$H$2,B782="2012-2013",E782&gt;1000,G782="PLN03"),H782,"")</f>
        <v/>
      </c>
      <c r="AB782" s="42" t="str">
        <f>IF(AND(C782=Master!$H$2,B782="2012-2013",E782="",G782="PLN03"),H782,"")</f>
        <v/>
      </c>
      <c r="AC782" s="42" t="str">
        <f>IF(AND(C782=Master!$H$3,B782="2012-2013",E782&gt;1000,G782="PLN03"),H782,"")</f>
        <v/>
      </c>
      <c r="AD782" s="42" t="str">
        <f>IF(AND(C782=Master!$H$3,B782="2012-2013",E782="",G782="PLN03"),H782,"")</f>
        <v/>
      </c>
      <c r="AE782" s="42" t="str">
        <f>IF(AND(C782=Master!$H$4,B782="2012-2013",E782&gt;1000,G782="PLN03"),H782,"")</f>
        <v/>
      </c>
      <c r="AF782" s="42" t="str">
        <f>IF(AND(C782=Master!$H$4,B782="2012-2013",E782="",G782="PLN03"),H782,"")</f>
        <v/>
      </c>
      <c r="AG782" s="42" t="str">
        <f>IF(AND(C782=Master!$H$5,B782="2012-2013",E782&gt;1000,G782="PLN03"),H782,"")</f>
        <v/>
      </c>
      <c r="AH782" s="42" t="str">
        <f>IF(AND(C782=Master!$H$5,B782="2012-2013",E782="",G782="PLN03"),H782,"")</f>
        <v/>
      </c>
      <c r="AI782" s="42" t="str">
        <f>IF(AND(C782=Master!$H$6,B782="2012-2013",E782&gt;1000,G782="PLN03"),H782,"")</f>
        <v/>
      </c>
      <c r="AJ782" s="42" t="str">
        <f>IF(AND(C782=Master!$H$6,B782="2012-2013",E782="",G782="PLN03"),H782,"")</f>
        <v/>
      </c>
      <c r="AK782" s="42" t="str">
        <f>IF(AND(C782=Master!$H$7,B782="2012-2013",E782&gt;1000,G782="PLN03"),H782,"")</f>
        <v/>
      </c>
      <c r="AL782" s="42" t="str">
        <f>IF(AND(C782=Master!$H$7,B782="2012-2013",E782="",G782="PLN03"),H782,"")</f>
        <v/>
      </c>
      <c r="AM782" s="42" t="str">
        <f>IF(AND(C782=Master!$H$8,B782="2012-2013",E782&gt;1000,G782="PLN03"),H782,"")</f>
        <v/>
      </c>
      <c r="AN782" s="42" t="str">
        <f>IF(AND(C782=Master!$H$8,B782="2012-2013",E782="",G782="PLN03"),H782,"")</f>
        <v/>
      </c>
      <c r="AO782" s="42" t="str">
        <f>IF(AND(C782=Master!$H$9,B782="2012-2013",E782&gt;1000,G782="PLN03"),H782,"")</f>
        <v/>
      </c>
      <c r="AP782" s="42" t="str">
        <f>IF(AND(C782=Master!$H$9,B782="2012-2013",E782="",G782="PLN03"),H782,"")</f>
        <v/>
      </c>
      <c r="AQ782" s="44" t="str">
        <f>IF(AND(C782=Master!$H$1,B782="2012-2013",E782&gt;1000,G782="NPN05"),H782,"")</f>
        <v/>
      </c>
      <c r="AR782" s="44" t="str">
        <f>IF(AND(C782=Master!$H$1,B782="2012-2013",E782="",G782="NPN05"),H782,"")</f>
        <v/>
      </c>
      <c r="AS782" s="44" t="str">
        <f>IF(AND(C782=Master!$H$2,B782="2012-2013",E782&gt;1000,G782="NPN05"),H782,"")</f>
        <v/>
      </c>
      <c r="AT782" s="44" t="str">
        <f>IF(AND(C782=Master!$H$2,B782="2012-2013",E782="",G782="NPN05"),H782,"")</f>
        <v/>
      </c>
      <c r="AU782" s="44" t="str">
        <f>IF(AND(C782=Master!$H$3,B782="2012-2013",E782&gt;1000,G782="NPN05"),H782,"")</f>
        <v/>
      </c>
      <c r="AV782" s="44" t="str">
        <f>IF(AND(C782=Master!$H$3,B782="2012-2013",E782="",G782="NPN05"),H782,"")</f>
        <v/>
      </c>
      <c r="AW782" s="44" t="str">
        <f>IF(AND(C782=Master!$H$4,B782="2012-2013",E782&gt;1000,G782="NPN05"),H782,"")</f>
        <v/>
      </c>
      <c r="AX782" s="44" t="str">
        <f>IF(AND(C782=Master!$H$4,B782="2012-2013",E782="",G782="NPN05"),H782,"")</f>
        <v/>
      </c>
      <c r="AY782" s="44" t="str">
        <f>IF(AND(C782=Master!$H$5,B782="2012-2013",E782&gt;1000,G782="NPN05"),H782,"")</f>
        <v/>
      </c>
      <c r="AZ782" s="44" t="str">
        <f>IF(AND(C782=Master!$H$5,B782="2012-2013",E782="",G782="NPN05"),H782,"")</f>
        <v/>
      </c>
      <c r="BA782" s="44" t="str">
        <f>IF(AND(C782=Master!$H$6,B782="2012-2013",E782&gt;1000,G782="NPN05"),H782,"")</f>
        <v/>
      </c>
      <c r="BB782" s="44" t="str">
        <f>IF(AND(C782=Master!$H$6,B782="2012-2013",E782="",G782="NPN05"),H782,"")</f>
        <v/>
      </c>
      <c r="BC782" s="44" t="str">
        <f>IF(AND(C782=Master!$H$7,B782="2012-2013",E782&gt;1000,G782="NPN05"),H782,"")</f>
        <v/>
      </c>
      <c r="BD782" s="44" t="str">
        <f>IF(AND(C782=Master!$H$7,B782="2012-2013",E782="",G782="NPN05"),H782,"")</f>
        <v/>
      </c>
      <c r="BE782" s="44" t="str">
        <f>IF(AND(C782=Master!$H$8,B782="2012-2013",E782&gt;1000,G782="NPN05"),H782,"")</f>
        <v/>
      </c>
      <c r="BF782" s="44" t="str">
        <f>IF(AND(C782=Master!$H$8,B782="2012-2013",E782="",G782="NPN05"),H782,"")</f>
        <v/>
      </c>
      <c r="BG782" s="44" t="str">
        <f>IF(AND(C782=Master!$H$9,B782="2012-2013",E782&gt;1000,G782="NPN05"),H782,"")</f>
        <v/>
      </c>
      <c r="BH782" s="44" t="str">
        <f>IF(AND(C782=Master!$H$9,B782="2012-2013",E782="",G782="NPN05"),H782,"")</f>
        <v/>
      </c>
    </row>
    <row r="783" spans="1:60" x14ac:dyDescent="0.25">
      <c r="A783" s="3">
        <v>781</v>
      </c>
      <c r="B783" s="12"/>
      <c r="C783" s="12"/>
      <c r="D783" s="31"/>
      <c r="E783" s="4"/>
      <c r="F783" s="13"/>
      <c r="G783" s="21"/>
      <c r="H783" s="35"/>
      <c r="I783" s="21"/>
      <c r="J783" s="25" t="str">
        <f>IF(NOT(I783=""),INDEX(Master!$B$1:$B$46,MATCH(I783,Master!$A$1:$A$46,0)),"")</f>
        <v/>
      </c>
      <c r="K783" s="18"/>
      <c r="L783" s="86"/>
      <c r="M783" s="13"/>
      <c r="N783" s="13"/>
      <c r="O783" s="18"/>
      <c r="P783" s="35"/>
      <c r="Q783" s="21"/>
      <c r="R783" s="21"/>
      <c r="S783" s="13"/>
      <c r="T783" s="12"/>
      <c r="U783" s="12"/>
      <c r="V783" s="12"/>
      <c r="W783" s="14"/>
      <c r="Y783" s="42" t="str">
        <f>IF(AND(C783=Master!$H$1,B783="2012-2013",E783&gt;1000,G783="PLN03"),H783,"")</f>
        <v/>
      </c>
      <c r="Z783" s="42" t="str">
        <f>IF(AND(C783=Master!$H$1,B783="2012-2013",E783="",G783="PLN03"),H783,"")</f>
        <v/>
      </c>
      <c r="AA783" s="42" t="str">
        <f>IF(AND(C783=Master!$H$2,B783="2012-2013",E783&gt;1000,G783="PLN03"),H783,"")</f>
        <v/>
      </c>
      <c r="AB783" s="42" t="str">
        <f>IF(AND(C783=Master!$H$2,B783="2012-2013",E783="",G783="PLN03"),H783,"")</f>
        <v/>
      </c>
      <c r="AC783" s="42" t="str">
        <f>IF(AND(C783=Master!$H$3,B783="2012-2013",E783&gt;1000,G783="PLN03"),H783,"")</f>
        <v/>
      </c>
      <c r="AD783" s="42" t="str">
        <f>IF(AND(C783=Master!$H$3,B783="2012-2013",E783="",G783="PLN03"),H783,"")</f>
        <v/>
      </c>
      <c r="AE783" s="42" t="str">
        <f>IF(AND(C783=Master!$H$4,B783="2012-2013",E783&gt;1000,G783="PLN03"),H783,"")</f>
        <v/>
      </c>
      <c r="AF783" s="42" t="str">
        <f>IF(AND(C783=Master!$H$4,B783="2012-2013",E783="",G783="PLN03"),H783,"")</f>
        <v/>
      </c>
      <c r="AG783" s="42" t="str">
        <f>IF(AND(C783=Master!$H$5,B783="2012-2013",E783&gt;1000,G783="PLN03"),H783,"")</f>
        <v/>
      </c>
      <c r="AH783" s="42" t="str">
        <f>IF(AND(C783=Master!$H$5,B783="2012-2013",E783="",G783="PLN03"),H783,"")</f>
        <v/>
      </c>
      <c r="AI783" s="42" t="str">
        <f>IF(AND(C783=Master!$H$6,B783="2012-2013",E783&gt;1000,G783="PLN03"),H783,"")</f>
        <v/>
      </c>
      <c r="AJ783" s="42" t="str">
        <f>IF(AND(C783=Master!$H$6,B783="2012-2013",E783="",G783="PLN03"),H783,"")</f>
        <v/>
      </c>
      <c r="AK783" s="42" t="str">
        <f>IF(AND(C783=Master!$H$7,B783="2012-2013",E783&gt;1000,G783="PLN03"),H783,"")</f>
        <v/>
      </c>
      <c r="AL783" s="42" t="str">
        <f>IF(AND(C783=Master!$H$7,B783="2012-2013",E783="",G783="PLN03"),H783,"")</f>
        <v/>
      </c>
      <c r="AM783" s="42" t="str">
        <f>IF(AND(C783=Master!$H$8,B783="2012-2013",E783&gt;1000,G783="PLN03"),H783,"")</f>
        <v/>
      </c>
      <c r="AN783" s="42" t="str">
        <f>IF(AND(C783=Master!$H$8,B783="2012-2013",E783="",G783="PLN03"),H783,"")</f>
        <v/>
      </c>
      <c r="AO783" s="42" t="str">
        <f>IF(AND(C783=Master!$H$9,B783="2012-2013",E783&gt;1000,G783="PLN03"),H783,"")</f>
        <v/>
      </c>
      <c r="AP783" s="42" t="str">
        <f>IF(AND(C783=Master!$H$9,B783="2012-2013",E783="",G783="PLN03"),H783,"")</f>
        <v/>
      </c>
      <c r="AQ783" s="44" t="str">
        <f>IF(AND(C783=Master!$H$1,B783="2012-2013",E783&gt;1000,G783="NPN05"),H783,"")</f>
        <v/>
      </c>
      <c r="AR783" s="44" t="str">
        <f>IF(AND(C783=Master!$H$1,B783="2012-2013",E783="",G783="NPN05"),H783,"")</f>
        <v/>
      </c>
      <c r="AS783" s="44" t="str">
        <f>IF(AND(C783=Master!$H$2,B783="2012-2013",E783&gt;1000,G783="NPN05"),H783,"")</f>
        <v/>
      </c>
      <c r="AT783" s="44" t="str">
        <f>IF(AND(C783=Master!$H$2,B783="2012-2013",E783="",G783="NPN05"),H783,"")</f>
        <v/>
      </c>
      <c r="AU783" s="44" t="str">
        <f>IF(AND(C783=Master!$H$3,B783="2012-2013",E783&gt;1000,G783="NPN05"),H783,"")</f>
        <v/>
      </c>
      <c r="AV783" s="44" t="str">
        <f>IF(AND(C783=Master!$H$3,B783="2012-2013",E783="",G783="NPN05"),H783,"")</f>
        <v/>
      </c>
      <c r="AW783" s="44" t="str">
        <f>IF(AND(C783=Master!$H$4,B783="2012-2013",E783&gt;1000,G783="NPN05"),H783,"")</f>
        <v/>
      </c>
      <c r="AX783" s="44" t="str">
        <f>IF(AND(C783=Master!$H$4,B783="2012-2013",E783="",G783="NPN05"),H783,"")</f>
        <v/>
      </c>
      <c r="AY783" s="44" t="str">
        <f>IF(AND(C783=Master!$H$5,B783="2012-2013",E783&gt;1000,G783="NPN05"),H783,"")</f>
        <v/>
      </c>
      <c r="AZ783" s="44" t="str">
        <f>IF(AND(C783=Master!$H$5,B783="2012-2013",E783="",G783="NPN05"),H783,"")</f>
        <v/>
      </c>
      <c r="BA783" s="44" t="str">
        <f>IF(AND(C783=Master!$H$6,B783="2012-2013",E783&gt;1000,G783="NPN05"),H783,"")</f>
        <v/>
      </c>
      <c r="BB783" s="44" t="str">
        <f>IF(AND(C783=Master!$H$6,B783="2012-2013",E783="",G783="NPN05"),H783,"")</f>
        <v/>
      </c>
      <c r="BC783" s="44" t="str">
        <f>IF(AND(C783=Master!$H$7,B783="2012-2013",E783&gt;1000,G783="NPN05"),H783,"")</f>
        <v/>
      </c>
      <c r="BD783" s="44" t="str">
        <f>IF(AND(C783=Master!$H$7,B783="2012-2013",E783="",G783="NPN05"),H783,"")</f>
        <v/>
      </c>
      <c r="BE783" s="44" t="str">
        <f>IF(AND(C783=Master!$H$8,B783="2012-2013",E783&gt;1000,G783="NPN05"),H783,"")</f>
        <v/>
      </c>
      <c r="BF783" s="44" t="str">
        <f>IF(AND(C783=Master!$H$8,B783="2012-2013",E783="",G783="NPN05"),H783,"")</f>
        <v/>
      </c>
      <c r="BG783" s="44" t="str">
        <f>IF(AND(C783=Master!$H$9,B783="2012-2013",E783&gt;1000,G783="NPN05"),H783,"")</f>
        <v/>
      </c>
      <c r="BH783" s="44" t="str">
        <f>IF(AND(C783=Master!$H$9,B783="2012-2013",E783="",G783="NPN05"),H783,"")</f>
        <v/>
      </c>
    </row>
    <row r="784" spans="1:60" x14ac:dyDescent="0.25">
      <c r="A784" s="3">
        <v>782</v>
      </c>
      <c r="B784" s="12"/>
      <c r="C784" s="12"/>
      <c r="D784" s="31"/>
      <c r="E784" s="4"/>
      <c r="F784" s="13"/>
      <c r="G784" s="21"/>
      <c r="H784" s="35"/>
      <c r="I784" s="21"/>
      <c r="J784" s="25" t="str">
        <f>IF(NOT(I784=""),INDEX(Master!$B$1:$B$46,MATCH(I784,Master!$A$1:$A$46,0)),"")</f>
        <v/>
      </c>
      <c r="K784" s="18"/>
      <c r="L784" s="86"/>
      <c r="M784" s="13"/>
      <c r="N784" s="13"/>
      <c r="O784" s="18"/>
      <c r="P784" s="35"/>
      <c r="Q784" s="21"/>
      <c r="R784" s="21"/>
      <c r="S784" s="13"/>
      <c r="T784" s="12"/>
      <c r="U784" s="12"/>
      <c r="V784" s="12"/>
      <c r="W784" s="14"/>
      <c r="Y784" s="42" t="str">
        <f>IF(AND(C784=Master!$H$1,B784="2012-2013",E784&gt;1000,G784="PLN03"),H784,"")</f>
        <v/>
      </c>
      <c r="Z784" s="42" t="str">
        <f>IF(AND(C784=Master!$H$1,B784="2012-2013",E784="",G784="PLN03"),H784,"")</f>
        <v/>
      </c>
      <c r="AA784" s="42" t="str">
        <f>IF(AND(C784=Master!$H$2,B784="2012-2013",E784&gt;1000,G784="PLN03"),H784,"")</f>
        <v/>
      </c>
      <c r="AB784" s="42" t="str">
        <f>IF(AND(C784=Master!$H$2,B784="2012-2013",E784="",G784="PLN03"),H784,"")</f>
        <v/>
      </c>
      <c r="AC784" s="42" t="str">
        <f>IF(AND(C784=Master!$H$3,B784="2012-2013",E784&gt;1000,G784="PLN03"),H784,"")</f>
        <v/>
      </c>
      <c r="AD784" s="42" t="str">
        <f>IF(AND(C784=Master!$H$3,B784="2012-2013",E784="",G784="PLN03"),H784,"")</f>
        <v/>
      </c>
      <c r="AE784" s="42" t="str">
        <f>IF(AND(C784=Master!$H$4,B784="2012-2013",E784&gt;1000,G784="PLN03"),H784,"")</f>
        <v/>
      </c>
      <c r="AF784" s="42" t="str">
        <f>IF(AND(C784=Master!$H$4,B784="2012-2013",E784="",G784="PLN03"),H784,"")</f>
        <v/>
      </c>
      <c r="AG784" s="42" t="str">
        <f>IF(AND(C784=Master!$H$5,B784="2012-2013",E784&gt;1000,G784="PLN03"),H784,"")</f>
        <v/>
      </c>
      <c r="AH784" s="42" t="str">
        <f>IF(AND(C784=Master!$H$5,B784="2012-2013",E784="",G784="PLN03"),H784,"")</f>
        <v/>
      </c>
      <c r="AI784" s="42" t="str">
        <f>IF(AND(C784=Master!$H$6,B784="2012-2013",E784&gt;1000,G784="PLN03"),H784,"")</f>
        <v/>
      </c>
      <c r="AJ784" s="42" t="str">
        <f>IF(AND(C784=Master!$H$6,B784="2012-2013",E784="",G784="PLN03"),H784,"")</f>
        <v/>
      </c>
      <c r="AK784" s="42" t="str">
        <f>IF(AND(C784=Master!$H$7,B784="2012-2013",E784&gt;1000,G784="PLN03"),H784,"")</f>
        <v/>
      </c>
      <c r="AL784" s="42" t="str">
        <f>IF(AND(C784=Master!$H$7,B784="2012-2013",E784="",G784="PLN03"),H784,"")</f>
        <v/>
      </c>
      <c r="AM784" s="42" t="str">
        <f>IF(AND(C784=Master!$H$8,B784="2012-2013",E784&gt;1000,G784="PLN03"),H784,"")</f>
        <v/>
      </c>
      <c r="AN784" s="42" t="str">
        <f>IF(AND(C784=Master!$H$8,B784="2012-2013",E784="",G784="PLN03"),H784,"")</f>
        <v/>
      </c>
      <c r="AO784" s="42" t="str">
        <f>IF(AND(C784=Master!$H$9,B784="2012-2013",E784&gt;1000,G784="PLN03"),H784,"")</f>
        <v/>
      </c>
      <c r="AP784" s="42" t="str">
        <f>IF(AND(C784=Master!$H$9,B784="2012-2013",E784="",G784="PLN03"),H784,"")</f>
        <v/>
      </c>
      <c r="AQ784" s="44" t="str">
        <f>IF(AND(C784=Master!$H$1,B784="2012-2013",E784&gt;1000,G784="NPN05"),H784,"")</f>
        <v/>
      </c>
      <c r="AR784" s="44" t="str">
        <f>IF(AND(C784=Master!$H$1,B784="2012-2013",E784="",G784="NPN05"),H784,"")</f>
        <v/>
      </c>
      <c r="AS784" s="44" t="str">
        <f>IF(AND(C784=Master!$H$2,B784="2012-2013",E784&gt;1000,G784="NPN05"),H784,"")</f>
        <v/>
      </c>
      <c r="AT784" s="44" t="str">
        <f>IF(AND(C784=Master!$H$2,B784="2012-2013",E784="",G784="NPN05"),H784,"")</f>
        <v/>
      </c>
      <c r="AU784" s="44" t="str">
        <f>IF(AND(C784=Master!$H$3,B784="2012-2013",E784&gt;1000,G784="NPN05"),H784,"")</f>
        <v/>
      </c>
      <c r="AV784" s="44" t="str">
        <f>IF(AND(C784=Master!$H$3,B784="2012-2013",E784="",G784="NPN05"),H784,"")</f>
        <v/>
      </c>
      <c r="AW784" s="44" t="str">
        <f>IF(AND(C784=Master!$H$4,B784="2012-2013",E784&gt;1000,G784="NPN05"),H784,"")</f>
        <v/>
      </c>
      <c r="AX784" s="44" t="str">
        <f>IF(AND(C784=Master!$H$4,B784="2012-2013",E784="",G784="NPN05"),H784,"")</f>
        <v/>
      </c>
      <c r="AY784" s="44" t="str">
        <f>IF(AND(C784=Master!$H$5,B784="2012-2013",E784&gt;1000,G784="NPN05"),H784,"")</f>
        <v/>
      </c>
      <c r="AZ784" s="44" t="str">
        <f>IF(AND(C784=Master!$H$5,B784="2012-2013",E784="",G784="NPN05"),H784,"")</f>
        <v/>
      </c>
      <c r="BA784" s="44" t="str">
        <f>IF(AND(C784=Master!$H$6,B784="2012-2013",E784&gt;1000,G784="NPN05"),H784,"")</f>
        <v/>
      </c>
      <c r="BB784" s="44" t="str">
        <f>IF(AND(C784=Master!$H$6,B784="2012-2013",E784="",G784="NPN05"),H784,"")</f>
        <v/>
      </c>
      <c r="BC784" s="44" t="str">
        <f>IF(AND(C784=Master!$H$7,B784="2012-2013",E784&gt;1000,G784="NPN05"),H784,"")</f>
        <v/>
      </c>
      <c r="BD784" s="44" t="str">
        <f>IF(AND(C784=Master!$H$7,B784="2012-2013",E784="",G784="NPN05"),H784,"")</f>
        <v/>
      </c>
      <c r="BE784" s="44" t="str">
        <f>IF(AND(C784=Master!$H$8,B784="2012-2013",E784&gt;1000,G784="NPN05"),H784,"")</f>
        <v/>
      </c>
      <c r="BF784" s="44" t="str">
        <f>IF(AND(C784=Master!$H$8,B784="2012-2013",E784="",G784="NPN05"),H784,"")</f>
        <v/>
      </c>
      <c r="BG784" s="44" t="str">
        <f>IF(AND(C784=Master!$H$9,B784="2012-2013",E784&gt;1000,G784="NPN05"),H784,"")</f>
        <v/>
      </c>
      <c r="BH784" s="44" t="str">
        <f>IF(AND(C784=Master!$H$9,B784="2012-2013",E784="",G784="NPN05"),H784,"")</f>
        <v/>
      </c>
    </row>
    <row r="785" spans="1:60" x14ac:dyDescent="0.25">
      <c r="A785" s="3">
        <v>783</v>
      </c>
      <c r="B785" s="12"/>
      <c r="C785" s="12"/>
      <c r="D785" s="31"/>
      <c r="E785" s="4"/>
      <c r="F785" s="13"/>
      <c r="G785" s="21"/>
      <c r="H785" s="35"/>
      <c r="I785" s="21"/>
      <c r="J785" s="25" t="str">
        <f>IF(NOT(I785=""),INDEX(Master!$B$1:$B$46,MATCH(I785,Master!$A$1:$A$46,0)),"")</f>
        <v/>
      </c>
      <c r="K785" s="18"/>
      <c r="L785" s="86"/>
      <c r="M785" s="13"/>
      <c r="N785" s="13"/>
      <c r="O785" s="18"/>
      <c r="P785" s="35"/>
      <c r="Q785" s="21"/>
      <c r="R785" s="21"/>
      <c r="S785" s="13"/>
      <c r="T785" s="12"/>
      <c r="U785" s="12"/>
      <c r="V785" s="12"/>
      <c r="W785" s="14"/>
      <c r="Y785" s="42" t="str">
        <f>IF(AND(C785=Master!$H$1,B785="2012-2013",E785&gt;1000,G785="PLN03"),H785,"")</f>
        <v/>
      </c>
      <c r="Z785" s="42" t="str">
        <f>IF(AND(C785=Master!$H$1,B785="2012-2013",E785="",G785="PLN03"),H785,"")</f>
        <v/>
      </c>
      <c r="AA785" s="42" t="str">
        <f>IF(AND(C785=Master!$H$2,B785="2012-2013",E785&gt;1000,G785="PLN03"),H785,"")</f>
        <v/>
      </c>
      <c r="AB785" s="42" t="str">
        <f>IF(AND(C785=Master!$H$2,B785="2012-2013",E785="",G785="PLN03"),H785,"")</f>
        <v/>
      </c>
      <c r="AC785" s="42" t="str">
        <f>IF(AND(C785=Master!$H$3,B785="2012-2013",E785&gt;1000,G785="PLN03"),H785,"")</f>
        <v/>
      </c>
      <c r="AD785" s="42" t="str">
        <f>IF(AND(C785=Master!$H$3,B785="2012-2013",E785="",G785="PLN03"),H785,"")</f>
        <v/>
      </c>
      <c r="AE785" s="42" t="str">
        <f>IF(AND(C785=Master!$H$4,B785="2012-2013",E785&gt;1000,G785="PLN03"),H785,"")</f>
        <v/>
      </c>
      <c r="AF785" s="42" t="str">
        <f>IF(AND(C785=Master!$H$4,B785="2012-2013",E785="",G785="PLN03"),H785,"")</f>
        <v/>
      </c>
      <c r="AG785" s="42" t="str">
        <f>IF(AND(C785=Master!$H$5,B785="2012-2013",E785&gt;1000,G785="PLN03"),H785,"")</f>
        <v/>
      </c>
      <c r="AH785" s="42" t="str">
        <f>IF(AND(C785=Master!$H$5,B785="2012-2013",E785="",G785="PLN03"),H785,"")</f>
        <v/>
      </c>
      <c r="AI785" s="42" t="str">
        <f>IF(AND(C785=Master!$H$6,B785="2012-2013",E785&gt;1000,G785="PLN03"),H785,"")</f>
        <v/>
      </c>
      <c r="AJ785" s="42" t="str">
        <f>IF(AND(C785=Master!$H$6,B785="2012-2013",E785="",G785="PLN03"),H785,"")</f>
        <v/>
      </c>
      <c r="AK785" s="42" t="str">
        <f>IF(AND(C785=Master!$H$7,B785="2012-2013",E785&gt;1000,G785="PLN03"),H785,"")</f>
        <v/>
      </c>
      <c r="AL785" s="42" t="str">
        <f>IF(AND(C785=Master!$H$7,B785="2012-2013",E785="",G785="PLN03"),H785,"")</f>
        <v/>
      </c>
      <c r="AM785" s="42" t="str">
        <f>IF(AND(C785=Master!$H$8,B785="2012-2013",E785&gt;1000,G785="PLN03"),H785,"")</f>
        <v/>
      </c>
      <c r="AN785" s="42" t="str">
        <f>IF(AND(C785=Master!$H$8,B785="2012-2013",E785="",G785="PLN03"),H785,"")</f>
        <v/>
      </c>
      <c r="AO785" s="42" t="str">
        <f>IF(AND(C785=Master!$H$9,B785="2012-2013",E785&gt;1000,G785="PLN03"),H785,"")</f>
        <v/>
      </c>
      <c r="AP785" s="42" t="str">
        <f>IF(AND(C785=Master!$H$9,B785="2012-2013",E785="",G785="PLN03"),H785,"")</f>
        <v/>
      </c>
      <c r="AQ785" s="44" t="str">
        <f>IF(AND(C785=Master!$H$1,B785="2012-2013",E785&gt;1000,G785="NPN05"),H785,"")</f>
        <v/>
      </c>
      <c r="AR785" s="44" t="str">
        <f>IF(AND(C785=Master!$H$1,B785="2012-2013",E785="",G785="NPN05"),H785,"")</f>
        <v/>
      </c>
      <c r="AS785" s="44" t="str">
        <f>IF(AND(C785=Master!$H$2,B785="2012-2013",E785&gt;1000,G785="NPN05"),H785,"")</f>
        <v/>
      </c>
      <c r="AT785" s="44" t="str">
        <f>IF(AND(C785=Master!$H$2,B785="2012-2013",E785="",G785="NPN05"),H785,"")</f>
        <v/>
      </c>
      <c r="AU785" s="44" t="str">
        <f>IF(AND(C785=Master!$H$3,B785="2012-2013",E785&gt;1000,G785="NPN05"),H785,"")</f>
        <v/>
      </c>
      <c r="AV785" s="44" t="str">
        <f>IF(AND(C785=Master!$H$3,B785="2012-2013",E785="",G785="NPN05"),H785,"")</f>
        <v/>
      </c>
      <c r="AW785" s="44" t="str">
        <f>IF(AND(C785=Master!$H$4,B785="2012-2013",E785&gt;1000,G785="NPN05"),H785,"")</f>
        <v/>
      </c>
      <c r="AX785" s="44" t="str">
        <f>IF(AND(C785=Master!$H$4,B785="2012-2013",E785="",G785="NPN05"),H785,"")</f>
        <v/>
      </c>
      <c r="AY785" s="44" t="str">
        <f>IF(AND(C785=Master!$H$5,B785="2012-2013",E785&gt;1000,G785="NPN05"),H785,"")</f>
        <v/>
      </c>
      <c r="AZ785" s="44" t="str">
        <f>IF(AND(C785=Master!$H$5,B785="2012-2013",E785="",G785="NPN05"),H785,"")</f>
        <v/>
      </c>
      <c r="BA785" s="44" t="str">
        <f>IF(AND(C785=Master!$H$6,B785="2012-2013",E785&gt;1000,G785="NPN05"),H785,"")</f>
        <v/>
      </c>
      <c r="BB785" s="44" t="str">
        <f>IF(AND(C785=Master!$H$6,B785="2012-2013",E785="",G785="NPN05"),H785,"")</f>
        <v/>
      </c>
      <c r="BC785" s="44" t="str">
        <f>IF(AND(C785=Master!$H$7,B785="2012-2013",E785&gt;1000,G785="NPN05"),H785,"")</f>
        <v/>
      </c>
      <c r="BD785" s="44" t="str">
        <f>IF(AND(C785=Master!$H$7,B785="2012-2013",E785="",G785="NPN05"),H785,"")</f>
        <v/>
      </c>
      <c r="BE785" s="44" t="str">
        <f>IF(AND(C785=Master!$H$8,B785="2012-2013",E785&gt;1000,G785="NPN05"),H785,"")</f>
        <v/>
      </c>
      <c r="BF785" s="44" t="str">
        <f>IF(AND(C785=Master!$H$8,B785="2012-2013",E785="",G785="NPN05"),H785,"")</f>
        <v/>
      </c>
      <c r="BG785" s="44" t="str">
        <f>IF(AND(C785=Master!$H$9,B785="2012-2013",E785&gt;1000,G785="NPN05"),H785,"")</f>
        <v/>
      </c>
      <c r="BH785" s="44" t="str">
        <f>IF(AND(C785=Master!$H$9,B785="2012-2013",E785="",G785="NPN05"),H785,"")</f>
        <v/>
      </c>
    </row>
    <row r="786" spans="1:60" x14ac:dyDescent="0.25">
      <c r="A786" s="3">
        <v>784</v>
      </c>
      <c r="B786" s="12"/>
      <c r="C786" s="12"/>
      <c r="D786" s="31"/>
      <c r="E786" s="4"/>
      <c r="F786" s="13"/>
      <c r="G786" s="21"/>
      <c r="H786" s="35"/>
      <c r="I786" s="21"/>
      <c r="J786" s="25" t="str">
        <f>IF(NOT(I786=""),INDEX(Master!$B$1:$B$46,MATCH(I786,Master!$A$1:$A$46,0)),"")</f>
        <v/>
      </c>
      <c r="K786" s="18"/>
      <c r="L786" s="86"/>
      <c r="M786" s="13"/>
      <c r="N786" s="13"/>
      <c r="O786" s="18"/>
      <c r="P786" s="35"/>
      <c r="Q786" s="21"/>
      <c r="R786" s="21"/>
      <c r="S786" s="13"/>
      <c r="T786" s="12"/>
      <c r="U786" s="12"/>
      <c r="V786" s="12"/>
      <c r="W786" s="14"/>
      <c r="Y786" s="42" t="str">
        <f>IF(AND(C786=Master!$H$1,B786="2012-2013",E786&gt;1000,G786="PLN03"),H786,"")</f>
        <v/>
      </c>
      <c r="Z786" s="42" t="str">
        <f>IF(AND(C786=Master!$H$1,B786="2012-2013",E786="",G786="PLN03"),H786,"")</f>
        <v/>
      </c>
      <c r="AA786" s="42" t="str">
        <f>IF(AND(C786=Master!$H$2,B786="2012-2013",E786&gt;1000,G786="PLN03"),H786,"")</f>
        <v/>
      </c>
      <c r="AB786" s="42" t="str">
        <f>IF(AND(C786=Master!$H$2,B786="2012-2013",E786="",G786="PLN03"),H786,"")</f>
        <v/>
      </c>
      <c r="AC786" s="42" t="str">
        <f>IF(AND(C786=Master!$H$3,B786="2012-2013",E786&gt;1000,G786="PLN03"),H786,"")</f>
        <v/>
      </c>
      <c r="AD786" s="42" t="str">
        <f>IF(AND(C786=Master!$H$3,B786="2012-2013",E786="",G786="PLN03"),H786,"")</f>
        <v/>
      </c>
      <c r="AE786" s="42" t="str">
        <f>IF(AND(C786=Master!$H$4,B786="2012-2013",E786&gt;1000,G786="PLN03"),H786,"")</f>
        <v/>
      </c>
      <c r="AF786" s="42" t="str">
        <f>IF(AND(C786=Master!$H$4,B786="2012-2013",E786="",G786="PLN03"),H786,"")</f>
        <v/>
      </c>
      <c r="AG786" s="42" t="str">
        <f>IF(AND(C786=Master!$H$5,B786="2012-2013",E786&gt;1000,G786="PLN03"),H786,"")</f>
        <v/>
      </c>
      <c r="AH786" s="42" t="str">
        <f>IF(AND(C786=Master!$H$5,B786="2012-2013",E786="",G786="PLN03"),H786,"")</f>
        <v/>
      </c>
      <c r="AI786" s="42" t="str">
        <f>IF(AND(C786=Master!$H$6,B786="2012-2013",E786&gt;1000,G786="PLN03"),H786,"")</f>
        <v/>
      </c>
      <c r="AJ786" s="42" t="str">
        <f>IF(AND(C786=Master!$H$6,B786="2012-2013",E786="",G786="PLN03"),H786,"")</f>
        <v/>
      </c>
      <c r="AK786" s="42" t="str">
        <f>IF(AND(C786=Master!$H$7,B786="2012-2013",E786&gt;1000,G786="PLN03"),H786,"")</f>
        <v/>
      </c>
      <c r="AL786" s="42" t="str">
        <f>IF(AND(C786=Master!$H$7,B786="2012-2013",E786="",G786="PLN03"),H786,"")</f>
        <v/>
      </c>
      <c r="AM786" s="42" t="str">
        <f>IF(AND(C786=Master!$H$8,B786="2012-2013",E786&gt;1000,G786="PLN03"),H786,"")</f>
        <v/>
      </c>
      <c r="AN786" s="42" t="str">
        <f>IF(AND(C786=Master!$H$8,B786="2012-2013",E786="",G786="PLN03"),H786,"")</f>
        <v/>
      </c>
      <c r="AO786" s="42" t="str">
        <f>IF(AND(C786=Master!$H$9,B786="2012-2013",E786&gt;1000,G786="PLN03"),H786,"")</f>
        <v/>
      </c>
      <c r="AP786" s="42" t="str">
        <f>IF(AND(C786=Master!$H$9,B786="2012-2013",E786="",G786="PLN03"),H786,"")</f>
        <v/>
      </c>
      <c r="AQ786" s="44" t="str">
        <f>IF(AND(C786=Master!$H$1,B786="2012-2013",E786&gt;1000,G786="NPN05"),H786,"")</f>
        <v/>
      </c>
      <c r="AR786" s="44" t="str">
        <f>IF(AND(C786=Master!$H$1,B786="2012-2013",E786="",G786="NPN05"),H786,"")</f>
        <v/>
      </c>
      <c r="AS786" s="44" t="str">
        <f>IF(AND(C786=Master!$H$2,B786="2012-2013",E786&gt;1000,G786="NPN05"),H786,"")</f>
        <v/>
      </c>
      <c r="AT786" s="44" t="str">
        <f>IF(AND(C786=Master!$H$2,B786="2012-2013",E786="",G786="NPN05"),H786,"")</f>
        <v/>
      </c>
      <c r="AU786" s="44" t="str">
        <f>IF(AND(C786=Master!$H$3,B786="2012-2013",E786&gt;1000,G786="NPN05"),H786,"")</f>
        <v/>
      </c>
      <c r="AV786" s="44" t="str">
        <f>IF(AND(C786=Master!$H$3,B786="2012-2013",E786="",G786="NPN05"),H786,"")</f>
        <v/>
      </c>
      <c r="AW786" s="44" t="str">
        <f>IF(AND(C786=Master!$H$4,B786="2012-2013",E786&gt;1000,G786="NPN05"),H786,"")</f>
        <v/>
      </c>
      <c r="AX786" s="44" t="str">
        <f>IF(AND(C786=Master!$H$4,B786="2012-2013",E786="",G786="NPN05"),H786,"")</f>
        <v/>
      </c>
      <c r="AY786" s="44" t="str">
        <f>IF(AND(C786=Master!$H$5,B786="2012-2013",E786&gt;1000,G786="NPN05"),H786,"")</f>
        <v/>
      </c>
      <c r="AZ786" s="44" t="str">
        <f>IF(AND(C786=Master!$H$5,B786="2012-2013",E786="",G786="NPN05"),H786,"")</f>
        <v/>
      </c>
      <c r="BA786" s="44" t="str">
        <f>IF(AND(C786=Master!$H$6,B786="2012-2013",E786&gt;1000,G786="NPN05"),H786,"")</f>
        <v/>
      </c>
      <c r="BB786" s="44" t="str">
        <f>IF(AND(C786=Master!$H$6,B786="2012-2013",E786="",G786="NPN05"),H786,"")</f>
        <v/>
      </c>
      <c r="BC786" s="44" t="str">
        <f>IF(AND(C786=Master!$H$7,B786="2012-2013",E786&gt;1000,G786="NPN05"),H786,"")</f>
        <v/>
      </c>
      <c r="BD786" s="44" t="str">
        <f>IF(AND(C786=Master!$H$7,B786="2012-2013",E786="",G786="NPN05"),H786,"")</f>
        <v/>
      </c>
      <c r="BE786" s="44" t="str">
        <f>IF(AND(C786=Master!$H$8,B786="2012-2013",E786&gt;1000,G786="NPN05"),H786,"")</f>
        <v/>
      </c>
      <c r="BF786" s="44" t="str">
        <f>IF(AND(C786=Master!$H$8,B786="2012-2013",E786="",G786="NPN05"),H786,"")</f>
        <v/>
      </c>
      <c r="BG786" s="44" t="str">
        <f>IF(AND(C786=Master!$H$9,B786="2012-2013",E786&gt;1000,G786="NPN05"),H786,"")</f>
        <v/>
      </c>
      <c r="BH786" s="44" t="str">
        <f>IF(AND(C786=Master!$H$9,B786="2012-2013",E786="",G786="NPN05"),H786,"")</f>
        <v/>
      </c>
    </row>
    <row r="787" spans="1:60" x14ac:dyDescent="0.25">
      <c r="A787" s="5">
        <v>785</v>
      </c>
      <c r="B787" s="12"/>
      <c r="C787" s="12"/>
      <c r="D787" s="31"/>
      <c r="E787" s="4"/>
      <c r="F787" s="13"/>
      <c r="G787" s="21"/>
      <c r="H787" s="35"/>
      <c r="I787" s="21"/>
      <c r="J787" s="25" t="str">
        <f>IF(NOT(I787=""),INDEX(Master!$B$1:$B$46,MATCH(I787,Master!$A$1:$A$46,0)),"")</f>
        <v/>
      </c>
      <c r="K787" s="18"/>
      <c r="L787" s="86"/>
      <c r="M787" s="13"/>
      <c r="N787" s="13"/>
      <c r="O787" s="18"/>
      <c r="P787" s="35"/>
      <c r="Q787" s="21"/>
      <c r="R787" s="21"/>
      <c r="S787" s="13"/>
      <c r="T787" s="12"/>
      <c r="U787" s="12"/>
      <c r="V787" s="12"/>
      <c r="W787" s="14"/>
      <c r="Y787" s="42" t="str">
        <f>IF(AND(C787=Master!$H$1,B787="2012-2013",E787&gt;1000,G787="PLN03"),H787,"")</f>
        <v/>
      </c>
      <c r="Z787" s="42" t="str">
        <f>IF(AND(C787=Master!$H$1,B787="2012-2013",E787="",G787="PLN03"),H787,"")</f>
        <v/>
      </c>
      <c r="AA787" s="42" t="str">
        <f>IF(AND(C787=Master!$H$2,B787="2012-2013",E787&gt;1000,G787="PLN03"),H787,"")</f>
        <v/>
      </c>
      <c r="AB787" s="42" t="str">
        <f>IF(AND(C787=Master!$H$2,B787="2012-2013",E787="",G787="PLN03"),H787,"")</f>
        <v/>
      </c>
      <c r="AC787" s="42" t="str">
        <f>IF(AND(C787=Master!$H$3,B787="2012-2013",E787&gt;1000,G787="PLN03"),H787,"")</f>
        <v/>
      </c>
      <c r="AD787" s="42" t="str">
        <f>IF(AND(C787=Master!$H$3,B787="2012-2013",E787="",G787="PLN03"),H787,"")</f>
        <v/>
      </c>
      <c r="AE787" s="42" t="str">
        <f>IF(AND(C787=Master!$H$4,B787="2012-2013",E787&gt;1000,G787="PLN03"),H787,"")</f>
        <v/>
      </c>
      <c r="AF787" s="42" t="str">
        <f>IF(AND(C787=Master!$H$4,B787="2012-2013",E787="",G787="PLN03"),H787,"")</f>
        <v/>
      </c>
      <c r="AG787" s="42" t="str">
        <f>IF(AND(C787=Master!$H$5,B787="2012-2013",E787&gt;1000,G787="PLN03"),H787,"")</f>
        <v/>
      </c>
      <c r="AH787" s="42" t="str">
        <f>IF(AND(C787=Master!$H$5,B787="2012-2013",E787="",G787="PLN03"),H787,"")</f>
        <v/>
      </c>
      <c r="AI787" s="42" t="str">
        <f>IF(AND(C787=Master!$H$6,B787="2012-2013",E787&gt;1000,G787="PLN03"),H787,"")</f>
        <v/>
      </c>
      <c r="AJ787" s="42" t="str">
        <f>IF(AND(C787=Master!$H$6,B787="2012-2013",E787="",G787="PLN03"),H787,"")</f>
        <v/>
      </c>
      <c r="AK787" s="42" t="str">
        <f>IF(AND(C787=Master!$H$7,B787="2012-2013",E787&gt;1000,G787="PLN03"),H787,"")</f>
        <v/>
      </c>
      <c r="AL787" s="42" t="str">
        <f>IF(AND(C787=Master!$H$7,B787="2012-2013",E787="",G787="PLN03"),H787,"")</f>
        <v/>
      </c>
      <c r="AM787" s="42" t="str">
        <f>IF(AND(C787=Master!$H$8,B787="2012-2013",E787&gt;1000,G787="PLN03"),H787,"")</f>
        <v/>
      </c>
      <c r="AN787" s="42" t="str">
        <f>IF(AND(C787=Master!$H$8,B787="2012-2013",E787="",G787="PLN03"),H787,"")</f>
        <v/>
      </c>
      <c r="AO787" s="42" t="str">
        <f>IF(AND(C787=Master!$H$9,B787="2012-2013",E787&gt;1000,G787="PLN03"),H787,"")</f>
        <v/>
      </c>
      <c r="AP787" s="42" t="str">
        <f>IF(AND(C787=Master!$H$9,B787="2012-2013",E787="",G787="PLN03"),H787,"")</f>
        <v/>
      </c>
      <c r="AQ787" s="44" t="str">
        <f>IF(AND(C787=Master!$H$1,B787="2012-2013",E787&gt;1000,G787="NPN05"),H787,"")</f>
        <v/>
      </c>
      <c r="AR787" s="44" t="str">
        <f>IF(AND(C787=Master!$H$1,B787="2012-2013",E787="",G787="NPN05"),H787,"")</f>
        <v/>
      </c>
      <c r="AS787" s="44" t="str">
        <f>IF(AND(C787=Master!$H$2,B787="2012-2013",E787&gt;1000,G787="NPN05"),H787,"")</f>
        <v/>
      </c>
      <c r="AT787" s="44" t="str">
        <f>IF(AND(C787=Master!$H$2,B787="2012-2013",E787="",G787="NPN05"),H787,"")</f>
        <v/>
      </c>
      <c r="AU787" s="44" t="str">
        <f>IF(AND(C787=Master!$H$3,B787="2012-2013",E787&gt;1000,G787="NPN05"),H787,"")</f>
        <v/>
      </c>
      <c r="AV787" s="44" t="str">
        <f>IF(AND(C787=Master!$H$3,B787="2012-2013",E787="",G787="NPN05"),H787,"")</f>
        <v/>
      </c>
      <c r="AW787" s="44" t="str">
        <f>IF(AND(C787=Master!$H$4,B787="2012-2013",E787&gt;1000,G787="NPN05"),H787,"")</f>
        <v/>
      </c>
      <c r="AX787" s="44" t="str">
        <f>IF(AND(C787=Master!$H$4,B787="2012-2013",E787="",G787="NPN05"),H787,"")</f>
        <v/>
      </c>
      <c r="AY787" s="44" t="str">
        <f>IF(AND(C787=Master!$H$5,B787="2012-2013",E787&gt;1000,G787="NPN05"),H787,"")</f>
        <v/>
      </c>
      <c r="AZ787" s="44" t="str">
        <f>IF(AND(C787=Master!$H$5,B787="2012-2013",E787="",G787="NPN05"),H787,"")</f>
        <v/>
      </c>
      <c r="BA787" s="44" t="str">
        <f>IF(AND(C787=Master!$H$6,B787="2012-2013",E787&gt;1000,G787="NPN05"),H787,"")</f>
        <v/>
      </c>
      <c r="BB787" s="44" t="str">
        <f>IF(AND(C787=Master!$H$6,B787="2012-2013",E787="",G787="NPN05"),H787,"")</f>
        <v/>
      </c>
      <c r="BC787" s="44" t="str">
        <f>IF(AND(C787=Master!$H$7,B787="2012-2013",E787&gt;1000,G787="NPN05"),H787,"")</f>
        <v/>
      </c>
      <c r="BD787" s="44" t="str">
        <f>IF(AND(C787=Master!$H$7,B787="2012-2013",E787="",G787="NPN05"),H787,"")</f>
        <v/>
      </c>
      <c r="BE787" s="44" t="str">
        <f>IF(AND(C787=Master!$H$8,B787="2012-2013",E787&gt;1000,G787="NPN05"),H787,"")</f>
        <v/>
      </c>
      <c r="BF787" s="44" t="str">
        <f>IF(AND(C787=Master!$H$8,B787="2012-2013",E787="",G787="NPN05"),H787,"")</f>
        <v/>
      </c>
      <c r="BG787" s="44" t="str">
        <f>IF(AND(C787=Master!$H$9,B787="2012-2013",E787&gt;1000,G787="NPN05"),H787,"")</f>
        <v/>
      </c>
      <c r="BH787" s="44" t="str">
        <f>IF(AND(C787=Master!$H$9,B787="2012-2013",E787="",G787="NPN05"),H787,"")</f>
        <v/>
      </c>
    </row>
    <row r="788" spans="1:60" x14ac:dyDescent="0.25">
      <c r="A788" s="3">
        <v>786</v>
      </c>
      <c r="B788" s="12"/>
      <c r="C788" s="12"/>
      <c r="D788" s="31"/>
      <c r="E788" s="4"/>
      <c r="F788" s="13"/>
      <c r="G788" s="21"/>
      <c r="H788" s="35"/>
      <c r="I788" s="21"/>
      <c r="J788" s="25" t="str">
        <f>IF(NOT(I788=""),INDEX(Master!$B$1:$B$46,MATCH(I788,Master!$A$1:$A$46,0)),"")</f>
        <v/>
      </c>
      <c r="K788" s="18"/>
      <c r="L788" s="86"/>
      <c r="M788" s="13"/>
      <c r="N788" s="13"/>
      <c r="O788" s="18"/>
      <c r="P788" s="35"/>
      <c r="Q788" s="21"/>
      <c r="R788" s="21"/>
      <c r="S788" s="13"/>
      <c r="T788" s="12"/>
      <c r="U788" s="12"/>
      <c r="V788" s="12"/>
      <c r="W788" s="14"/>
      <c r="Y788" s="42" t="str">
        <f>IF(AND(C788=Master!$H$1,B788="2012-2013",E788&gt;1000,G788="PLN03"),H788,"")</f>
        <v/>
      </c>
      <c r="Z788" s="42" t="str">
        <f>IF(AND(C788=Master!$H$1,B788="2012-2013",E788="",G788="PLN03"),H788,"")</f>
        <v/>
      </c>
      <c r="AA788" s="42" t="str">
        <f>IF(AND(C788=Master!$H$2,B788="2012-2013",E788&gt;1000,G788="PLN03"),H788,"")</f>
        <v/>
      </c>
      <c r="AB788" s="42" t="str">
        <f>IF(AND(C788=Master!$H$2,B788="2012-2013",E788="",G788="PLN03"),H788,"")</f>
        <v/>
      </c>
      <c r="AC788" s="42" t="str">
        <f>IF(AND(C788=Master!$H$3,B788="2012-2013",E788&gt;1000,G788="PLN03"),H788,"")</f>
        <v/>
      </c>
      <c r="AD788" s="42" t="str">
        <f>IF(AND(C788=Master!$H$3,B788="2012-2013",E788="",G788="PLN03"),H788,"")</f>
        <v/>
      </c>
      <c r="AE788" s="42" t="str">
        <f>IF(AND(C788=Master!$H$4,B788="2012-2013",E788&gt;1000,G788="PLN03"),H788,"")</f>
        <v/>
      </c>
      <c r="AF788" s="42" t="str">
        <f>IF(AND(C788=Master!$H$4,B788="2012-2013",E788="",G788="PLN03"),H788,"")</f>
        <v/>
      </c>
      <c r="AG788" s="42" t="str">
        <f>IF(AND(C788=Master!$H$5,B788="2012-2013",E788&gt;1000,G788="PLN03"),H788,"")</f>
        <v/>
      </c>
      <c r="AH788" s="42" t="str">
        <f>IF(AND(C788=Master!$H$5,B788="2012-2013",E788="",G788="PLN03"),H788,"")</f>
        <v/>
      </c>
      <c r="AI788" s="42" t="str">
        <f>IF(AND(C788=Master!$H$6,B788="2012-2013",E788&gt;1000,G788="PLN03"),H788,"")</f>
        <v/>
      </c>
      <c r="AJ788" s="42" t="str">
        <f>IF(AND(C788=Master!$H$6,B788="2012-2013",E788="",G788="PLN03"),H788,"")</f>
        <v/>
      </c>
      <c r="AK788" s="42" t="str">
        <f>IF(AND(C788=Master!$H$7,B788="2012-2013",E788&gt;1000,G788="PLN03"),H788,"")</f>
        <v/>
      </c>
      <c r="AL788" s="42" t="str">
        <f>IF(AND(C788=Master!$H$7,B788="2012-2013",E788="",G788="PLN03"),H788,"")</f>
        <v/>
      </c>
      <c r="AM788" s="42" t="str">
        <f>IF(AND(C788=Master!$H$8,B788="2012-2013",E788&gt;1000,G788="PLN03"),H788,"")</f>
        <v/>
      </c>
      <c r="AN788" s="42" t="str">
        <f>IF(AND(C788=Master!$H$8,B788="2012-2013",E788="",G788="PLN03"),H788,"")</f>
        <v/>
      </c>
      <c r="AO788" s="42" t="str">
        <f>IF(AND(C788=Master!$H$9,B788="2012-2013",E788&gt;1000,G788="PLN03"),H788,"")</f>
        <v/>
      </c>
      <c r="AP788" s="42" t="str">
        <f>IF(AND(C788=Master!$H$9,B788="2012-2013",E788="",G788="PLN03"),H788,"")</f>
        <v/>
      </c>
      <c r="AQ788" s="44" t="str">
        <f>IF(AND(C788=Master!$H$1,B788="2012-2013",E788&gt;1000,G788="NPN05"),H788,"")</f>
        <v/>
      </c>
      <c r="AR788" s="44" t="str">
        <f>IF(AND(C788=Master!$H$1,B788="2012-2013",E788="",G788="NPN05"),H788,"")</f>
        <v/>
      </c>
      <c r="AS788" s="44" t="str">
        <f>IF(AND(C788=Master!$H$2,B788="2012-2013",E788&gt;1000,G788="NPN05"),H788,"")</f>
        <v/>
      </c>
      <c r="AT788" s="44" t="str">
        <f>IF(AND(C788=Master!$H$2,B788="2012-2013",E788="",G788="NPN05"),H788,"")</f>
        <v/>
      </c>
      <c r="AU788" s="44" t="str">
        <f>IF(AND(C788=Master!$H$3,B788="2012-2013",E788&gt;1000,G788="NPN05"),H788,"")</f>
        <v/>
      </c>
      <c r="AV788" s="44" t="str">
        <f>IF(AND(C788=Master!$H$3,B788="2012-2013",E788="",G788="NPN05"),H788,"")</f>
        <v/>
      </c>
      <c r="AW788" s="44" t="str">
        <f>IF(AND(C788=Master!$H$4,B788="2012-2013",E788&gt;1000,G788="NPN05"),H788,"")</f>
        <v/>
      </c>
      <c r="AX788" s="44" t="str">
        <f>IF(AND(C788=Master!$H$4,B788="2012-2013",E788="",G788="NPN05"),H788,"")</f>
        <v/>
      </c>
      <c r="AY788" s="44" t="str">
        <f>IF(AND(C788=Master!$H$5,B788="2012-2013",E788&gt;1000,G788="NPN05"),H788,"")</f>
        <v/>
      </c>
      <c r="AZ788" s="44" t="str">
        <f>IF(AND(C788=Master!$H$5,B788="2012-2013",E788="",G788="NPN05"),H788,"")</f>
        <v/>
      </c>
      <c r="BA788" s="44" t="str">
        <f>IF(AND(C788=Master!$H$6,B788="2012-2013",E788&gt;1000,G788="NPN05"),H788,"")</f>
        <v/>
      </c>
      <c r="BB788" s="44" t="str">
        <f>IF(AND(C788=Master!$H$6,B788="2012-2013",E788="",G788="NPN05"),H788,"")</f>
        <v/>
      </c>
      <c r="BC788" s="44" t="str">
        <f>IF(AND(C788=Master!$H$7,B788="2012-2013",E788&gt;1000,G788="NPN05"),H788,"")</f>
        <v/>
      </c>
      <c r="BD788" s="44" t="str">
        <f>IF(AND(C788=Master!$H$7,B788="2012-2013",E788="",G788="NPN05"),H788,"")</f>
        <v/>
      </c>
      <c r="BE788" s="44" t="str">
        <f>IF(AND(C788=Master!$H$8,B788="2012-2013",E788&gt;1000,G788="NPN05"),H788,"")</f>
        <v/>
      </c>
      <c r="BF788" s="44" t="str">
        <f>IF(AND(C788=Master!$H$8,B788="2012-2013",E788="",G788="NPN05"),H788,"")</f>
        <v/>
      </c>
      <c r="BG788" s="44" t="str">
        <f>IF(AND(C788=Master!$H$9,B788="2012-2013",E788&gt;1000,G788="NPN05"),H788,"")</f>
        <v/>
      </c>
      <c r="BH788" s="44" t="str">
        <f>IF(AND(C788=Master!$H$9,B788="2012-2013",E788="",G788="NPN05"),H788,"")</f>
        <v/>
      </c>
    </row>
    <row r="789" spans="1:60" x14ac:dyDescent="0.25">
      <c r="A789" s="3">
        <v>787</v>
      </c>
      <c r="B789" s="12"/>
      <c r="C789" s="12"/>
      <c r="D789" s="31"/>
      <c r="E789" s="4"/>
      <c r="F789" s="13"/>
      <c r="G789" s="21"/>
      <c r="H789" s="35"/>
      <c r="I789" s="21"/>
      <c r="J789" s="25" t="str">
        <f>IF(NOT(I789=""),INDEX(Master!$B$1:$B$46,MATCH(I789,Master!$A$1:$A$46,0)),"")</f>
        <v/>
      </c>
      <c r="K789" s="18"/>
      <c r="L789" s="86"/>
      <c r="M789" s="13"/>
      <c r="N789" s="13"/>
      <c r="O789" s="18"/>
      <c r="P789" s="35"/>
      <c r="Q789" s="21"/>
      <c r="R789" s="21"/>
      <c r="S789" s="13"/>
      <c r="T789" s="12"/>
      <c r="U789" s="12"/>
      <c r="V789" s="12"/>
      <c r="W789" s="14"/>
      <c r="Y789" s="42" t="str">
        <f>IF(AND(C789=Master!$H$1,B789="2012-2013",E789&gt;1000,G789="PLN03"),H789,"")</f>
        <v/>
      </c>
      <c r="Z789" s="42" t="str">
        <f>IF(AND(C789=Master!$H$1,B789="2012-2013",E789="",G789="PLN03"),H789,"")</f>
        <v/>
      </c>
      <c r="AA789" s="42" t="str">
        <f>IF(AND(C789=Master!$H$2,B789="2012-2013",E789&gt;1000,G789="PLN03"),H789,"")</f>
        <v/>
      </c>
      <c r="AB789" s="42" t="str">
        <f>IF(AND(C789=Master!$H$2,B789="2012-2013",E789="",G789="PLN03"),H789,"")</f>
        <v/>
      </c>
      <c r="AC789" s="42" t="str">
        <f>IF(AND(C789=Master!$H$3,B789="2012-2013",E789&gt;1000,G789="PLN03"),H789,"")</f>
        <v/>
      </c>
      <c r="AD789" s="42" t="str">
        <f>IF(AND(C789=Master!$H$3,B789="2012-2013",E789="",G789="PLN03"),H789,"")</f>
        <v/>
      </c>
      <c r="AE789" s="42" t="str">
        <f>IF(AND(C789=Master!$H$4,B789="2012-2013",E789&gt;1000,G789="PLN03"),H789,"")</f>
        <v/>
      </c>
      <c r="AF789" s="42" t="str">
        <f>IF(AND(C789=Master!$H$4,B789="2012-2013",E789="",G789="PLN03"),H789,"")</f>
        <v/>
      </c>
      <c r="AG789" s="42" t="str">
        <f>IF(AND(C789=Master!$H$5,B789="2012-2013",E789&gt;1000,G789="PLN03"),H789,"")</f>
        <v/>
      </c>
      <c r="AH789" s="42" t="str">
        <f>IF(AND(C789=Master!$H$5,B789="2012-2013",E789="",G789="PLN03"),H789,"")</f>
        <v/>
      </c>
      <c r="AI789" s="42" t="str">
        <f>IF(AND(C789=Master!$H$6,B789="2012-2013",E789&gt;1000,G789="PLN03"),H789,"")</f>
        <v/>
      </c>
      <c r="AJ789" s="42" t="str">
        <f>IF(AND(C789=Master!$H$6,B789="2012-2013",E789="",G789="PLN03"),H789,"")</f>
        <v/>
      </c>
      <c r="AK789" s="42" t="str">
        <f>IF(AND(C789=Master!$H$7,B789="2012-2013",E789&gt;1000,G789="PLN03"),H789,"")</f>
        <v/>
      </c>
      <c r="AL789" s="42" t="str">
        <f>IF(AND(C789=Master!$H$7,B789="2012-2013",E789="",G789="PLN03"),H789,"")</f>
        <v/>
      </c>
      <c r="AM789" s="42" t="str">
        <f>IF(AND(C789=Master!$H$8,B789="2012-2013",E789&gt;1000,G789="PLN03"),H789,"")</f>
        <v/>
      </c>
      <c r="AN789" s="42" t="str">
        <f>IF(AND(C789=Master!$H$8,B789="2012-2013",E789="",G789="PLN03"),H789,"")</f>
        <v/>
      </c>
      <c r="AO789" s="42" t="str">
        <f>IF(AND(C789=Master!$H$9,B789="2012-2013",E789&gt;1000,G789="PLN03"),H789,"")</f>
        <v/>
      </c>
      <c r="AP789" s="42" t="str">
        <f>IF(AND(C789=Master!$H$9,B789="2012-2013",E789="",G789="PLN03"),H789,"")</f>
        <v/>
      </c>
      <c r="AQ789" s="44" t="str">
        <f>IF(AND(C789=Master!$H$1,B789="2012-2013",E789&gt;1000,G789="NPN05"),H789,"")</f>
        <v/>
      </c>
      <c r="AR789" s="44" t="str">
        <f>IF(AND(C789=Master!$H$1,B789="2012-2013",E789="",G789="NPN05"),H789,"")</f>
        <v/>
      </c>
      <c r="AS789" s="44" t="str">
        <f>IF(AND(C789=Master!$H$2,B789="2012-2013",E789&gt;1000,G789="NPN05"),H789,"")</f>
        <v/>
      </c>
      <c r="AT789" s="44" t="str">
        <f>IF(AND(C789=Master!$H$2,B789="2012-2013",E789="",G789="NPN05"),H789,"")</f>
        <v/>
      </c>
      <c r="AU789" s="44" t="str">
        <f>IF(AND(C789=Master!$H$3,B789="2012-2013",E789&gt;1000,G789="NPN05"),H789,"")</f>
        <v/>
      </c>
      <c r="AV789" s="44" t="str">
        <f>IF(AND(C789=Master!$H$3,B789="2012-2013",E789="",G789="NPN05"),H789,"")</f>
        <v/>
      </c>
      <c r="AW789" s="44" t="str">
        <f>IF(AND(C789=Master!$H$4,B789="2012-2013",E789&gt;1000,G789="NPN05"),H789,"")</f>
        <v/>
      </c>
      <c r="AX789" s="44" t="str">
        <f>IF(AND(C789=Master!$H$4,B789="2012-2013",E789="",G789="NPN05"),H789,"")</f>
        <v/>
      </c>
      <c r="AY789" s="44" t="str">
        <f>IF(AND(C789=Master!$H$5,B789="2012-2013",E789&gt;1000,G789="NPN05"),H789,"")</f>
        <v/>
      </c>
      <c r="AZ789" s="44" t="str">
        <f>IF(AND(C789=Master!$H$5,B789="2012-2013",E789="",G789="NPN05"),H789,"")</f>
        <v/>
      </c>
      <c r="BA789" s="44" t="str">
        <f>IF(AND(C789=Master!$H$6,B789="2012-2013",E789&gt;1000,G789="NPN05"),H789,"")</f>
        <v/>
      </c>
      <c r="BB789" s="44" t="str">
        <f>IF(AND(C789=Master!$H$6,B789="2012-2013",E789="",G789="NPN05"),H789,"")</f>
        <v/>
      </c>
      <c r="BC789" s="44" t="str">
        <f>IF(AND(C789=Master!$H$7,B789="2012-2013",E789&gt;1000,G789="NPN05"),H789,"")</f>
        <v/>
      </c>
      <c r="BD789" s="44" t="str">
        <f>IF(AND(C789=Master!$H$7,B789="2012-2013",E789="",G789="NPN05"),H789,"")</f>
        <v/>
      </c>
      <c r="BE789" s="44" t="str">
        <f>IF(AND(C789=Master!$H$8,B789="2012-2013",E789&gt;1000,G789="NPN05"),H789,"")</f>
        <v/>
      </c>
      <c r="BF789" s="44" t="str">
        <f>IF(AND(C789=Master!$H$8,B789="2012-2013",E789="",G789="NPN05"),H789,"")</f>
        <v/>
      </c>
      <c r="BG789" s="44" t="str">
        <f>IF(AND(C789=Master!$H$9,B789="2012-2013",E789&gt;1000,G789="NPN05"),H789,"")</f>
        <v/>
      </c>
      <c r="BH789" s="44" t="str">
        <f>IF(AND(C789=Master!$H$9,B789="2012-2013",E789="",G789="NPN05"),H789,"")</f>
        <v/>
      </c>
    </row>
    <row r="790" spans="1:60" x14ac:dyDescent="0.25">
      <c r="A790" s="3">
        <v>788</v>
      </c>
      <c r="B790" s="12"/>
      <c r="C790" s="12"/>
      <c r="D790" s="31"/>
      <c r="E790" s="4"/>
      <c r="F790" s="13"/>
      <c r="G790" s="21"/>
      <c r="H790" s="35"/>
      <c r="I790" s="21"/>
      <c r="J790" s="25" t="str">
        <f>IF(NOT(I790=""),INDEX(Master!$B$1:$B$46,MATCH(I790,Master!$A$1:$A$46,0)),"")</f>
        <v/>
      </c>
      <c r="K790" s="18"/>
      <c r="L790" s="86"/>
      <c r="M790" s="13"/>
      <c r="N790" s="13"/>
      <c r="O790" s="18"/>
      <c r="P790" s="35"/>
      <c r="Q790" s="21"/>
      <c r="R790" s="21"/>
      <c r="S790" s="13"/>
      <c r="T790" s="12"/>
      <c r="U790" s="12"/>
      <c r="V790" s="12"/>
      <c r="W790" s="14"/>
      <c r="Y790" s="42" t="str">
        <f>IF(AND(C790=Master!$H$1,B790="2012-2013",E790&gt;1000,G790="PLN03"),H790,"")</f>
        <v/>
      </c>
      <c r="Z790" s="42" t="str">
        <f>IF(AND(C790=Master!$H$1,B790="2012-2013",E790="",G790="PLN03"),H790,"")</f>
        <v/>
      </c>
      <c r="AA790" s="42" t="str">
        <f>IF(AND(C790=Master!$H$2,B790="2012-2013",E790&gt;1000,G790="PLN03"),H790,"")</f>
        <v/>
      </c>
      <c r="AB790" s="42" t="str">
        <f>IF(AND(C790=Master!$H$2,B790="2012-2013",E790="",G790="PLN03"),H790,"")</f>
        <v/>
      </c>
      <c r="AC790" s="42" t="str">
        <f>IF(AND(C790=Master!$H$3,B790="2012-2013",E790&gt;1000,G790="PLN03"),H790,"")</f>
        <v/>
      </c>
      <c r="AD790" s="42" t="str">
        <f>IF(AND(C790=Master!$H$3,B790="2012-2013",E790="",G790="PLN03"),H790,"")</f>
        <v/>
      </c>
      <c r="AE790" s="42" t="str">
        <f>IF(AND(C790=Master!$H$4,B790="2012-2013",E790&gt;1000,G790="PLN03"),H790,"")</f>
        <v/>
      </c>
      <c r="AF790" s="42" t="str">
        <f>IF(AND(C790=Master!$H$4,B790="2012-2013",E790="",G790="PLN03"),H790,"")</f>
        <v/>
      </c>
      <c r="AG790" s="42" t="str">
        <f>IF(AND(C790=Master!$H$5,B790="2012-2013",E790&gt;1000,G790="PLN03"),H790,"")</f>
        <v/>
      </c>
      <c r="AH790" s="42" t="str">
        <f>IF(AND(C790=Master!$H$5,B790="2012-2013",E790="",G790="PLN03"),H790,"")</f>
        <v/>
      </c>
      <c r="AI790" s="42" t="str">
        <f>IF(AND(C790=Master!$H$6,B790="2012-2013",E790&gt;1000,G790="PLN03"),H790,"")</f>
        <v/>
      </c>
      <c r="AJ790" s="42" t="str">
        <f>IF(AND(C790=Master!$H$6,B790="2012-2013",E790="",G790="PLN03"),H790,"")</f>
        <v/>
      </c>
      <c r="AK790" s="42" t="str">
        <f>IF(AND(C790=Master!$H$7,B790="2012-2013",E790&gt;1000,G790="PLN03"),H790,"")</f>
        <v/>
      </c>
      <c r="AL790" s="42" t="str">
        <f>IF(AND(C790=Master!$H$7,B790="2012-2013",E790="",G790="PLN03"),H790,"")</f>
        <v/>
      </c>
      <c r="AM790" s="42" t="str">
        <f>IF(AND(C790=Master!$H$8,B790="2012-2013",E790&gt;1000,G790="PLN03"),H790,"")</f>
        <v/>
      </c>
      <c r="AN790" s="42" t="str">
        <f>IF(AND(C790=Master!$H$8,B790="2012-2013",E790="",G790="PLN03"),H790,"")</f>
        <v/>
      </c>
      <c r="AO790" s="42" t="str">
        <f>IF(AND(C790=Master!$H$9,B790="2012-2013",E790&gt;1000,G790="PLN03"),H790,"")</f>
        <v/>
      </c>
      <c r="AP790" s="42" t="str">
        <f>IF(AND(C790=Master!$H$9,B790="2012-2013",E790="",G790="PLN03"),H790,"")</f>
        <v/>
      </c>
      <c r="AQ790" s="44" t="str">
        <f>IF(AND(C790=Master!$H$1,B790="2012-2013",E790&gt;1000,G790="NPN05"),H790,"")</f>
        <v/>
      </c>
      <c r="AR790" s="44" t="str">
        <f>IF(AND(C790=Master!$H$1,B790="2012-2013",E790="",G790="NPN05"),H790,"")</f>
        <v/>
      </c>
      <c r="AS790" s="44" t="str">
        <f>IF(AND(C790=Master!$H$2,B790="2012-2013",E790&gt;1000,G790="NPN05"),H790,"")</f>
        <v/>
      </c>
      <c r="AT790" s="44" t="str">
        <f>IF(AND(C790=Master!$H$2,B790="2012-2013",E790="",G790="NPN05"),H790,"")</f>
        <v/>
      </c>
      <c r="AU790" s="44" t="str">
        <f>IF(AND(C790=Master!$H$3,B790="2012-2013",E790&gt;1000,G790="NPN05"),H790,"")</f>
        <v/>
      </c>
      <c r="AV790" s="44" t="str">
        <f>IF(AND(C790=Master!$H$3,B790="2012-2013",E790="",G790="NPN05"),H790,"")</f>
        <v/>
      </c>
      <c r="AW790" s="44" t="str">
        <f>IF(AND(C790=Master!$H$4,B790="2012-2013",E790&gt;1000,G790="NPN05"),H790,"")</f>
        <v/>
      </c>
      <c r="AX790" s="44" t="str">
        <f>IF(AND(C790=Master!$H$4,B790="2012-2013",E790="",G790="NPN05"),H790,"")</f>
        <v/>
      </c>
      <c r="AY790" s="44" t="str">
        <f>IF(AND(C790=Master!$H$5,B790="2012-2013",E790&gt;1000,G790="NPN05"),H790,"")</f>
        <v/>
      </c>
      <c r="AZ790" s="44" t="str">
        <f>IF(AND(C790=Master!$H$5,B790="2012-2013",E790="",G790="NPN05"),H790,"")</f>
        <v/>
      </c>
      <c r="BA790" s="44" t="str">
        <f>IF(AND(C790=Master!$H$6,B790="2012-2013",E790&gt;1000,G790="NPN05"),H790,"")</f>
        <v/>
      </c>
      <c r="BB790" s="44" t="str">
        <f>IF(AND(C790=Master!$H$6,B790="2012-2013",E790="",G790="NPN05"),H790,"")</f>
        <v/>
      </c>
      <c r="BC790" s="44" t="str">
        <f>IF(AND(C790=Master!$H$7,B790="2012-2013",E790&gt;1000,G790="NPN05"),H790,"")</f>
        <v/>
      </c>
      <c r="BD790" s="44" t="str">
        <f>IF(AND(C790=Master!$H$7,B790="2012-2013",E790="",G790="NPN05"),H790,"")</f>
        <v/>
      </c>
      <c r="BE790" s="44" t="str">
        <f>IF(AND(C790=Master!$H$8,B790="2012-2013",E790&gt;1000,G790="NPN05"),H790,"")</f>
        <v/>
      </c>
      <c r="BF790" s="44" t="str">
        <f>IF(AND(C790=Master!$H$8,B790="2012-2013",E790="",G790="NPN05"),H790,"")</f>
        <v/>
      </c>
      <c r="BG790" s="44" t="str">
        <f>IF(AND(C790=Master!$H$9,B790="2012-2013",E790&gt;1000,G790="NPN05"),H790,"")</f>
        <v/>
      </c>
      <c r="BH790" s="44" t="str">
        <f>IF(AND(C790=Master!$H$9,B790="2012-2013",E790="",G790="NPN05"),H790,"")</f>
        <v/>
      </c>
    </row>
    <row r="791" spans="1:60" x14ac:dyDescent="0.25">
      <c r="A791" s="3">
        <v>789</v>
      </c>
      <c r="B791" s="12"/>
      <c r="C791" s="12"/>
      <c r="D791" s="31"/>
      <c r="E791" s="4"/>
      <c r="F791" s="13"/>
      <c r="G791" s="21"/>
      <c r="H791" s="35"/>
      <c r="I791" s="21"/>
      <c r="J791" s="25" t="str">
        <f>IF(NOT(I791=""),INDEX(Master!$B$1:$B$46,MATCH(I791,Master!$A$1:$A$46,0)),"")</f>
        <v/>
      </c>
      <c r="K791" s="18"/>
      <c r="L791" s="86"/>
      <c r="M791" s="13"/>
      <c r="N791" s="13"/>
      <c r="O791" s="18"/>
      <c r="P791" s="35"/>
      <c r="Q791" s="21"/>
      <c r="R791" s="21"/>
      <c r="S791" s="13"/>
      <c r="T791" s="12"/>
      <c r="U791" s="12"/>
      <c r="V791" s="12"/>
      <c r="W791" s="14"/>
      <c r="Y791" s="42" t="str">
        <f>IF(AND(C791=Master!$H$1,B791="2012-2013",E791&gt;1000,G791="PLN03"),H791,"")</f>
        <v/>
      </c>
      <c r="Z791" s="42" t="str">
        <f>IF(AND(C791=Master!$H$1,B791="2012-2013",E791="",G791="PLN03"),H791,"")</f>
        <v/>
      </c>
      <c r="AA791" s="42" t="str">
        <f>IF(AND(C791=Master!$H$2,B791="2012-2013",E791&gt;1000,G791="PLN03"),H791,"")</f>
        <v/>
      </c>
      <c r="AB791" s="42" t="str">
        <f>IF(AND(C791=Master!$H$2,B791="2012-2013",E791="",G791="PLN03"),H791,"")</f>
        <v/>
      </c>
      <c r="AC791" s="42" t="str">
        <f>IF(AND(C791=Master!$H$3,B791="2012-2013",E791&gt;1000,G791="PLN03"),H791,"")</f>
        <v/>
      </c>
      <c r="AD791" s="42" t="str">
        <f>IF(AND(C791=Master!$H$3,B791="2012-2013",E791="",G791="PLN03"),H791,"")</f>
        <v/>
      </c>
      <c r="AE791" s="42" t="str">
        <f>IF(AND(C791=Master!$H$4,B791="2012-2013",E791&gt;1000,G791="PLN03"),H791,"")</f>
        <v/>
      </c>
      <c r="AF791" s="42" t="str">
        <f>IF(AND(C791=Master!$H$4,B791="2012-2013",E791="",G791="PLN03"),H791,"")</f>
        <v/>
      </c>
      <c r="AG791" s="42" t="str">
        <f>IF(AND(C791=Master!$H$5,B791="2012-2013",E791&gt;1000,G791="PLN03"),H791,"")</f>
        <v/>
      </c>
      <c r="AH791" s="42" t="str">
        <f>IF(AND(C791=Master!$H$5,B791="2012-2013",E791="",G791="PLN03"),H791,"")</f>
        <v/>
      </c>
      <c r="AI791" s="42" t="str">
        <f>IF(AND(C791=Master!$H$6,B791="2012-2013",E791&gt;1000,G791="PLN03"),H791,"")</f>
        <v/>
      </c>
      <c r="AJ791" s="42" t="str">
        <f>IF(AND(C791=Master!$H$6,B791="2012-2013",E791="",G791="PLN03"),H791,"")</f>
        <v/>
      </c>
      <c r="AK791" s="42" t="str">
        <f>IF(AND(C791=Master!$H$7,B791="2012-2013",E791&gt;1000,G791="PLN03"),H791,"")</f>
        <v/>
      </c>
      <c r="AL791" s="42" t="str">
        <f>IF(AND(C791=Master!$H$7,B791="2012-2013",E791="",G791="PLN03"),H791,"")</f>
        <v/>
      </c>
      <c r="AM791" s="42" t="str">
        <f>IF(AND(C791=Master!$H$8,B791="2012-2013",E791&gt;1000,G791="PLN03"),H791,"")</f>
        <v/>
      </c>
      <c r="AN791" s="42" t="str">
        <f>IF(AND(C791=Master!$H$8,B791="2012-2013",E791="",G791="PLN03"),H791,"")</f>
        <v/>
      </c>
      <c r="AO791" s="42" t="str">
        <f>IF(AND(C791=Master!$H$9,B791="2012-2013",E791&gt;1000,G791="PLN03"),H791,"")</f>
        <v/>
      </c>
      <c r="AP791" s="42" t="str">
        <f>IF(AND(C791=Master!$H$9,B791="2012-2013",E791="",G791="PLN03"),H791,"")</f>
        <v/>
      </c>
      <c r="AQ791" s="44" t="str">
        <f>IF(AND(C791=Master!$H$1,B791="2012-2013",E791&gt;1000,G791="NPN05"),H791,"")</f>
        <v/>
      </c>
      <c r="AR791" s="44" t="str">
        <f>IF(AND(C791=Master!$H$1,B791="2012-2013",E791="",G791="NPN05"),H791,"")</f>
        <v/>
      </c>
      <c r="AS791" s="44" t="str">
        <f>IF(AND(C791=Master!$H$2,B791="2012-2013",E791&gt;1000,G791="NPN05"),H791,"")</f>
        <v/>
      </c>
      <c r="AT791" s="44" t="str">
        <f>IF(AND(C791=Master!$H$2,B791="2012-2013",E791="",G791="NPN05"),H791,"")</f>
        <v/>
      </c>
      <c r="AU791" s="44" t="str">
        <f>IF(AND(C791=Master!$H$3,B791="2012-2013",E791&gt;1000,G791="NPN05"),H791,"")</f>
        <v/>
      </c>
      <c r="AV791" s="44" t="str">
        <f>IF(AND(C791=Master!$H$3,B791="2012-2013",E791="",G791="NPN05"),H791,"")</f>
        <v/>
      </c>
      <c r="AW791" s="44" t="str">
        <f>IF(AND(C791=Master!$H$4,B791="2012-2013",E791&gt;1000,G791="NPN05"),H791,"")</f>
        <v/>
      </c>
      <c r="AX791" s="44" t="str">
        <f>IF(AND(C791=Master!$H$4,B791="2012-2013",E791="",G791="NPN05"),H791,"")</f>
        <v/>
      </c>
      <c r="AY791" s="44" t="str">
        <f>IF(AND(C791=Master!$H$5,B791="2012-2013",E791&gt;1000,G791="NPN05"),H791,"")</f>
        <v/>
      </c>
      <c r="AZ791" s="44" t="str">
        <f>IF(AND(C791=Master!$H$5,B791="2012-2013",E791="",G791="NPN05"),H791,"")</f>
        <v/>
      </c>
      <c r="BA791" s="44" t="str">
        <f>IF(AND(C791=Master!$H$6,B791="2012-2013",E791&gt;1000,G791="NPN05"),H791,"")</f>
        <v/>
      </c>
      <c r="BB791" s="44" t="str">
        <f>IF(AND(C791=Master!$H$6,B791="2012-2013",E791="",G791="NPN05"),H791,"")</f>
        <v/>
      </c>
      <c r="BC791" s="44" t="str">
        <f>IF(AND(C791=Master!$H$7,B791="2012-2013",E791&gt;1000,G791="NPN05"),H791,"")</f>
        <v/>
      </c>
      <c r="BD791" s="44" t="str">
        <f>IF(AND(C791=Master!$H$7,B791="2012-2013",E791="",G791="NPN05"),H791,"")</f>
        <v/>
      </c>
      <c r="BE791" s="44" t="str">
        <f>IF(AND(C791=Master!$H$8,B791="2012-2013",E791&gt;1000,G791="NPN05"),H791,"")</f>
        <v/>
      </c>
      <c r="BF791" s="44" t="str">
        <f>IF(AND(C791=Master!$H$8,B791="2012-2013",E791="",G791="NPN05"),H791,"")</f>
        <v/>
      </c>
      <c r="BG791" s="44" t="str">
        <f>IF(AND(C791=Master!$H$9,B791="2012-2013",E791&gt;1000,G791="NPN05"),H791,"")</f>
        <v/>
      </c>
      <c r="BH791" s="44" t="str">
        <f>IF(AND(C791=Master!$H$9,B791="2012-2013",E791="",G791="NPN05"),H791,"")</f>
        <v/>
      </c>
    </row>
    <row r="792" spans="1:60" x14ac:dyDescent="0.25">
      <c r="A792" s="3">
        <v>790</v>
      </c>
      <c r="B792" s="12"/>
      <c r="C792" s="12"/>
      <c r="D792" s="31"/>
      <c r="E792" s="4"/>
      <c r="F792" s="13"/>
      <c r="G792" s="21"/>
      <c r="H792" s="35"/>
      <c r="I792" s="21"/>
      <c r="J792" s="25" t="str">
        <f>IF(NOT(I792=""),INDEX(Master!$B$1:$B$46,MATCH(I792,Master!$A$1:$A$46,0)),"")</f>
        <v/>
      </c>
      <c r="K792" s="18"/>
      <c r="L792" s="86"/>
      <c r="M792" s="13"/>
      <c r="N792" s="13"/>
      <c r="O792" s="18"/>
      <c r="P792" s="35"/>
      <c r="Q792" s="21"/>
      <c r="R792" s="21"/>
      <c r="S792" s="13"/>
      <c r="T792" s="12"/>
      <c r="U792" s="12"/>
      <c r="V792" s="12"/>
      <c r="W792" s="14"/>
      <c r="Y792" s="42" t="str">
        <f>IF(AND(C792=Master!$H$1,B792="2012-2013",E792&gt;1000,G792="PLN03"),H792,"")</f>
        <v/>
      </c>
      <c r="Z792" s="42" t="str">
        <f>IF(AND(C792=Master!$H$1,B792="2012-2013",E792="",G792="PLN03"),H792,"")</f>
        <v/>
      </c>
      <c r="AA792" s="42" t="str">
        <f>IF(AND(C792=Master!$H$2,B792="2012-2013",E792&gt;1000,G792="PLN03"),H792,"")</f>
        <v/>
      </c>
      <c r="AB792" s="42" t="str">
        <f>IF(AND(C792=Master!$H$2,B792="2012-2013",E792="",G792="PLN03"),H792,"")</f>
        <v/>
      </c>
      <c r="AC792" s="42" t="str">
        <f>IF(AND(C792=Master!$H$3,B792="2012-2013",E792&gt;1000,G792="PLN03"),H792,"")</f>
        <v/>
      </c>
      <c r="AD792" s="42" t="str">
        <f>IF(AND(C792=Master!$H$3,B792="2012-2013",E792="",G792="PLN03"),H792,"")</f>
        <v/>
      </c>
      <c r="AE792" s="42" t="str">
        <f>IF(AND(C792=Master!$H$4,B792="2012-2013",E792&gt;1000,G792="PLN03"),H792,"")</f>
        <v/>
      </c>
      <c r="AF792" s="42" t="str">
        <f>IF(AND(C792=Master!$H$4,B792="2012-2013",E792="",G792="PLN03"),H792,"")</f>
        <v/>
      </c>
      <c r="AG792" s="42" t="str">
        <f>IF(AND(C792=Master!$H$5,B792="2012-2013",E792&gt;1000,G792="PLN03"),H792,"")</f>
        <v/>
      </c>
      <c r="AH792" s="42" t="str">
        <f>IF(AND(C792=Master!$H$5,B792="2012-2013",E792="",G792="PLN03"),H792,"")</f>
        <v/>
      </c>
      <c r="AI792" s="42" t="str">
        <f>IF(AND(C792=Master!$H$6,B792="2012-2013",E792&gt;1000,G792="PLN03"),H792,"")</f>
        <v/>
      </c>
      <c r="AJ792" s="42" t="str">
        <f>IF(AND(C792=Master!$H$6,B792="2012-2013",E792="",G792="PLN03"),H792,"")</f>
        <v/>
      </c>
      <c r="AK792" s="42" t="str">
        <f>IF(AND(C792=Master!$H$7,B792="2012-2013",E792&gt;1000,G792="PLN03"),H792,"")</f>
        <v/>
      </c>
      <c r="AL792" s="42" t="str">
        <f>IF(AND(C792=Master!$H$7,B792="2012-2013",E792="",G792="PLN03"),H792,"")</f>
        <v/>
      </c>
      <c r="AM792" s="42" t="str">
        <f>IF(AND(C792=Master!$H$8,B792="2012-2013",E792&gt;1000,G792="PLN03"),H792,"")</f>
        <v/>
      </c>
      <c r="AN792" s="42" t="str">
        <f>IF(AND(C792=Master!$H$8,B792="2012-2013",E792="",G792="PLN03"),H792,"")</f>
        <v/>
      </c>
      <c r="AO792" s="42" t="str">
        <f>IF(AND(C792=Master!$H$9,B792="2012-2013",E792&gt;1000,G792="PLN03"),H792,"")</f>
        <v/>
      </c>
      <c r="AP792" s="42" t="str">
        <f>IF(AND(C792=Master!$H$9,B792="2012-2013",E792="",G792="PLN03"),H792,"")</f>
        <v/>
      </c>
      <c r="AQ792" s="44" t="str">
        <f>IF(AND(C792=Master!$H$1,B792="2012-2013",E792&gt;1000,G792="NPN05"),H792,"")</f>
        <v/>
      </c>
      <c r="AR792" s="44" t="str">
        <f>IF(AND(C792=Master!$H$1,B792="2012-2013",E792="",G792="NPN05"),H792,"")</f>
        <v/>
      </c>
      <c r="AS792" s="44" t="str">
        <f>IF(AND(C792=Master!$H$2,B792="2012-2013",E792&gt;1000,G792="NPN05"),H792,"")</f>
        <v/>
      </c>
      <c r="AT792" s="44" t="str">
        <f>IF(AND(C792=Master!$H$2,B792="2012-2013",E792="",G792="NPN05"),H792,"")</f>
        <v/>
      </c>
      <c r="AU792" s="44" t="str">
        <f>IF(AND(C792=Master!$H$3,B792="2012-2013",E792&gt;1000,G792="NPN05"),H792,"")</f>
        <v/>
      </c>
      <c r="AV792" s="44" t="str">
        <f>IF(AND(C792=Master!$H$3,B792="2012-2013",E792="",G792="NPN05"),H792,"")</f>
        <v/>
      </c>
      <c r="AW792" s="44" t="str">
        <f>IF(AND(C792=Master!$H$4,B792="2012-2013",E792&gt;1000,G792="NPN05"),H792,"")</f>
        <v/>
      </c>
      <c r="AX792" s="44" t="str">
        <f>IF(AND(C792=Master!$H$4,B792="2012-2013",E792="",G792="NPN05"),H792,"")</f>
        <v/>
      </c>
      <c r="AY792" s="44" t="str">
        <f>IF(AND(C792=Master!$H$5,B792="2012-2013",E792&gt;1000,G792="NPN05"),H792,"")</f>
        <v/>
      </c>
      <c r="AZ792" s="44" t="str">
        <f>IF(AND(C792=Master!$H$5,B792="2012-2013",E792="",G792="NPN05"),H792,"")</f>
        <v/>
      </c>
      <c r="BA792" s="44" t="str">
        <f>IF(AND(C792=Master!$H$6,B792="2012-2013",E792&gt;1000,G792="NPN05"),H792,"")</f>
        <v/>
      </c>
      <c r="BB792" s="44" t="str">
        <f>IF(AND(C792=Master!$H$6,B792="2012-2013",E792="",G792="NPN05"),H792,"")</f>
        <v/>
      </c>
      <c r="BC792" s="44" t="str">
        <f>IF(AND(C792=Master!$H$7,B792="2012-2013",E792&gt;1000,G792="NPN05"),H792,"")</f>
        <v/>
      </c>
      <c r="BD792" s="44" t="str">
        <f>IF(AND(C792=Master!$H$7,B792="2012-2013",E792="",G792="NPN05"),H792,"")</f>
        <v/>
      </c>
      <c r="BE792" s="44" t="str">
        <f>IF(AND(C792=Master!$H$8,B792="2012-2013",E792&gt;1000,G792="NPN05"),H792,"")</f>
        <v/>
      </c>
      <c r="BF792" s="44" t="str">
        <f>IF(AND(C792=Master!$H$8,B792="2012-2013",E792="",G792="NPN05"),H792,"")</f>
        <v/>
      </c>
      <c r="BG792" s="44" t="str">
        <f>IF(AND(C792=Master!$H$9,B792="2012-2013",E792&gt;1000,G792="NPN05"),H792,"")</f>
        <v/>
      </c>
      <c r="BH792" s="44" t="str">
        <f>IF(AND(C792=Master!$H$9,B792="2012-2013",E792="",G792="NPN05"),H792,"")</f>
        <v/>
      </c>
    </row>
    <row r="793" spans="1:60" x14ac:dyDescent="0.25">
      <c r="A793" s="3">
        <v>791</v>
      </c>
      <c r="B793" s="12"/>
      <c r="C793" s="12"/>
      <c r="D793" s="31"/>
      <c r="E793" s="4"/>
      <c r="F793" s="13"/>
      <c r="G793" s="21"/>
      <c r="H793" s="35"/>
      <c r="I793" s="21"/>
      <c r="J793" s="25" t="str">
        <f>IF(NOT(I793=""),INDEX(Master!$B$1:$B$46,MATCH(I793,Master!$A$1:$A$46,0)),"")</f>
        <v/>
      </c>
      <c r="K793" s="18"/>
      <c r="L793" s="86"/>
      <c r="M793" s="13"/>
      <c r="N793" s="13"/>
      <c r="O793" s="18"/>
      <c r="P793" s="35"/>
      <c r="Q793" s="21"/>
      <c r="R793" s="21"/>
      <c r="S793" s="13"/>
      <c r="T793" s="12"/>
      <c r="U793" s="12"/>
      <c r="V793" s="12"/>
      <c r="W793" s="14"/>
      <c r="Y793" s="42" t="str">
        <f>IF(AND(C793=Master!$H$1,B793="2012-2013",E793&gt;1000,G793="PLN03"),H793,"")</f>
        <v/>
      </c>
      <c r="Z793" s="42" t="str">
        <f>IF(AND(C793=Master!$H$1,B793="2012-2013",E793="",G793="PLN03"),H793,"")</f>
        <v/>
      </c>
      <c r="AA793" s="42" t="str">
        <f>IF(AND(C793=Master!$H$2,B793="2012-2013",E793&gt;1000,G793="PLN03"),H793,"")</f>
        <v/>
      </c>
      <c r="AB793" s="42" t="str">
        <f>IF(AND(C793=Master!$H$2,B793="2012-2013",E793="",G793="PLN03"),H793,"")</f>
        <v/>
      </c>
      <c r="AC793" s="42" t="str">
        <f>IF(AND(C793=Master!$H$3,B793="2012-2013",E793&gt;1000,G793="PLN03"),H793,"")</f>
        <v/>
      </c>
      <c r="AD793" s="42" t="str">
        <f>IF(AND(C793=Master!$H$3,B793="2012-2013",E793="",G793="PLN03"),H793,"")</f>
        <v/>
      </c>
      <c r="AE793" s="42" t="str">
        <f>IF(AND(C793=Master!$H$4,B793="2012-2013",E793&gt;1000,G793="PLN03"),H793,"")</f>
        <v/>
      </c>
      <c r="AF793" s="42" t="str">
        <f>IF(AND(C793=Master!$H$4,B793="2012-2013",E793="",G793="PLN03"),H793,"")</f>
        <v/>
      </c>
      <c r="AG793" s="42" t="str">
        <f>IF(AND(C793=Master!$H$5,B793="2012-2013",E793&gt;1000,G793="PLN03"),H793,"")</f>
        <v/>
      </c>
      <c r="AH793" s="42" t="str">
        <f>IF(AND(C793=Master!$H$5,B793="2012-2013",E793="",G793="PLN03"),H793,"")</f>
        <v/>
      </c>
      <c r="AI793" s="42" t="str">
        <f>IF(AND(C793=Master!$H$6,B793="2012-2013",E793&gt;1000,G793="PLN03"),H793,"")</f>
        <v/>
      </c>
      <c r="AJ793" s="42" t="str">
        <f>IF(AND(C793=Master!$H$6,B793="2012-2013",E793="",G793="PLN03"),H793,"")</f>
        <v/>
      </c>
      <c r="AK793" s="42" t="str">
        <f>IF(AND(C793=Master!$H$7,B793="2012-2013",E793&gt;1000,G793="PLN03"),H793,"")</f>
        <v/>
      </c>
      <c r="AL793" s="42" t="str">
        <f>IF(AND(C793=Master!$H$7,B793="2012-2013",E793="",G793="PLN03"),H793,"")</f>
        <v/>
      </c>
      <c r="AM793" s="42" t="str">
        <f>IF(AND(C793=Master!$H$8,B793="2012-2013",E793&gt;1000,G793="PLN03"),H793,"")</f>
        <v/>
      </c>
      <c r="AN793" s="42" t="str">
        <f>IF(AND(C793=Master!$H$8,B793="2012-2013",E793="",G793="PLN03"),H793,"")</f>
        <v/>
      </c>
      <c r="AO793" s="42" t="str">
        <f>IF(AND(C793=Master!$H$9,B793="2012-2013",E793&gt;1000,G793="PLN03"),H793,"")</f>
        <v/>
      </c>
      <c r="AP793" s="42" t="str">
        <f>IF(AND(C793=Master!$H$9,B793="2012-2013",E793="",G793="PLN03"),H793,"")</f>
        <v/>
      </c>
      <c r="AQ793" s="44" t="str">
        <f>IF(AND(C793=Master!$H$1,B793="2012-2013",E793&gt;1000,G793="NPN05"),H793,"")</f>
        <v/>
      </c>
      <c r="AR793" s="44" t="str">
        <f>IF(AND(C793=Master!$H$1,B793="2012-2013",E793="",G793="NPN05"),H793,"")</f>
        <v/>
      </c>
      <c r="AS793" s="44" t="str">
        <f>IF(AND(C793=Master!$H$2,B793="2012-2013",E793&gt;1000,G793="NPN05"),H793,"")</f>
        <v/>
      </c>
      <c r="AT793" s="44" t="str">
        <f>IF(AND(C793=Master!$H$2,B793="2012-2013",E793="",G793="NPN05"),H793,"")</f>
        <v/>
      </c>
      <c r="AU793" s="44" t="str">
        <f>IF(AND(C793=Master!$H$3,B793="2012-2013",E793&gt;1000,G793="NPN05"),H793,"")</f>
        <v/>
      </c>
      <c r="AV793" s="44" t="str">
        <f>IF(AND(C793=Master!$H$3,B793="2012-2013",E793="",G793="NPN05"),H793,"")</f>
        <v/>
      </c>
      <c r="AW793" s="44" t="str">
        <f>IF(AND(C793=Master!$H$4,B793="2012-2013",E793&gt;1000,G793="NPN05"),H793,"")</f>
        <v/>
      </c>
      <c r="AX793" s="44" t="str">
        <f>IF(AND(C793=Master!$H$4,B793="2012-2013",E793="",G793="NPN05"),H793,"")</f>
        <v/>
      </c>
      <c r="AY793" s="44" t="str">
        <f>IF(AND(C793=Master!$H$5,B793="2012-2013",E793&gt;1000,G793="NPN05"),H793,"")</f>
        <v/>
      </c>
      <c r="AZ793" s="44" t="str">
        <f>IF(AND(C793=Master!$H$5,B793="2012-2013",E793="",G793="NPN05"),H793,"")</f>
        <v/>
      </c>
      <c r="BA793" s="44" t="str">
        <f>IF(AND(C793=Master!$H$6,B793="2012-2013",E793&gt;1000,G793="NPN05"),H793,"")</f>
        <v/>
      </c>
      <c r="BB793" s="44" t="str">
        <f>IF(AND(C793=Master!$H$6,B793="2012-2013",E793="",G793="NPN05"),H793,"")</f>
        <v/>
      </c>
      <c r="BC793" s="44" t="str">
        <f>IF(AND(C793=Master!$H$7,B793="2012-2013",E793&gt;1000,G793="NPN05"),H793,"")</f>
        <v/>
      </c>
      <c r="BD793" s="44" t="str">
        <f>IF(AND(C793=Master!$H$7,B793="2012-2013",E793="",G793="NPN05"),H793,"")</f>
        <v/>
      </c>
      <c r="BE793" s="44" t="str">
        <f>IF(AND(C793=Master!$H$8,B793="2012-2013",E793&gt;1000,G793="NPN05"),H793,"")</f>
        <v/>
      </c>
      <c r="BF793" s="44" t="str">
        <f>IF(AND(C793=Master!$H$8,B793="2012-2013",E793="",G793="NPN05"),H793,"")</f>
        <v/>
      </c>
      <c r="BG793" s="44" t="str">
        <f>IF(AND(C793=Master!$H$9,B793="2012-2013",E793&gt;1000,G793="NPN05"),H793,"")</f>
        <v/>
      </c>
      <c r="BH793" s="44" t="str">
        <f>IF(AND(C793=Master!$H$9,B793="2012-2013",E793="",G793="NPN05"),H793,"")</f>
        <v/>
      </c>
    </row>
    <row r="794" spans="1:60" x14ac:dyDescent="0.25">
      <c r="A794" s="3">
        <v>792</v>
      </c>
      <c r="B794" s="12"/>
      <c r="C794" s="12"/>
      <c r="D794" s="31"/>
      <c r="E794" s="4"/>
      <c r="F794" s="13"/>
      <c r="G794" s="21"/>
      <c r="H794" s="35"/>
      <c r="I794" s="21"/>
      <c r="J794" s="25" t="str">
        <f>IF(NOT(I794=""),INDEX(Master!$B$1:$B$46,MATCH(I794,Master!$A$1:$A$46,0)),"")</f>
        <v/>
      </c>
      <c r="K794" s="18"/>
      <c r="L794" s="86"/>
      <c r="M794" s="13"/>
      <c r="N794" s="13"/>
      <c r="O794" s="18"/>
      <c r="P794" s="35"/>
      <c r="Q794" s="21"/>
      <c r="R794" s="21"/>
      <c r="S794" s="13"/>
      <c r="T794" s="12"/>
      <c r="U794" s="12"/>
      <c r="V794" s="12"/>
      <c r="W794" s="14"/>
      <c r="Y794" s="42" t="str">
        <f>IF(AND(C794=Master!$H$1,B794="2012-2013",E794&gt;1000,G794="PLN03"),H794,"")</f>
        <v/>
      </c>
      <c r="Z794" s="42" t="str">
        <f>IF(AND(C794=Master!$H$1,B794="2012-2013",E794="",G794="PLN03"),H794,"")</f>
        <v/>
      </c>
      <c r="AA794" s="42" t="str">
        <f>IF(AND(C794=Master!$H$2,B794="2012-2013",E794&gt;1000,G794="PLN03"),H794,"")</f>
        <v/>
      </c>
      <c r="AB794" s="42" t="str">
        <f>IF(AND(C794=Master!$H$2,B794="2012-2013",E794="",G794="PLN03"),H794,"")</f>
        <v/>
      </c>
      <c r="AC794" s="42" t="str">
        <f>IF(AND(C794=Master!$H$3,B794="2012-2013",E794&gt;1000,G794="PLN03"),H794,"")</f>
        <v/>
      </c>
      <c r="AD794" s="42" t="str">
        <f>IF(AND(C794=Master!$H$3,B794="2012-2013",E794="",G794="PLN03"),H794,"")</f>
        <v/>
      </c>
      <c r="AE794" s="42" t="str">
        <f>IF(AND(C794=Master!$H$4,B794="2012-2013",E794&gt;1000,G794="PLN03"),H794,"")</f>
        <v/>
      </c>
      <c r="AF794" s="42" t="str">
        <f>IF(AND(C794=Master!$H$4,B794="2012-2013",E794="",G794="PLN03"),H794,"")</f>
        <v/>
      </c>
      <c r="AG794" s="42" t="str">
        <f>IF(AND(C794=Master!$H$5,B794="2012-2013",E794&gt;1000,G794="PLN03"),H794,"")</f>
        <v/>
      </c>
      <c r="AH794" s="42" t="str">
        <f>IF(AND(C794=Master!$H$5,B794="2012-2013",E794="",G794="PLN03"),H794,"")</f>
        <v/>
      </c>
      <c r="AI794" s="42" t="str">
        <f>IF(AND(C794=Master!$H$6,B794="2012-2013",E794&gt;1000,G794="PLN03"),H794,"")</f>
        <v/>
      </c>
      <c r="AJ794" s="42" t="str">
        <f>IF(AND(C794=Master!$H$6,B794="2012-2013",E794="",G794="PLN03"),H794,"")</f>
        <v/>
      </c>
      <c r="AK794" s="42" t="str">
        <f>IF(AND(C794=Master!$H$7,B794="2012-2013",E794&gt;1000,G794="PLN03"),H794,"")</f>
        <v/>
      </c>
      <c r="AL794" s="42" t="str">
        <f>IF(AND(C794=Master!$H$7,B794="2012-2013",E794="",G794="PLN03"),H794,"")</f>
        <v/>
      </c>
      <c r="AM794" s="42" t="str">
        <f>IF(AND(C794=Master!$H$8,B794="2012-2013",E794&gt;1000,G794="PLN03"),H794,"")</f>
        <v/>
      </c>
      <c r="AN794" s="42" t="str">
        <f>IF(AND(C794=Master!$H$8,B794="2012-2013",E794="",G794="PLN03"),H794,"")</f>
        <v/>
      </c>
      <c r="AO794" s="42" t="str">
        <f>IF(AND(C794=Master!$H$9,B794="2012-2013",E794&gt;1000,G794="PLN03"),H794,"")</f>
        <v/>
      </c>
      <c r="AP794" s="42" t="str">
        <f>IF(AND(C794=Master!$H$9,B794="2012-2013",E794="",G794="PLN03"),H794,"")</f>
        <v/>
      </c>
      <c r="AQ794" s="44" t="str">
        <f>IF(AND(C794=Master!$H$1,B794="2012-2013",E794&gt;1000,G794="NPN05"),H794,"")</f>
        <v/>
      </c>
      <c r="AR794" s="44" t="str">
        <f>IF(AND(C794=Master!$H$1,B794="2012-2013",E794="",G794="NPN05"),H794,"")</f>
        <v/>
      </c>
      <c r="AS794" s="44" t="str">
        <f>IF(AND(C794=Master!$H$2,B794="2012-2013",E794&gt;1000,G794="NPN05"),H794,"")</f>
        <v/>
      </c>
      <c r="AT794" s="44" t="str">
        <f>IF(AND(C794=Master!$H$2,B794="2012-2013",E794="",G794="NPN05"),H794,"")</f>
        <v/>
      </c>
      <c r="AU794" s="44" t="str">
        <f>IF(AND(C794=Master!$H$3,B794="2012-2013",E794&gt;1000,G794="NPN05"),H794,"")</f>
        <v/>
      </c>
      <c r="AV794" s="44" t="str">
        <f>IF(AND(C794=Master!$H$3,B794="2012-2013",E794="",G794="NPN05"),H794,"")</f>
        <v/>
      </c>
      <c r="AW794" s="44" t="str">
        <f>IF(AND(C794=Master!$H$4,B794="2012-2013",E794&gt;1000,G794="NPN05"),H794,"")</f>
        <v/>
      </c>
      <c r="AX794" s="44" t="str">
        <f>IF(AND(C794=Master!$H$4,B794="2012-2013",E794="",G794="NPN05"),H794,"")</f>
        <v/>
      </c>
      <c r="AY794" s="44" t="str">
        <f>IF(AND(C794=Master!$H$5,B794="2012-2013",E794&gt;1000,G794="NPN05"),H794,"")</f>
        <v/>
      </c>
      <c r="AZ794" s="44" t="str">
        <f>IF(AND(C794=Master!$H$5,B794="2012-2013",E794="",G794="NPN05"),H794,"")</f>
        <v/>
      </c>
      <c r="BA794" s="44" t="str">
        <f>IF(AND(C794=Master!$H$6,B794="2012-2013",E794&gt;1000,G794="NPN05"),H794,"")</f>
        <v/>
      </c>
      <c r="BB794" s="44" t="str">
        <f>IF(AND(C794=Master!$H$6,B794="2012-2013",E794="",G794="NPN05"),H794,"")</f>
        <v/>
      </c>
      <c r="BC794" s="44" t="str">
        <f>IF(AND(C794=Master!$H$7,B794="2012-2013",E794&gt;1000,G794="NPN05"),H794,"")</f>
        <v/>
      </c>
      <c r="BD794" s="44" t="str">
        <f>IF(AND(C794=Master!$H$7,B794="2012-2013",E794="",G794="NPN05"),H794,"")</f>
        <v/>
      </c>
      <c r="BE794" s="44" t="str">
        <f>IF(AND(C794=Master!$H$8,B794="2012-2013",E794&gt;1000,G794="NPN05"),H794,"")</f>
        <v/>
      </c>
      <c r="BF794" s="44" t="str">
        <f>IF(AND(C794=Master!$H$8,B794="2012-2013",E794="",G794="NPN05"),H794,"")</f>
        <v/>
      </c>
      <c r="BG794" s="44" t="str">
        <f>IF(AND(C794=Master!$H$9,B794="2012-2013",E794&gt;1000,G794="NPN05"),H794,"")</f>
        <v/>
      </c>
      <c r="BH794" s="44" t="str">
        <f>IF(AND(C794=Master!$H$9,B794="2012-2013",E794="",G794="NPN05"),H794,"")</f>
        <v/>
      </c>
    </row>
    <row r="795" spans="1:60" x14ac:dyDescent="0.25">
      <c r="A795" s="3">
        <v>793</v>
      </c>
      <c r="B795" s="12"/>
      <c r="C795" s="12"/>
      <c r="D795" s="31"/>
      <c r="E795" s="4"/>
      <c r="F795" s="13"/>
      <c r="G795" s="21"/>
      <c r="H795" s="35"/>
      <c r="I795" s="21"/>
      <c r="J795" s="25" t="str">
        <f>IF(NOT(I795=""),INDEX(Master!$B$1:$B$46,MATCH(I795,Master!$A$1:$A$46,0)),"")</f>
        <v/>
      </c>
      <c r="K795" s="18"/>
      <c r="L795" s="86"/>
      <c r="M795" s="13"/>
      <c r="N795" s="13"/>
      <c r="O795" s="18"/>
      <c r="P795" s="35"/>
      <c r="Q795" s="21"/>
      <c r="R795" s="21"/>
      <c r="S795" s="13"/>
      <c r="T795" s="12"/>
      <c r="U795" s="12"/>
      <c r="V795" s="12"/>
      <c r="W795" s="14"/>
      <c r="Y795" s="42" t="str">
        <f>IF(AND(C795=Master!$H$1,B795="2012-2013",E795&gt;1000,G795="PLN03"),H795,"")</f>
        <v/>
      </c>
      <c r="Z795" s="42" t="str">
        <f>IF(AND(C795=Master!$H$1,B795="2012-2013",E795="",G795="PLN03"),H795,"")</f>
        <v/>
      </c>
      <c r="AA795" s="42" t="str">
        <f>IF(AND(C795=Master!$H$2,B795="2012-2013",E795&gt;1000,G795="PLN03"),H795,"")</f>
        <v/>
      </c>
      <c r="AB795" s="42" t="str">
        <f>IF(AND(C795=Master!$H$2,B795="2012-2013",E795="",G795="PLN03"),H795,"")</f>
        <v/>
      </c>
      <c r="AC795" s="42" t="str">
        <f>IF(AND(C795=Master!$H$3,B795="2012-2013",E795&gt;1000,G795="PLN03"),H795,"")</f>
        <v/>
      </c>
      <c r="AD795" s="42" t="str">
        <f>IF(AND(C795=Master!$H$3,B795="2012-2013",E795="",G795="PLN03"),H795,"")</f>
        <v/>
      </c>
      <c r="AE795" s="42" t="str">
        <f>IF(AND(C795=Master!$H$4,B795="2012-2013",E795&gt;1000,G795="PLN03"),H795,"")</f>
        <v/>
      </c>
      <c r="AF795" s="42" t="str">
        <f>IF(AND(C795=Master!$H$4,B795="2012-2013",E795="",G795="PLN03"),H795,"")</f>
        <v/>
      </c>
      <c r="AG795" s="42" t="str">
        <f>IF(AND(C795=Master!$H$5,B795="2012-2013",E795&gt;1000,G795="PLN03"),H795,"")</f>
        <v/>
      </c>
      <c r="AH795" s="42" t="str">
        <f>IF(AND(C795=Master!$H$5,B795="2012-2013",E795="",G795="PLN03"),H795,"")</f>
        <v/>
      </c>
      <c r="AI795" s="42" t="str">
        <f>IF(AND(C795=Master!$H$6,B795="2012-2013",E795&gt;1000,G795="PLN03"),H795,"")</f>
        <v/>
      </c>
      <c r="AJ795" s="42" t="str">
        <f>IF(AND(C795=Master!$H$6,B795="2012-2013",E795="",G795="PLN03"),H795,"")</f>
        <v/>
      </c>
      <c r="AK795" s="42" t="str">
        <f>IF(AND(C795=Master!$H$7,B795="2012-2013",E795&gt;1000,G795="PLN03"),H795,"")</f>
        <v/>
      </c>
      <c r="AL795" s="42" t="str">
        <f>IF(AND(C795=Master!$H$7,B795="2012-2013",E795="",G795="PLN03"),H795,"")</f>
        <v/>
      </c>
      <c r="AM795" s="42" t="str">
        <f>IF(AND(C795=Master!$H$8,B795="2012-2013",E795&gt;1000,G795="PLN03"),H795,"")</f>
        <v/>
      </c>
      <c r="AN795" s="42" t="str">
        <f>IF(AND(C795=Master!$H$8,B795="2012-2013",E795="",G795="PLN03"),H795,"")</f>
        <v/>
      </c>
      <c r="AO795" s="42" t="str">
        <f>IF(AND(C795=Master!$H$9,B795="2012-2013",E795&gt;1000,G795="PLN03"),H795,"")</f>
        <v/>
      </c>
      <c r="AP795" s="42" t="str">
        <f>IF(AND(C795=Master!$H$9,B795="2012-2013",E795="",G795="PLN03"),H795,"")</f>
        <v/>
      </c>
      <c r="AQ795" s="44" t="str">
        <f>IF(AND(C795=Master!$H$1,B795="2012-2013",E795&gt;1000,G795="NPN05"),H795,"")</f>
        <v/>
      </c>
      <c r="AR795" s="44" t="str">
        <f>IF(AND(C795=Master!$H$1,B795="2012-2013",E795="",G795="NPN05"),H795,"")</f>
        <v/>
      </c>
      <c r="AS795" s="44" t="str">
        <f>IF(AND(C795=Master!$H$2,B795="2012-2013",E795&gt;1000,G795="NPN05"),H795,"")</f>
        <v/>
      </c>
      <c r="AT795" s="44" t="str">
        <f>IF(AND(C795=Master!$H$2,B795="2012-2013",E795="",G795="NPN05"),H795,"")</f>
        <v/>
      </c>
      <c r="AU795" s="44" t="str">
        <f>IF(AND(C795=Master!$H$3,B795="2012-2013",E795&gt;1000,G795="NPN05"),H795,"")</f>
        <v/>
      </c>
      <c r="AV795" s="44" t="str">
        <f>IF(AND(C795=Master!$H$3,B795="2012-2013",E795="",G795="NPN05"),H795,"")</f>
        <v/>
      </c>
      <c r="AW795" s="44" t="str">
        <f>IF(AND(C795=Master!$H$4,B795="2012-2013",E795&gt;1000,G795="NPN05"),H795,"")</f>
        <v/>
      </c>
      <c r="AX795" s="44" t="str">
        <f>IF(AND(C795=Master!$H$4,B795="2012-2013",E795="",G795="NPN05"),H795,"")</f>
        <v/>
      </c>
      <c r="AY795" s="44" t="str">
        <f>IF(AND(C795=Master!$H$5,B795="2012-2013",E795&gt;1000,G795="NPN05"),H795,"")</f>
        <v/>
      </c>
      <c r="AZ795" s="44" t="str">
        <f>IF(AND(C795=Master!$H$5,B795="2012-2013",E795="",G795="NPN05"),H795,"")</f>
        <v/>
      </c>
      <c r="BA795" s="44" t="str">
        <f>IF(AND(C795=Master!$H$6,B795="2012-2013",E795&gt;1000,G795="NPN05"),H795,"")</f>
        <v/>
      </c>
      <c r="BB795" s="44" t="str">
        <f>IF(AND(C795=Master!$H$6,B795="2012-2013",E795="",G795="NPN05"),H795,"")</f>
        <v/>
      </c>
      <c r="BC795" s="44" t="str">
        <f>IF(AND(C795=Master!$H$7,B795="2012-2013",E795&gt;1000,G795="NPN05"),H795,"")</f>
        <v/>
      </c>
      <c r="BD795" s="44" t="str">
        <f>IF(AND(C795=Master!$H$7,B795="2012-2013",E795="",G795="NPN05"),H795,"")</f>
        <v/>
      </c>
      <c r="BE795" s="44" t="str">
        <f>IF(AND(C795=Master!$H$8,B795="2012-2013",E795&gt;1000,G795="NPN05"),H795,"")</f>
        <v/>
      </c>
      <c r="BF795" s="44" t="str">
        <f>IF(AND(C795=Master!$H$8,B795="2012-2013",E795="",G795="NPN05"),H795,"")</f>
        <v/>
      </c>
      <c r="BG795" s="44" t="str">
        <f>IF(AND(C795=Master!$H$9,B795="2012-2013",E795&gt;1000,G795="NPN05"),H795,"")</f>
        <v/>
      </c>
      <c r="BH795" s="44" t="str">
        <f>IF(AND(C795=Master!$H$9,B795="2012-2013",E795="",G795="NPN05"),H795,"")</f>
        <v/>
      </c>
    </row>
    <row r="796" spans="1:60" x14ac:dyDescent="0.25">
      <c r="A796" s="5">
        <v>794</v>
      </c>
      <c r="B796" s="12"/>
      <c r="C796" s="12"/>
      <c r="D796" s="31"/>
      <c r="E796" s="4"/>
      <c r="F796" s="13"/>
      <c r="G796" s="21"/>
      <c r="H796" s="35"/>
      <c r="I796" s="21"/>
      <c r="J796" s="25" t="str">
        <f>IF(NOT(I796=""),INDEX(Master!$B$1:$B$46,MATCH(I796,Master!$A$1:$A$46,0)),"")</f>
        <v/>
      </c>
      <c r="K796" s="18"/>
      <c r="L796" s="86"/>
      <c r="M796" s="13"/>
      <c r="N796" s="13"/>
      <c r="O796" s="18"/>
      <c r="P796" s="35"/>
      <c r="Q796" s="21"/>
      <c r="R796" s="21"/>
      <c r="S796" s="13"/>
      <c r="T796" s="12"/>
      <c r="U796" s="12"/>
      <c r="V796" s="12"/>
      <c r="W796" s="14"/>
      <c r="Y796" s="42" t="str">
        <f>IF(AND(C796=Master!$H$1,B796="2012-2013",E796&gt;1000,G796="PLN03"),H796,"")</f>
        <v/>
      </c>
      <c r="Z796" s="42" t="str">
        <f>IF(AND(C796=Master!$H$1,B796="2012-2013",E796="",G796="PLN03"),H796,"")</f>
        <v/>
      </c>
      <c r="AA796" s="42" t="str">
        <f>IF(AND(C796=Master!$H$2,B796="2012-2013",E796&gt;1000,G796="PLN03"),H796,"")</f>
        <v/>
      </c>
      <c r="AB796" s="42" t="str">
        <f>IF(AND(C796=Master!$H$2,B796="2012-2013",E796="",G796="PLN03"),H796,"")</f>
        <v/>
      </c>
      <c r="AC796" s="42" t="str">
        <f>IF(AND(C796=Master!$H$3,B796="2012-2013",E796&gt;1000,G796="PLN03"),H796,"")</f>
        <v/>
      </c>
      <c r="AD796" s="42" t="str">
        <f>IF(AND(C796=Master!$H$3,B796="2012-2013",E796="",G796="PLN03"),H796,"")</f>
        <v/>
      </c>
      <c r="AE796" s="42" t="str">
        <f>IF(AND(C796=Master!$H$4,B796="2012-2013",E796&gt;1000,G796="PLN03"),H796,"")</f>
        <v/>
      </c>
      <c r="AF796" s="42" t="str">
        <f>IF(AND(C796=Master!$H$4,B796="2012-2013",E796="",G796="PLN03"),H796,"")</f>
        <v/>
      </c>
      <c r="AG796" s="42" t="str">
        <f>IF(AND(C796=Master!$H$5,B796="2012-2013",E796&gt;1000,G796="PLN03"),H796,"")</f>
        <v/>
      </c>
      <c r="AH796" s="42" t="str">
        <f>IF(AND(C796=Master!$H$5,B796="2012-2013",E796="",G796="PLN03"),H796,"")</f>
        <v/>
      </c>
      <c r="AI796" s="42" t="str">
        <f>IF(AND(C796=Master!$H$6,B796="2012-2013",E796&gt;1000,G796="PLN03"),H796,"")</f>
        <v/>
      </c>
      <c r="AJ796" s="42" t="str">
        <f>IF(AND(C796=Master!$H$6,B796="2012-2013",E796="",G796="PLN03"),H796,"")</f>
        <v/>
      </c>
      <c r="AK796" s="42" t="str">
        <f>IF(AND(C796=Master!$H$7,B796="2012-2013",E796&gt;1000,G796="PLN03"),H796,"")</f>
        <v/>
      </c>
      <c r="AL796" s="42" t="str">
        <f>IF(AND(C796=Master!$H$7,B796="2012-2013",E796="",G796="PLN03"),H796,"")</f>
        <v/>
      </c>
      <c r="AM796" s="42" t="str">
        <f>IF(AND(C796=Master!$H$8,B796="2012-2013",E796&gt;1000,G796="PLN03"),H796,"")</f>
        <v/>
      </c>
      <c r="AN796" s="42" t="str">
        <f>IF(AND(C796=Master!$H$8,B796="2012-2013",E796="",G796="PLN03"),H796,"")</f>
        <v/>
      </c>
      <c r="AO796" s="42" t="str">
        <f>IF(AND(C796=Master!$H$9,B796="2012-2013",E796&gt;1000,G796="PLN03"),H796,"")</f>
        <v/>
      </c>
      <c r="AP796" s="42" t="str">
        <f>IF(AND(C796=Master!$H$9,B796="2012-2013",E796="",G796="PLN03"),H796,"")</f>
        <v/>
      </c>
      <c r="AQ796" s="44" t="str">
        <f>IF(AND(C796=Master!$H$1,B796="2012-2013",E796&gt;1000,G796="NPN05"),H796,"")</f>
        <v/>
      </c>
      <c r="AR796" s="44" t="str">
        <f>IF(AND(C796=Master!$H$1,B796="2012-2013",E796="",G796="NPN05"),H796,"")</f>
        <v/>
      </c>
      <c r="AS796" s="44" t="str">
        <f>IF(AND(C796=Master!$H$2,B796="2012-2013",E796&gt;1000,G796="NPN05"),H796,"")</f>
        <v/>
      </c>
      <c r="AT796" s="44" t="str">
        <f>IF(AND(C796=Master!$H$2,B796="2012-2013",E796="",G796="NPN05"),H796,"")</f>
        <v/>
      </c>
      <c r="AU796" s="44" t="str">
        <f>IF(AND(C796=Master!$H$3,B796="2012-2013",E796&gt;1000,G796="NPN05"),H796,"")</f>
        <v/>
      </c>
      <c r="AV796" s="44" t="str">
        <f>IF(AND(C796=Master!$H$3,B796="2012-2013",E796="",G796="NPN05"),H796,"")</f>
        <v/>
      </c>
      <c r="AW796" s="44" t="str">
        <f>IF(AND(C796=Master!$H$4,B796="2012-2013",E796&gt;1000,G796="NPN05"),H796,"")</f>
        <v/>
      </c>
      <c r="AX796" s="44" t="str">
        <f>IF(AND(C796=Master!$H$4,B796="2012-2013",E796="",G796="NPN05"),H796,"")</f>
        <v/>
      </c>
      <c r="AY796" s="44" t="str">
        <f>IF(AND(C796=Master!$H$5,B796="2012-2013",E796&gt;1000,G796="NPN05"),H796,"")</f>
        <v/>
      </c>
      <c r="AZ796" s="44" t="str">
        <f>IF(AND(C796=Master!$H$5,B796="2012-2013",E796="",G796="NPN05"),H796,"")</f>
        <v/>
      </c>
      <c r="BA796" s="44" t="str">
        <f>IF(AND(C796=Master!$H$6,B796="2012-2013",E796&gt;1000,G796="NPN05"),H796,"")</f>
        <v/>
      </c>
      <c r="BB796" s="44" t="str">
        <f>IF(AND(C796=Master!$H$6,B796="2012-2013",E796="",G796="NPN05"),H796,"")</f>
        <v/>
      </c>
      <c r="BC796" s="44" t="str">
        <f>IF(AND(C796=Master!$H$7,B796="2012-2013",E796&gt;1000,G796="NPN05"),H796,"")</f>
        <v/>
      </c>
      <c r="BD796" s="44" t="str">
        <f>IF(AND(C796=Master!$H$7,B796="2012-2013",E796="",G796="NPN05"),H796,"")</f>
        <v/>
      </c>
      <c r="BE796" s="44" t="str">
        <f>IF(AND(C796=Master!$H$8,B796="2012-2013",E796&gt;1000,G796="NPN05"),H796,"")</f>
        <v/>
      </c>
      <c r="BF796" s="44" t="str">
        <f>IF(AND(C796=Master!$H$8,B796="2012-2013",E796="",G796="NPN05"),H796,"")</f>
        <v/>
      </c>
      <c r="BG796" s="44" t="str">
        <f>IF(AND(C796=Master!$H$9,B796="2012-2013",E796&gt;1000,G796="NPN05"),H796,"")</f>
        <v/>
      </c>
      <c r="BH796" s="44" t="str">
        <f>IF(AND(C796=Master!$H$9,B796="2012-2013",E796="",G796="NPN05"),H796,"")</f>
        <v/>
      </c>
    </row>
    <row r="797" spans="1:60" x14ac:dyDescent="0.25">
      <c r="A797" s="3">
        <v>795</v>
      </c>
      <c r="B797" s="12"/>
      <c r="C797" s="12"/>
      <c r="D797" s="31"/>
      <c r="E797" s="4"/>
      <c r="F797" s="13"/>
      <c r="G797" s="21"/>
      <c r="H797" s="35"/>
      <c r="I797" s="21"/>
      <c r="J797" s="25" t="str">
        <f>IF(NOT(I797=""),INDEX(Master!$B$1:$B$46,MATCH(I797,Master!$A$1:$A$46,0)),"")</f>
        <v/>
      </c>
      <c r="K797" s="18"/>
      <c r="L797" s="86"/>
      <c r="M797" s="13"/>
      <c r="N797" s="13"/>
      <c r="O797" s="18"/>
      <c r="P797" s="35"/>
      <c r="Q797" s="21"/>
      <c r="R797" s="21"/>
      <c r="S797" s="13"/>
      <c r="T797" s="12"/>
      <c r="U797" s="12"/>
      <c r="V797" s="12"/>
      <c r="W797" s="14"/>
      <c r="Y797" s="42" t="str">
        <f>IF(AND(C797=Master!$H$1,B797="2012-2013",E797&gt;1000,G797="PLN03"),H797,"")</f>
        <v/>
      </c>
      <c r="Z797" s="42" t="str">
        <f>IF(AND(C797=Master!$H$1,B797="2012-2013",E797="",G797="PLN03"),H797,"")</f>
        <v/>
      </c>
      <c r="AA797" s="42" t="str">
        <f>IF(AND(C797=Master!$H$2,B797="2012-2013",E797&gt;1000,G797="PLN03"),H797,"")</f>
        <v/>
      </c>
      <c r="AB797" s="42" t="str">
        <f>IF(AND(C797=Master!$H$2,B797="2012-2013",E797="",G797="PLN03"),H797,"")</f>
        <v/>
      </c>
      <c r="AC797" s="42" t="str">
        <f>IF(AND(C797=Master!$H$3,B797="2012-2013",E797&gt;1000,G797="PLN03"),H797,"")</f>
        <v/>
      </c>
      <c r="AD797" s="42" t="str">
        <f>IF(AND(C797=Master!$H$3,B797="2012-2013",E797="",G797="PLN03"),H797,"")</f>
        <v/>
      </c>
      <c r="AE797" s="42" t="str">
        <f>IF(AND(C797=Master!$H$4,B797="2012-2013",E797&gt;1000,G797="PLN03"),H797,"")</f>
        <v/>
      </c>
      <c r="AF797" s="42" t="str">
        <f>IF(AND(C797=Master!$H$4,B797="2012-2013",E797="",G797="PLN03"),H797,"")</f>
        <v/>
      </c>
      <c r="AG797" s="42" t="str">
        <f>IF(AND(C797=Master!$H$5,B797="2012-2013",E797&gt;1000,G797="PLN03"),H797,"")</f>
        <v/>
      </c>
      <c r="AH797" s="42" t="str">
        <f>IF(AND(C797=Master!$H$5,B797="2012-2013",E797="",G797="PLN03"),H797,"")</f>
        <v/>
      </c>
      <c r="AI797" s="42" t="str">
        <f>IF(AND(C797=Master!$H$6,B797="2012-2013",E797&gt;1000,G797="PLN03"),H797,"")</f>
        <v/>
      </c>
      <c r="AJ797" s="42" t="str">
        <f>IF(AND(C797=Master!$H$6,B797="2012-2013",E797="",G797="PLN03"),H797,"")</f>
        <v/>
      </c>
      <c r="AK797" s="42" t="str">
        <f>IF(AND(C797=Master!$H$7,B797="2012-2013",E797&gt;1000,G797="PLN03"),H797,"")</f>
        <v/>
      </c>
      <c r="AL797" s="42" t="str">
        <f>IF(AND(C797=Master!$H$7,B797="2012-2013",E797="",G797="PLN03"),H797,"")</f>
        <v/>
      </c>
      <c r="AM797" s="42" t="str">
        <f>IF(AND(C797=Master!$H$8,B797="2012-2013",E797&gt;1000,G797="PLN03"),H797,"")</f>
        <v/>
      </c>
      <c r="AN797" s="42" t="str">
        <f>IF(AND(C797=Master!$H$8,B797="2012-2013",E797="",G797="PLN03"),H797,"")</f>
        <v/>
      </c>
      <c r="AO797" s="42" t="str">
        <f>IF(AND(C797=Master!$H$9,B797="2012-2013",E797&gt;1000,G797="PLN03"),H797,"")</f>
        <v/>
      </c>
      <c r="AP797" s="42" t="str">
        <f>IF(AND(C797=Master!$H$9,B797="2012-2013",E797="",G797="PLN03"),H797,"")</f>
        <v/>
      </c>
      <c r="AQ797" s="44" t="str">
        <f>IF(AND(C797=Master!$H$1,B797="2012-2013",E797&gt;1000,G797="NPN05"),H797,"")</f>
        <v/>
      </c>
      <c r="AR797" s="44" t="str">
        <f>IF(AND(C797=Master!$H$1,B797="2012-2013",E797="",G797="NPN05"),H797,"")</f>
        <v/>
      </c>
      <c r="AS797" s="44" t="str">
        <f>IF(AND(C797=Master!$H$2,B797="2012-2013",E797&gt;1000,G797="NPN05"),H797,"")</f>
        <v/>
      </c>
      <c r="AT797" s="44" t="str">
        <f>IF(AND(C797=Master!$H$2,B797="2012-2013",E797="",G797="NPN05"),H797,"")</f>
        <v/>
      </c>
      <c r="AU797" s="44" t="str">
        <f>IF(AND(C797=Master!$H$3,B797="2012-2013",E797&gt;1000,G797="NPN05"),H797,"")</f>
        <v/>
      </c>
      <c r="AV797" s="44" t="str">
        <f>IF(AND(C797=Master!$H$3,B797="2012-2013",E797="",G797="NPN05"),H797,"")</f>
        <v/>
      </c>
      <c r="AW797" s="44" t="str">
        <f>IF(AND(C797=Master!$H$4,B797="2012-2013",E797&gt;1000,G797="NPN05"),H797,"")</f>
        <v/>
      </c>
      <c r="AX797" s="44" t="str">
        <f>IF(AND(C797=Master!$H$4,B797="2012-2013",E797="",G797="NPN05"),H797,"")</f>
        <v/>
      </c>
      <c r="AY797" s="44" t="str">
        <f>IF(AND(C797=Master!$H$5,B797="2012-2013",E797&gt;1000,G797="NPN05"),H797,"")</f>
        <v/>
      </c>
      <c r="AZ797" s="44" t="str">
        <f>IF(AND(C797=Master!$H$5,B797="2012-2013",E797="",G797="NPN05"),H797,"")</f>
        <v/>
      </c>
      <c r="BA797" s="44" t="str">
        <f>IF(AND(C797=Master!$H$6,B797="2012-2013",E797&gt;1000,G797="NPN05"),H797,"")</f>
        <v/>
      </c>
      <c r="BB797" s="44" t="str">
        <f>IF(AND(C797=Master!$H$6,B797="2012-2013",E797="",G797="NPN05"),H797,"")</f>
        <v/>
      </c>
      <c r="BC797" s="44" t="str">
        <f>IF(AND(C797=Master!$H$7,B797="2012-2013",E797&gt;1000,G797="NPN05"),H797,"")</f>
        <v/>
      </c>
      <c r="BD797" s="44" t="str">
        <f>IF(AND(C797=Master!$H$7,B797="2012-2013",E797="",G797="NPN05"),H797,"")</f>
        <v/>
      </c>
      <c r="BE797" s="44" t="str">
        <f>IF(AND(C797=Master!$H$8,B797="2012-2013",E797&gt;1000,G797="NPN05"),H797,"")</f>
        <v/>
      </c>
      <c r="BF797" s="44" t="str">
        <f>IF(AND(C797=Master!$H$8,B797="2012-2013",E797="",G797="NPN05"),H797,"")</f>
        <v/>
      </c>
      <c r="BG797" s="44" t="str">
        <f>IF(AND(C797=Master!$H$9,B797="2012-2013",E797&gt;1000,G797="NPN05"),H797,"")</f>
        <v/>
      </c>
      <c r="BH797" s="44" t="str">
        <f>IF(AND(C797=Master!$H$9,B797="2012-2013",E797="",G797="NPN05"),H797,"")</f>
        <v/>
      </c>
    </row>
    <row r="798" spans="1:60" x14ac:dyDescent="0.25">
      <c r="A798" s="3">
        <v>796</v>
      </c>
      <c r="B798" s="12"/>
      <c r="C798" s="12"/>
      <c r="D798" s="31"/>
      <c r="E798" s="4"/>
      <c r="F798" s="13"/>
      <c r="G798" s="21"/>
      <c r="H798" s="35"/>
      <c r="I798" s="21"/>
      <c r="J798" s="25" t="str">
        <f>IF(NOT(I798=""),INDEX(Master!$B$1:$B$46,MATCH(I798,Master!$A$1:$A$46,0)),"")</f>
        <v/>
      </c>
      <c r="K798" s="18"/>
      <c r="L798" s="86"/>
      <c r="M798" s="13"/>
      <c r="N798" s="13"/>
      <c r="O798" s="18"/>
      <c r="P798" s="35"/>
      <c r="Q798" s="21"/>
      <c r="R798" s="21"/>
      <c r="S798" s="13"/>
      <c r="T798" s="12"/>
      <c r="U798" s="12"/>
      <c r="V798" s="12"/>
      <c r="W798" s="14"/>
      <c r="Y798" s="42" t="str">
        <f>IF(AND(C798=Master!$H$1,B798="2012-2013",E798&gt;1000,G798="PLN03"),H798,"")</f>
        <v/>
      </c>
      <c r="Z798" s="42" t="str">
        <f>IF(AND(C798=Master!$H$1,B798="2012-2013",E798="",G798="PLN03"),H798,"")</f>
        <v/>
      </c>
      <c r="AA798" s="42" t="str">
        <f>IF(AND(C798=Master!$H$2,B798="2012-2013",E798&gt;1000,G798="PLN03"),H798,"")</f>
        <v/>
      </c>
      <c r="AB798" s="42" t="str">
        <f>IF(AND(C798=Master!$H$2,B798="2012-2013",E798="",G798="PLN03"),H798,"")</f>
        <v/>
      </c>
      <c r="AC798" s="42" t="str">
        <f>IF(AND(C798=Master!$H$3,B798="2012-2013",E798&gt;1000,G798="PLN03"),H798,"")</f>
        <v/>
      </c>
      <c r="AD798" s="42" t="str">
        <f>IF(AND(C798=Master!$H$3,B798="2012-2013",E798="",G798="PLN03"),H798,"")</f>
        <v/>
      </c>
      <c r="AE798" s="42" t="str">
        <f>IF(AND(C798=Master!$H$4,B798="2012-2013",E798&gt;1000,G798="PLN03"),H798,"")</f>
        <v/>
      </c>
      <c r="AF798" s="42" t="str">
        <f>IF(AND(C798=Master!$H$4,B798="2012-2013",E798="",G798="PLN03"),H798,"")</f>
        <v/>
      </c>
      <c r="AG798" s="42" t="str">
        <f>IF(AND(C798=Master!$H$5,B798="2012-2013",E798&gt;1000,G798="PLN03"),H798,"")</f>
        <v/>
      </c>
      <c r="AH798" s="42" t="str">
        <f>IF(AND(C798=Master!$H$5,B798="2012-2013",E798="",G798="PLN03"),H798,"")</f>
        <v/>
      </c>
      <c r="AI798" s="42" t="str">
        <f>IF(AND(C798=Master!$H$6,B798="2012-2013",E798&gt;1000,G798="PLN03"),H798,"")</f>
        <v/>
      </c>
      <c r="AJ798" s="42" t="str">
        <f>IF(AND(C798=Master!$H$6,B798="2012-2013",E798="",G798="PLN03"),H798,"")</f>
        <v/>
      </c>
      <c r="AK798" s="42" t="str">
        <f>IF(AND(C798=Master!$H$7,B798="2012-2013",E798&gt;1000,G798="PLN03"),H798,"")</f>
        <v/>
      </c>
      <c r="AL798" s="42" t="str">
        <f>IF(AND(C798=Master!$H$7,B798="2012-2013",E798="",G798="PLN03"),H798,"")</f>
        <v/>
      </c>
      <c r="AM798" s="42" t="str">
        <f>IF(AND(C798=Master!$H$8,B798="2012-2013",E798&gt;1000,G798="PLN03"),H798,"")</f>
        <v/>
      </c>
      <c r="AN798" s="42" t="str">
        <f>IF(AND(C798=Master!$H$8,B798="2012-2013",E798="",G798="PLN03"),H798,"")</f>
        <v/>
      </c>
      <c r="AO798" s="42" t="str">
        <f>IF(AND(C798=Master!$H$9,B798="2012-2013",E798&gt;1000,G798="PLN03"),H798,"")</f>
        <v/>
      </c>
      <c r="AP798" s="42" t="str">
        <f>IF(AND(C798=Master!$H$9,B798="2012-2013",E798="",G798="PLN03"),H798,"")</f>
        <v/>
      </c>
      <c r="AQ798" s="44" t="str">
        <f>IF(AND(C798=Master!$H$1,B798="2012-2013",E798&gt;1000,G798="NPN05"),H798,"")</f>
        <v/>
      </c>
      <c r="AR798" s="44" t="str">
        <f>IF(AND(C798=Master!$H$1,B798="2012-2013",E798="",G798="NPN05"),H798,"")</f>
        <v/>
      </c>
      <c r="AS798" s="44" t="str">
        <f>IF(AND(C798=Master!$H$2,B798="2012-2013",E798&gt;1000,G798="NPN05"),H798,"")</f>
        <v/>
      </c>
      <c r="AT798" s="44" t="str">
        <f>IF(AND(C798=Master!$H$2,B798="2012-2013",E798="",G798="NPN05"),H798,"")</f>
        <v/>
      </c>
      <c r="AU798" s="44" t="str">
        <f>IF(AND(C798=Master!$H$3,B798="2012-2013",E798&gt;1000,G798="NPN05"),H798,"")</f>
        <v/>
      </c>
      <c r="AV798" s="44" t="str">
        <f>IF(AND(C798=Master!$H$3,B798="2012-2013",E798="",G798="NPN05"),H798,"")</f>
        <v/>
      </c>
      <c r="AW798" s="44" t="str">
        <f>IF(AND(C798=Master!$H$4,B798="2012-2013",E798&gt;1000,G798="NPN05"),H798,"")</f>
        <v/>
      </c>
      <c r="AX798" s="44" t="str">
        <f>IF(AND(C798=Master!$H$4,B798="2012-2013",E798="",G798="NPN05"),H798,"")</f>
        <v/>
      </c>
      <c r="AY798" s="44" t="str">
        <f>IF(AND(C798=Master!$H$5,B798="2012-2013",E798&gt;1000,G798="NPN05"),H798,"")</f>
        <v/>
      </c>
      <c r="AZ798" s="44" t="str">
        <f>IF(AND(C798=Master!$H$5,B798="2012-2013",E798="",G798="NPN05"),H798,"")</f>
        <v/>
      </c>
      <c r="BA798" s="44" t="str">
        <f>IF(AND(C798=Master!$H$6,B798="2012-2013",E798&gt;1000,G798="NPN05"),H798,"")</f>
        <v/>
      </c>
      <c r="BB798" s="44" t="str">
        <f>IF(AND(C798=Master!$H$6,B798="2012-2013",E798="",G798="NPN05"),H798,"")</f>
        <v/>
      </c>
      <c r="BC798" s="44" t="str">
        <f>IF(AND(C798=Master!$H$7,B798="2012-2013",E798&gt;1000,G798="NPN05"),H798,"")</f>
        <v/>
      </c>
      <c r="BD798" s="44" t="str">
        <f>IF(AND(C798=Master!$H$7,B798="2012-2013",E798="",G798="NPN05"),H798,"")</f>
        <v/>
      </c>
      <c r="BE798" s="44" t="str">
        <f>IF(AND(C798=Master!$H$8,B798="2012-2013",E798&gt;1000,G798="NPN05"),H798,"")</f>
        <v/>
      </c>
      <c r="BF798" s="44" t="str">
        <f>IF(AND(C798=Master!$H$8,B798="2012-2013",E798="",G798="NPN05"),H798,"")</f>
        <v/>
      </c>
      <c r="BG798" s="44" t="str">
        <f>IF(AND(C798=Master!$H$9,B798="2012-2013",E798&gt;1000,G798="NPN05"),H798,"")</f>
        <v/>
      </c>
      <c r="BH798" s="44" t="str">
        <f>IF(AND(C798=Master!$H$9,B798="2012-2013",E798="",G798="NPN05"),H798,"")</f>
        <v/>
      </c>
    </row>
    <row r="799" spans="1:60" x14ac:dyDescent="0.25">
      <c r="A799" s="3">
        <v>797</v>
      </c>
      <c r="B799" s="12"/>
      <c r="C799" s="12"/>
      <c r="D799" s="31"/>
      <c r="E799" s="4"/>
      <c r="F799" s="13"/>
      <c r="G799" s="21"/>
      <c r="H799" s="35"/>
      <c r="I799" s="21"/>
      <c r="J799" s="25" t="str">
        <f>IF(NOT(I799=""),INDEX(Master!$B$1:$B$46,MATCH(I799,Master!$A$1:$A$46,0)),"")</f>
        <v/>
      </c>
      <c r="K799" s="18"/>
      <c r="L799" s="86"/>
      <c r="M799" s="13"/>
      <c r="N799" s="13"/>
      <c r="O799" s="18"/>
      <c r="P799" s="35"/>
      <c r="Q799" s="21"/>
      <c r="R799" s="21"/>
      <c r="S799" s="13"/>
      <c r="T799" s="12"/>
      <c r="U799" s="12"/>
      <c r="V799" s="12"/>
      <c r="W799" s="14"/>
      <c r="Y799" s="42" t="str">
        <f>IF(AND(C799=Master!$H$1,B799="2012-2013",E799&gt;1000,G799="PLN03"),H799,"")</f>
        <v/>
      </c>
      <c r="Z799" s="42" t="str">
        <f>IF(AND(C799=Master!$H$1,B799="2012-2013",E799="",G799="PLN03"),H799,"")</f>
        <v/>
      </c>
      <c r="AA799" s="42" t="str">
        <f>IF(AND(C799=Master!$H$2,B799="2012-2013",E799&gt;1000,G799="PLN03"),H799,"")</f>
        <v/>
      </c>
      <c r="AB799" s="42" t="str">
        <f>IF(AND(C799=Master!$H$2,B799="2012-2013",E799="",G799="PLN03"),H799,"")</f>
        <v/>
      </c>
      <c r="AC799" s="42" t="str">
        <f>IF(AND(C799=Master!$H$3,B799="2012-2013",E799&gt;1000,G799="PLN03"),H799,"")</f>
        <v/>
      </c>
      <c r="AD799" s="42" t="str">
        <f>IF(AND(C799=Master!$H$3,B799="2012-2013",E799="",G799="PLN03"),H799,"")</f>
        <v/>
      </c>
      <c r="AE799" s="42" t="str">
        <f>IF(AND(C799=Master!$H$4,B799="2012-2013",E799&gt;1000,G799="PLN03"),H799,"")</f>
        <v/>
      </c>
      <c r="AF799" s="42" t="str">
        <f>IF(AND(C799=Master!$H$4,B799="2012-2013",E799="",G799="PLN03"),H799,"")</f>
        <v/>
      </c>
      <c r="AG799" s="42" t="str">
        <f>IF(AND(C799=Master!$H$5,B799="2012-2013",E799&gt;1000,G799="PLN03"),H799,"")</f>
        <v/>
      </c>
      <c r="AH799" s="42" t="str">
        <f>IF(AND(C799=Master!$H$5,B799="2012-2013",E799="",G799="PLN03"),H799,"")</f>
        <v/>
      </c>
      <c r="AI799" s="42" t="str">
        <f>IF(AND(C799=Master!$H$6,B799="2012-2013",E799&gt;1000,G799="PLN03"),H799,"")</f>
        <v/>
      </c>
      <c r="AJ799" s="42" t="str">
        <f>IF(AND(C799=Master!$H$6,B799="2012-2013",E799="",G799="PLN03"),H799,"")</f>
        <v/>
      </c>
      <c r="AK799" s="42" t="str">
        <f>IF(AND(C799=Master!$H$7,B799="2012-2013",E799&gt;1000,G799="PLN03"),H799,"")</f>
        <v/>
      </c>
      <c r="AL799" s="42" t="str">
        <f>IF(AND(C799=Master!$H$7,B799="2012-2013",E799="",G799="PLN03"),H799,"")</f>
        <v/>
      </c>
      <c r="AM799" s="42" t="str">
        <f>IF(AND(C799=Master!$H$8,B799="2012-2013",E799&gt;1000,G799="PLN03"),H799,"")</f>
        <v/>
      </c>
      <c r="AN799" s="42" t="str">
        <f>IF(AND(C799=Master!$H$8,B799="2012-2013",E799="",G799="PLN03"),H799,"")</f>
        <v/>
      </c>
      <c r="AO799" s="42" t="str">
        <f>IF(AND(C799=Master!$H$9,B799="2012-2013",E799&gt;1000,G799="PLN03"),H799,"")</f>
        <v/>
      </c>
      <c r="AP799" s="42" t="str">
        <f>IF(AND(C799=Master!$H$9,B799="2012-2013",E799="",G799="PLN03"),H799,"")</f>
        <v/>
      </c>
      <c r="AQ799" s="44" t="str">
        <f>IF(AND(C799=Master!$H$1,B799="2012-2013",E799&gt;1000,G799="NPN05"),H799,"")</f>
        <v/>
      </c>
      <c r="AR799" s="44" t="str">
        <f>IF(AND(C799=Master!$H$1,B799="2012-2013",E799="",G799="NPN05"),H799,"")</f>
        <v/>
      </c>
      <c r="AS799" s="44" t="str">
        <f>IF(AND(C799=Master!$H$2,B799="2012-2013",E799&gt;1000,G799="NPN05"),H799,"")</f>
        <v/>
      </c>
      <c r="AT799" s="44" t="str">
        <f>IF(AND(C799=Master!$H$2,B799="2012-2013",E799="",G799="NPN05"),H799,"")</f>
        <v/>
      </c>
      <c r="AU799" s="44" t="str">
        <f>IF(AND(C799=Master!$H$3,B799="2012-2013",E799&gt;1000,G799="NPN05"),H799,"")</f>
        <v/>
      </c>
      <c r="AV799" s="44" t="str">
        <f>IF(AND(C799=Master!$H$3,B799="2012-2013",E799="",G799="NPN05"),H799,"")</f>
        <v/>
      </c>
      <c r="AW799" s="44" t="str">
        <f>IF(AND(C799=Master!$H$4,B799="2012-2013",E799&gt;1000,G799="NPN05"),H799,"")</f>
        <v/>
      </c>
      <c r="AX799" s="44" t="str">
        <f>IF(AND(C799=Master!$H$4,B799="2012-2013",E799="",G799="NPN05"),H799,"")</f>
        <v/>
      </c>
      <c r="AY799" s="44" t="str">
        <f>IF(AND(C799=Master!$H$5,B799="2012-2013",E799&gt;1000,G799="NPN05"),H799,"")</f>
        <v/>
      </c>
      <c r="AZ799" s="44" t="str">
        <f>IF(AND(C799=Master!$H$5,B799="2012-2013",E799="",G799="NPN05"),H799,"")</f>
        <v/>
      </c>
      <c r="BA799" s="44" t="str">
        <f>IF(AND(C799=Master!$H$6,B799="2012-2013",E799&gt;1000,G799="NPN05"),H799,"")</f>
        <v/>
      </c>
      <c r="BB799" s="44" t="str">
        <f>IF(AND(C799=Master!$H$6,B799="2012-2013",E799="",G799="NPN05"),H799,"")</f>
        <v/>
      </c>
      <c r="BC799" s="44" t="str">
        <f>IF(AND(C799=Master!$H$7,B799="2012-2013",E799&gt;1000,G799="NPN05"),H799,"")</f>
        <v/>
      </c>
      <c r="BD799" s="44" t="str">
        <f>IF(AND(C799=Master!$H$7,B799="2012-2013",E799="",G799="NPN05"),H799,"")</f>
        <v/>
      </c>
      <c r="BE799" s="44" t="str">
        <f>IF(AND(C799=Master!$H$8,B799="2012-2013",E799&gt;1000,G799="NPN05"),H799,"")</f>
        <v/>
      </c>
      <c r="BF799" s="44" t="str">
        <f>IF(AND(C799=Master!$H$8,B799="2012-2013",E799="",G799="NPN05"),H799,"")</f>
        <v/>
      </c>
      <c r="BG799" s="44" t="str">
        <f>IF(AND(C799=Master!$H$9,B799="2012-2013",E799&gt;1000,G799="NPN05"),H799,"")</f>
        <v/>
      </c>
      <c r="BH799" s="44" t="str">
        <f>IF(AND(C799=Master!$H$9,B799="2012-2013",E799="",G799="NPN05"),H799,"")</f>
        <v/>
      </c>
    </row>
    <row r="800" spans="1:60" x14ac:dyDescent="0.25">
      <c r="A800" s="3">
        <v>798</v>
      </c>
      <c r="B800" s="12"/>
      <c r="C800" s="12"/>
      <c r="D800" s="31"/>
      <c r="E800" s="4"/>
      <c r="F800" s="13"/>
      <c r="G800" s="21"/>
      <c r="H800" s="35"/>
      <c r="I800" s="21"/>
      <c r="J800" s="25" t="str">
        <f>IF(NOT(I800=""),INDEX(Master!$B$1:$B$46,MATCH(I800,Master!$A$1:$A$46,0)),"")</f>
        <v/>
      </c>
      <c r="K800" s="18"/>
      <c r="L800" s="86"/>
      <c r="M800" s="13"/>
      <c r="N800" s="13"/>
      <c r="O800" s="18"/>
      <c r="P800" s="35"/>
      <c r="Q800" s="21"/>
      <c r="R800" s="21"/>
      <c r="S800" s="13"/>
      <c r="T800" s="12"/>
      <c r="U800" s="12"/>
      <c r="V800" s="12"/>
      <c r="W800" s="14"/>
      <c r="Y800" s="42" t="str">
        <f>IF(AND(C800=Master!$H$1,B800="2012-2013",E800&gt;1000,G800="PLN03"),H800,"")</f>
        <v/>
      </c>
      <c r="Z800" s="42" t="str">
        <f>IF(AND(C800=Master!$H$1,B800="2012-2013",E800="",G800="PLN03"),H800,"")</f>
        <v/>
      </c>
      <c r="AA800" s="42" t="str">
        <f>IF(AND(C800=Master!$H$2,B800="2012-2013",E800&gt;1000,G800="PLN03"),H800,"")</f>
        <v/>
      </c>
      <c r="AB800" s="42" t="str">
        <f>IF(AND(C800=Master!$H$2,B800="2012-2013",E800="",G800="PLN03"),H800,"")</f>
        <v/>
      </c>
      <c r="AC800" s="42" t="str">
        <f>IF(AND(C800=Master!$H$3,B800="2012-2013",E800&gt;1000,G800="PLN03"),H800,"")</f>
        <v/>
      </c>
      <c r="AD800" s="42" t="str">
        <f>IF(AND(C800=Master!$H$3,B800="2012-2013",E800="",G800="PLN03"),H800,"")</f>
        <v/>
      </c>
      <c r="AE800" s="42" t="str">
        <f>IF(AND(C800=Master!$H$4,B800="2012-2013",E800&gt;1000,G800="PLN03"),H800,"")</f>
        <v/>
      </c>
      <c r="AF800" s="42" t="str">
        <f>IF(AND(C800=Master!$H$4,B800="2012-2013",E800="",G800="PLN03"),H800,"")</f>
        <v/>
      </c>
      <c r="AG800" s="42" t="str">
        <f>IF(AND(C800=Master!$H$5,B800="2012-2013",E800&gt;1000,G800="PLN03"),H800,"")</f>
        <v/>
      </c>
      <c r="AH800" s="42" t="str">
        <f>IF(AND(C800=Master!$H$5,B800="2012-2013",E800="",G800="PLN03"),H800,"")</f>
        <v/>
      </c>
      <c r="AI800" s="42" t="str">
        <f>IF(AND(C800=Master!$H$6,B800="2012-2013",E800&gt;1000,G800="PLN03"),H800,"")</f>
        <v/>
      </c>
      <c r="AJ800" s="42" t="str">
        <f>IF(AND(C800=Master!$H$6,B800="2012-2013",E800="",G800="PLN03"),H800,"")</f>
        <v/>
      </c>
      <c r="AK800" s="42" t="str">
        <f>IF(AND(C800=Master!$H$7,B800="2012-2013",E800&gt;1000,G800="PLN03"),H800,"")</f>
        <v/>
      </c>
      <c r="AL800" s="42" t="str">
        <f>IF(AND(C800=Master!$H$7,B800="2012-2013",E800="",G800="PLN03"),H800,"")</f>
        <v/>
      </c>
      <c r="AM800" s="42" t="str">
        <f>IF(AND(C800=Master!$H$8,B800="2012-2013",E800&gt;1000,G800="PLN03"),H800,"")</f>
        <v/>
      </c>
      <c r="AN800" s="42" t="str">
        <f>IF(AND(C800=Master!$H$8,B800="2012-2013",E800="",G800="PLN03"),H800,"")</f>
        <v/>
      </c>
      <c r="AO800" s="42" t="str">
        <f>IF(AND(C800=Master!$H$9,B800="2012-2013",E800&gt;1000,G800="PLN03"),H800,"")</f>
        <v/>
      </c>
      <c r="AP800" s="42" t="str">
        <f>IF(AND(C800=Master!$H$9,B800="2012-2013",E800="",G800="PLN03"),H800,"")</f>
        <v/>
      </c>
      <c r="AQ800" s="44" t="str">
        <f>IF(AND(C800=Master!$H$1,B800="2012-2013",E800&gt;1000,G800="NPN05"),H800,"")</f>
        <v/>
      </c>
      <c r="AR800" s="44" t="str">
        <f>IF(AND(C800=Master!$H$1,B800="2012-2013",E800="",G800="NPN05"),H800,"")</f>
        <v/>
      </c>
      <c r="AS800" s="44" t="str">
        <f>IF(AND(C800=Master!$H$2,B800="2012-2013",E800&gt;1000,G800="NPN05"),H800,"")</f>
        <v/>
      </c>
      <c r="AT800" s="44" t="str">
        <f>IF(AND(C800=Master!$H$2,B800="2012-2013",E800="",G800="NPN05"),H800,"")</f>
        <v/>
      </c>
      <c r="AU800" s="44" t="str">
        <f>IF(AND(C800=Master!$H$3,B800="2012-2013",E800&gt;1000,G800="NPN05"),H800,"")</f>
        <v/>
      </c>
      <c r="AV800" s="44" t="str">
        <f>IF(AND(C800=Master!$H$3,B800="2012-2013",E800="",G800="NPN05"),H800,"")</f>
        <v/>
      </c>
      <c r="AW800" s="44" t="str">
        <f>IF(AND(C800=Master!$H$4,B800="2012-2013",E800&gt;1000,G800="NPN05"),H800,"")</f>
        <v/>
      </c>
      <c r="AX800" s="44" t="str">
        <f>IF(AND(C800=Master!$H$4,B800="2012-2013",E800="",G800="NPN05"),H800,"")</f>
        <v/>
      </c>
      <c r="AY800" s="44" t="str">
        <f>IF(AND(C800=Master!$H$5,B800="2012-2013",E800&gt;1000,G800="NPN05"),H800,"")</f>
        <v/>
      </c>
      <c r="AZ800" s="44" t="str">
        <f>IF(AND(C800=Master!$H$5,B800="2012-2013",E800="",G800="NPN05"),H800,"")</f>
        <v/>
      </c>
      <c r="BA800" s="44" t="str">
        <f>IF(AND(C800=Master!$H$6,B800="2012-2013",E800&gt;1000,G800="NPN05"),H800,"")</f>
        <v/>
      </c>
      <c r="BB800" s="44" t="str">
        <f>IF(AND(C800=Master!$H$6,B800="2012-2013",E800="",G800="NPN05"),H800,"")</f>
        <v/>
      </c>
      <c r="BC800" s="44" t="str">
        <f>IF(AND(C800=Master!$H$7,B800="2012-2013",E800&gt;1000,G800="NPN05"),H800,"")</f>
        <v/>
      </c>
      <c r="BD800" s="44" t="str">
        <f>IF(AND(C800=Master!$H$7,B800="2012-2013",E800="",G800="NPN05"),H800,"")</f>
        <v/>
      </c>
      <c r="BE800" s="44" t="str">
        <f>IF(AND(C800=Master!$H$8,B800="2012-2013",E800&gt;1000,G800="NPN05"),H800,"")</f>
        <v/>
      </c>
      <c r="BF800" s="44" t="str">
        <f>IF(AND(C800=Master!$H$8,B800="2012-2013",E800="",G800="NPN05"),H800,"")</f>
        <v/>
      </c>
      <c r="BG800" s="44" t="str">
        <f>IF(AND(C800=Master!$H$9,B800="2012-2013",E800&gt;1000,G800="NPN05"),H800,"")</f>
        <v/>
      </c>
      <c r="BH800" s="44" t="str">
        <f>IF(AND(C800=Master!$H$9,B800="2012-2013",E800="",G800="NPN05"),H800,"")</f>
        <v/>
      </c>
    </row>
    <row r="801" spans="1:60" x14ac:dyDescent="0.25">
      <c r="A801" s="3">
        <v>799</v>
      </c>
      <c r="B801" s="12"/>
      <c r="C801" s="12"/>
      <c r="D801" s="31"/>
      <c r="E801" s="4"/>
      <c r="F801" s="13"/>
      <c r="G801" s="21"/>
      <c r="H801" s="35"/>
      <c r="I801" s="21"/>
      <c r="J801" s="25" t="str">
        <f>IF(NOT(I801=""),INDEX(Master!$B$1:$B$46,MATCH(I801,Master!$A$1:$A$46,0)),"")</f>
        <v/>
      </c>
      <c r="K801" s="18"/>
      <c r="L801" s="86"/>
      <c r="M801" s="13"/>
      <c r="N801" s="13"/>
      <c r="O801" s="18"/>
      <c r="P801" s="35"/>
      <c r="Q801" s="21"/>
      <c r="R801" s="21"/>
      <c r="S801" s="13"/>
      <c r="T801" s="12"/>
      <c r="U801" s="12"/>
      <c r="V801" s="12"/>
      <c r="W801" s="14"/>
      <c r="Y801" s="42" t="str">
        <f>IF(AND(C801=Master!$H$1,B801="2012-2013",E801&gt;1000,G801="PLN03"),H801,"")</f>
        <v/>
      </c>
      <c r="Z801" s="42" t="str">
        <f>IF(AND(C801=Master!$H$1,B801="2012-2013",E801="",G801="PLN03"),H801,"")</f>
        <v/>
      </c>
      <c r="AA801" s="42" t="str">
        <f>IF(AND(C801=Master!$H$2,B801="2012-2013",E801&gt;1000,G801="PLN03"),H801,"")</f>
        <v/>
      </c>
      <c r="AB801" s="42" t="str">
        <f>IF(AND(C801=Master!$H$2,B801="2012-2013",E801="",G801="PLN03"),H801,"")</f>
        <v/>
      </c>
      <c r="AC801" s="42" t="str">
        <f>IF(AND(C801=Master!$H$3,B801="2012-2013",E801&gt;1000,G801="PLN03"),H801,"")</f>
        <v/>
      </c>
      <c r="AD801" s="42" t="str">
        <f>IF(AND(C801=Master!$H$3,B801="2012-2013",E801="",G801="PLN03"),H801,"")</f>
        <v/>
      </c>
      <c r="AE801" s="42" t="str">
        <f>IF(AND(C801=Master!$H$4,B801="2012-2013",E801&gt;1000,G801="PLN03"),H801,"")</f>
        <v/>
      </c>
      <c r="AF801" s="42" t="str">
        <f>IF(AND(C801=Master!$H$4,B801="2012-2013",E801="",G801="PLN03"),H801,"")</f>
        <v/>
      </c>
      <c r="AG801" s="42" t="str">
        <f>IF(AND(C801=Master!$H$5,B801="2012-2013",E801&gt;1000,G801="PLN03"),H801,"")</f>
        <v/>
      </c>
      <c r="AH801" s="42" t="str">
        <f>IF(AND(C801=Master!$H$5,B801="2012-2013",E801="",G801="PLN03"),H801,"")</f>
        <v/>
      </c>
      <c r="AI801" s="42" t="str">
        <f>IF(AND(C801=Master!$H$6,B801="2012-2013",E801&gt;1000,G801="PLN03"),H801,"")</f>
        <v/>
      </c>
      <c r="AJ801" s="42" t="str">
        <f>IF(AND(C801=Master!$H$6,B801="2012-2013",E801="",G801="PLN03"),H801,"")</f>
        <v/>
      </c>
      <c r="AK801" s="42" t="str">
        <f>IF(AND(C801=Master!$H$7,B801="2012-2013",E801&gt;1000,G801="PLN03"),H801,"")</f>
        <v/>
      </c>
      <c r="AL801" s="42" t="str">
        <f>IF(AND(C801=Master!$H$7,B801="2012-2013",E801="",G801="PLN03"),H801,"")</f>
        <v/>
      </c>
      <c r="AM801" s="42" t="str">
        <f>IF(AND(C801=Master!$H$8,B801="2012-2013",E801&gt;1000,G801="PLN03"),H801,"")</f>
        <v/>
      </c>
      <c r="AN801" s="42" t="str">
        <f>IF(AND(C801=Master!$H$8,B801="2012-2013",E801="",G801="PLN03"),H801,"")</f>
        <v/>
      </c>
      <c r="AO801" s="42" t="str">
        <f>IF(AND(C801=Master!$H$9,B801="2012-2013",E801&gt;1000,G801="PLN03"),H801,"")</f>
        <v/>
      </c>
      <c r="AP801" s="42" t="str">
        <f>IF(AND(C801=Master!$H$9,B801="2012-2013",E801="",G801="PLN03"),H801,"")</f>
        <v/>
      </c>
      <c r="AQ801" s="44" t="str">
        <f>IF(AND(C801=Master!$H$1,B801="2012-2013",E801&gt;1000,G801="NPN05"),H801,"")</f>
        <v/>
      </c>
      <c r="AR801" s="44" t="str">
        <f>IF(AND(C801=Master!$H$1,B801="2012-2013",E801="",G801="NPN05"),H801,"")</f>
        <v/>
      </c>
      <c r="AS801" s="44" t="str">
        <f>IF(AND(C801=Master!$H$2,B801="2012-2013",E801&gt;1000,G801="NPN05"),H801,"")</f>
        <v/>
      </c>
      <c r="AT801" s="44" t="str">
        <f>IF(AND(C801=Master!$H$2,B801="2012-2013",E801="",G801="NPN05"),H801,"")</f>
        <v/>
      </c>
      <c r="AU801" s="44" t="str">
        <f>IF(AND(C801=Master!$H$3,B801="2012-2013",E801&gt;1000,G801="NPN05"),H801,"")</f>
        <v/>
      </c>
      <c r="AV801" s="44" t="str">
        <f>IF(AND(C801=Master!$H$3,B801="2012-2013",E801="",G801="NPN05"),H801,"")</f>
        <v/>
      </c>
      <c r="AW801" s="44" t="str">
        <f>IF(AND(C801=Master!$H$4,B801="2012-2013",E801&gt;1000,G801="NPN05"),H801,"")</f>
        <v/>
      </c>
      <c r="AX801" s="44" t="str">
        <f>IF(AND(C801=Master!$H$4,B801="2012-2013",E801="",G801="NPN05"),H801,"")</f>
        <v/>
      </c>
      <c r="AY801" s="44" t="str">
        <f>IF(AND(C801=Master!$H$5,B801="2012-2013",E801&gt;1000,G801="NPN05"),H801,"")</f>
        <v/>
      </c>
      <c r="AZ801" s="44" t="str">
        <f>IF(AND(C801=Master!$H$5,B801="2012-2013",E801="",G801="NPN05"),H801,"")</f>
        <v/>
      </c>
      <c r="BA801" s="44" t="str">
        <f>IF(AND(C801=Master!$H$6,B801="2012-2013",E801&gt;1000,G801="NPN05"),H801,"")</f>
        <v/>
      </c>
      <c r="BB801" s="44" t="str">
        <f>IF(AND(C801=Master!$H$6,B801="2012-2013",E801="",G801="NPN05"),H801,"")</f>
        <v/>
      </c>
      <c r="BC801" s="44" t="str">
        <f>IF(AND(C801=Master!$H$7,B801="2012-2013",E801&gt;1000,G801="NPN05"),H801,"")</f>
        <v/>
      </c>
      <c r="BD801" s="44" t="str">
        <f>IF(AND(C801=Master!$H$7,B801="2012-2013",E801="",G801="NPN05"),H801,"")</f>
        <v/>
      </c>
      <c r="BE801" s="44" t="str">
        <f>IF(AND(C801=Master!$H$8,B801="2012-2013",E801&gt;1000,G801="NPN05"),H801,"")</f>
        <v/>
      </c>
      <c r="BF801" s="44" t="str">
        <f>IF(AND(C801=Master!$H$8,B801="2012-2013",E801="",G801="NPN05"),H801,"")</f>
        <v/>
      </c>
      <c r="BG801" s="44" t="str">
        <f>IF(AND(C801=Master!$H$9,B801="2012-2013",E801&gt;1000,G801="NPN05"),H801,"")</f>
        <v/>
      </c>
      <c r="BH801" s="44" t="str">
        <f>IF(AND(C801=Master!$H$9,B801="2012-2013",E801="",G801="NPN05"),H801,"")</f>
        <v/>
      </c>
    </row>
    <row r="802" spans="1:60" x14ac:dyDescent="0.25">
      <c r="A802" s="3">
        <v>800</v>
      </c>
      <c r="B802" s="12"/>
      <c r="C802" s="12"/>
      <c r="D802" s="31"/>
      <c r="E802" s="4"/>
      <c r="F802" s="13"/>
      <c r="G802" s="21"/>
      <c r="H802" s="35"/>
      <c r="I802" s="21"/>
      <c r="J802" s="25" t="str">
        <f>IF(NOT(I802=""),INDEX(Master!$B$1:$B$46,MATCH(I802,Master!$A$1:$A$46,0)),"")</f>
        <v/>
      </c>
      <c r="K802" s="18"/>
      <c r="L802" s="86"/>
      <c r="M802" s="13"/>
      <c r="N802" s="13"/>
      <c r="O802" s="18"/>
      <c r="P802" s="35"/>
      <c r="Q802" s="21"/>
      <c r="R802" s="21"/>
      <c r="S802" s="13"/>
      <c r="T802" s="12"/>
      <c r="U802" s="12"/>
      <c r="V802" s="12"/>
      <c r="W802" s="14"/>
      <c r="Y802" s="42" t="str">
        <f>IF(AND(C802=Master!$H$1,B802="2012-2013",E802&gt;1000,G802="PLN03"),H802,"")</f>
        <v/>
      </c>
      <c r="Z802" s="42" t="str">
        <f>IF(AND(C802=Master!$H$1,B802="2012-2013",E802="",G802="PLN03"),H802,"")</f>
        <v/>
      </c>
      <c r="AA802" s="42" t="str">
        <f>IF(AND(C802=Master!$H$2,B802="2012-2013",E802&gt;1000,G802="PLN03"),H802,"")</f>
        <v/>
      </c>
      <c r="AB802" s="42" t="str">
        <f>IF(AND(C802=Master!$H$2,B802="2012-2013",E802="",G802="PLN03"),H802,"")</f>
        <v/>
      </c>
      <c r="AC802" s="42" t="str">
        <f>IF(AND(C802=Master!$H$3,B802="2012-2013",E802&gt;1000,G802="PLN03"),H802,"")</f>
        <v/>
      </c>
      <c r="AD802" s="42" t="str">
        <f>IF(AND(C802=Master!$H$3,B802="2012-2013",E802="",G802="PLN03"),H802,"")</f>
        <v/>
      </c>
      <c r="AE802" s="42" t="str">
        <f>IF(AND(C802=Master!$H$4,B802="2012-2013",E802&gt;1000,G802="PLN03"),H802,"")</f>
        <v/>
      </c>
      <c r="AF802" s="42" t="str">
        <f>IF(AND(C802=Master!$H$4,B802="2012-2013",E802="",G802="PLN03"),H802,"")</f>
        <v/>
      </c>
      <c r="AG802" s="42" t="str">
        <f>IF(AND(C802=Master!$H$5,B802="2012-2013",E802&gt;1000,G802="PLN03"),H802,"")</f>
        <v/>
      </c>
      <c r="AH802" s="42" t="str">
        <f>IF(AND(C802=Master!$H$5,B802="2012-2013",E802="",G802="PLN03"),H802,"")</f>
        <v/>
      </c>
      <c r="AI802" s="42" t="str">
        <f>IF(AND(C802=Master!$H$6,B802="2012-2013",E802&gt;1000,G802="PLN03"),H802,"")</f>
        <v/>
      </c>
      <c r="AJ802" s="42" t="str">
        <f>IF(AND(C802=Master!$H$6,B802="2012-2013",E802="",G802="PLN03"),H802,"")</f>
        <v/>
      </c>
      <c r="AK802" s="42" t="str">
        <f>IF(AND(C802=Master!$H$7,B802="2012-2013",E802&gt;1000,G802="PLN03"),H802,"")</f>
        <v/>
      </c>
      <c r="AL802" s="42" t="str">
        <f>IF(AND(C802=Master!$H$7,B802="2012-2013",E802="",G802="PLN03"),H802,"")</f>
        <v/>
      </c>
      <c r="AM802" s="42" t="str">
        <f>IF(AND(C802=Master!$H$8,B802="2012-2013",E802&gt;1000,G802="PLN03"),H802,"")</f>
        <v/>
      </c>
      <c r="AN802" s="42" t="str">
        <f>IF(AND(C802=Master!$H$8,B802="2012-2013",E802="",G802="PLN03"),H802,"")</f>
        <v/>
      </c>
      <c r="AO802" s="42" t="str">
        <f>IF(AND(C802=Master!$H$9,B802="2012-2013",E802&gt;1000,G802="PLN03"),H802,"")</f>
        <v/>
      </c>
      <c r="AP802" s="42" t="str">
        <f>IF(AND(C802=Master!$H$9,B802="2012-2013",E802="",G802="PLN03"),H802,"")</f>
        <v/>
      </c>
      <c r="AQ802" s="44" t="str">
        <f>IF(AND(C802=Master!$H$1,B802="2012-2013",E802&gt;1000,G802="NPN05"),H802,"")</f>
        <v/>
      </c>
      <c r="AR802" s="44" t="str">
        <f>IF(AND(C802=Master!$H$1,B802="2012-2013",E802="",G802="NPN05"),H802,"")</f>
        <v/>
      </c>
      <c r="AS802" s="44" t="str">
        <f>IF(AND(C802=Master!$H$2,B802="2012-2013",E802&gt;1000,G802="NPN05"),H802,"")</f>
        <v/>
      </c>
      <c r="AT802" s="44" t="str">
        <f>IF(AND(C802=Master!$H$2,B802="2012-2013",E802="",G802="NPN05"),H802,"")</f>
        <v/>
      </c>
      <c r="AU802" s="44" t="str">
        <f>IF(AND(C802=Master!$H$3,B802="2012-2013",E802&gt;1000,G802="NPN05"),H802,"")</f>
        <v/>
      </c>
      <c r="AV802" s="44" t="str">
        <f>IF(AND(C802=Master!$H$3,B802="2012-2013",E802="",G802="NPN05"),H802,"")</f>
        <v/>
      </c>
      <c r="AW802" s="44" t="str">
        <f>IF(AND(C802=Master!$H$4,B802="2012-2013",E802&gt;1000,G802="NPN05"),H802,"")</f>
        <v/>
      </c>
      <c r="AX802" s="44" t="str">
        <f>IF(AND(C802=Master!$H$4,B802="2012-2013",E802="",G802="NPN05"),H802,"")</f>
        <v/>
      </c>
      <c r="AY802" s="44" t="str">
        <f>IF(AND(C802=Master!$H$5,B802="2012-2013",E802&gt;1000,G802="NPN05"),H802,"")</f>
        <v/>
      </c>
      <c r="AZ802" s="44" t="str">
        <f>IF(AND(C802=Master!$H$5,B802="2012-2013",E802="",G802="NPN05"),H802,"")</f>
        <v/>
      </c>
      <c r="BA802" s="44" t="str">
        <f>IF(AND(C802=Master!$H$6,B802="2012-2013",E802&gt;1000,G802="NPN05"),H802,"")</f>
        <v/>
      </c>
      <c r="BB802" s="44" t="str">
        <f>IF(AND(C802=Master!$H$6,B802="2012-2013",E802="",G802="NPN05"),H802,"")</f>
        <v/>
      </c>
      <c r="BC802" s="44" t="str">
        <f>IF(AND(C802=Master!$H$7,B802="2012-2013",E802&gt;1000,G802="NPN05"),H802,"")</f>
        <v/>
      </c>
      <c r="BD802" s="44" t="str">
        <f>IF(AND(C802=Master!$H$7,B802="2012-2013",E802="",G802="NPN05"),H802,"")</f>
        <v/>
      </c>
      <c r="BE802" s="44" t="str">
        <f>IF(AND(C802=Master!$H$8,B802="2012-2013",E802&gt;1000,G802="NPN05"),H802,"")</f>
        <v/>
      </c>
      <c r="BF802" s="44" t="str">
        <f>IF(AND(C802=Master!$H$8,B802="2012-2013",E802="",G802="NPN05"),H802,"")</f>
        <v/>
      </c>
      <c r="BG802" s="44" t="str">
        <f>IF(AND(C802=Master!$H$9,B802="2012-2013",E802&gt;1000,G802="NPN05"),H802,"")</f>
        <v/>
      </c>
      <c r="BH802" s="44" t="str">
        <f>IF(AND(C802=Master!$H$9,B802="2012-2013",E802="",G802="NPN05"),H802,"")</f>
        <v/>
      </c>
    </row>
    <row r="803" spans="1:60" s="1" customFormat="1" x14ac:dyDescent="0.25">
      <c r="H803" s="91"/>
      <c r="L803" s="88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5"/>
      <c r="AR803" s="45"/>
      <c r="AS803" s="45"/>
      <c r="AT803" s="45"/>
      <c r="AU803" s="45"/>
      <c r="AV803" s="45"/>
      <c r="AW803" s="45"/>
      <c r="AX803" s="45"/>
      <c r="AY803" s="45"/>
      <c r="AZ803" s="45"/>
      <c r="BA803" s="45"/>
      <c r="BB803" s="45"/>
      <c r="BC803" s="45"/>
      <c r="BD803" s="45"/>
      <c r="BE803" s="45"/>
      <c r="BF803" s="45"/>
      <c r="BG803" s="45"/>
      <c r="BH803" s="45"/>
    </row>
    <row r="804" spans="1:60" x14ac:dyDescent="0.25">
      <c r="Y804" s="47">
        <f>COUNT(Y3:Y802)</f>
        <v>2</v>
      </c>
      <c r="Z804" s="47">
        <f t="shared" ref="Z804:BH804" si="0">COUNT(Z3:Z802)</f>
        <v>1</v>
      </c>
      <c r="AA804" s="47">
        <f t="shared" si="0"/>
        <v>1</v>
      </c>
      <c r="AB804" s="47">
        <f t="shared" si="0"/>
        <v>1</v>
      </c>
      <c r="AC804" s="47">
        <f t="shared" si="0"/>
        <v>1</v>
      </c>
      <c r="AD804" s="47">
        <f t="shared" si="0"/>
        <v>0</v>
      </c>
      <c r="AE804" s="47">
        <f t="shared" si="0"/>
        <v>1</v>
      </c>
      <c r="AF804" s="47">
        <f t="shared" si="0"/>
        <v>1</v>
      </c>
      <c r="AG804" s="47">
        <f t="shared" si="0"/>
        <v>2</v>
      </c>
      <c r="AH804" s="47">
        <f t="shared" si="0"/>
        <v>0</v>
      </c>
      <c r="AI804" s="47">
        <f t="shared" si="0"/>
        <v>1</v>
      </c>
      <c r="AJ804" s="47">
        <f t="shared" si="0"/>
        <v>0</v>
      </c>
      <c r="AK804" s="47">
        <f t="shared" si="0"/>
        <v>2</v>
      </c>
      <c r="AL804" s="47">
        <f t="shared" si="0"/>
        <v>0</v>
      </c>
      <c r="AM804" s="47">
        <f t="shared" si="0"/>
        <v>2</v>
      </c>
      <c r="AN804" s="47">
        <f t="shared" si="0"/>
        <v>0</v>
      </c>
      <c r="AO804" s="47">
        <f t="shared" si="0"/>
        <v>1</v>
      </c>
      <c r="AP804" s="47">
        <f t="shared" si="0"/>
        <v>1</v>
      </c>
      <c r="AQ804" s="46">
        <f t="shared" si="0"/>
        <v>0</v>
      </c>
      <c r="AR804" s="46">
        <f t="shared" si="0"/>
        <v>0</v>
      </c>
      <c r="AS804" s="46">
        <f t="shared" si="0"/>
        <v>1</v>
      </c>
      <c r="AT804" s="46">
        <f t="shared" si="0"/>
        <v>1</v>
      </c>
      <c r="AU804" s="46">
        <f t="shared" si="0"/>
        <v>0</v>
      </c>
      <c r="AV804" s="46">
        <f t="shared" si="0"/>
        <v>1</v>
      </c>
      <c r="AW804" s="46">
        <f t="shared" si="0"/>
        <v>0</v>
      </c>
      <c r="AX804" s="46">
        <f t="shared" si="0"/>
        <v>0</v>
      </c>
      <c r="AY804" s="46">
        <f t="shared" si="0"/>
        <v>0</v>
      </c>
      <c r="AZ804" s="46">
        <f t="shared" si="0"/>
        <v>1</v>
      </c>
      <c r="BA804" s="46">
        <f t="shared" si="0"/>
        <v>0</v>
      </c>
      <c r="BB804" s="46">
        <f t="shared" si="0"/>
        <v>1</v>
      </c>
      <c r="BC804" s="46">
        <f t="shared" si="0"/>
        <v>0</v>
      </c>
      <c r="BD804" s="46">
        <f t="shared" si="0"/>
        <v>0</v>
      </c>
      <c r="BE804" s="46">
        <f t="shared" si="0"/>
        <v>0</v>
      </c>
      <c r="BF804" s="46">
        <f t="shared" si="0"/>
        <v>0</v>
      </c>
      <c r="BG804" s="46">
        <f t="shared" si="0"/>
        <v>0</v>
      </c>
      <c r="BH804" s="46">
        <f t="shared" si="0"/>
        <v>0</v>
      </c>
    </row>
    <row r="805" spans="1:60" x14ac:dyDescent="0.25">
      <c r="Y805" s="47">
        <f>COUNTIFS($B$3:$B$802,"2012-2013",$C$3:$C$802,Master!$H1,Y$3:Y$802,"&gt;0",$Q$3:$Q$802,"*")</f>
        <v>2</v>
      </c>
      <c r="Z805" s="47"/>
      <c r="AA805" s="47">
        <f>COUNTIFS($B$3:$B$802,"2012-2013",$C$3:$C$802,Master!$H2,AA$3:AA$802,"&gt;0",$Q$3:$Q$802,"*")</f>
        <v>0</v>
      </c>
      <c r="AB805" s="47"/>
      <c r="AC805" s="47">
        <f>COUNTIFS($B$3:$B$802,"2012-2013",$C$3:$C$802,Master!$H3,AC$3:AC$802,"&gt;0",$Q$3:$Q$802,"*")</f>
        <v>0</v>
      </c>
      <c r="AD805" s="47"/>
      <c r="AE805" s="47">
        <f>COUNTIFS($B$3:$B$802,"2012-2013",$C$3:$C$802,Master!$H4,AE$3:AE$802,"&gt;0",$Q$3:$Q$802,"*")</f>
        <v>0</v>
      </c>
      <c r="AF805" s="47"/>
      <c r="AG805" s="47">
        <f>COUNTIFS($B$3:$B$802,"2012-2013",$C$3:$C$802,Master!$H5,AG$3:AG$802,"&gt;0",$Q$3:$Q$802,"*")</f>
        <v>0</v>
      </c>
      <c r="AH805" s="47"/>
      <c r="AI805" s="47">
        <f>COUNTIFS($B$3:$B$802,"2012-2013",$C$3:$C$802,Master!$H6,AI$3:AI$802,"&gt;0",$Q$3:$Q$802,"*")</f>
        <v>0</v>
      </c>
      <c r="AJ805" s="47"/>
      <c r="AK805" s="47">
        <f>COUNTIFS($B$3:$B$802,"2012-2013",$C$3:$C$802,Master!$H7,AK$3:AK$802,"&gt;0",$Q$3:$Q$802,"*")</f>
        <v>2</v>
      </c>
      <c r="AL805" s="47"/>
      <c r="AM805" s="47">
        <f>COUNTIFS($B$3:$B$802,"2012-2013",$C$3:$C$802,Master!$H8,AM$3:AM$802,"&gt;0",$Q$3:$Q$802,"*")</f>
        <v>0</v>
      </c>
      <c r="AN805" s="47"/>
      <c r="AO805" s="47">
        <f>COUNTIFS($B$3:$B$802,"2012-2013",$C$3:$C$802,Master!$H9,AO$3:AO$802,"&gt;0",$Q$3:$Q$802,"*")</f>
        <v>0</v>
      </c>
      <c r="AP805" s="47"/>
      <c r="AQ805" s="46">
        <f>COUNTIFS($B$3:$B$802,"2012-2013",$C$3:$C$802,Master!$H1,AQ$3:AQ$802,"&gt;0",$Q$3:$Q$802,"*")</f>
        <v>0</v>
      </c>
      <c r="AR805" s="46"/>
      <c r="AS805" s="46">
        <f>COUNTIFS($B$3:$B$802,"2012-2013",$C$3:$C$802,Master!$H2,AS$3:AS$802,"&gt;0",$Q$3:$Q$802,"*")</f>
        <v>0</v>
      </c>
      <c r="AT805" s="46"/>
      <c r="AU805" s="46">
        <f>COUNTIFS($B$3:$B$802,"2012-2013",$C$3:$C$802,Master!$H3,AU$3:AU$802,"&gt;0",$Q$3:$Q$802,"*")</f>
        <v>0</v>
      </c>
      <c r="AV805" s="46"/>
      <c r="AW805" s="46">
        <f>COUNTIFS($B$3:$B$802,"2012-2013",$C$3:$C$802,Master!$H4,AW$3:AW$802,"&gt;0",$Q$3:$Q$802,"*")</f>
        <v>0</v>
      </c>
      <c r="AX805" s="46"/>
      <c r="AY805" s="46">
        <f>COUNTIFS($B$3:$B$802,"2012-2013",$C$3:$C$802,Master!$H5,AY$3:AY$802,"&gt;0",$Q$3:$Q$802,"*")</f>
        <v>0</v>
      </c>
      <c r="AZ805" s="46"/>
      <c r="BA805" s="46">
        <f>COUNTIFS($B$3:$B$802,"2012-2013",$C$3:$C$802,Master!$H6,BA$3:BA$802,"&gt;0",$Q$3:$Q$802,"*")</f>
        <v>0</v>
      </c>
      <c r="BB805" s="46"/>
      <c r="BC805" s="46">
        <f>COUNTIFS($B$3:$B$802,"2012-2013",$C$3:$C$802,Master!$H7,BC$3:BC$802,"&gt;0",$Q$3:$Q$802,"*")</f>
        <v>0</v>
      </c>
      <c r="BD805" s="46"/>
      <c r="BE805" s="46">
        <f>COUNTIFS($B$3:$B$802,"2012-2013",$C$3:$C$802,Master!$H8,BE$3:BE$802,"&gt;0",$Q$3:$Q$802,"*")</f>
        <v>0</v>
      </c>
      <c r="BF805" s="46"/>
      <c r="BG805" s="46">
        <f>COUNTIFS($B$3:$B$802,"2012-2013",$C$3:$C$802,Master!$H9,BG$3:BG$802,"&gt;0",$Q$3:$Q$802,"*")</f>
        <v>0</v>
      </c>
      <c r="BH805" s="46"/>
    </row>
  </sheetData>
  <sheetProtection password="DE5B" sheet="1" objects="1" scenarios="1" selectLockedCells="1"/>
  <dataConsolidate/>
  <mergeCells count="24">
    <mergeCell ref="BA2:BB2"/>
    <mergeCell ref="BC2:BD2"/>
    <mergeCell ref="BE2:BF2"/>
    <mergeCell ref="BG2:BH2"/>
    <mergeCell ref="AQ2:AR2"/>
    <mergeCell ref="AS2:AT2"/>
    <mergeCell ref="AU2:AV2"/>
    <mergeCell ref="AW2:AX2"/>
    <mergeCell ref="AY2:AZ2"/>
    <mergeCell ref="Q1:S1"/>
    <mergeCell ref="T1:W1"/>
    <mergeCell ref="A1:K1"/>
    <mergeCell ref="L1:P1"/>
    <mergeCell ref="AQ1:BH1"/>
    <mergeCell ref="AK2:AL2"/>
    <mergeCell ref="AM2:AN2"/>
    <mergeCell ref="AO2:AP2"/>
    <mergeCell ref="Y1:AP1"/>
    <mergeCell ref="AA2:AB2"/>
    <mergeCell ref="AC2:AD2"/>
    <mergeCell ref="AE2:AF2"/>
    <mergeCell ref="AG2:AH2"/>
    <mergeCell ref="AI2:AJ2"/>
    <mergeCell ref="Y2:Z2"/>
  </mergeCells>
  <dataValidations xWindow="809" yWindow="361" count="14">
    <dataValidation type="whole" allowBlank="1" showInputMessage="1" showErrorMessage="1" errorTitle="Error" error="Please enter 5 digit PFC number in numeric format only." promptTitle="PFC Number" prompt="Please enter 5 digit PFC number._x000a_Leave blank if PFC has not been created" sqref="E3:E802">
      <formula1>9999</formula1>
      <formula2>99999</formula2>
    </dataValidation>
    <dataValidation type="date" operator="greaterThan" allowBlank="1" showInputMessage="1" showErrorMessage="1" errorTitle="Error" error="Please enter date greater than 31/03/2010 in DD/MM/YYY format only._x000a_" promptTitle="PFC Date" prompt="Please enter date in DD/MM/YYY format." sqref="F3:F802">
      <formula1>40268</formula1>
    </dataValidation>
    <dataValidation showInputMessage="1" showErrorMessage="1" sqref="J3:J802"/>
    <dataValidation type="date" operator="greaterThan" allowBlank="1" showInputMessage="1" showErrorMessage="1" promptTitle="Date" prompt="Please enter the date of submission of C/NC form in stores._x000a_" sqref="M3:M802">
      <formula1>40268</formula1>
    </dataValidation>
    <dataValidation type="date" operator="greaterThan" allowBlank="1" showInputMessage="1" showErrorMessage="1" promptTitle="Date" prompt="Please enter the date on which the C/NC form was sent to the Stores/Main Accounts/IRD Accounts." sqref="S3:S802">
      <formula1>40268</formula1>
    </dataValidation>
    <dataValidation operator="greaterThan" allowBlank="1" showErrorMessage="1" sqref="O4:O802"/>
    <dataValidation type="date" operator="greaterThan" allowBlank="1" showInputMessage="1" showErrorMessage="1" promptTitle="GIS Date" prompt="Please enter GIS date in DD/MM/YYY format on which date GIS was generated by Central Stores._x000a_Check the GIS details from http://sps.iitd.ac.in/" sqref="U3:U802">
      <formula1>40268</formula1>
    </dataValidation>
    <dataValidation allowBlank="1" showInputMessage="1" showErrorMessage="1" promptTitle="GIS No" prompt="Please Enter GIS No(s) generated by Central Stores for this purchase._x000a_Check the GIS details from http://sps.iitd.ac.in/" sqref="T3:T802"/>
    <dataValidation type="date" operator="greaterThan" allowBlank="1" showInputMessage="1" showErrorMessage="1" promptTitle="Payment Date" prompt="Please enter the date on which the actual payment was made." sqref="V3:V802">
      <formula1>40268</formula1>
    </dataValidation>
    <dataValidation allowBlank="1" showInputMessage="1" showErrorMessage="1" promptTitle="Amount Paid" prompt="Please enter the actual amount paid by IITD accounts to vendor." sqref="W3:W802"/>
    <dataValidation allowBlank="1" showInputMessage="1" showErrorMessage="1" promptTitle="Item Name" prompt="Item being purchased or the details of purchase." sqref="K3:K802"/>
    <dataValidation operator="greaterThan" showDropDown="1" showErrorMessage="1" sqref="O3"/>
    <dataValidation operator="greaterThan" allowBlank="1" showInputMessage="1" showErrorMessage="1" promptTitle="Total Amount" prompt="Please enter total amount in C/NC form._x000a_" sqref="P3:P802"/>
    <dataValidation type="textLength" operator="equal" allowBlank="1" showInputMessage="1" showErrorMessage="1" promptTitle="Dispatch Number" prompt="Please enter dispatch number generated by ACSS system in 2012BCVLXXX format." sqref="R3:R802">
      <formula1>12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xWindow="809" yWindow="361" count="8">
        <x14:dataValidation type="list" showInputMessage="1" showErrorMessage="1" promptTitle="Budget Head" prompt="Please select Budget Head.">
          <x14:formula1>
            <xm:f>Master!$D$1:$D$8</xm:f>
          </x14:formula1>
          <xm:sqref>G3:G802</xm:sqref>
        </x14:dataValidation>
        <x14:dataValidation type="list" showInputMessage="1" showErrorMessage="1" promptTitle="Financial Year" prompt="Select financial year from drop down list.">
          <x14:formula1>
            <xm:f>Master!$F$1:$F$3</xm:f>
          </x14:formula1>
          <xm:sqref>B3:B802</xm:sqref>
        </x14:dataValidation>
        <x14:dataValidation type="list" showInputMessage="1" showErrorMessage="1" promptTitle="Select Purchase for" prompt="Select Purchase being done for from drop down list.">
          <x14:formula1>
            <xm:f>Master!$H$1:$H$9</xm:f>
          </x14:formula1>
          <xm:sqref>C3:C802</xm:sqref>
        </x14:dataValidation>
        <x14:dataValidation type="list" showInputMessage="1" showErrorMessage="1" promptTitle="Select Type of Form" prompt="Please select type of institute form prepared.">
          <x14:formula1>
            <xm:f>Master!$J$1:$J$2</xm:f>
          </x14:formula1>
          <xm:sqref>L3:L802</xm:sqref>
        </x14:dataValidation>
        <x14:dataValidation type="list" allowBlank="1" showInputMessage="1" showErrorMessage="1" promptTitle="Select Type" prompt="Please select where the C/NC form was sent for further processing.">
          <x14:formula1>
            <xm:f>Master!$L$1:$L$3</xm:f>
          </x14:formula1>
          <xm:sqref>Q3:Q802</xm:sqref>
        </x14:dataValidation>
        <x14:dataValidation type="list" showInputMessage="1" showErrorMessage="1">
          <x14:formula1>
            <xm:f>Master!$A:$A</xm:f>
          </x14:formula1>
          <xm:sqref>I3:I802</xm:sqref>
        </x14:dataValidation>
        <x14:dataValidation type="list" showInputMessage="1" showErrorMessage="1" promptTitle="Select Approval Status" prompt="Please Select Approval status from drop down list._x000a_">
          <x14:formula1>
            <xm:f>Master!$M$1:$M$3</xm:f>
          </x14:formula1>
          <xm:sqref>D3:D802</xm:sqref>
        </x14:dataValidation>
        <x14:dataValidation type="list" operator="greaterThan" showInputMessage="1" showErrorMessage="1" promptTitle="Payment Type" prompt="Select Payment Type from drop down list._x000a__x000a_">
          <x14:formula1>
            <xm:f>Master!$N$1:$N$4</xm:f>
          </x14:formula1>
          <xm:sqref>N3:N802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-0.249977111117893"/>
    <pageSetUpPr fitToPage="1"/>
  </sheetPr>
  <dimension ref="A1:J14"/>
  <sheetViews>
    <sheetView workbookViewId="0">
      <selection activeCell="C5" sqref="C5:C12"/>
    </sheetView>
  </sheetViews>
  <sheetFormatPr defaultRowHeight="15" x14ac:dyDescent="0.25"/>
  <cols>
    <col min="1" max="1" width="6.42578125" bestFit="1" customWidth="1"/>
    <col min="2" max="2" width="25.140625" customWidth="1"/>
    <col min="3" max="3" width="21.140625" bestFit="1" customWidth="1"/>
    <col min="4" max="4" width="12.7109375" customWidth="1"/>
    <col min="5" max="5" width="19.85546875" customWidth="1"/>
    <col min="6" max="6" width="16.5703125" customWidth="1"/>
    <col min="7" max="7" width="15.85546875" customWidth="1"/>
    <col min="8" max="8" width="16.5703125" customWidth="1"/>
    <col min="9" max="9" width="18.85546875" customWidth="1"/>
    <col min="10" max="10" width="18.5703125" customWidth="1"/>
  </cols>
  <sheetData>
    <row r="1" spans="1:10" ht="23.25" x14ac:dyDescent="0.25">
      <c r="A1" s="112" t="s">
        <v>109</v>
      </c>
      <c r="B1" s="112"/>
      <c r="C1" s="112"/>
      <c r="D1" s="112"/>
      <c r="E1" s="112"/>
      <c r="F1" s="112"/>
      <c r="G1" s="112"/>
      <c r="H1" s="112"/>
      <c r="I1" s="112"/>
      <c r="J1" s="112"/>
    </row>
    <row r="2" spans="1:10" ht="19.5" thickBot="1" x14ac:dyDescent="0.3">
      <c r="A2" s="113" t="s">
        <v>117</v>
      </c>
      <c r="B2" s="113"/>
      <c r="C2" s="113"/>
      <c r="D2" s="113"/>
      <c r="E2" s="113"/>
      <c r="F2" s="113"/>
      <c r="G2" s="113"/>
      <c r="H2" s="113"/>
      <c r="I2" s="113"/>
      <c r="J2" s="113"/>
    </row>
    <row r="3" spans="1:10" s="7" customFormat="1" ht="28.5" customHeight="1" thickBot="1" x14ac:dyDescent="0.3">
      <c r="A3" s="121" t="s">
        <v>14</v>
      </c>
      <c r="B3" s="119" t="s">
        <v>89</v>
      </c>
      <c r="C3" s="119" t="s">
        <v>91</v>
      </c>
      <c r="D3" s="116" t="s">
        <v>139</v>
      </c>
      <c r="E3" s="117"/>
      <c r="F3" s="118"/>
      <c r="G3" s="116" t="s">
        <v>137</v>
      </c>
      <c r="H3" s="118"/>
      <c r="I3" s="119" t="s">
        <v>138</v>
      </c>
      <c r="J3" s="123" t="s">
        <v>90</v>
      </c>
    </row>
    <row r="4" spans="1:10" s="7" customFormat="1" ht="53.25" customHeight="1" thickBot="1" x14ac:dyDescent="0.3">
      <c r="A4" s="122"/>
      <c r="B4" s="120"/>
      <c r="C4" s="120"/>
      <c r="D4" s="66" t="s">
        <v>136</v>
      </c>
      <c r="E4" s="66" t="s">
        <v>140</v>
      </c>
      <c r="F4" s="66" t="s">
        <v>141</v>
      </c>
      <c r="G4" s="66" t="s">
        <v>142</v>
      </c>
      <c r="H4" s="66" t="s">
        <v>143</v>
      </c>
      <c r="I4" s="120"/>
      <c r="J4" s="124"/>
    </row>
    <row r="5" spans="1:10" ht="22.5" customHeight="1" x14ac:dyDescent="0.25">
      <c r="A5" s="48">
        <v>1</v>
      </c>
      <c r="B5" s="23" t="s">
        <v>24</v>
      </c>
      <c r="C5" s="40">
        <v>1000000</v>
      </c>
      <c r="D5" s="38">
        <f>'Purchase Entry'!$Y804</f>
        <v>2</v>
      </c>
      <c r="E5" s="38">
        <f>'Purchase Entry'!$Y805</f>
        <v>2</v>
      </c>
      <c r="F5" s="29">
        <f>SUM('Purchase Entry'!Y$3:Y$802)</f>
        <v>400000</v>
      </c>
      <c r="G5" s="38">
        <f>'Purchase Entry'!Z804</f>
        <v>1</v>
      </c>
      <c r="H5" s="39">
        <f>SUM('Purchase Entry'!Z$3:Z$802)</f>
        <v>17000</v>
      </c>
      <c r="I5" s="28">
        <f>SUM(F5,H5)</f>
        <v>417000</v>
      </c>
      <c r="J5" s="49">
        <f t="shared" ref="J5:J13" si="0">C5-I5</f>
        <v>583000</v>
      </c>
    </row>
    <row r="6" spans="1:10" ht="22.5" customHeight="1" x14ac:dyDescent="0.25">
      <c r="A6" s="50">
        <v>2</v>
      </c>
      <c r="B6" s="24" t="s">
        <v>27</v>
      </c>
      <c r="C6" s="41">
        <v>2000000</v>
      </c>
      <c r="D6" s="38">
        <f>'Purchase Entry'!$AA804</f>
        <v>1</v>
      </c>
      <c r="E6" s="38">
        <f>'Purchase Entry'!$AA805</f>
        <v>0</v>
      </c>
      <c r="F6" s="29">
        <f>SUM('Purchase Entry'!AA$3:AA$802)</f>
        <v>250000</v>
      </c>
      <c r="G6" s="38">
        <f>'Purchase Entry'!AB804</f>
        <v>1</v>
      </c>
      <c r="H6" s="39">
        <f>SUM('Purchase Entry'!AB$3:AB$802)</f>
        <v>15000</v>
      </c>
      <c r="I6" s="28">
        <f t="shared" ref="I6:I13" si="1">SUM(F6,H6)</f>
        <v>265000</v>
      </c>
      <c r="J6" s="49">
        <f t="shared" si="0"/>
        <v>1735000</v>
      </c>
    </row>
    <row r="7" spans="1:10" ht="22.5" customHeight="1" x14ac:dyDescent="0.25">
      <c r="A7" s="50">
        <v>3</v>
      </c>
      <c r="B7" s="24" t="s">
        <v>29</v>
      </c>
      <c r="C7" s="41">
        <v>2000000</v>
      </c>
      <c r="D7" s="38">
        <f>'Purchase Entry'!$AC804</f>
        <v>1</v>
      </c>
      <c r="E7" s="38">
        <f>'Purchase Entry'!$AC805</f>
        <v>0</v>
      </c>
      <c r="F7" s="29">
        <f>SUM('Purchase Entry'!AC$3:AC$802)</f>
        <v>600000</v>
      </c>
      <c r="G7" s="38">
        <f>'Purchase Entry'!AD804</f>
        <v>0</v>
      </c>
      <c r="H7" s="39">
        <f>SUM('Purchase Entry'!AD$3:AD$802)</f>
        <v>0</v>
      </c>
      <c r="I7" s="28">
        <f t="shared" si="1"/>
        <v>600000</v>
      </c>
      <c r="J7" s="49">
        <f t="shared" si="0"/>
        <v>1400000</v>
      </c>
    </row>
    <row r="8" spans="1:10" ht="22.5" customHeight="1" x14ac:dyDescent="0.25">
      <c r="A8" s="50">
        <v>4</v>
      </c>
      <c r="B8" s="24" t="s">
        <v>32</v>
      </c>
      <c r="C8" s="41">
        <v>200000</v>
      </c>
      <c r="D8" s="38">
        <f>'Purchase Entry'!$AE804</f>
        <v>1</v>
      </c>
      <c r="E8" s="38">
        <f>'Purchase Entry'!$AE805</f>
        <v>0</v>
      </c>
      <c r="F8" s="29">
        <f>SUM('Purchase Entry'!AE$3:AE$802)</f>
        <v>150000</v>
      </c>
      <c r="G8" s="38">
        <f>'Purchase Entry'!AF804</f>
        <v>1</v>
      </c>
      <c r="H8" s="39">
        <f>SUM('Purchase Entry'!AF$3:AF$802)</f>
        <v>12000</v>
      </c>
      <c r="I8" s="28">
        <f t="shared" si="1"/>
        <v>162000</v>
      </c>
      <c r="J8" s="49">
        <f t="shared" si="0"/>
        <v>38000</v>
      </c>
    </row>
    <row r="9" spans="1:10" ht="22.5" customHeight="1" x14ac:dyDescent="0.25">
      <c r="A9" s="50">
        <v>5</v>
      </c>
      <c r="B9" s="24" t="s">
        <v>31</v>
      </c>
      <c r="C9" s="41">
        <v>540000</v>
      </c>
      <c r="D9" s="38">
        <f>'Purchase Entry'!$AG804</f>
        <v>2</v>
      </c>
      <c r="E9" s="38">
        <f>'Purchase Entry'!$AG805</f>
        <v>0</v>
      </c>
      <c r="F9" s="29">
        <f>SUM('Purchase Entry'!AG$3:AG$802)</f>
        <v>120000</v>
      </c>
      <c r="G9" s="38">
        <f>'Purchase Entry'!AH804</f>
        <v>0</v>
      </c>
      <c r="H9" s="39">
        <f>SUM('Purchase Entry'!AH$3:AH$802)</f>
        <v>0</v>
      </c>
      <c r="I9" s="28">
        <f t="shared" si="1"/>
        <v>120000</v>
      </c>
      <c r="J9" s="49">
        <f t="shared" si="0"/>
        <v>420000</v>
      </c>
    </row>
    <row r="10" spans="1:10" ht="22.5" customHeight="1" x14ac:dyDescent="0.25">
      <c r="A10" s="50">
        <v>6</v>
      </c>
      <c r="B10" s="24" t="s">
        <v>25</v>
      </c>
      <c r="C10" s="41">
        <v>3000000</v>
      </c>
      <c r="D10" s="38">
        <f>'Purchase Entry'!$AI804</f>
        <v>1</v>
      </c>
      <c r="E10" s="38">
        <f>'Purchase Entry'!$AI805</f>
        <v>0</v>
      </c>
      <c r="F10" s="29">
        <f>SUM('Purchase Entry'!AI$3:AI$802)</f>
        <v>850000</v>
      </c>
      <c r="G10" s="38">
        <f>'Purchase Entry'!AJ804</f>
        <v>0</v>
      </c>
      <c r="H10" s="39">
        <f>SUM('Purchase Entry'!AJ$3:AJ$802)</f>
        <v>0</v>
      </c>
      <c r="I10" s="28">
        <f t="shared" si="1"/>
        <v>850000</v>
      </c>
      <c r="J10" s="49">
        <f t="shared" si="0"/>
        <v>2150000</v>
      </c>
    </row>
    <row r="11" spans="1:10" ht="22.5" customHeight="1" x14ac:dyDescent="0.25">
      <c r="A11" s="50">
        <v>7</v>
      </c>
      <c r="B11" s="24" t="s">
        <v>28</v>
      </c>
      <c r="C11" s="41">
        <v>350000</v>
      </c>
      <c r="D11" s="38">
        <f>'Purchase Entry'!$AK804</f>
        <v>2</v>
      </c>
      <c r="E11" s="38">
        <f>'Purchase Entry'!$AK805</f>
        <v>2</v>
      </c>
      <c r="F11" s="33">
        <f>SUM('Purchase Entry'!AK$3:AK$802)</f>
        <v>325000</v>
      </c>
      <c r="G11" s="38">
        <f>'Purchase Entry'!AL804</f>
        <v>0</v>
      </c>
      <c r="H11" s="39">
        <f>SUM('Purchase Entry'!AL$3:AL$802)</f>
        <v>0</v>
      </c>
      <c r="I11" s="28">
        <f t="shared" si="1"/>
        <v>325000</v>
      </c>
      <c r="J11" s="51">
        <f t="shared" si="0"/>
        <v>25000</v>
      </c>
    </row>
    <row r="12" spans="1:10" ht="22.5" customHeight="1" x14ac:dyDescent="0.25">
      <c r="A12" s="50">
        <v>8</v>
      </c>
      <c r="B12" s="24" t="s">
        <v>26</v>
      </c>
      <c r="C12" s="41">
        <v>800000</v>
      </c>
      <c r="D12" s="38">
        <f>'Purchase Entry'!$AM804</f>
        <v>2</v>
      </c>
      <c r="E12" s="38">
        <f>'Purchase Entry'!$AM805</f>
        <v>0</v>
      </c>
      <c r="F12" s="33">
        <f>SUM('Purchase Entry'!AM$3:AM$802)</f>
        <v>375000</v>
      </c>
      <c r="G12" s="38">
        <f>'Purchase Entry'!AN804</f>
        <v>0</v>
      </c>
      <c r="H12" s="39">
        <f>SUM('Purchase Entry'!AN$3:AN$802)</f>
        <v>0</v>
      </c>
      <c r="I12" s="28">
        <f t="shared" si="1"/>
        <v>375000</v>
      </c>
      <c r="J12" s="51">
        <f t="shared" si="0"/>
        <v>425000</v>
      </c>
    </row>
    <row r="13" spans="1:10" ht="22.5" customHeight="1" thickBot="1" x14ac:dyDescent="0.3">
      <c r="A13" s="52">
        <v>9</v>
      </c>
      <c r="B13" s="53" t="s">
        <v>30</v>
      </c>
      <c r="C13" s="54">
        <v>2000000</v>
      </c>
      <c r="D13" s="55">
        <f>'Purchase Entry'!$AO804</f>
        <v>1</v>
      </c>
      <c r="E13" s="55">
        <f>'Purchase Entry'!$AO805</f>
        <v>0</v>
      </c>
      <c r="F13" s="56">
        <f>SUM('Purchase Entry'!AO$3:AO$802)</f>
        <v>200000</v>
      </c>
      <c r="G13" s="55">
        <f>'Purchase Entry'!AP804</f>
        <v>1</v>
      </c>
      <c r="H13" s="57">
        <f>SUM('Purchase Entry'!AP$3:AP$802)</f>
        <v>18000</v>
      </c>
      <c r="I13" s="28">
        <f t="shared" si="1"/>
        <v>218000</v>
      </c>
      <c r="J13" s="58">
        <f t="shared" si="0"/>
        <v>1782000</v>
      </c>
    </row>
    <row r="14" spans="1:10" ht="20.25" thickBot="1" x14ac:dyDescent="0.35">
      <c r="A14" s="114" t="s">
        <v>121</v>
      </c>
      <c r="B14" s="115"/>
      <c r="C14" s="59">
        <f>SUM(C5:C13)</f>
        <v>11890000</v>
      </c>
      <c r="D14" s="60">
        <f>SUM(D5:D13)</f>
        <v>13</v>
      </c>
      <c r="E14" s="60">
        <f>SUM(E5:E13)</f>
        <v>4</v>
      </c>
      <c r="F14" s="61">
        <f t="shared" ref="F14:J14" si="2">SUM(F5:F13)</f>
        <v>3270000</v>
      </c>
      <c r="G14" s="60">
        <f>SUM(G5:G13)</f>
        <v>4</v>
      </c>
      <c r="H14" s="62">
        <f>SUM(H5:H13)</f>
        <v>62000</v>
      </c>
      <c r="I14" s="61">
        <f t="shared" si="2"/>
        <v>3332000</v>
      </c>
      <c r="J14" s="63">
        <f t="shared" si="2"/>
        <v>8558000</v>
      </c>
    </row>
  </sheetData>
  <sheetProtection password="DE5B" sheet="1" objects="1" scenarios="1" selectLockedCells="1"/>
  <mergeCells count="10">
    <mergeCell ref="A1:J1"/>
    <mergeCell ref="A2:J2"/>
    <mergeCell ref="A14:B14"/>
    <mergeCell ref="D3:F3"/>
    <mergeCell ref="C3:C4"/>
    <mergeCell ref="B3:B4"/>
    <mergeCell ref="A3:A4"/>
    <mergeCell ref="I3:I4"/>
    <mergeCell ref="J3:J4"/>
    <mergeCell ref="G3:H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76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249977111117893"/>
    <pageSetUpPr fitToPage="1"/>
  </sheetPr>
  <dimension ref="A1:J14"/>
  <sheetViews>
    <sheetView workbookViewId="0">
      <selection activeCell="C6" sqref="C6"/>
    </sheetView>
  </sheetViews>
  <sheetFormatPr defaultRowHeight="15" x14ac:dyDescent="0.25"/>
  <cols>
    <col min="1" max="1" width="6.42578125" bestFit="1" customWidth="1"/>
    <col min="2" max="2" width="25.140625" customWidth="1"/>
    <col min="3" max="3" width="21.140625" bestFit="1" customWidth="1"/>
    <col min="4" max="4" width="12.5703125" customWidth="1"/>
    <col min="5" max="5" width="19.85546875" customWidth="1"/>
    <col min="6" max="6" width="16.5703125" customWidth="1"/>
    <col min="7" max="7" width="15.85546875" customWidth="1"/>
    <col min="8" max="8" width="16.5703125" customWidth="1"/>
    <col min="9" max="9" width="18.85546875" customWidth="1"/>
    <col min="10" max="10" width="18.5703125" customWidth="1"/>
  </cols>
  <sheetData>
    <row r="1" spans="1:10" ht="23.25" x14ac:dyDescent="0.25">
      <c r="A1" s="112" t="s">
        <v>109</v>
      </c>
      <c r="B1" s="112"/>
      <c r="C1" s="112"/>
      <c r="D1" s="112"/>
      <c r="E1" s="112"/>
      <c r="F1" s="112"/>
      <c r="G1" s="125"/>
      <c r="H1" s="125"/>
      <c r="I1" s="125"/>
      <c r="J1" s="125"/>
    </row>
    <row r="2" spans="1:10" ht="19.5" thickBot="1" x14ac:dyDescent="0.3">
      <c r="A2" s="113" t="s">
        <v>118</v>
      </c>
      <c r="B2" s="113"/>
      <c r="C2" s="113"/>
      <c r="D2" s="113"/>
      <c r="E2" s="113"/>
      <c r="F2" s="113"/>
      <c r="G2" s="126"/>
      <c r="H2" s="126"/>
      <c r="I2" s="126"/>
      <c r="J2" s="126"/>
    </row>
    <row r="3" spans="1:10" ht="28.5" customHeight="1" thickBot="1" x14ac:dyDescent="0.3">
      <c r="A3" s="121" t="s">
        <v>14</v>
      </c>
      <c r="B3" s="119" t="s">
        <v>89</v>
      </c>
      <c r="C3" s="119" t="s">
        <v>91</v>
      </c>
      <c r="D3" s="116" t="s">
        <v>139</v>
      </c>
      <c r="E3" s="117"/>
      <c r="F3" s="118"/>
      <c r="G3" s="116" t="s">
        <v>137</v>
      </c>
      <c r="H3" s="118"/>
      <c r="I3" s="119" t="s">
        <v>138</v>
      </c>
      <c r="J3" s="123" t="s">
        <v>90</v>
      </c>
    </row>
    <row r="4" spans="1:10" ht="53.25" customHeight="1" thickBot="1" x14ac:dyDescent="0.3">
      <c r="A4" s="122"/>
      <c r="B4" s="120"/>
      <c r="C4" s="120"/>
      <c r="D4" s="66" t="s">
        <v>136</v>
      </c>
      <c r="E4" s="66" t="s">
        <v>140</v>
      </c>
      <c r="F4" s="66" t="s">
        <v>141</v>
      </c>
      <c r="G4" s="66" t="s">
        <v>142</v>
      </c>
      <c r="H4" s="66" t="s">
        <v>143</v>
      </c>
      <c r="I4" s="120"/>
      <c r="J4" s="124"/>
    </row>
    <row r="5" spans="1:10" ht="22.5" customHeight="1" x14ac:dyDescent="0.25">
      <c r="A5" s="48">
        <v>1</v>
      </c>
      <c r="B5" s="23" t="s">
        <v>24</v>
      </c>
      <c r="C5" s="40">
        <v>500000</v>
      </c>
      <c r="D5" s="38">
        <f>'Purchase Entry'!AQ$804</f>
        <v>0</v>
      </c>
      <c r="E5" s="38">
        <f>'Purchase Entry'!AQ$805</f>
        <v>0</v>
      </c>
      <c r="F5" s="29">
        <f>SUM('Purchase Entry'!AQ$3:AQ$802)</f>
        <v>0</v>
      </c>
      <c r="G5" s="38">
        <f>'Purchase Entry'!AR$804</f>
        <v>0</v>
      </c>
      <c r="H5" s="39">
        <f>SUM('Purchase Entry'!$AR3:AR$802)</f>
        <v>0</v>
      </c>
      <c r="I5" s="28">
        <f>SUM(H5,F5)</f>
        <v>0</v>
      </c>
      <c r="J5" s="49">
        <f t="shared" ref="J5:J13" si="0">C5-I5</f>
        <v>500000</v>
      </c>
    </row>
    <row r="6" spans="1:10" ht="22.5" customHeight="1" x14ac:dyDescent="0.25">
      <c r="A6" s="50">
        <v>2</v>
      </c>
      <c r="B6" s="24" t="s">
        <v>27</v>
      </c>
      <c r="C6" s="41">
        <v>1000000</v>
      </c>
      <c r="D6" s="38">
        <f>'Purchase Entry'!AS$804</f>
        <v>1</v>
      </c>
      <c r="E6" s="38">
        <f>'Purchase Entry'!AS$805</f>
        <v>0</v>
      </c>
      <c r="F6" s="29">
        <f>SUM('Purchase Entry'!AS$3:AS$802)</f>
        <v>150000</v>
      </c>
      <c r="G6" s="38">
        <f>'Purchase Entry'!AT$804</f>
        <v>1</v>
      </c>
      <c r="H6" s="39">
        <f>SUM('Purchase Entry'!AT$3:AT$802)</f>
        <v>18000</v>
      </c>
      <c r="I6" s="28">
        <f t="shared" ref="I6:I13" si="1">SUM(H6,F6)</f>
        <v>168000</v>
      </c>
      <c r="J6" s="49">
        <f t="shared" si="0"/>
        <v>832000</v>
      </c>
    </row>
    <row r="7" spans="1:10" ht="22.5" customHeight="1" x14ac:dyDescent="0.25">
      <c r="A7" s="50">
        <v>3</v>
      </c>
      <c r="B7" s="24" t="s">
        <v>29</v>
      </c>
      <c r="C7" s="41">
        <v>500000</v>
      </c>
      <c r="D7" s="38">
        <f>'Purchase Entry'!AU$804</f>
        <v>0</v>
      </c>
      <c r="E7" s="38">
        <f>'Purchase Entry'!AU$805</f>
        <v>0</v>
      </c>
      <c r="F7" s="29">
        <f>SUM('Purchase Entry'!AU$3:AU$802)</f>
        <v>0</v>
      </c>
      <c r="G7" s="38">
        <f>'Purchase Entry'!AV$804</f>
        <v>1</v>
      </c>
      <c r="H7" s="39">
        <f>SUM('Purchase Entry'!AV$3:AV$802)</f>
        <v>8000</v>
      </c>
      <c r="I7" s="28">
        <f t="shared" si="1"/>
        <v>8000</v>
      </c>
      <c r="J7" s="49">
        <f t="shared" si="0"/>
        <v>492000</v>
      </c>
    </row>
    <row r="8" spans="1:10" ht="22.5" customHeight="1" x14ac:dyDescent="0.25">
      <c r="A8" s="50">
        <v>4</v>
      </c>
      <c r="B8" s="24" t="s">
        <v>32</v>
      </c>
      <c r="C8" s="41">
        <v>200000</v>
      </c>
      <c r="D8" s="38">
        <f>'Purchase Entry'!AW$804</f>
        <v>0</v>
      </c>
      <c r="E8" s="38">
        <f>'Purchase Entry'!AW$805</f>
        <v>0</v>
      </c>
      <c r="F8" s="29">
        <f>SUM('Purchase Entry'!AW$3:AW$802)</f>
        <v>0</v>
      </c>
      <c r="G8" s="38">
        <f>'Purchase Entry'!AX$804</f>
        <v>0</v>
      </c>
      <c r="H8" s="39">
        <f>SUM('Purchase Entry'!AX$3:AX$802)</f>
        <v>0</v>
      </c>
      <c r="I8" s="28">
        <f t="shared" si="1"/>
        <v>0</v>
      </c>
      <c r="J8" s="49">
        <f t="shared" si="0"/>
        <v>200000</v>
      </c>
    </row>
    <row r="9" spans="1:10" ht="22.5" customHeight="1" x14ac:dyDescent="0.25">
      <c r="A9" s="50">
        <v>5</v>
      </c>
      <c r="B9" s="24" t="s">
        <v>31</v>
      </c>
      <c r="C9" s="41">
        <v>1000000</v>
      </c>
      <c r="D9" s="38">
        <f>'Purchase Entry'!AY$804</f>
        <v>0</v>
      </c>
      <c r="E9" s="38">
        <f>'Purchase Entry'!AY$805</f>
        <v>0</v>
      </c>
      <c r="F9" s="29">
        <f>SUM('Purchase Entry'!AY$3:AY$802)</f>
        <v>0</v>
      </c>
      <c r="G9" s="38">
        <f>'Purchase Entry'!AZ$804</f>
        <v>1</v>
      </c>
      <c r="H9" s="39">
        <f>SUM('Purchase Entry'!AZ$3:AZ$802)</f>
        <v>2500</v>
      </c>
      <c r="I9" s="28">
        <f t="shared" si="1"/>
        <v>2500</v>
      </c>
      <c r="J9" s="49">
        <f t="shared" si="0"/>
        <v>997500</v>
      </c>
    </row>
    <row r="10" spans="1:10" ht="22.5" customHeight="1" x14ac:dyDescent="0.25">
      <c r="A10" s="50">
        <v>6</v>
      </c>
      <c r="B10" s="24" t="s">
        <v>25</v>
      </c>
      <c r="C10" s="41">
        <v>1000000</v>
      </c>
      <c r="D10" s="38">
        <f>'Purchase Entry'!BA$804</f>
        <v>0</v>
      </c>
      <c r="E10" s="38">
        <f>'Purchase Entry'!BA$805</f>
        <v>0</v>
      </c>
      <c r="F10" s="29">
        <f>SUM('Purchase Entry'!BA$3:BA$802)</f>
        <v>0</v>
      </c>
      <c r="G10" s="38">
        <f>'Purchase Entry'!BB$804</f>
        <v>1</v>
      </c>
      <c r="H10" s="39">
        <f>SUM('Purchase Entry'!BB$3:BBJ$802)</f>
        <v>14000</v>
      </c>
      <c r="I10" s="28">
        <f t="shared" si="1"/>
        <v>14000</v>
      </c>
      <c r="J10" s="49">
        <f t="shared" si="0"/>
        <v>986000</v>
      </c>
    </row>
    <row r="11" spans="1:10" ht="22.5" customHeight="1" x14ac:dyDescent="0.25">
      <c r="A11" s="50">
        <v>7</v>
      </c>
      <c r="B11" s="24" t="s">
        <v>28</v>
      </c>
      <c r="C11" s="41">
        <v>100000</v>
      </c>
      <c r="D11" s="38">
        <f>'Purchase Entry'!BC$804</f>
        <v>0</v>
      </c>
      <c r="E11" s="38">
        <f>'Purchase Entry'!BC$805</f>
        <v>0</v>
      </c>
      <c r="F11" s="29">
        <f>SUM('Purchase Entry'!BC$3:BC$802)</f>
        <v>0</v>
      </c>
      <c r="G11" s="38">
        <f>'Purchase Entry'!BD$804</f>
        <v>0</v>
      </c>
      <c r="H11" s="39">
        <f>SUM('Purchase Entry'!BD$3:BD$802)</f>
        <v>0</v>
      </c>
      <c r="I11" s="28">
        <f t="shared" si="1"/>
        <v>0</v>
      </c>
      <c r="J11" s="49">
        <f t="shared" si="0"/>
        <v>100000</v>
      </c>
    </row>
    <row r="12" spans="1:10" ht="22.5" customHeight="1" x14ac:dyDescent="0.25">
      <c r="A12" s="50">
        <v>8</v>
      </c>
      <c r="B12" s="24" t="s">
        <v>26</v>
      </c>
      <c r="C12" s="41">
        <v>300000</v>
      </c>
      <c r="D12" s="38">
        <f>'Purchase Entry'!BE$804</f>
        <v>0</v>
      </c>
      <c r="E12" s="38">
        <f>'Purchase Entry'!BE$805</f>
        <v>0</v>
      </c>
      <c r="F12" s="29">
        <f>SUM('Purchase Entry'!BE$3:BE$802)</f>
        <v>0</v>
      </c>
      <c r="G12" s="38">
        <f>'Purchase Entry'!BF$804</f>
        <v>0</v>
      </c>
      <c r="H12" s="39">
        <f>SUM('Purchase Entry'!BF$3:BF$802)</f>
        <v>0</v>
      </c>
      <c r="I12" s="28">
        <f t="shared" si="1"/>
        <v>0</v>
      </c>
      <c r="J12" s="49">
        <f t="shared" si="0"/>
        <v>300000</v>
      </c>
    </row>
    <row r="13" spans="1:10" ht="22.5" customHeight="1" thickBot="1" x14ac:dyDescent="0.3">
      <c r="A13" s="52">
        <v>9</v>
      </c>
      <c r="B13" s="53" t="s">
        <v>30</v>
      </c>
      <c r="C13" s="54">
        <v>500000</v>
      </c>
      <c r="D13" s="55">
        <f>'Purchase Entry'!BG$804</f>
        <v>0</v>
      </c>
      <c r="E13" s="55">
        <f>'Purchase Entry'!BG$805</f>
        <v>0</v>
      </c>
      <c r="F13" s="64">
        <f>SUM('Purchase Entry'!BG$3:BG$802)</f>
        <v>0</v>
      </c>
      <c r="G13" s="55">
        <f>'Purchase Entry'!BG$804</f>
        <v>0</v>
      </c>
      <c r="H13" s="57">
        <f>SUM('Purchase Entry'!BH$3:BH$802)</f>
        <v>0</v>
      </c>
      <c r="I13" s="28">
        <f t="shared" si="1"/>
        <v>0</v>
      </c>
      <c r="J13" s="65">
        <f t="shared" si="0"/>
        <v>500000</v>
      </c>
    </row>
    <row r="14" spans="1:10" ht="20.25" thickBot="1" x14ac:dyDescent="0.35">
      <c r="A14" s="114" t="s">
        <v>121</v>
      </c>
      <c r="B14" s="127"/>
      <c r="C14" s="59">
        <f>SUM(C5:C13)</f>
        <v>5100000</v>
      </c>
      <c r="D14" s="60">
        <f>SUM(D5:D13)</f>
        <v>1</v>
      </c>
      <c r="E14" s="60">
        <f>SUM(E5:E13)</f>
        <v>0</v>
      </c>
      <c r="F14" s="61">
        <f t="shared" ref="F14:J14" si="2">SUM(F5:F13)</f>
        <v>150000</v>
      </c>
      <c r="G14" s="60">
        <f>SUM(G5:G13)</f>
        <v>4</v>
      </c>
      <c r="H14" s="62">
        <f>SUM(H5:H13)</f>
        <v>42500</v>
      </c>
      <c r="I14" s="61">
        <f t="shared" si="2"/>
        <v>192500</v>
      </c>
      <c r="J14" s="63">
        <f t="shared" si="2"/>
        <v>4907500</v>
      </c>
    </row>
  </sheetData>
  <sheetProtection password="DE5B" sheet="1" objects="1" scenarios="1" selectLockedCells="1"/>
  <mergeCells count="10">
    <mergeCell ref="A1:J1"/>
    <mergeCell ref="A2:J2"/>
    <mergeCell ref="A14:B14"/>
    <mergeCell ref="A3:A4"/>
    <mergeCell ref="B3:B4"/>
    <mergeCell ref="C3:C4"/>
    <mergeCell ref="D3:F3"/>
    <mergeCell ref="G3:H3"/>
    <mergeCell ref="I3:I4"/>
    <mergeCell ref="J3:J4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76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-0.249977111117893"/>
    <pageSetUpPr fitToPage="1"/>
  </sheetPr>
  <dimension ref="A1:J747"/>
  <sheetViews>
    <sheetView workbookViewId="0">
      <selection activeCell="D4" sqref="D4:E4"/>
    </sheetView>
  </sheetViews>
  <sheetFormatPr defaultRowHeight="15" x14ac:dyDescent="0.25"/>
  <cols>
    <col min="1" max="1" width="6.7109375" style="69" bestFit="1" customWidth="1"/>
    <col min="2" max="2" width="14.7109375" customWidth="1"/>
    <col min="3" max="3" width="22.85546875" customWidth="1"/>
    <col min="4" max="4" width="8.42578125" bestFit="1" customWidth="1"/>
    <col min="5" max="5" width="19.140625" style="74" bestFit="1" customWidth="1"/>
    <col min="6" max="6" width="16" style="67" customWidth="1"/>
    <col min="7" max="7" width="16.140625" style="69" bestFit="1" customWidth="1"/>
    <col min="8" max="8" width="19.140625" style="68" customWidth="1"/>
    <col min="9" max="9" width="20" bestFit="1" customWidth="1"/>
    <col min="10" max="10" width="19.140625" bestFit="1" customWidth="1"/>
  </cols>
  <sheetData>
    <row r="1" spans="1:10" ht="23.25" x14ac:dyDescent="0.25">
      <c r="A1" s="128" t="s">
        <v>109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ht="18.75" x14ac:dyDescent="0.25">
      <c r="A2" s="129" t="s">
        <v>162</v>
      </c>
      <c r="B2" s="129"/>
      <c r="C2" s="129"/>
      <c r="D2" s="129"/>
      <c r="E2" s="129"/>
      <c r="F2" s="129"/>
      <c r="G2" s="129"/>
      <c r="H2" s="129"/>
      <c r="I2" s="129"/>
      <c r="J2" s="129"/>
    </row>
    <row r="4" spans="1:10" ht="21" x14ac:dyDescent="0.35">
      <c r="A4" s="130" t="s">
        <v>161</v>
      </c>
      <c r="B4" s="130"/>
      <c r="C4" s="130"/>
      <c r="D4" s="131">
        <v>540000</v>
      </c>
      <c r="E4" s="132"/>
      <c r="G4" s="136" t="s">
        <v>163</v>
      </c>
      <c r="H4" s="136"/>
      <c r="I4" s="137">
        <f>D4-SUM(F7:F17)</f>
        <v>300000</v>
      </c>
      <c r="J4" s="138"/>
    </row>
    <row r="6" spans="1:10" s="7" customFormat="1" ht="56.25" x14ac:dyDescent="0.25">
      <c r="A6" s="70" t="s">
        <v>14</v>
      </c>
      <c r="B6" s="70" t="s">
        <v>155</v>
      </c>
      <c r="C6" s="70" t="s">
        <v>19</v>
      </c>
      <c r="D6" s="70" t="s">
        <v>156</v>
      </c>
      <c r="E6" s="71" t="s">
        <v>157</v>
      </c>
      <c r="F6" s="73" t="s">
        <v>158</v>
      </c>
      <c r="G6" s="70" t="s">
        <v>168</v>
      </c>
      <c r="H6" s="71" t="s">
        <v>159</v>
      </c>
      <c r="I6" s="70" t="s">
        <v>169</v>
      </c>
      <c r="J6" s="70" t="s">
        <v>160</v>
      </c>
    </row>
    <row r="7" spans="1:10" ht="15.75" x14ac:dyDescent="0.25">
      <c r="A7" s="77">
        <v>1</v>
      </c>
      <c r="B7" s="78">
        <v>15593</v>
      </c>
      <c r="C7" s="79" t="s">
        <v>63</v>
      </c>
      <c r="D7" s="77">
        <v>11648</v>
      </c>
      <c r="E7" s="80">
        <v>41153</v>
      </c>
      <c r="F7" s="81">
        <v>60000</v>
      </c>
      <c r="G7" s="77" t="s">
        <v>175</v>
      </c>
      <c r="H7" s="82">
        <v>41167</v>
      </c>
      <c r="I7" s="77" t="s">
        <v>175</v>
      </c>
      <c r="J7" s="82">
        <v>41176</v>
      </c>
    </row>
    <row r="8" spans="1:10" ht="15.75" x14ac:dyDescent="0.25">
      <c r="A8" s="77">
        <v>2</v>
      </c>
      <c r="B8" s="78">
        <v>15362</v>
      </c>
      <c r="C8" s="79" t="s">
        <v>57</v>
      </c>
      <c r="D8" s="77">
        <v>11649</v>
      </c>
      <c r="E8" s="80">
        <v>41153</v>
      </c>
      <c r="F8" s="81">
        <v>60000</v>
      </c>
      <c r="G8" s="77" t="s">
        <v>175</v>
      </c>
      <c r="H8" s="82">
        <v>41172</v>
      </c>
      <c r="I8" s="77" t="s">
        <v>176</v>
      </c>
      <c r="J8" s="82"/>
    </row>
    <row r="9" spans="1:10" ht="15.75" x14ac:dyDescent="0.25">
      <c r="A9" s="77">
        <v>3</v>
      </c>
      <c r="B9" s="78">
        <v>15337</v>
      </c>
      <c r="C9" s="79" t="s">
        <v>73</v>
      </c>
      <c r="D9" s="77">
        <v>11690</v>
      </c>
      <c r="E9" s="80">
        <v>41162</v>
      </c>
      <c r="F9" s="81">
        <v>60000</v>
      </c>
      <c r="G9" s="77" t="s">
        <v>176</v>
      </c>
      <c r="H9" s="82"/>
      <c r="I9" s="77" t="s">
        <v>176</v>
      </c>
      <c r="J9" s="82"/>
    </row>
    <row r="10" spans="1:10" ht="15.75" x14ac:dyDescent="0.25">
      <c r="A10" s="77">
        <v>4</v>
      </c>
      <c r="B10" s="78">
        <v>16042</v>
      </c>
      <c r="C10" s="79" t="s">
        <v>7</v>
      </c>
      <c r="D10" s="77">
        <v>11720</v>
      </c>
      <c r="E10" s="80">
        <v>41172</v>
      </c>
      <c r="F10" s="81">
        <v>60000</v>
      </c>
      <c r="G10" s="77" t="s">
        <v>176</v>
      </c>
      <c r="H10" s="82"/>
      <c r="I10" s="77" t="s">
        <v>176</v>
      </c>
      <c r="J10" s="82"/>
    </row>
    <row r="11" spans="1:10" ht="15.75" x14ac:dyDescent="0.25">
      <c r="A11" s="77"/>
      <c r="B11" s="79"/>
      <c r="C11" s="79"/>
      <c r="D11" s="77"/>
      <c r="E11" s="80"/>
      <c r="F11" s="81"/>
      <c r="G11" s="77"/>
      <c r="H11" s="82"/>
      <c r="I11" s="77"/>
      <c r="J11" s="82"/>
    </row>
    <row r="12" spans="1:10" ht="15.75" x14ac:dyDescent="0.25">
      <c r="A12" s="77"/>
      <c r="B12" s="79"/>
      <c r="C12" s="79"/>
      <c r="D12" s="77"/>
      <c r="E12" s="80"/>
      <c r="F12" s="81"/>
      <c r="G12" s="77"/>
      <c r="H12" s="82"/>
      <c r="I12" s="77"/>
      <c r="J12" s="82"/>
    </row>
    <row r="13" spans="1:10" ht="15.75" x14ac:dyDescent="0.25">
      <c r="A13" s="77"/>
      <c r="B13" s="79"/>
      <c r="C13" s="79"/>
      <c r="D13" s="77"/>
      <c r="E13" s="80"/>
      <c r="F13" s="81"/>
      <c r="G13" s="77"/>
      <c r="H13" s="82"/>
      <c r="I13" s="77"/>
      <c r="J13" s="82"/>
    </row>
    <row r="14" spans="1:10" ht="15.75" x14ac:dyDescent="0.25">
      <c r="A14" s="77"/>
      <c r="B14" s="79"/>
      <c r="C14" s="79"/>
      <c r="D14" s="77"/>
      <c r="E14" s="80"/>
      <c r="F14" s="83"/>
      <c r="G14" s="77"/>
      <c r="H14" s="84"/>
      <c r="I14" s="77"/>
      <c r="J14" s="82"/>
    </row>
    <row r="15" spans="1:10" ht="15.75" x14ac:dyDescent="0.25">
      <c r="A15" s="77"/>
      <c r="B15" s="79"/>
      <c r="C15" s="79"/>
      <c r="D15" s="77"/>
      <c r="E15" s="80"/>
      <c r="F15" s="83"/>
      <c r="G15" s="77"/>
      <c r="H15" s="84"/>
      <c r="I15" s="77"/>
      <c r="J15" s="82"/>
    </row>
    <row r="16" spans="1:10" ht="15.75" x14ac:dyDescent="0.25">
      <c r="A16" s="77"/>
      <c r="B16" s="79"/>
      <c r="C16" s="79"/>
      <c r="D16" s="77"/>
      <c r="E16" s="80"/>
      <c r="F16" s="83"/>
      <c r="G16" s="77"/>
      <c r="H16" s="84"/>
      <c r="I16" s="77"/>
      <c r="J16" s="82"/>
    </row>
    <row r="17" spans="1:10" ht="15.75" x14ac:dyDescent="0.25">
      <c r="A17" s="77"/>
      <c r="B17" s="79"/>
      <c r="C17" s="79"/>
      <c r="D17" s="77"/>
      <c r="E17" s="80"/>
      <c r="F17" s="81"/>
      <c r="G17" s="77" t="str">
        <f t="shared" ref="G17" si="0">IF(NOT(ISBLANK(H17)),"Yes",IF(NOT(ISBLANK(D17)),"No",""))</f>
        <v/>
      </c>
      <c r="H17" s="82"/>
      <c r="I17" s="77" t="str">
        <f t="shared" ref="I17" si="1">IF(NOT(ISBLANK(J17)),"Yes",IF(NOT(ISBLANK(D17)),"No",""))</f>
        <v/>
      </c>
      <c r="J17" s="82"/>
    </row>
    <row r="18" spans="1:10" ht="18.75" x14ac:dyDescent="0.3">
      <c r="A18" s="72"/>
      <c r="B18" s="133" t="s">
        <v>164</v>
      </c>
      <c r="C18" s="134"/>
      <c r="D18" s="134"/>
      <c r="E18" s="135"/>
      <c r="F18" s="76">
        <f>SUM(F7:F17)</f>
        <v>240000</v>
      </c>
      <c r="G18" s="139" t="str">
        <f t="shared" ref="G18:G73" si="2">IF(NOT(ISBLANK(H18)),"Yes","")</f>
        <v/>
      </c>
      <c r="H18" s="140"/>
      <c r="I18" s="140"/>
      <c r="J18" s="141"/>
    </row>
    <row r="19" spans="1:10" x14ac:dyDescent="0.25">
      <c r="G19" s="69" t="str">
        <f t="shared" si="2"/>
        <v/>
      </c>
      <c r="I19" s="75" t="str">
        <f t="shared" ref="I19:I24" si="3">IF(NOT(ISBLANK(J19)),"Yes","")</f>
        <v/>
      </c>
    </row>
    <row r="20" spans="1:10" x14ac:dyDescent="0.25">
      <c r="G20" s="69" t="str">
        <f t="shared" si="2"/>
        <v/>
      </c>
      <c r="I20" s="75" t="str">
        <f t="shared" si="3"/>
        <v/>
      </c>
    </row>
    <row r="21" spans="1:10" x14ac:dyDescent="0.25">
      <c r="G21" s="69" t="str">
        <f t="shared" si="2"/>
        <v/>
      </c>
      <c r="I21" s="75" t="str">
        <f t="shared" si="3"/>
        <v/>
      </c>
    </row>
    <row r="22" spans="1:10" x14ac:dyDescent="0.25">
      <c r="G22" s="69" t="str">
        <f t="shared" si="2"/>
        <v/>
      </c>
      <c r="I22" s="75" t="str">
        <f t="shared" si="3"/>
        <v/>
      </c>
    </row>
    <row r="23" spans="1:10" x14ac:dyDescent="0.25">
      <c r="G23" s="69" t="str">
        <f t="shared" si="2"/>
        <v/>
      </c>
      <c r="I23" s="75" t="str">
        <f t="shared" si="3"/>
        <v/>
      </c>
    </row>
    <row r="24" spans="1:10" x14ac:dyDescent="0.25">
      <c r="G24" s="69" t="str">
        <f t="shared" si="2"/>
        <v/>
      </c>
      <c r="I24" s="75" t="str">
        <f t="shared" si="3"/>
        <v/>
      </c>
    </row>
    <row r="25" spans="1:10" x14ac:dyDescent="0.25">
      <c r="G25" s="69" t="str">
        <f t="shared" si="2"/>
        <v/>
      </c>
    </row>
    <row r="26" spans="1:10" x14ac:dyDescent="0.25">
      <c r="G26" s="69" t="str">
        <f t="shared" si="2"/>
        <v/>
      </c>
    </row>
    <row r="31" spans="1:10" x14ac:dyDescent="0.25">
      <c r="G31" s="69" t="str">
        <f t="shared" si="2"/>
        <v/>
      </c>
    </row>
    <row r="32" spans="1:10" x14ac:dyDescent="0.25">
      <c r="G32" s="69" t="str">
        <f t="shared" si="2"/>
        <v/>
      </c>
    </row>
    <row r="33" spans="7:7" x14ac:dyDescent="0.25">
      <c r="G33" s="69" t="str">
        <f t="shared" si="2"/>
        <v/>
      </c>
    </row>
    <row r="34" spans="7:7" x14ac:dyDescent="0.25">
      <c r="G34" s="69" t="str">
        <f t="shared" si="2"/>
        <v/>
      </c>
    </row>
    <row r="35" spans="7:7" x14ac:dyDescent="0.25">
      <c r="G35" s="69" t="str">
        <f t="shared" si="2"/>
        <v/>
      </c>
    </row>
    <row r="36" spans="7:7" x14ac:dyDescent="0.25">
      <c r="G36" s="69" t="str">
        <f t="shared" si="2"/>
        <v/>
      </c>
    </row>
    <row r="37" spans="7:7" x14ac:dyDescent="0.25">
      <c r="G37" s="69" t="str">
        <f t="shared" si="2"/>
        <v/>
      </c>
    </row>
    <row r="38" spans="7:7" x14ac:dyDescent="0.25">
      <c r="G38" s="69" t="str">
        <f t="shared" si="2"/>
        <v/>
      </c>
    </row>
    <row r="39" spans="7:7" x14ac:dyDescent="0.25">
      <c r="G39" s="69" t="str">
        <f t="shared" si="2"/>
        <v/>
      </c>
    </row>
    <row r="40" spans="7:7" x14ac:dyDescent="0.25">
      <c r="G40" s="69" t="str">
        <f t="shared" si="2"/>
        <v/>
      </c>
    </row>
    <row r="41" spans="7:7" x14ac:dyDescent="0.25">
      <c r="G41" s="69" t="str">
        <f t="shared" si="2"/>
        <v/>
      </c>
    </row>
    <row r="42" spans="7:7" x14ac:dyDescent="0.25">
      <c r="G42" s="69" t="str">
        <f t="shared" si="2"/>
        <v/>
      </c>
    </row>
    <row r="43" spans="7:7" x14ac:dyDescent="0.25">
      <c r="G43" s="69" t="str">
        <f t="shared" si="2"/>
        <v/>
      </c>
    </row>
    <row r="44" spans="7:7" x14ac:dyDescent="0.25">
      <c r="G44" s="69" t="str">
        <f t="shared" si="2"/>
        <v/>
      </c>
    </row>
    <row r="45" spans="7:7" x14ac:dyDescent="0.25">
      <c r="G45" s="69" t="str">
        <f t="shared" si="2"/>
        <v/>
      </c>
    </row>
    <row r="46" spans="7:7" x14ac:dyDescent="0.25">
      <c r="G46" s="69" t="str">
        <f t="shared" si="2"/>
        <v/>
      </c>
    </row>
    <row r="47" spans="7:7" x14ac:dyDescent="0.25">
      <c r="G47" s="69" t="str">
        <f t="shared" si="2"/>
        <v/>
      </c>
    </row>
    <row r="48" spans="7:7" x14ac:dyDescent="0.25">
      <c r="G48" s="69" t="str">
        <f t="shared" si="2"/>
        <v/>
      </c>
    </row>
    <row r="49" spans="7:7" x14ac:dyDescent="0.25">
      <c r="G49" s="69" t="str">
        <f t="shared" si="2"/>
        <v/>
      </c>
    </row>
    <row r="50" spans="7:7" x14ac:dyDescent="0.25">
      <c r="G50" s="69" t="str">
        <f t="shared" si="2"/>
        <v/>
      </c>
    </row>
    <row r="51" spans="7:7" x14ac:dyDescent="0.25">
      <c r="G51" s="69" t="str">
        <f t="shared" si="2"/>
        <v/>
      </c>
    </row>
    <row r="52" spans="7:7" x14ac:dyDescent="0.25">
      <c r="G52" s="69" t="str">
        <f t="shared" si="2"/>
        <v/>
      </c>
    </row>
    <row r="53" spans="7:7" x14ac:dyDescent="0.25">
      <c r="G53" s="69" t="str">
        <f t="shared" si="2"/>
        <v/>
      </c>
    </row>
    <row r="54" spans="7:7" x14ac:dyDescent="0.25">
      <c r="G54" s="69" t="str">
        <f t="shared" si="2"/>
        <v/>
      </c>
    </row>
    <row r="55" spans="7:7" x14ac:dyDescent="0.25">
      <c r="G55" s="69" t="str">
        <f t="shared" si="2"/>
        <v/>
      </c>
    </row>
    <row r="56" spans="7:7" x14ac:dyDescent="0.25">
      <c r="G56" s="69" t="str">
        <f t="shared" si="2"/>
        <v/>
      </c>
    </row>
    <row r="57" spans="7:7" x14ac:dyDescent="0.25">
      <c r="G57" s="69" t="str">
        <f t="shared" si="2"/>
        <v/>
      </c>
    </row>
    <row r="58" spans="7:7" x14ac:dyDescent="0.25">
      <c r="G58" s="69" t="str">
        <f t="shared" si="2"/>
        <v/>
      </c>
    </row>
    <row r="59" spans="7:7" x14ac:dyDescent="0.25">
      <c r="G59" s="69" t="str">
        <f t="shared" si="2"/>
        <v/>
      </c>
    </row>
    <row r="60" spans="7:7" x14ac:dyDescent="0.25">
      <c r="G60" s="69" t="str">
        <f t="shared" si="2"/>
        <v/>
      </c>
    </row>
    <row r="61" spans="7:7" x14ac:dyDescent="0.25">
      <c r="G61" s="69" t="str">
        <f t="shared" si="2"/>
        <v/>
      </c>
    </row>
    <row r="62" spans="7:7" x14ac:dyDescent="0.25">
      <c r="G62" s="69" t="str">
        <f t="shared" si="2"/>
        <v/>
      </c>
    </row>
    <row r="63" spans="7:7" x14ac:dyDescent="0.25">
      <c r="G63" s="69" t="str">
        <f t="shared" si="2"/>
        <v/>
      </c>
    </row>
    <row r="64" spans="7:7" x14ac:dyDescent="0.25">
      <c r="G64" s="69" t="str">
        <f t="shared" si="2"/>
        <v/>
      </c>
    </row>
    <row r="65" spans="7:7" x14ac:dyDescent="0.25">
      <c r="G65" s="69" t="str">
        <f t="shared" si="2"/>
        <v/>
      </c>
    </row>
    <row r="66" spans="7:7" x14ac:dyDescent="0.25">
      <c r="G66" s="69" t="str">
        <f t="shared" si="2"/>
        <v/>
      </c>
    </row>
    <row r="67" spans="7:7" x14ac:dyDescent="0.25">
      <c r="G67" s="69" t="str">
        <f t="shared" si="2"/>
        <v/>
      </c>
    </row>
    <row r="68" spans="7:7" x14ac:dyDescent="0.25">
      <c r="G68" s="69" t="str">
        <f t="shared" si="2"/>
        <v/>
      </c>
    </row>
    <row r="69" spans="7:7" x14ac:dyDescent="0.25">
      <c r="G69" s="69" t="str">
        <f t="shared" si="2"/>
        <v/>
      </c>
    </row>
    <row r="70" spans="7:7" x14ac:dyDescent="0.25">
      <c r="G70" s="69" t="str">
        <f t="shared" si="2"/>
        <v/>
      </c>
    </row>
    <row r="71" spans="7:7" x14ac:dyDescent="0.25">
      <c r="G71" s="69" t="str">
        <f t="shared" si="2"/>
        <v/>
      </c>
    </row>
    <row r="72" spans="7:7" x14ac:dyDescent="0.25">
      <c r="G72" s="69" t="str">
        <f t="shared" si="2"/>
        <v/>
      </c>
    </row>
    <row r="73" spans="7:7" x14ac:dyDescent="0.25">
      <c r="G73" s="69" t="str">
        <f t="shared" si="2"/>
        <v/>
      </c>
    </row>
    <row r="74" spans="7:7" x14ac:dyDescent="0.25">
      <c r="G74" s="69" t="str">
        <f t="shared" ref="G74:G137" si="4">IF(NOT(ISBLANK(H74)),"Yes","")</f>
        <v/>
      </c>
    </row>
    <row r="75" spans="7:7" x14ac:dyDescent="0.25">
      <c r="G75" s="69" t="str">
        <f t="shared" si="4"/>
        <v/>
      </c>
    </row>
    <row r="76" spans="7:7" x14ac:dyDescent="0.25">
      <c r="G76" s="69" t="str">
        <f t="shared" si="4"/>
        <v/>
      </c>
    </row>
    <row r="77" spans="7:7" x14ac:dyDescent="0.25">
      <c r="G77" s="69" t="str">
        <f t="shared" si="4"/>
        <v/>
      </c>
    </row>
    <row r="78" spans="7:7" x14ac:dyDescent="0.25">
      <c r="G78" s="69" t="str">
        <f t="shared" si="4"/>
        <v/>
      </c>
    </row>
    <row r="79" spans="7:7" x14ac:dyDescent="0.25">
      <c r="G79" s="69" t="str">
        <f t="shared" si="4"/>
        <v/>
      </c>
    </row>
    <row r="80" spans="7:7" x14ac:dyDescent="0.25">
      <c r="G80" s="69" t="str">
        <f t="shared" si="4"/>
        <v/>
      </c>
    </row>
    <row r="81" spans="7:7" x14ac:dyDescent="0.25">
      <c r="G81" s="69" t="str">
        <f t="shared" si="4"/>
        <v/>
      </c>
    </row>
    <row r="82" spans="7:7" x14ac:dyDescent="0.25">
      <c r="G82" s="69" t="str">
        <f t="shared" si="4"/>
        <v/>
      </c>
    </row>
    <row r="83" spans="7:7" x14ac:dyDescent="0.25">
      <c r="G83" s="69" t="str">
        <f t="shared" si="4"/>
        <v/>
      </c>
    </row>
    <row r="84" spans="7:7" x14ac:dyDescent="0.25">
      <c r="G84" s="69" t="str">
        <f t="shared" si="4"/>
        <v/>
      </c>
    </row>
    <row r="85" spans="7:7" x14ac:dyDescent="0.25">
      <c r="G85" s="69" t="str">
        <f t="shared" si="4"/>
        <v/>
      </c>
    </row>
    <row r="86" spans="7:7" x14ac:dyDescent="0.25">
      <c r="G86" s="69" t="str">
        <f t="shared" si="4"/>
        <v/>
      </c>
    </row>
    <row r="87" spans="7:7" x14ac:dyDescent="0.25">
      <c r="G87" s="69" t="str">
        <f t="shared" si="4"/>
        <v/>
      </c>
    </row>
    <row r="88" spans="7:7" x14ac:dyDescent="0.25">
      <c r="G88" s="69" t="str">
        <f t="shared" si="4"/>
        <v/>
      </c>
    </row>
    <row r="89" spans="7:7" x14ac:dyDescent="0.25">
      <c r="G89" s="69" t="str">
        <f t="shared" si="4"/>
        <v/>
      </c>
    </row>
    <row r="90" spans="7:7" x14ac:dyDescent="0.25">
      <c r="G90" s="69" t="str">
        <f t="shared" si="4"/>
        <v/>
      </c>
    </row>
    <row r="91" spans="7:7" x14ac:dyDescent="0.25">
      <c r="G91" s="69" t="str">
        <f t="shared" si="4"/>
        <v/>
      </c>
    </row>
    <row r="92" spans="7:7" x14ac:dyDescent="0.25">
      <c r="G92" s="69" t="str">
        <f t="shared" si="4"/>
        <v/>
      </c>
    </row>
    <row r="93" spans="7:7" x14ac:dyDescent="0.25">
      <c r="G93" s="69" t="str">
        <f t="shared" si="4"/>
        <v/>
      </c>
    </row>
    <row r="94" spans="7:7" x14ac:dyDescent="0.25">
      <c r="G94" s="69" t="str">
        <f t="shared" si="4"/>
        <v/>
      </c>
    </row>
    <row r="95" spans="7:7" x14ac:dyDescent="0.25">
      <c r="G95" s="69" t="str">
        <f t="shared" si="4"/>
        <v/>
      </c>
    </row>
    <row r="96" spans="7:7" x14ac:dyDescent="0.25">
      <c r="G96" s="69" t="str">
        <f t="shared" si="4"/>
        <v/>
      </c>
    </row>
    <row r="97" spans="7:7" x14ac:dyDescent="0.25">
      <c r="G97" s="69" t="str">
        <f t="shared" si="4"/>
        <v/>
      </c>
    </row>
    <row r="98" spans="7:7" x14ac:dyDescent="0.25">
      <c r="G98" s="69" t="str">
        <f t="shared" si="4"/>
        <v/>
      </c>
    </row>
    <row r="99" spans="7:7" x14ac:dyDescent="0.25">
      <c r="G99" s="69" t="str">
        <f t="shared" si="4"/>
        <v/>
      </c>
    </row>
    <row r="100" spans="7:7" x14ac:dyDescent="0.25">
      <c r="G100" s="69" t="str">
        <f t="shared" si="4"/>
        <v/>
      </c>
    </row>
    <row r="101" spans="7:7" x14ac:dyDescent="0.25">
      <c r="G101" s="69" t="str">
        <f t="shared" si="4"/>
        <v/>
      </c>
    </row>
    <row r="102" spans="7:7" x14ac:dyDescent="0.25">
      <c r="G102" s="69" t="str">
        <f t="shared" si="4"/>
        <v/>
      </c>
    </row>
    <row r="103" spans="7:7" x14ac:dyDescent="0.25">
      <c r="G103" s="69" t="str">
        <f t="shared" si="4"/>
        <v/>
      </c>
    </row>
    <row r="104" spans="7:7" x14ac:dyDescent="0.25">
      <c r="G104" s="69" t="str">
        <f t="shared" si="4"/>
        <v/>
      </c>
    </row>
    <row r="105" spans="7:7" x14ac:dyDescent="0.25">
      <c r="G105" s="69" t="str">
        <f t="shared" si="4"/>
        <v/>
      </c>
    </row>
    <row r="106" spans="7:7" x14ac:dyDescent="0.25">
      <c r="G106" s="69" t="str">
        <f t="shared" si="4"/>
        <v/>
      </c>
    </row>
    <row r="107" spans="7:7" x14ac:dyDescent="0.25">
      <c r="G107" s="69" t="str">
        <f t="shared" si="4"/>
        <v/>
      </c>
    </row>
    <row r="108" spans="7:7" x14ac:dyDescent="0.25">
      <c r="G108" s="69" t="str">
        <f t="shared" si="4"/>
        <v/>
      </c>
    </row>
    <row r="109" spans="7:7" x14ac:dyDescent="0.25">
      <c r="G109" s="69" t="str">
        <f t="shared" si="4"/>
        <v/>
      </c>
    </row>
    <row r="110" spans="7:7" x14ac:dyDescent="0.25">
      <c r="G110" s="69" t="str">
        <f t="shared" si="4"/>
        <v/>
      </c>
    </row>
    <row r="111" spans="7:7" x14ac:dyDescent="0.25">
      <c r="G111" s="69" t="str">
        <f t="shared" si="4"/>
        <v/>
      </c>
    </row>
    <row r="112" spans="7:7" x14ac:dyDescent="0.25">
      <c r="G112" s="69" t="str">
        <f t="shared" si="4"/>
        <v/>
      </c>
    </row>
    <row r="113" spans="7:7" x14ac:dyDescent="0.25">
      <c r="G113" s="69" t="str">
        <f t="shared" si="4"/>
        <v/>
      </c>
    </row>
    <row r="114" spans="7:7" x14ac:dyDescent="0.25">
      <c r="G114" s="69" t="str">
        <f t="shared" si="4"/>
        <v/>
      </c>
    </row>
    <row r="115" spans="7:7" x14ac:dyDescent="0.25">
      <c r="G115" s="69" t="str">
        <f t="shared" si="4"/>
        <v/>
      </c>
    </row>
    <row r="116" spans="7:7" x14ac:dyDescent="0.25">
      <c r="G116" s="69" t="str">
        <f t="shared" si="4"/>
        <v/>
      </c>
    </row>
    <row r="117" spans="7:7" x14ac:dyDescent="0.25">
      <c r="G117" s="69" t="str">
        <f t="shared" si="4"/>
        <v/>
      </c>
    </row>
    <row r="118" spans="7:7" x14ac:dyDescent="0.25">
      <c r="G118" s="69" t="str">
        <f t="shared" si="4"/>
        <v/>
      </c>
    </row>
    <row r="119" spans="7:7" x14ac:dyDescent="0.25">
      <c r="G119" s="69" t="str">
        <f t="shared" si="4"/>
        <v/>
      </c>
    </row>
    <row r="120" spans="7:7" x14ac:dyDescent="0.25">
      <c r="G120" s="69" t="str">
        <f t="shared" si="4"/>
        <v/>
      </c>
    </row>
    <row r="121" spans="7:7" x14ac:dyDescent="0.25">
      <c r="G121" s="69" t="str">
        <f t="shared" si="4"/>
        <v/>
      </c>
    </row>
    <row r="122" spans="7:7" x14ac:dyDescent="0.25">
      <c r="G122" s="69" t="str">
        <f t="shared" si="4"/>
        <v/>
      </c>
    </row>
    <row r="123" spans="7:7" x14ac:dyDescent="0.25">
      <c r="G123" s="69" t="str">
        <f t="shared" si="4"/>
        <v/>
      </c>
    </row>
    <row r="124" spans="7:7" x14ac:dyDescent="0.25">
      <c r="G124" s="69" t="str">
        <f t="shared" si="4"/>
        <v/>
      </c>
    </row>
    <row r="125" spans="7:7" x14ac:dyDescent="0.25">
      <c r="G125" s="69" t="str">
        <f t="shared" si="4"/>
        <v/>
      </c>
    </row>
    <row r="126" spans="7:7" x14ac:dyDescent="0.25">
      <c r="G126" s="69" t="str">
        <f t="shared" si="4"/>
        <v/>
      </c>
    </row>
    <row r="127" spans="7:7" x14ac:dyDescent="0.25">
      <c r="G127" s="69" t="str">
        <f t="shared" si="4"/>
        <v/>
      </c>
    </row>
    <row r="128" spans="7:7" x14ac:dyDescent="0.25">
      <c r="G128" s="69" t="str">
        <f t="shared" si="4"/>
        <v/>
      </c>
    </row>
    <row r="129" spans="7:7" x14ac:dyDescent="0.25">
      <c r="G129" s="69" t="str">
        <f t="shared" si="4"/>
        <v/>
      </c>
    </row>
    <row r="130" spans="7:7" x14ac:dyDescent="0.25">
      <c r="G130" s="69" t="str">
        <f t="shared" si="4"/>
        <v/>
      </c>
    </row>
    <row r="131" spans="7:7" x14ac:dyDescent="0.25">
      <c r="G131" s="69" t="str">
        <f t="shared" si="4"/>
        <v/>
      </c>
    </row>
    <row r="132" spans="7:7" x14ac:dyDescent="0.25">
      <c r="G132" s="69" t="str">
        <f t="shared" si="4"/>
        <v/>
      </c>
    </row>
    <row r="133" spans="7:7" x14ac:dyDescent="0.25">
      <c r="G133" s="69" t="str">
        <f t="shared" si="4"/>
        <v/>
      </c>
    </row>
    <row r="134" spans="7:7" x14ac:dyDescent="0.25">
      <c r="G134" s="69" t="str">
        <f t="shared" si="4"/>
        <v/>
      </c>
    </row>
    <row r="135" spans="7:7" x14ac:dyDescent="0.25">
      <c r="G135" s="69" t="str">
        <f t="shared" si="4"/>
        <v/>
      </c>
    </row>
    <row r="136" spans="7:7" x14ac:dyDescent="0.25">
      <c r="G136" s="69" t="str">
        <f t="shared" si="4"/>
        <v/>
      </c>
    </row>
    <row r="137" spans="7:7" x14ac:dyDescent="0.25">
      <c r="G137" s="69" t="str">
        <f t="shared" si="4"/>
        <v/>
      </c>
    </row>
    <row r="138" spans="7:7" x14ac:dyDescent="0.25">
      <c r="G138" s="69" t="str">
        <f t="shared" ref="G138:G201" si="5">IF(NOT(ISBLANK(H138)),"Yes","")</f>
        <v/>
      </c>
    </row>
    <row r="139" spans="7:7" x14ac:dyDescent="0.25">
      <c r="G139" s="69" t="str">
        <f t="shared" si="5"/>
        <v/>
      </c>
    </row>
    <row r="140" spans="7:7" x14ac:dyDescent="0.25">
      <c r="G140" s="69" t="str">
        <f t="shared" si="5"/>
        <v/>
      </c>
    </row>
    <row r="141" spans="7:7" x14ac:dyDescent="0.25">
      <c r="G141" s="69" t="str">
        <f t="shared" si="5"/>
        <v/>
      </c>
    </row>
    <row r="142" spans="7:7" x14ac:dyDescent="0.25">
      <c r="G142" s="69" t="str">
        <f t="shared" si="5"/>
        <v/>
      </c>
    </row>
    <row r="143" spans="7:7" x14ac:dyDescent="0.25">
      <c r="G143" s="69" t="str">
        <f t="shared" si="5"/>
        <v/>
      </c>
    </row>
    <row r="144" spans="7:7" x14ac:dyDescent="0.25">
      <c r="G144" s="69" t="str">
        <f t="shared" si="5"/>
        <v/>
      </c>
    </row>
    <row r="145" spans="7:7" x14ac:dyDescent="0.25">
      <c r="G145" s="69" t="str">
        <f t="shared" si="5"/>
        <v/>
      </c>
    </row>
    <row r="146" spans="7:7" x14ac:dyDescent="0.25">
      <c r="G146" s="69" t="str">
        <f t="shared" si="5"/>
        <v/>
      </c>
    </row>
    <row r="147" spans="7:7" x14ac:dyDescent="0.25">
      <c r="G147" s="69" t="str">
        <f t="shared" si="5"/>
        <v/>
      </c>
    </row>
    <row r="148" spans="7:7" x14ac:dyDescent="0.25">
      <c r="G148" s="69" t="str">
        <f t="shared" si="5"/>
        <v/>
      </c>
    </row>
    <row r="149" spans="7:7" x14ac:dyDescent="0.25">
      <c r="G149" s="69" t="str">
        <f t="shared" si="5"/>
        <v/>
      </c>
    </row>
    <row r="150" spans="7:7" x14ac:dyDescent="0.25">
      <c r="G150" s="69" t="str">
        <f t="shared" si="5"/>
        <v/>
      </c>
    </row>
    <row r="151" spans="7:7" x14ac:dyDescent="0.25">
      <c r="G151" s="69" t="str">
        <f t="shared" si="5"/>
        <v/>
      </c>
    </row>
    <row r="152" spans="7:7" x14ac:dyDescent="0.25">
      <c r="G152" s="69" t="str">
        <f t="shared" si="5"/>
        <v/>
      </c>
    </row>
    <row r="153" spans="7:7" x14ac:dyDescent="0.25">
      <c r="G153" s="69" t="str">
        <f t="shared" si="5"/>
        <v/>
      </c>
    </row>
    <row r="154" spans="7:7" x14ac:dyDescent="0.25">
      <c r="G154" s="69" t="str">
        <f t="shared" si="5"/>
        <v/>
      </c>
    </row>
    <row r="155" spans="7:7" x14ac:dyDescent="0.25">
      <c r="G155" s="69" t="str">
        <f t="shared" si="5"/>
        <v/>
      </c>
    </row>
    <row r="156" spans="7:7" x14ac:dyDescent="0.25">
      <c r="G156" s="69" t="str">
        <f t="shared" si="5"/>
        <v/>
      </c>
    </row>
    <row r="157" spans="7:7" x14ac:dyDescent="0.25">
      <c r="G157" s="69" t="str">
        <f t="shared" si="5"/>
        <v/>
      </c>
    </row>
    <row r="158" spans="7:7" x14ac:dyDescent="0.25">
      <c r="G158" s="69" t="str">
        <f t="shared" si="5"/>
        <v/>
      </c>
    </row>
    <row r="159" spans="7:7" x14ac:dyDescent="0.25">
      <c r="G159" s="69" t="str">
        <f t="shared" si="5"/>
        <v/>
      </c>
    </row>
    <row r="160" spans="7:7" x14ac:dyDescent="0.25">
      <c r="G160" s="69" t="str">
        <f t="shared" si="5"/>
        <v/>
      </c>
    </row>
    <row r="161" spans="7:7" x14ac:dyDescent="0.25">
      <c r="G161" s="69" t="str">
        <f t="shared" si="5"/>
        <v/>
      </c>
    </row>
    <row r="162" spans="7:7" x14ac:dyDescent="0.25">
      <c r="G162" s="69" t="str">
        <f t="shared" si="5"/>
        <v/>
      </c>
    </row>
    <row r="163" spans="7:7" x14ac:dyDescent="0.25">
      <c r="G163" s="69" t="str">
        <f t="shared" si="5"/>
        <v/>
      </c>
    </row>
    <row r="164" spans="7:7" x14ac:dyDescent="0.25">
      <c r="G164" s="69" t="str">
        <f t="shared" si="5"/>
        <v/>
      </c>
    </row>
    <row r="165" spans="7:7" x14ac:dyDescent="0.25">
      <c r="G165" s="69" t="str">
        <f t="shared" si="5"/>
        <v/>
      </c>
    </row>
    <row r="166" spans="7:7" x14ac:dyDescent="0.25">
      <c r="G166" s="69" t="str">
        <f t="shared" si="5"/>
        <v/>
      </c>
    </row>
    <row r="167" spans="7:7" x14ac:dyDescent="0.25">
      <c r="G167" s="69" t="str">
        <f t="shared" si="5"/>
        <v/>
      </c>
    </row>
    <row r="168" spans="7:7" x14ac:dyDescent="0.25">
      <c r="G168" s="69" t="str">
        <f t="shared" si="5"/>
        <v/>
      </c>
    </row>
    <row r="169" spans="7:7" x14ac:dyDescent="0.25">
      <c r="G169" s="69" t="str">
        <f t="shared" si="5"/>
        <v/>
      </c>
    </row>
    <row r="170" spans="7:7" x14ac:dyDescent="0.25">
      <c r="G170" s="69" t="str">
        <f t="shared" si="5"/>
        <v/>
      </c>
    </row>
    <row r="171" spans="7:7" x14ac:dyDescent="0.25">
      <c r="G171" s="69" t="str">
        <f t="shared" si="5"/>
        <v/>
      </c>
    </row>
    <row r="172" spans="7:7" x14ac:dyDescent="0.25">
      <c r="G172" s="69" t="str">
        <f t="shared" si="5"/>
        <v/>
      </c>
    </row>
    <row r="173" spans="7:7" x14ac:dyDescent="0.25">
      <c r="G173" s="69" t="str">
        <f t="shared" si="5"/>
        <v/>
      </c>
    </row>
    <row r="174" spans="7:7" x14ac:dyDescent="0.25">
      <c r="G174" s="69" t="str">
        <f t="shared" si="5"/>
        <v/>
      </c>
    </row>
    <row r="175" spans="7:7" x14ac:dyDescent="0.25">
      <c r="G175" s="69" t="str">
        <f t="shared" si="5"/>
        <v/>
      </c>
    </row>
    <row r="176" spans="7:7" x14ac:dyDescent="0.25">
      <c r="G176" s="69" t="str">
        <f t="shared" si="5"/>
        <v/>
      </c>
    </row>
    <row r="177" spans="7:7" x14ac:dyDescent="0.25">
      <c r="G177" s="69" t="str">
        <f t="shared" si="5"/>
        <v/>
      </c>
    </row>
    <row r="178" spans="7:7" x14ac:dyDescent="0.25">
      <c r="G178" s="69" t="str">
        <f t="shared" si="5"/>
        <v/>
      </c>
    </row>
    <row r="179" spans="7:7" x14ac:dyDescent="0.25">
      <c r="G179" s="69" t="str">
        <f t="shared" si="5"/>
        <v/>
      </c>
    </row>
    <row r="180" spans="7:7" x14ac:dyDescent="0.25">
      <c r="G180" s="69" t="str">
        <f t="shared" si="5"/>
        <v/>
      </c>
    </row>
    <row r="181" spans="7:7" x14ac:dyDescent="0.25">
      <c r="G181" s="69" t="str">
        <f t="shared" si="5"/>
        <v/>
      </c>
    </row>
    <row r="182" spans="7:7" x14ac:dyDescent="0.25">
      <c r="G182" s="69" t="str">
        <f t="shared" si="5"/>
        <v/>
      </c>
    </row>
    <row r="183" spans="7:7" x14ac:dyDescent="0.25">
      <c r="G183" s="69" t="str">
        <f t="shared" si="5"/>
        <v/>
      </c>
    </row>
    <row r="184" spans="7:7" x14ac:dyDescent="0.25">
      <c r="G184" s="69" t="str">
        <f t="shared" si="5"/>
        <v/>
      </c>
    </row>
    <row r="185" spans="7:7" x14ac:dyDescent="0.25">
      <c r="G185" s="69" t="str">
        <f t="shared" si="5"/>
        <v/>
      </c>
    </row>
    <row r="186" spans="7:7" x14ac:dyDescent="0.25">
      <c r="G186" s="69" t="str">
        <f t="shared" si="5"/>
        <v/>
      </c>
    </row>
    <row r="187" spans="7:7" x14ac:dyDescent="0.25">
      <c r="G187" s="69" t="str">
        <f t="shared" si="5"/>
        <v/>
      </c>
    </row>
    <row r="188" spans="7:7" x14ac:dyDescent="0.25">
      <c r="G188" s="69" t="str">
        <f t="shared" si="5"/>
        <v/>
      </c>
    </row>
    <row r="189" spans="7:7" x14ac:dyDescent="0.25">
      <c r="G189" s="69" t="str">
        <f t="shared" si="5"/>
        <v/>
      </c>
    </row>
    <row r="190" spans="7:7" x14ac:dyDescent="0.25">
      <c r="G190" s="69" t="str">
        <f t="shared" si="5"/>
        <v/>
      </c>
    </row>
    <row r="191" spans="7:7" x14ac:dyDescent="0.25">
      <c r="G191" s="69" t="str">
        <f t="shared" si="5"/>
        <v/>
      </c>
    </row>
    <row r="192" spans="7:7" x14ac:dyDescent="0.25">
      <c r="G192" s="69" t="str">
        <f t="shared" si="5"/>
        <v/>
      </c>
    </row>
    <row r="193" spans="7:7" x14ac:dyDescent="0.25">
      <c r="G193" s="69" t="str">
        <f t="shared" si="5"/>
        <v/>
      </c>
    </row>
    <row r="194" spans="7:7" x14ac:dyDescent="0.25">
      <c r="G194" s="69" t="str">
        <f t="shared" si="5"/>
        <v/>
      </c>
    </row>
    <row r="195" spans="7:7" x14ac:dyDescent="0.25">
      <c r="G195" s="69" t="str">
        <f t="shared" si="5"/>
        <v/>
      </c>
    </row>
    <row r="196" spans="7:7" x14ac:dyDescent="0.25">
      <c r="G196" s="69" t="str">
        <f t="shared" si="5"/>
        <v/>
      </c>
    </row>
    <row r="197" spans="7:7" x14ac:dyDescent="0.25">
      <c r="G197" s="69" t="str">
        <f t="shared" si="5"/>
        <v/>
      </c>
    </row>
    <row r="198" spans="7:7" x14ac:dyDescent="0.25">
      <c r="G198" s="69" t="str">
        <f t="shared" si="5"/>
        <v/>
      </c>
    </row>
    <row r="199" spans="7:7" x14ac:dyDescent="0.25">
      <c r="G199" s="69" t="str">
        <f t="shared" si="5"/>
        <v/>
      </c>
    </row>
    <row r="200" spans="7:7" x14ac:dyDescent="0.25">
      <c r="G200" s="69" t="str">
        <f t="shared" si="5"/>
        <v/>
      </c>
    </row>
    <row r="201" spans="7:7" x14ac:dyDescent="0.25">
      <c r="G201" s="69" t="str">
        <f t="shared" si="5"/>
        <v/>
      </c>
    </row>
    <row r="202" spans="7:7" x14ac:dyDescent="0.25">
      <c r="G202" s="69" t="str">
        <f t="shared" ref="G202:G265" si="6">IF(NOT(ISBLANK(H202)),"Yes","")</f>
        <v/>
      </c>
    </row>
    <row r="203" spans="7:7" x14ac:dyDescent="0.25">
      <c r="G203" s="69" t="str">
        <f t="shared" si="6"/>
        <v/>
      </c>
    </row>
    <row r="204" spans="7:7" x14ac:dyDescent="0.25">
      <c r="G204" s="69" t="str">
        <f t="shared" si="6"/>
        <v/>
      </c>
    </row>
    <row r="205" spans="7:7" x14ac:dyDescent="0.25">
      <c r="G205" s="69" t="str">
        <f t="shared" si="6"/>
        <v/>
      </c>
    </row>
    <row r="206" spans="7:7" x14ac:dyDescent="0.25">
      <c r="G206" s="69" t="str">
        <f t="shared" si="6"/>
        <v/>
      </c>
    </row>
    <row r="207" spans="7:7" x14ac:dyDescent="0.25">
      <c r="G207" s="69" t="str">
        <f t="shared" si="6"/>
        <v/>
      </c>
    </row>
    <row r="208" spans="7:7" x14ac:dyDescent="0.25">
      <c r="G208" s="69" t="str">
        <f t="shared" si="6"/>
        <v/>
      </c>
    </row>
    <row r="209" spans="7:7" x14ac:dyDescent="0.25">
      <c r="G209" s="69" t="str">
        <f t="shared" si="6"/>
        <v/>
      </c>
    </row>
    <row r="210" spans="7:7" x14ac:dyDescent="0.25">
      <c r="G210" s="69" t="str">
        <f t="shared" si="6"/>
        <v/>
      </c>
    </row>
    <row r="211" spans="7:7" x14ac:dyDescent="0.25">
      <c r="G211" s="69" t="str">
        <f t="shared" si="6"/>
        <v/>
      </c>
    </row>
    <row r="212" spans="7:7" x14ac:dyDescent="0.25">
      <c r="G212" s="69" t="str">
        <f t="shared" si="6"/>
        <v/>
      </c>
    </row>
    <row r="213" spans="7:7" x14ac:dyDescent="0.25">
      <c r="G213" s="69" t="str">
        <f t="shared" si="6"/>
        <v/>
      </c>
    </row>
    <row r="214" spans="7:7" x14ac:dyDescent="0.25">
      <c r="G214" s="69" t="str">
        <f t="shared" si="6"/>
        <v/>
      </c>
    </row>
    <row r="215" spans="7:7" x14ac:dyDescent="0.25">
      <c r="G215" s="69" t="str">
        <f t="shared" si="6"/>
        <v/>
      </c>
    </row>
    <row r="216" spans="7:7" x14ac:dyDescent="0.25">
      <c r="G216" s="69" t="str">
        <f t="shared" si="6"/>
        <v/>
      </c>
    </row>
    <row r="217" spans="7:7" x14ac:dyDescent="0.25">
      <c r="G217" s="69" t="str">
        <f t="shared" si="6"/>
        <v/>
      </c>
    </row>
    <row r="218" spans="7:7" x14ac:dyDescent="0.25">
      <c r="G218" s="69" t="str">
        <f t="shared" si="6"/>
        <v/>
      </c>
    </row>
    <row r="219" spans="7:7" x14ac:dyDescent="0.25">
      <c r="G219" s="69" t="str">
        <f t="shared" si="6"/>
        <v/>
      </c>
    </row>
    <row r="220" spans="7:7" x14ac:dyDescent="0.25">
      <c r="G220" s="69" t="str">
        <f t="shared" si="6"/>
        <v/>
      </c>
    </row>
    <row r="221" spans="7:7" x14ac:dyDescent="0.25">
      <c r="G221" s="69" t="str">
        <f t="shared" si="6"/>
        <v/>
      </c>
    </row>
    <row r="222" spans="7:7" x14ac:dyDescent="0.25">
      <c r="G222" s="69" t="str">
        <f t="shared" si="6"/>
        <v/>
      </c>
    </row>
    <row r="223" spans="7:7" x14ac:dyDescent="0.25">
      <c r="G223" s="69" t="str">
        <f t="shared" si="6"/>
        <v/>
      </c>
    </row>
    <row r="224" spans="7:7" x14ac:dyDescent="0.25">
      <c r="G224" s="69" t="str">
        <f t="shared" si="6"/>
        <v/>
      </c>
    </row>
    <row r="225" spans="7:7" x14ac:dyDescent="0.25">
      <c r="G225" s="69" t="str">
        <f t="shared" si="6"/>
        <v/>
      </c>
    </row>
    <row r="226" spans="7:7" x14ac:dyDescent="0.25">
      <c r="G226" s="69" t="str">
        <f t="shared" si="6"/>
        <v/>
      </c>
    </row>
    <row r="227" spans="7:7" x14ac:dyDescent="0.25">
      <c r="G227" s="69" t="str">
        <f t="shared" si="6"/>
        <v/>
      </c>
    </row>
    <row r="228" spans="7:7" x14ac:dyDescent="0.25">
      <c r="G228" s="69" t="str">
        <f t="shared" si="6"/>
        <v/>
      </c>
    </row>
    <row r="229" spans="7:7" x14ac:dyDescent="0.25">
      <c r="G229" s="69" t="str">
        <f t="shared" si="6"/>
        <v/>
      </c>
    </row>
    <row r="230" spans="7:7" x14ac:dyDescent="0.25">
      <c r="G230" s="69" t="str">
        <f t="shared" si="6"/>
        <v/>
      </c>
    </row>
    <row r="231" spans="7:7" x14ac:dyDescent="0.25">
      <c r="G231" s="69" t="str">
        <f t="shared" si="6"/>
        <v/>
      </c>
    </row>
    <row r="232" spans="7:7" x14ac:dyDescent="0.25">
      <c r="G232" s="69" t="str">
        <f t="shared" si="6"/>
        <v/>
      </c>
    </row>
    <row r="233" spans="7:7" x14ac:dyDescent="0.25">
      <c r="G233" s="69" t="str">
        <f t="shared" si="6"/>
        <v/>
      </c>
    </row>
    <row r="234" spans="7:7" x14ac:dyDescent="0.25">
      <c r="G234" s="69" t="str">
        <f t="shared" si="6"/>
        <v/>
      </c>
    </row>
    <row r="235" spans="7:7" x14ac:dyDescent="0.25">
      <c r="G235" s="69" t="str">
        <f t="shared" si="6"/>
        <v/>
      </c>
    </row>
    <row r="236" spans="7:7" x14ac:dyDescent="0.25">
      <c r="G236" s="69" t="str">
        <f t="shared" si="6"/>
        <v/>
      </c>
    </row>
    <row r="237" spans="7:7" x14ac:dyDescent="0.25">
      <c r="G237" s="69" t="str">
        <f t="shared" si="6"/>
        <v/>
      </c>
    </row>
    <row r="238" spans="7:7" x14ac:dyDescent="0.25">
      <c r="G238" s="69" t="str">
        <f t="shared" si="6"/>
        <v/>
      </c>
    </row>
    <row r="239" spans="7:7" x14ac:dyDescent="0.25">
      <c r="G239" s="69" t="str">
        <f t="shared" si="6"/>
        <v/>
      </c>
    </row>
    <row r="240" spans="7:7" x14ac:dyDescent="0.25">
      <c r="G240" s="69" t="str">
        <f t="shared" si="6"/>
        <v/>
      </c>
    </row>
    <row r="241" spans="7:7" x14ac:dyDescent="0.25">
      <c r="G241" s="69" t="str">
        <f t="shared" si="6"/>
        <v/>
      </c>
    </row>
    <row r="242" spans="7:7" x14ac:dyDescent="0.25">
      <c r="G242" s="69" t="str">
        <f t="shared" si="6"/>
        <v/>
      </c>
    </row>
    <row r="243" spans="7:7" x14ac:dyDescent="0.25">
      <c r="G243" s="69" t="str">
        <f t="shared" si="6"/>
        <v/>
      </c>
    </row>
    <row r="244" spans="7:7" x14ac:dyDescent="0.25">
      <c r="G244" s="69" t="str">
        <f t="shared" si="6"/>
        <v/>
      </c>
    </row>
    <row r="245" spans="7:7" x14ac:dyDescent="0.25">
      <c r="G245" s="69" t="str">
        <f t="shared" si="6"/>
        <v/>
      </c>
    </row>
    <row r="246" spans="7:7" x14ac:dyDescent="0.25">
      <c r="G246" s="69" t="str">
        <f t="shared" si="6"/>
        <v/>
      </c>
    </row>
    <row r="247" spans="7:7" x14ac:dyDescent="0.25">
      <c r="G247" s="69" t="str">
        <f t="shared" si="6"/>
        <v/>
      </c>
    </row>
    <row r="248" spans="7:7" x14ac:dyDescent="0.25">
      <c r="G248" s="69" t="str">
        <f t="shared" si="6"/>
        <v/>
      </c>
    </row>
    <row r="249" spans="7:7" x14ac:dyDescent="0.25">
      <c r="G249" s="69" t="str">
        <f t="shared" si="6"/>
        <v/>
      </c>
    </row>
    <row r="250" spans="7:7" x14ac:dyDescent="0.25">
      <c r="G250" s="69" t="str">
        <f t="shared" si="6"/>
        <v/>
      </c>
    </row>
    <row r="251" spans="7:7" x14ac:dyDescent="0.25">
      <c r="G251" s="69" t="str">
        <f t="shared" si="6"/>
        <v/>
      </c>
    </row>
    <row r="252" spans="7:7" x14ac:dyDescent="0.25">
      <c r="G252" s="69" t="str">
        <f t="shared" si="6"/>
        <v/>
      </c>
    </row>
    <row r="253" spans="7:7" x14ac:dyDescent="0.25">
      <c r="G253" s="69" t="str">
        <f t="shared" si="6"/>
        <v/>
      </c>
    </row>
    <row r="254" spans="7:7" x14ac:dyDescent="0.25">
      <c r="G254" s="69" t="str">
        <f t="shared" si="6"/>
        <v/>
      </c>
    </row>
    <row r="255" spans="7:7" x14ac:dyDescent="0.25">
      <c r="G255" s="69" t="str">
        <f t="shared" si="6"/>
        <v/>
      </c>
    </row>
    <row r="256" spans="7:7" x14ac:dyDescent="0.25">
      <c r="G256" s="69" t="str">
        <f t="shared" si="6"/>
        <v/>
      </c>
    </row>
    <row r="257" spans="7:7" x14ac:dyDescent="0.25">
      <c r="G257" s="69" t="str">
        <f t="shared" si="6"/>
        <v/>
      </c>
    </row>
    <row r="258" spans="7:7" x14ac:dyDescent="0.25">
      <c r="G258" s="69" t="str">
        <f t="shared" si="6"/>
        <v/>
      </c>
    </row>
    <row r="259" spans="7:7" x14ac:dyDescent="0.25">
      <c r="G259" s="69" t="str">
        <f t="shared" si="6"/>
        <v/>
      </c>
    </row>
    <row r="260" spans="7:7" x14ac:dyDescent="0.25">
      <c r="G260" s="69" t="str">
        <f t="shared" si="6"/>
        <v/>
      </c>
    </row>
    <row r="261" spans="7:7" x14ac:dyDescent="0.25">
      <c r="G261" s="69" t="str">
        <f t="shared" si="6"/>
        <v/>
      </c>
    </row>
    <row r="262" spans="7:7" x14ac:dyDescent="0.25">
      <c r="G262" s="69" t="str">
        <f t="shared" si="6"/>
        <v/>
      </c>
    </row>
    <row r="263" spans="7:7" x14ac:dyDescent="0.25">
      <c r="G263" s="69" t="str">
        <f t="shared" si="6"/>
        <v/>
      </c>
    </row>
    <row r="264" spans="7:7" x14ac:dyDescent="0.25">
      <c r="G264" s="69" t="str">
        <f t="shared" si="6"/>
        <v/>
      </c>
    </row>
    <row r="265" spans="7:7" x14ac:dyDescent="0.25">
      <c r="G265" s="69" t="str">
        <f t="shared" si="6"/>
        <v/>
      </c>
    </row>
    <row r="266" spans="7:7" x14ac:dyDescent="0.25">
      <c r="G266" s="69" t="str">
        <f t="shared" ref="G266:G329" si="7">IF(NOT(ISBLANK(H266)),"Yes","")</f>
        <v/>
      </c>
    </row>
    <row r="267" spans="7:7" x14ac:dyDescent="0.25">
      <c r="G267" s="69" t="str">
        <f t="shared" si="7"/>
        <v/>
      </c>
    </row>
    <row r="268" spans="7:7" x14ac:dyDescent="0.25">
      <c r="G268" s="69" t="str">
        <f t="shared" si="7"/>
        <v/>
      </c>
    </row>
    <row r="269" spans="7:7" x14ac:dyDescent="0.25">
      <c r="G269" s="69" t="str">
        <f t="shared" si="7"/>
        <v/>
      </c>
    </row>
    <row r="270" spans="7:7" x14ac:dyDescent="0.25">
      <c r="G270" s="69" t="str">
        <f t="shared" si="7"/>
        <v/>
      </c>
    </row>
    <row r="271" spans="7:7" x14ac:dyDescent="0.25">
      <c r="G271" s="69" t="str">
        <f t="shared" si="7"/>
        <v/>
      </c>
    </row>
    <row r="272" spans="7:7" x14ac:dyDescent="0.25">
      <c r="G272" s="69" t="str">
        <f t="shared" si="7"/>
        <v/>
      </c>
    </row>
    <row r="273" spans="7:7" x14ac:dyDescent="0.25">
      <c r="G273" s="69" t="str">
        <f t="shared" si="7"/>
        <v/>
      </c>
    </row>
    <row r="274" spans="7:7" x14ac:dyDescent="0.25">
      <c r="G274" s="69" t="str">
        <f t="shared" si="7"/>
        <v/>
      </c>
    </row>
    <row r="275" spans="7:7" x14ac:dyDescent="0.25">
      <c r="G275" s="69" t="str">
        <f t="shared" si="7"/>
        <v/>
      </c>
    </row>
    <row r="276" spans="7:7" x14ac:dyDescent="0.25">
      <c r="G276" s="69" t="str">
        <f t="shared" si="7"/>
        <v/>
      </c>
    </row>
    <row r="277" spans="7:7" x14ac:dyDescent="0.25">
      <c r="G277" s="69" t="str">
        <f t="shared" si="7"/>
        <v/>
      </c>
    </row>
    <row r="278" spans="7:7" x14ac:dyDescent="0.25">
      <c r="G278" s="69" t="str">
        <f t="shared" si="7"/>
        <v/>
      </c>
    </row>
    <row r="279" spans="7:7" x14ac:dyDescent="0.25">
      <c r="G279" s="69" t="str">
        <f t="shared" si="7"/>
        <v/>
      </c>
    </row>
    <row r="280" spans="7:7" x14ac:dyDescent="0.25">
      <c r="G280" s="69" t="str">
        <f t="shared" si="7"/>
        <v/>
      </c>
    </row>
    <row r="281" spans="7:7" x14ac:dyDescent="0.25">
      <c r="G281" s="69" t="str">
        <f t="shared" si="7"/>
        <v/>
      </c>
    </row>
    <row r="282" spans="7:7" x14ac:dyDescent="0.25">
      <c r="G282" s="69" t="str">
        <f t="shared" si="7"/>
        <v/>
      </c>
    </row>
    <row r="283" spans="7:7" x14ac:dyDescent="0.25">
      <c r="G283" s="69" t="str">
        <f t="shared" si="7"/>
        <v/>
      </c>
    </row>
    <row r="284" spans="7:7" x14ac:dyDescent="0.25">
      <c r="G284" s="69" t="str">
        <f t="shared" si="7"/>
        <v/>
      </c>
    </row>
    <row r="285" spans="7:7" x14ac:dyDescent="0.25">
      <c r="G285" s="69" t="str">
        <f t="shared" si="7"/>
        <v/>
      </c>
    </row>
    <row r="286" spans="7:7" x14ac:dyDescent="0.25">
      <c r="G286" s="69" t="str">
        <f t="shared" si="7"/>
        <v/>
      </c>
    </row>
    <row r="287" spans="7:7" x14ac:dyDescent="0.25">
      <c r="G287" s="69" t="str">
        <f t="shared" si="7"/>
        <v/>
      </c>
    </row>
    <row r="288" spans="7:7" x14ac:dyDescent="0.25">
      <c r="G288" s="69" t="str">
        <f t="shared" si="7"/>
        <v/>
      </c>
    </row>
    <row r="289" spans="7:7" x14ac:dyDescent="0.25">
      <c r="G289" s="69" t="str">
        <f t="shared" si="7"/>
        <v/>
      </c>
    </row>
    <row r="290" spans="7:7" x14ac:dyDescent="0.25">
      <c r="G290" s="69" t="str">
        <f t="shared" si="7"/>
        <v/>
      </c>
    </row>
    <row r="291" spans="7:7" x14ac:dyDescent="0.25">
      <c r="G291" s="69" t="str">
        <f t="shared" si="7"/>
        <v/>
      </c>
    </row>
    <row r="292" spans="7:7" x14ac:dyDescent="0.25">
      <c r="G292" s="69" t="str">
        <f t="shared" si="7"/>
        <v/>
      </c>
    </row>
    <row r="293" spans="7:7" x14ac:dyDescent="0.25">
      <c r="G293" s="69" t="str">
        <f t="shared" si="7"/>
        <v/>
      </c>
    </row>
    <row r="294" spans="7:7" x14ac:dyDescent="0.25">
      <c r="G294" s="69" t="str">
        <f t="shared" si="7"/>
        <v/>
      </c>
    </row>
    <row r="295" spans="7:7" x14ac:dyDescent="0.25">
      <c r="G295" s="69" t="str">
        <f t="shared" si="7"/>
        <v/>
      </c>
    </row>
    <row r="296" spans="7:7" x14ac:dyDescent="0.25">
      <c r="G296" s="69" t="str">
        <f t="shared" si="7"/>
        <v/>
      </c>
    </row>
    <row r="297" spans="7:7" x14ac:dyDescent="0.25">
      <c r="G297" s="69" t="str">
        <f t="shared" si="7"/>
        <v/>
      </c>
    </row>
    <row r="298" spans="7:7" x14ac:dyDescent="0.25">
      <c r="G298" s="69" t="str">
        <f t="shared" si="7"/>
        <v/>
      </c>
    </row>
    <row r="299" spans="7:7" x14ac:dyDescent="0.25">
      <c r="G299" s="69" t="str">
        <f t="shared" si="7"/>
        <v/>
      </c>
    </row>
    <row r="300" spans="7:7" x14ac:dyDescent="0.25">
      <c r="G300" s="69" t="str">
        <f t="shared" si="7"/>
        <v/>
      </c>
    </row>
    <row r="301" spans="7:7" x14ac:dyDescent="0.25">
      <c r="G301" s="69" t="str">
        <f t="shared" si="7"/>
        <v/>
      </c>
    </row>
    <row r="302" spans="7:7" x14ac:dyDescent="0.25">
      <c r="G302" s="69" t="str">
        <f t="shared" si="7"/>
        <v/>
      </c>
    </row>
    <row r="303" spans="7:7" x14ac:dyDescent="0.25">
      <c r="G303" s="69" t="str">
        <f t="shared" si="7"/>
        <v/>
      </c>
    </row>
    <row r="304" spans="7:7" x14ac:dyDescent="0.25">
      <c r="G304" s="69" t="str">
        <f t="shared" si="7"/>
        <v/>
      </c>
    </row>
    <row r="305" spans="7:7" x14ac:dyDescent="0.25">
      <c r="G305" s="69" t="str">
        <f t="shared" si="7"/>
        <v/>
      </c>
    </row>
    <row r="306" spans="7:7" x14ac:dyDescent="0.25">
      <c r="G306" s="69" t="str">
        <f t="shared" si="7"/>
        <v/>
      </c>
    </row>
    <row r="307" spans="7:7" x14ac:dyDescent="0.25">
      <c r="G307" s="69" t="str">
        <f t="shared" si="7"/>
        <v/>
      </c>
    </row>
    <row r="308" spans="7:7" x14ac:dyDescent="0.25">
      <c r="G308" s="69" t="str">
        <f t="shared" si="7"/>
        <v/>
      </c>
    </row>
    <row r="309" spans="7:7" x14ac:dyDescent="0.25">
      <c r="G309" s="69" t="str">
        <f t="shared" si="7"/>
        <v/>
      </c>
    </row>
    <row r="310" spans="7:7" x14ac:dyDescent="0.25">
      <c r="G310" s="69" t="str">
        <f t="shared" si="7"/>
        <v/>
      </c>
    </row>
    <row r="311" spans="7:7" x14ac:dyDescent="0.25">
      <c r="G311" s="69" t="str">
        <f t="shared" si="7"/>
        <v/>
      </c>
    </row>
    <row r="312" spans="7:7" x14ac:dyDescent="0.25">
      <c r="G312" s="69" t="str">
        <f t="shared" si="7"/>
        <v/>
      </c>
    </row>
    <row r="313" spans="7:7" x14ac:dyDescent="0.25">
      <c r="G313" s="69" t="str">
        <f t="shared" si="7"/>
        <v/>
      </c>
    </row>
    <row r="314" spans="7:7" x14ac:dyDescent="0.25">
      <c r="G314" s="69" t="str">
        <f t="shared" si="7"/>
        <v/>
      </c>
    </row>
    <row r="315" spans="7:7" x14ac:dyDescent="0.25">
      <c r="G315" s="69" t="str">
        <f t="shared" si="7"/>
        <v/>
      </c>
    </row>
    <row r="316" spans="7:7" x14ac:dyDescent="0.25">
      <c r="G316" s="69" t="str">
        <f t="shared" si="7"/>
        <v/>
      </c>
    </row>
    <row r="317" spans="7:7" x14ac:dyDescent="0.25">
      <c r="G317" s="69" t="str">
        <f t="shared" si="7"/>
        <v/>
      </c>
    </row>
    <row r="318" spans="7:7" x14ac:dyDescent="0.25">
      <c r="G318" s="69" t="str">
        <f t="shared" si="7"/>
        <v/>
      </c>
    </row>
    <row r="319" spans="7:7" x14ac:dyDescent="0.25">
      <c r="G319" s="69" t="str">
        <f t="shared" si="7"/>
        <v/>
      </c>
    </row>
    <row r="320" spans="7:7" x14ac:dyDescent="0.25">
      <c r="G320" s="69" t="str">
        <f t="shared" si="7"/>
        <v/>
      </c>
    </row>
    <row r="321" spans="7:7" x14ac:dyDescent="0.25">
      <c r="G321" s="69" t="str">
        <f t="shared" si="7"/>
        <v/>
      </c>
    </row>
    <row r="322" spans="7:7" x14ac:dyDescent="0.25">
      <c r="G322" s="69" t="str">
        <f t="shared" si="7"/>
        <v/>
      </c>
    </row>
    <row r="323" spans="7:7" x14ac:dyDescent="0.25">
      <c r="G323" s="69" t="str">
        <f t="shared" si="7"/>
        <v/>
      </c>
    </row>
    <row r="324" spans="7:7" x14ac:dyDescent="0.25">
      <c r="G324" s="69" t="str">
        <f t="shared" si="7"/>
        <v/>
      </c>
    </row>
    <row r="325" spans="7:7" x14ac:dyDescent="0.25">
      <c r="G325" s="69" t="str">
        <f t="shared" si="7"/>
        <v/>
      </c>
    </row>
    <row r="326" spans="7:7" x14ac:dyDescent="0.25">
      <c r="G326" s="69" t="str">
        <f t="shared" si="7"/>
        <v/>
      </c>
    </row>
    <row r="327" spans="7:7" x14ac:dyDescent="0.25">
      <c r="G327" s="69" t="str">
        <f t="shared" si="7"/>
        <v/>
      </c>
    </row>
    <row r="328" spans="7:7" x14ac:dyDescent="0.25">
      <c r="G328" s="69" t="str">
        <f t="shared" si="7"/>
        <v/>
      </c>
    </row>
    <row r="329" spans="7:7" x14ac:dyDescent="0.25">
      <c r="G329" s="69" t="str">
        <f t="shared" si="7"/>
        <v/>
      </c>
    </row>
    <row r="330" spans="7:7" x14ac:dyDescent="0.25">
      <c r="G330" s="69" t="str">
        <f t="shared" ref="G330:G393" si="8">IF(NOT(ISBLANK(H330)),"Yes","")</f>
        <v/>
      </c>
    </row>
    <row r="331" spans="7:7" x14ac:dyDescent="0.25">
      <c r="G331" s="69" t="str">
        <f t="shared" si="8"/>
        <v/>
      </c>
    </row>
    <row r="332" spans="7:7" x14ac:dyDescent="0.25">
      <c r="G332" s="69" t="str">
        <f t="shared" si="8"/>
        <v/>
      </c>
    </row>
    <row r="333" spans="7:7" x14ac:dyDescent="0.25">
      <c r="G333" s="69" t="str">
        <f t="shared" si="8"/>
        <v/>
      </c>
    </row>
    <row r="334" spans="7:7" x14ac:dyDescent="0.25">
      <c r="G334" s="69" t="str">
        <f t="shared" si="8"/>
        <v/>
      </c>
    </row>
    <row r="335" spans="7:7" x14ac:dyDescent="0.25">
      <c r="G335" s="69" t="str">
        <f t="shared" si="8"/>
        <v/>
      </c>
    </row>
    <row r="336" spans="7:7" x14ac:dyDescent="0.25">
      <c r="G336" s="69" t="str">
        <f t="shared" si="8"/>
        <v/>
      </c>
    </row>
    <row r="337" spans="7:7" x14ac:dyDescent="0.25">
      <c r="G337" s="69" t="str">
        <f t="shared" si="8"/>
        <v/>
      </c>
    </row>
    <row r="338" spans="7:7" x14ac:dyDescent="0.25">
      <c r="G338" s="69" t="str">
        <f t="shared" si="8"/>
        <v/>
      </c>
    </row>
    <row r="339" spans="7:7" x14ac:dyDescent="0.25">
      <c r="G339" s="69" t="str">
        <f t="shared" si="8"/>
        <v/>
      </c>
    </row>
    <row r="340" spans="7:7" x14ac:dyDescent="0.25">
      <c r="G340" s="69" t="str">
        <f t="shared" si="8"/>
        <v/>
      </c>
    </row>
    <row r="341" spans="7:7" x14ac:dyDescent="0.25">
      <c r="G341" s="69" t="str">
        <f t="shared" si="8"/>
        <v/>
      </c>
    </row>
    <row r="342" spans="7:7" x14ac:dyDescent="0.25">
      <c r="G342" s="69" t="str">
        <f t="shared" si="8"/>
        <v/>
      </c>
    </row>
    <row r="343" spans="7:7" x14ac:dyDescent="0.25">
      <c r="G343" s="69" t="str">
        <f t="shared" si="8"/>
        <v/>
      </c>
    </row>
    <row r="344" spans="7:7" x14ac:dyDescent="0.25">
      <c r="G344" s="69" t="str">
        <f t="shared" si="8"/>
        <v/>
      </c>
    </row>
    <row r="345" spans="7:7" x14ac:dyDescent="0.25">
      <c r="G345" s="69" t="str">
        <f t="shared" si="8"/>
        <v/>
      </c>
    </row>
    <row r="346" spans="7:7" x14ac:dyDescent="0.25">
      <c r="G346" s="69" t="str">
        <f t="shared" si="8"/>
        <v/>
      </c>
    </row>
    <row r="347" spans="7:7" x14ac:dyDescent="0.25">
      <c r="G347" s="69" t="str">
        <f t="shared" si="8"/>
        <v/>
      </c>
    </row>
    <row r="348" spans="7:7" x14ac:dyDescent="0.25">
      <c r="G348" s="69" t="str">
        <f t="shared" si="8"/>
        <v/>
      </c>
    </row>
    <row r="349" spans="7:7" x14ac:dyDescent="0.25">
      <c r="G349" s="69" t="str">
        <f t="shared" si="8"/>
        <v/>
      </c>
    </row>
    <row r="350" spans="7:7" x14ac:dyDescent="0.25">
      <c r="G350" s="69" t="str">
        <f t="shared" si="8"/>
        <v/>
      </c>
    </row>
    <row r="351" spans="7:7" x14ac:dyDescent="0.25">
      <c r="G351" s="69" t="str">
        <f t="shared" si="8"/>
        <v/>
      </c>
    </row>
    <row r="352" spans="7:7" x14ac:dyDescent="0.25">
      <c r="G352" s="69" t="str">
        <f t="shared" si="8"/>
        <v/>
      </c>
    </row>
    <row r="353" spans="7:7" x14ac:dyDescent="0.25">
      <c r="G353" s="69" t="str">
        <f t="shared" si="8"/>
        <v/>
      </c>
    </row>
    <row r="354" spans="7:7" x14ac:dyDescent="0.25">
      <c r="G354" s="69" t="str">
        <f t="shared" si="8"/>
        <v/>
      </c>
    </row>
    <row r="355" spans="7:7" x14ac:dyDescent="0.25">
      <c r="G355" s="69" t="str">
        <f t="shared" si="8"/>
        <v/>
      </c>
    </row>
    <row r="356" spans="7:7" x14ac:dyDescent="0.25">
      <c r="G356" s="69" t="str">
        <f t="shared" si="8"/>
        <v/>
      </c>
    </row>
    <row r="357" spans="7:7" x14ac:dyDescent="0.25">
      <c r="G357" s="69" t="str">
        <f t="shared" si="8"/>
        <v/>
      </c>
    </row>
    <row r="358" spans="7:7" x14ac:dyDescent="0.25">
      <c r="G358" s="69" t="str">
        <f t="shared" si="8"/>
        <v/>
      </c>
    </row>
    <row r="359" spans="7:7" x14ac:dyDescent="0.25">
      <c r="G359" s="69" t="str">
        <f t="shared" si="8"/>
        <v/>
      </c>
    </row>
    <row r="360" spans="7:7" x14ac:dyDescent="0.25">
      <c r="G360" s="69" t="str">
        <f t="shared" si="8"/>
        <v/>
      </c>
    </row>
    <row r="361" spans="7:7" x14ac:dyDescent="0.25">
      <c r="G361" s="69" t="str">
        <f t="shared" si="8"/>
        <v/>
      </c>
    </row>
    <row r="362" spans="7:7" x14ac:dyDescent="0.25">
      <c r="G362" s="69" t="str">
        <f t="shared" si="8"/>
        <v/>
      </c>
    </row>
    <row r="363" spans="7:7" x14ac:dyDescent="0.25">
      <c r="G363" s="69" t="str">
        <f t="shared" si="8"/>
        <v/>
      </c>
    </row>
    <row r="364" spans="7:7" x14ac:dyDescent="0.25">
      <c r="G364" s="69" t="str">
        <f t="shared" si="8"/>
        <v/>
      </c>
    </row>
    <row r="365" spans="7:7" x14ac:dyDescent="0.25">
      <c r="G365" s="69" t="str">
        <f t="shared" si="8"/>
        <v/>
      </c>
    </row>
    <row r="366" spans="7:7" x14ac:dyDescent="0.25">
      <c r="G366" s="69" t="str">
        <f t="shared" si="8"/>
        <v/>
      </c>
    </row>
    <row r="367" spans="7:7" x14ac:dyDescent="0.25">
      <c r="G367" s="69" t="str">
        <f t="shared" si="8"/>
        <v/>
      </c>
    </row>
    <row r="368" spans="7:7" x14ac:dyDescent="0.25">
      <c r="G368" s="69" t="str">
        <f t="shared" si="8"/>
        <v/>
      </c>
    </row>
    <row r="369" spans="7:7" x14ac:dyDescent="0.25">
      <c r="G369" s="69" t="str">
        <f t="shared" si="8"/>
        <v/>
      </c>
    </row>
    <row r="370" spans="7:7" x14ac:dyDescent="0.25">
      <c r="G370" s="69" t="str">
        <f t="shared" si="8"/>
        <v/>
      </c>
    </row>
    <row r="371" spans="7:7" x14ac:dyDescent="0.25">
      <c r="G371" s="69" t="str">
        <f t="shared" si="8"/>
        <v/>
      </c>
    </row>
    <row r="372" spans="7:7" x14ac:dyDescent="0.25">
      <c r="G372" s="69" t="str">
        <f t="shared" si="8"/>
        <v/>
      </c>
    </row>
    <row r="373" spans="7:7" x14ac:dyDescent="0.25">
      <c r="G373" s="69" t="str">
        <f t="shared" si="8"/>
        <v/>
      </c>
    </row>
    <row r="374" spans="7:7" x14ac:dyDescent="0.25">
      <c r="G374" s="69" t="str">
        <f t="shared" si="8"/>
        <v/>
      </c>
    </row>
    <row r="375" spans="7:7" x14ac:dyDescent="0.25">
      <c r="G375" s="69" t="str">
        <f t="shared" si="8"/>
        <v/>
      </c>
    </row>
    <row r="376" spans="7:7" x14ac:dyDescent="0.25">
      <c r="G376" s="69" t="str">
        <f t="shared" si="8"/>
        <v/>
      </c>
    </row>
    <row r="377" spans="7:7" x14ac:dyDescent="0.25">
      <c r="G377" s="69" t="str">
        <f t="shared" si="8"/>
        <v/>
      </c>
    </row>
    <row r="378" spans="7:7" x14ac:dyDescent="0.25">
      <c r="G378" s="69" t="str">
        <f t="shared" si="8"/>
        <v/>
      </c>
    </row>
    <row r="379" spans="7:7" x14ac:dyDescent="0.25">
      <c r="G379" s="69" t="str">
        <f t="shared" si="8"/>
        <v/>
      </c>
    </row>
    <row r="380" spans="7:7" x14ac:dyDescent="0.25">
      <c r="G380" s="69" t="str">
        <f t="shared" si="8"/>
        <v/>
      </c>
    </row>
    <row r="381" spans="7:7" x14ac:dyDescent="0.25">
      <c r="G381" s="69" t="str">
        <f t="shared" si="8"/>
        <v/>
      </c>
    </row>
    <row r="382" spans="7:7" x14ac:dyDescent="0.25">
      <c r="G382" s="69" t="str">
        <f t="shared" si="8"/>
        <v/>
      </c>
    </row>
    <row r="383" spans="7:7" x14ac:dyDescent="0.25">
      <c r="G383" s="69" t="str">
        <f t="shared" si="8"/>
        <v/>
      </c>
    </row>
    <row r="384" spans="7:7" x14ac:dyDescent="0.25">
      <c r="G384" s="69" t="str">
        <f t="shared" si="8"/>
        <v/>
      </c>
    </row>
    <row r="385" spans="7:7" x14ac:dyDescent="0.25">
      <c r="G385" s="69" t="str">
        <f t="shared" si="8"/>
        <v/>
      </c>
    </row>
    <row r="386" spans="7:7" x14ac:dyDescent="0.25">
      <c r="G386" s="69" t="str">
        <f t="shared" si="8"/>
        <v/>
      </c>
    </row>
    <row r="387" spans="7:7" x14ac:dyDescent="0.25">
      <c r="G387" s="69" t="str">
        <f t="shared" si="8"/>
        <v/>
      </c>
    </row>
    <row r="388" spans="7:7" x14ac:dyDescent="0.25">
      <c r="G388" s="69" t="str">
        <f t="shared" si="8"/>
        <v/>
      </c>
    </row>
    <row r="389" spans="7:7" x14ac:dyDescent="0.25">
      <c r="G389" s="69" t="str">
        <f t="shared" si="8"/>
        <v/>
      </c>
    </row>
    <row r="390" spans="7:7" x14ac:dyDescent="0.25">
      <c r="G390" s="69" t="str">
        <f t="shared" si="8"/>
        <v/>
      </c>
    </row>
    <row r="391" spans="7:7" x14ac:dyDescent="0.25">
      <c r="G391" s="69" t="str">
        <f t="shared" si="8"/>
        <v/>
      </c>
    </row>
    <row r="392" spans="7:7" x14ac:dyDescent="0.25">
      <c r="G392" s="69" t="str">
        <f t="shared" si="8"/>
        <v/>
      </c>
    </row>
    <row r="393" spans="7:7" x14ac:dyDescent="0.25">
      <c r="G393" s="69" t="str">
        <f t="shared" si="8"/>
        <v/>
      </c>
    </row>
    <row r="394" spans="7:7" x14ac:dyDescent="0.25">
      <c r="G394" s="69" t="str">
        <f t="shared" ref="G394:G457" si="9">IF(NOT(ISBLANK(H394)),"Yes","")</f>
        <v/>
      </c>
    </row>
    <row r="395" spans="7:7" x14ac:dyDescent="0.25">
      <c r="G395" s="69" t="str">
        <f t="shared" si="9"/>
        <v/>
      </c>
    </row>
    <row r="396" spans="7:7" x14ac:dyDescent="0.25">
      <c r="G396" s="69" t="str">
        <f t="shared" si="9"/>
        <v/>
      </c>
    </row>
    <row r="397" spans="7:7" x14ac:dyDescent="0.25">
      <c r="G397" s="69" t="str">
        <f t="shared" si="9"/>
        <v/>
      </c>
    </row>
    <row r="398" spans="7:7" x14ac:dyDescent="0.25">
      <c r="G398" s="69" t="str">
        <f t="shared" si="9"/>
        <v/>
      </c>
    </row>
    <row r="399" spans="7:7" x14ac:dyDescent="0.25">
      <c r="G399" s="69" t="str">
        <f t="shared" si="9"/>
        <v/>
      </c>
    </row>
    <row r="400" spans="7:7" x14ac:dyDescent="0.25">
      <c r="G400" s="69" t="str">
        <f t="shared" si="9"/>
        <v/>
      </c>
    </row>
    <row r="401" spans="7:7" x14ac:dyDescent="0.25">
      <c r="G401" s="69" t="str">
        <f t="shared" si="9"/>
        <v/>
      </c>
    </row>
    <row r="402" spans="7:7" x14ac:dyDescent="0.25">
      <c r="G402" s="69" t="str">
        <f t="shared" si="9"/>
        <v/>
      </c>
    </row>
    <row r="403" spans="7:7" x14ac:dyDescent="0.25">
      <c r="G403" s="69" t="str">
        <f t="shared" si="9"/>
        <v/>
      </c>
    </row>
    <row r="404" spans="7:7" x14ac:dyDescent="0.25">
      <c r="G404" s="69" t="str">
        <f t="shared" si="9"/>
        <v/>
      </c>
    </row>
    <row r="405" spans="7:7" x14ac:dyDescent="0.25">
      <c r="G405" s="69" t="str">
        <f t="shared" si="9"/>
        <v/>
      </c>
    </row>
    <row r="406" spans="7:7" x14ac:dyDescent="0.25">
      <c r="G406" s="69" t="str">
        <f t="shared" si="9"/>
        <v/>
      </c>
    </row>
    <row r="407" spans="7:7" x14ac:dyDescent="0.25">
      <c r="G407" s="69" t="str">
        <f t="shared" si="9"/>
        <v/>
      </c>
    </row>
    <row r="408" spans="7:7" x14ac:dyDescent="0.25">
      <c r="G408" s="69" t="str">
        <f t="shared" si="9"/>
        <v/>
      </c>
    </row>
    <row r="409" spans="7:7" x14ac:dyDescent="0.25">
      <c r="G409" s="69" t="str">
        <f t="shared" si="9"/>
        <v/>
      </c>
    </row>
    <row r="410" spans="7:7" x14ac:dyDescent="0.25">
      <c r="G410" s="69" t="str">
        <f t="shared" si="9"/>
        <v/>
      </c>
    </row>
    <row r="411" spans="7:7" x14ac:dyDescent="0.25">
      <c r="G411" s="69" t="str">
        <f t="shared" si="9"/>
        <v/>
      </c>
    </row>
    <row r="412" spans="7:7" x14ac:dyDescent="0.25">
      <c r="G412" s="69" t="str">
        <f t="shared" si="9"/>
        <v/>
      </c>
    </row>
    <row r="413" spans="7:7" x14ac:dyDescent="0.25">
      <c r="G413" s="69" t="str">
        <f t="shared" si="9"/>
        <v/>
      </c>
    </row>
    <row r="414" spans="7:7" x14ac:dyDescent="0.25">
      <c r="G414" s="69" t="str">
        <f t="shared" si="9"/>
        <v/>
      </c>
    </row>
    <row r="415" spans="7:7" x14ac:dyDescent="0.25">
      <c r="G415" s="69" t="str">
        <f t="shared" si="9"/>
        <v/>
      </c>
    </row>
    <row r="416" spans="7:7" x14ac:dyDescent="0.25">
      <c r="G416" s="69" t="str">
        <f t="shared" si="9"/>
        <v/>
      </c>
    </row>
    <row r="417" spans="7:7" x14ac:dyDescent="0.25">
      <c r="G417" s="69" t="str">
        <f t="shared" si="9"/>
        <v/>
      </c>
    </row>
    <row r="418" spans="7:7" x14ac:dyDescent="0.25">
      <c r="G418" s="69" t="str">
        <f t="shared" si="9"/>
        <v/>
      </c>
    </row>
    <row r="419" spans="7:7" x14ac:dyDescent="0.25">
      <c r="G419" s="69" t="str">
        <f t="shared" si="9"/>
        <v/>
      </c>
    </row>
    <row r="420" spans="7:7" x14ac:dyDescent="0.25">
      <c r="G420" s="69" t="str">
        <f t="shared" si="9"/>
        <v/>
      </c>
    </row>
    <row r="421" spans="7:7" x14ac:dyDescent="0.25">
      <c r="G421" s="69" t="str">
        <f t="shared" si="9"/>
        <v/>
      </c>
    </row>
    <row r="422" spans="7:7" x14ac:dyDescent="0.25">
      <c r="G422" s="69" t="str">
        <f t="shared" si="9"/>
        <v/>
      </c>
    </row>
    <row r="423" spans="7:7" x14ac:dyDescent="0.25">
      <c r="G423" s="69" t="str">
        <f t="shared" si="9"/>
        <v/>
      </c>
    </row>
    <row r="424" spans="7:7" x14ac:dyDescent="0.25">
      <c r="G424" s="69" t="str">
        <f t="shared" si="9"/>
        <v/>
      </c>
    </row>
    <row r="425" spans="7:7" x14ac:dyDescent="0.25">
      <c r="G425" s="69" t="str">
        <f t="shared" si="9"/>
        <v/>
      </c>
    </row>
    <row r="426" spans="7:7" x14ac:dyDescent="0.25">
      <c r="G426" s="69" t="str">
        <f t="shared" si="9"/>
        <v/>
      </c>
    </row>
    <row r="427" spans="7:7" x14ac:dyDescent="0.25">
      <c r="G427" s="69" t="str">
        <f t="shared" si="9"/>
        <v/>
      </c>
    </row>
    <row r="428" spans="7:7" x14ac:dyDescent="0.25">
      <c r="G428" s="69" t="str">
        <f t="shared" si="9"/>
        <v/>
      </c>
    </row>
    <row r="429" spans="7:7" x14ac:dyDescent="0.25">
      <c r="G429" s="69" t="str">
        <f t="shared" si="9"/>
        <v/>
      </c>
    </row>
    <row r="430" spans="7:7" x14ac:dyDescent="0.25">
      <c r="G430" s="69" t="str">
        <f t="shared" si="9"/>
        <v/>
      </c>
    </row>
    <row r="431" spans="7:7" x14ac:dyDescent="0.25">
      <c r="G431" s="69" t="str">
        <f t="shared" si="9"/>
        <v/>
      </c>
    </row>
    <row r="432" spans="7:7" x14ac:dyDescent="0.25">
      <c r="G432" s="69" t="str">
        <f t="shared" si="9"/>
        <v/>
      </c>
    </row>
    <row r="433" spans="7:7" x14ac:dyDescent="0.25">
      <c r="G433" s="69" t="str">
        <f t="shared" si="9"/>
        <v/>
      </c>
    </row>
    <row r="434" spans="7:7" x14ac:dyDescent="0.25">
      <c r="G434" s="69" t="str">
        <f t="shared" si="9"/>
        <v/>
      </c>
    </row>
    <row r="435" spans="7:7" x14ac:dyDescent="0.25">
      <c r="G435" s="69" t="str">
        <f t="shared" si="9"/>
        <v/>
      </c>
    </row>
    <row r="436" spans="7:7" x14ac:dyDescent="0.25">
      <c r="G436" s="69" t="str">
        <f t="shared" si="9"/>
        <v/>
      </c>
    </row>
    <row r="437" spans="7:7" x14ac:dyDescent="0.25">
      <c r="G437" s="69" t="str">
        <f t="shared" si="9"/>
        <v/>
      </c>
    </row>
    <row r="438" spans="7:7" x14ac:dyDescent="0.25">
      <c r="G438" s="69" t="str">
        <f t="shared" si="9"/>
        <v/>
      </c>
    </row>
    <row r="439" spans="7:7" x14ac:dyDescent="0.25">
      <c r="G439" s="69" t="str">
        <f t="shared" si="9"/>
        <v/>
      </c>
    </row>
    <row r="440" spans="7:7" x14ac:dyDescent="0.25">
      <c r="G440" s="69" t="str">
        <f t="shared" si="9"/>
        <v/>
      </c>
    </row>
    <row r="441" spans="7:7" x14ac:dyDescent="0.25">
      <c r="G441" s="69" t="str">
        <f t="shared" si="9"/>
        <v/>
      </c>
    </row>
    <row r="442" spans="7:7" x14ac:dyDescent="0.25">
      <c r="G442" s="69" t="str">
        <f t="shared" si="9"/>
        <v/>
      </c>
    </row>
    <row r="443" spans="7:7" x14ac:dyDescent="0.25">
      <c r="G443" s="69" t="str">
        <f t="shared" si="9"/>
        <v/>
      </c>
    </row>
    <row r="444" spans="7:7" x14ac:dyDescent="0.25">
      <c r="G444" s="69" t="str">
        <f t="shared" si="9"/>
        <v/>
      </c>
    </row>
    <row r="445" spans="7:7" x14ac:dyDescent="0.25">
      <c r="G445" s="69" t="str">
        <f t="shared" si="9"/>
        <v/>
      </c>
    </row>
    <row r="446" spans="7:7" x14ac:dyDescent="0.25">
      <c r="G446" s="69" t="str">
        <f t="shared" si="9"/>
        <v/>
      </c>
    </row>
    <row r="447" spans="7:7" x14ac:dyDescent="0.25">
      <c r="G447" s="69" t="str">
        <f t="shared" si="9"/>
        <v/>
      </c>
    </row>
    <row r="448" spans="7:7" x14ac:dyDescent="0.25">
      <c r="G448" s="69" t="str">
        <f t="shared" si="9"/>
        <v/>
      </c>
    </row>
    <row r="449" spans="7:7" x14ac:dyDescent="0.25">
      <c r="G449" s="69" t="str">
        <f t="shared" si="9"/>
        <v/>
      </c>
    </row>
    <row r="450" spans="7:7" x14ac:dyDescent="0.25">
      <c r="G450" s="69" t="str">
        <f t="shared" si="9"/>
        <v/>
      </c>
    </row>
    <row r="451" spans="7:7" x14ac:dyDescent="0.25">
      <c r="G451" s="69" t="str">
        <f t="shared" si="9"/>
        <v/>
      </c>
    </row>
    <row r="452" spans="7:7" x14ac:dyDescent="0.25">
      <c r="G452" s="69" t="str">
        <f t="shared" si="9"/>
        <v/>
      </c>
    </row>
    <row r="453" spans="7:7" x14ac:dyDescent="0.25">
      <c r="G453" s="69" t="str">
        <f t="shared" si="9"/>
        <v/>
      </c>
    </row>
    <row r="454" spans="7:7" x14ac:dyDescent="0.25">
      <c r="G454" s="69" t="str">
        <f t="shared" si="9"/>
        <v/>
      </c>
    </row>
    <row r="455" spans="7:7" x14ac:dyDescent="0.25">
      <c r="G455" s="69" t="str">
        <f t="shared" si="9"/>
        <v/>
      </c>
    </row>
    <row r="456" spans="7:7" x14ac:dyDescent="0.25">
      <c r="G456" s="69" t="str">
        <f t="shared" si="9"/>
        <v/>
      </c>
    </row>
    <row r="457" spans="7:7" x14ac:dyDescent="0.25">
      <c r="G457" s="69" t="str">
        <f t="shared" si="9"/>
        <v/>
      </c>
    </row>
    <row r="458" spans="7:7" x14ac:dyDescent="0.25">
      <c r="G458" s="69" t="str">
        <f t="shared" ref="G458:G521" si="10">IF(NOT(ISBLANK(H458)),"Yes","")</f>
        <v/>
      </c>
    </row>
    <row r="459" spans="7:7" x14ac:dyDescent="0.25">
      <c r="G459" s="69" t="str">
        <f t="shared" si="10"/>
        <v/>
      </c>
    </row>
    <row r="460" spans="7:7" x14ac:dyDescent="0.25">
      <c r="G460" s="69" t="str">
        <f t="shared" si="10"/>
        <v/>
      </c>
    </row>
    <row r="461" spans="7:7" x14ac:dyDescent="0.25">
      <c r="G461" s="69" t="str">
        <f t="shared" si="10"/>
        <v/>
      </c>
    </row>
    <row r="462" spans="7:7" x14ac:dyDescent="0.25">
      <c r="G462" s="69" t="str">
        <f t="shared" si="10"/>
        <v/>
      </c>
    </row>
    <row r="463" spans="7:7" x14ac:dyDescent="0.25">
      <c r="G463" s="69" t="str">
        <f t="shared" si="10"/>
        <v/>
      </c>
    </row>
    <row r="464" spans="7:7" x14ac:dyDescent="0.25">
      <c r="G464" s="69" t="str">
        <f t="shared" si="10"/>
        <v/>
      </c>
    </row>
    <row r="465" spans="7:7" x14ac:dyDescent="0.25">
      <c r="G465" s="69" t="str">
        <f t="shared" si="10"/>
        <v/>
      </c>
    </row>
    <row r="466" spans="7:7" x14ac:dyDescent="0.25">
      <c r="G466" s="69" t="str">
        <f t="shared" si="10"/>
        <v/>
      </c>
    </row>
    <row r="467" spans="7:7" x14ac:dyDescent="0.25">
      <c r="G467" s="69" t="str">
        <f t="shared" si="10"/>
        <v/>
      </c>
    </row>
    <row r="468" spans="7:7" x14ac:dyDescent="0.25">
      <c r="G468" s="69" t="str">
        <f t="shared" si="10"/>
        <v/>
      </c>
    </row>
    <row r="469" spans="7:7" x14ac:dyDescent="0.25">
      <c r="G469" s="69" t="str">
        <f t="shared" si="10"/>
        <v/>
      </c>
    </row>
    <row r="470" spans="7:7" x14ac:dyDescent="0.25">
      <c r="G470" s="69" t="str">
        <f t="shared" si="10"/>
        <v/>
      </c>
    </row>
    <row r="471" spans="7:7" x14ac:dyDescent="0.25">
      <c r="G471" s="69" t="str">
        <f t="shared" si="10"/>
        <v/>
      </c>
    </row>
    <row r="472" spans="7:7" x14ac:dyDescent="0.25">
      <c r="G472" s="69" t="str">
        <f t="shared" si="10"/>
        <v/>
      </c>
    </row>
    <row r="473" spans="7:7" x14ac:dyDescent="0.25">
      <c r="G473" s="69" t="str">
        <f t="shared" si="10"/>
        <v/>
      </c>
    </row>
    <row r="474" spans="7:7" x14ac:dyDescent="0.25">
      <c r="G474" s="69" t="str">
        <f t="shared" si="10"/>
        <v/>
      </c>
    </row>
    <row r="475" spans="7:7" x14ac:dyDescent="0.25">
      <c r="G475" s="69" t="str">
        <f t="shared" si="10"/>
        <v/>
      </c>
    </row>
    <row r="476" spans="7:7" x14ac:dyDescent="0.25">
      <c r="G476" s="69" t="str">
        <f t="shared" si="10"/>
        <v/>
      </c>
    </row>
    <row r="477" spans="7:7" x14ac:dyDescent="0.25">
      <c r="G477" s="69" t="str">
        <f t="shared" si="10"/>
        <v/>
      </c>
    </row>
    <row r="478" spans="7:7" x14ac:dyDescent="0.25">
      <c r="G478" s="69" t="str">
        <f t="shared" si="10"/>
        <v/>
      </c>
    </row>
    <row r="479" spans="7:7" x14ac:dyDescent="0.25">
      <c r="G479" s="69" t="str">
        <f t="shared" si="10"/>
        <v/>
      </c>
    </row>
    <row r="480" spans="7:7" x14ac:dyDescent="0.25">
      <c r="G480" s="69" t="str">
        <f t="shared" si="10"/>
        <v/>
      </c>
    </row>
    <row r="481" spans="7:7" x14ac:dyDescent="0.25">
      <c r="G481" s="69" t="str">
        <f t="shared" si="10"/>
        <v/>
      </c>
    </row>
    <row r="482" spans="7:7" x14ac:dyDescent="0.25">
      <c r="G482" s="69" t="str">
        <f t="shared" si="10"/>
        <v/>
      </c>
    </row>
    <row r="483" spans="7:7" x14ac:dyDescent="0.25">
      <c r="G483" s="69" t="str">
        <f t="shared" si="10"/>
        <v/>
      </c>
    </row>
    <row r="484" spans="7:7" x14ac:dyDescent="0.25">
      <c r="G484" s="69" t="str">
        <f t="shared" si="10"/>
        <v/>
      </c>
    </row>
    <row r="485" spans="7:7" x14ac:dyDescent="0.25">
      <c r="G485" s="69" t="str">
        <f t="shared" si="10"/>
        <v/>
      </c>
    </row>
    <row r="486" spans="7:7" x14ac:dyDescent="0.25">
      <c r="G486" s="69" t="str">
        <f t="shared" si="10"/>
        <v/>
      </c>
    </row>
    <row r="487" spans="7:7" x14ac:dyDescent="0.25">
      <c r="G487" s="69" t="str">
        <f t="shared" si="10"/>
        <v/>
      </c>
    </row>
    <row r="488" spans="7:7" x14ac:dyDescent="0.25">
      <c r="G488" s="69" t="str">
        <f t="shared" si="10"/>
        <v/>
      </c>
    </row>
    <row r="489" spans="7:7" x14ac:dyDescent="0.25">
      <c r="G489" s="69" t="str">
        <f t="shared" si="10"/>
        <v/>
      </c>
    </row>
    <row r="490" spans="7:7" x14ac:dyDescent="0.25">
      <c r="G490" s="69" t="str">
        <f t="shared" si="10"/>
        <v/>
      </c>
    </row>
    <row r="491" spans="7:7" x14ac:dyDescent="0.25">
      <c r="G491" s="69" t="str">
        <f t="shared" si="10"/>
        <v/>
      </c>
    </row>
    <row r="492" spans="7:7" x14ac:dyDescent="0.25">
      <c r="G492" s="69" t="str">
        <f t="shared" si="10"/>
        <v/>
      </c>
    </row>
    <row r="493" spans="7:7" x14ac:dyDescent="0.25">
      <c r="G493" s="69" t="str">
        <f t="shared" si="10"/>
        <v/>
      </c>
    </row>
    <row r="494" spans="7:7" x14ac:dyDescent="0.25">
      <c r="G494" s="69" t="str">
        <f t="shared" si="10"/>
        <v/>
      </c>
    </row>
    <row r="495" spans="7:7" x14ac:dyDescent="0.25">
      <c r="G495" s="69" t="str">
        <f t="shared" si="10"/>
        <v/>
      </c>
    </row>
    <row r="496" spans="7:7" x14ac:dyDescent="0.25">
      <c r="G496" s="69" t="str">
        <f t="shared" si="10"/>
        <v/>
      </c>
    </row>
    <row r="497" spans="7:7" x14ac:dyDescent="0.25">
      <c r="G497" s="69" t="str">
        <f t="shared" si="10"/>
        <v/>
      </c>
    </row>
    <row r="498" spans="7:7" x14ac:dyDescent="0.25">
      <c r="G498" s="69" t="str">
        <f t="shared" si="10"/>
        <v/>
      </c>
    </row>
    <row r="499" spans="7:7" x14ac:dyDescent="0.25">
      <c r="G499" s="69" t="str">
        <f t="shared" si="10"/>
        <v/>
      </c>
    </row>
    <row r="500" spans="7:7" x14ac:dyDescent="0.25">
      <c r="G500" s="69" t="str">
        <f t="shared" si="10"/>
        <v/>
      </c>
    </row>
    <row r="501" spans="7:7" x14ac:dyDescent="0.25">
      <c r="G501" s="69" t="str">
        <f t="shared" si="10"/>
        <v/>
      </c>
    </row>
    <row r="502" spans="7:7" x14ac:dyDescent="0.25">
      <c r="G502" s="69" t="str">
        <f t="shared" si="10"/>
        <v/>
      </c>
    </row>
    <row r="503" spans="7:7" x14ac:dyDescent="0.25">
      <c r="G503" s="69" t="str">
        <f t="shared" si="10"/>
        <v/>
      </c>
    </row>
    <row r="504" spans="7:7" x14ac:dyDescent="0.25">
      <c r="G504" s="69" t="str">
        <f t="shared" si="10"/>
        <v/>
      </c>
    </row>
    <row r="505" spans="7:7" x14ac:dyDescent="0.25">
      <c r="G505" s="69" t="str">
        <f t="shared" si="10"/>
        <v/>
      </c>
    </row>
    <row r="506" spans="7:7" x14ac:dyDescent="0.25">
      <c r="G506" s="69" t="str">
        <f t="shared" si="10"/>
        <v/>
      </c>
    </row>
    <row r="507" spans="7:7" x14ac:dyDescent="0.25">
      <c r="G507" s="69" t="str">
        <f t="shared" si="10"/>
        <v/>
      </c>
    </row>
    <row r="508" spans="7:7" x14ac:dyDescent="0.25">
      <c r="G508" s="69" t="str">
        <f t="shared" si="10"/>
        <v/>
      </c>
    </row>
    <row r="509" spans="7:7" x14ac:dyDescent="0.25">
      <c r="G509" s="69" t="str">
        <f t="shared" si="10"/>
        <v/>
      </c>
    </row>
    <row r="510" spans="7:7" x14ac:dyDescent="0.25">
      <c r="G510" s="69" t="str">
        <f t="shared" si="10"/>
        <v/>
      </c>
    </row>
    <row r="511" spans="7:7" x14ac:dyDescent="0.25">
      <c r="G511" s="69" t="str">
        <f t="shared" si="10"/>
        <v/>
      </c>
    </row>
    <row r="512" spans="7:7" x14ac:dyDescent="0.25">
      <c r="G512" s="69" t="str">
        <f t="shared" si="10"/>
        <v/>
      </c>
    </row>
    <row r="513" spans="7:7" x14ac:dyDescent="0.25">
      <c r="G513" s="69" t="str">
        <f t="shared" si="10"/>
        <v/>
      </c>
    </row>
    <row r="514" spans="7:7" x14ac:dyDescent="0.25">
      <c r="G514" s="69" t="str">
        <f t="shared" si="10"/>
        <v/>
      </c>
    </row>
    <row r="515" spans="7:7" x14ac:dyDescent="0.25">
      <c r="G515" s="69" t="str">
        <f t="shared" si="10"/>
        <v/>
      </c>
    </row>
    <row r="516" spans="7:7" x14ac:dyDescent="0.25">
      <c r="G516" s="69" t="str">
        <f t="shared" si="10"/>
        <v/>
      </c>
    </row>
    <row r="517" spans="7:7" x14ac:dyDescent="0.25">
      <c r="G517" s="69" t="str">
        <f t="shared" si="10"/>
        <v/>
      </c>
    </row>
    <row r="518" spans="7:7" x14ac:dyDescent="0.25">
      <c r="G518" s="69" t="str">
        <f t="shared" si="10"/>
        <v/>
      </c>
    </row>
    <row r="519" spans="7:7" x14ac:dyDescent="0.25">
      <c r="G519" s="69" t="str">
        <f t="shared" si="10"/>
        <v/>
      </c>
    </row>
    <row r="520" spans="7:7" x14ac:dyDescent="0.25">
      <c r="G520" s="69" t="str">
        <f t="shared" si="10"/>
        <v/>
      </c>
    </row>
    <row r="521" spans="7:7" x14ac:dyDescent="0.25">
      <c r="G521" s="69" t="str">
        <f t="shared" si="10"/>
        <v/>
      </c>
    </row>
    <row r="522" spans="7:7" x14ac:dyDescent="0.25">
      <c r="G522" s="69" t="str">
        <f t="shared" ref="G522:G585" si="11">IF(NOT(ISBLANK(H522)),"Yes","")</f>
        <v/>
      </c>
    </row>
    <row r="523" spans="7:7" x14ac:dyDescent="0.25">
      <c r="G523" s="69" t="str">
        <f t="shared" si="11"/>
        <v/>
      </c>
    </row>
    <row r="524" spans="7:7" x14ac:dyDescent="0.25">
      <c r="G524" s="69" t="str">
        <f t="shared" si="11"/>
        <v/>
      </c>
    </row>
    <row r="525" spans="7:7" x14ac:dyDescent="0.25">
      <c r="G525" s="69" t="str">
        <f t="shared" si="11"/>
        <v/>
      </c>
    </row>
    <row r="526" spans="7:7" x14ac:dyDescent="0.25">
      <c r="G526" s="69" t="str">
        <f t="shared" si="11"/>
        <v/>
      </c>
    </row>
    <row r="527" spans="7:7" x14ac:dyDescent="0.25">
      <c r="G527" s="69" t="str">
        <f t="shared" si="11"/>
        <v/>
      </c>
    </row>
    <row r="528" spans="7:7" x14ac:dyDescent="0.25">
      <c r="G528" s="69" t="str">
        <f t="shared" si="11"/>
        <v/>
      </c>
    </row>
    <row r="529" spans="7:7" x14ac:dyDescent="0.25">
      <c r="G529" s="69" t="str">
        <f t="shared" si="11"/>
        <v/>
      </c>
    </row>
    <row r="530" spans="7:7" x14ac:dyDescent="0.25">
      <c r="G530" s="69" t="str">
        <f t="shared" si="11"/>
        <v/>
      </c>
    </row>
    <row r="531" spans="7:7" x14ac:dyDescent="0.25">
      <c r="G531" s="69" t="str">
        <f t="shared" si="11"/>
        <v/>
      </c>
    </row>
    <row r="532" spans="7:7" x14ac:dyDescent="0.25">
      <c r="G532" s="69" t="str">
        <f t="shared" si="11"/>
        <v/>
      </c>
    </row>
    <row r="533" spans="7:7" x14ac:dyDescent="0.25">
      <c r="G533" s="69" t="str">
        <f t="shared" si="11"/>
        <v/>
      </c>
    </row>
    <row r="534" spans="7:7" x14ac:dyDescent="0.25">
      <c r="G534" s="69" t="str">
        <f t="shared" si="11"/>
        <v/>
      </c>
    </row>
    <row r="535" spans="7:7" x14ac:dyDescent="0.25">
      <c r="G535" s="69" t="str">
        <f t="shared" si="11"/>
        <v/>
      </c>
    </row>
    <row r="536" spans="7:7" x14ac:dyDescent="0.25">
      <c r="G536" s="69" t="str">
        <f t="shared" si="11"/>
        <v/>
      </c>
    </row>
    <row r="537" spans="7:7" x14ac:dyDescent="0.25">
      <c r="G537" s="69" t="str">
        <f t="shared" si="11"/>
        <v/>
      </c>
    </row>
    <row r="538" spans="7:7" x14ac:dyDescent="0.25">
      <c r="G538" s="69" t="str">
        <f t="shared" si="11"/>
        <v/>
      </c>
    </row>
    <row r="539" spans="7:7" x14ac:dyDescent="0.25">
      <c r="G539" s="69" t="str">
        <f t="shared" si="11"/>
        <v/>
      </c>
    </row>
    <row r="540" spans="7:7" x14ac:dyDescent="0.25">
      <c r="G540" s="69" t="str">
        <f t="shared" si="11"/>
        <v/>
      </c>
    </row>
    <row r="541" spans="7:7" x14ac:dyDescent="0.25">
      <c r="G541" s="69" t="str">
        <f t="shared" si="11"/>
        <v/>
      </c>
    </row>
    <row r="542" spans="7:7" x14ac:dyDescent="0.25">
      <c r="G542" s="69" t="str">
        <f t="shared" si="11"/>
        <v/>
      </c>
    </row>
    <row r="543" spans="7:7" x14ac:dyDescent="0.25">
      <c r="G543" s="69" t="str">
        <f t="shared" si="11"/>
        <v/>
      </c>
    </row>
    <row r="544" spans="7:7" x14ac:dyDescent="0.25">
      <c r="G544" s="69" t="str">
        <f t="shared" si="11"/>
        <v/>
      </c>
    </row>
    <row r="545" spans="7:7" x14ac:dyDescent="0.25">
      <c r="G545" s="69" t="str">
        <f t="shared" si="11"/>
        <v/>
      </c>
    </row>
    <row r="546" spans="7:7" x14ac:dyDescent="0.25">
      <c r="G546" s="69" t="str">
        <f t="shared" si="11"/>
        <v/>
      </c>
    </row>
    <row r="547" spans="7:7" x14ac:dyDescent="0.25">
      <c r="G547" s="69" t="str">
        <f t="shared" si="11"/>
        <v/>
      </c>
    </row>
    <row r="548" spans="7:7" x14ac:dyDescent="0.25">
      <c r="G548" s="69" t="str">
        <f t="shared" si="11"/>
        <v/>
      </c>
    </row>
    <row r="549" spans="7:7" x14ac:dyDescent="0.25">
      <c r="G549" s="69" t="str">
        <f t="shared" si="11"/>
        <v/>
      </c>
    </row>
    <row r="550" spans="7:7" x14ac:dyDescent="0.25">
      <c r="G550" s="69" t="str">
        <f t="shared" si="11"/>
        <v/>
      </c>
    </row>
    <row r="551" spans="7:7" x14ac:dyDescent="0.25">
      <c r="G551" s="69" t="str">
        <f t="shared" si="11"/>
        <v/>
      </c>
    </row>
    <row r="552" spans="7:7" x14ac:dyDescent="0.25">
      <c r="G552" s="69" t="str">
        <f t="shared" si="11"/>
        <v/>
      </c>
    </row>
    <row r="553" spans="7:7" x14ac:dyDescent="0.25">
      <c r="G553" s="69" t="str">
        <f t="shared" si="11"/>
        <v/>
      </c>
    </row>
    <row r="554" spans="7:7" x14ac:dyDescent="0.25">
      <c r="G554" s="69" t="str">
        <f t="shared" si="11"/>
        <v/>
      </c>
    </row>
    <row r="555" spans="7:7" x14ac:dyDescent="0.25">
      <c r="G555" s="69" t="str">
        <f t="shared" si="11"/>
        <v/>
      </c>
    </row>
    <row r="556" spans="7:7" x14ac:dyDescent="0.25">
      <c r="G556" s="69" t="str">
        <f t="shared" si="11"/>
        <v/>
      </c>
    </row>
    <row r="557" spans="7:7" x14ac:dyDescent="0.25">
      <c r="G557" s="69" t="str">
        <f t="shared" si="11"/>
        <v/>
      </c>
    </row>
    <row r="558" spans="7:7" x14ac:dyDescent="0.25">
      <c r="G558" s="69" t="str">
        <f t="shared" si="11"/>
        <v/>
      </c>
    </row>
    <row r="559" spans="7:7" x14ac:dyDescent="0.25">
      <c r="G559" s="69" t="str">
        <f t="shared" si="11"/>
        <v/>
      </c>
    </row>
    <row r="560" spans="7:7" x14ac:dyDescent="0.25">
      <c r="G560" s="69" t="str">
        <f t="shared" si="11"/>
        <v/>
      </c>
    </row>
    <row r="561" spans="7:7" x14ac:dyDescent="0.25">
      <c r="G561" s="69" t="str">
        <f t="shared" si="11"/>
        <v/>
      </c>
    </row>
    <row r="562" spans="7:7" x14ac:dyDescent="0.25">
      <c r="G562" s="69" t="str">
        <f t="shared" si="11"/>
        <v/>
      </c>
    </row>
    <row r="563" spans="7:7" x14ac:dyDescent="0.25">
      <c r="G563" s="69" t="str">
        <f t="shared" si="11"/>
        <v/>
      </c>
    </row>
    <row r="564" spans="7:7" x14ac:dyDescent="0.25">
      <c r="G564" s="69" t="str">
        <f t="shared" si="11"/>
        <v/>
      </c>
    </row>
    <row r="565" spans="7:7" x14ac:dyDescent="0.25">
      <c r="G565" s="69" t="str">
        <f t="shared" si="11"/>
        <v/>
      </c>
    </row>
    <row r="566" spans="7:7" x14ac:dyDescent="0.25">
      <c r="G566" s="69" t="str">
        <f t="shared" si="11"/>
        <v/>
      </c>
    </row>
    <row r="567" spans="7:7" x14ac:dyDescent="0.25">
      <c r="G567" s="69" t="str">
        <f t="shared" si="11"/>
        <v/>
      </c>
    </row>
    <row r="568" spans="7:7" x14ac:dyDescent="0.25">
      <c r="G568" s="69" t="str">
        <f t="shared" si="11"/>
        <v/>
      </c>
    </row>
    <row r="569" spans="7:7" x14ac:dyDescent="0.25">
      <c r="G569" s="69" t="str">
        <f t="shared" si="11"/>
        <v/>
      </c>
    </row>
    <row r="570" spans="7:7" x14ac:dyDescent="0.25">
      <c r="G570" s="69" t="str">
        <f t="shared" si="11"/>
        <v/>
      </c>
    </row>
    <row r="571" spans="7:7" x14ac:dyDescent="0.25">
      <c r="G571" s="69" t="str">
        <f t="shared" si="11"/>
        <v/>
      </c>
    </row>
    <row r="572" spans="7:7" x14ac:dyDescent="0.25">
      <c r="G572" s="69" t="str">
        <f t="shared" si="11"/>
        <v/>
      </c>
    </row>
    <row r="573" spans="7:7" x14ac:dyDescent="0.25">
      <c r="G573" s="69" t="str">
        <f t="shared" si="11"/>
        <v/>
      </c>
    </row>
    <row r="574" spans="7:7" x14ac:dyDescent="0.25">
      <c r="G574" s="69" t="str">
        <f t="shared" si="11"/>
        <v/>
      </c>
    </row>
    <row r="575" spans="7:7" x14ac:dyDescent="0.25">
      <c r="G575" s="69" t="str">
        <f t="shared" si="11"/>
        <v/>
      </c>
    </row>
    <row r="576" spans="7:7" x14ac:dyDescent="0.25">
      <c r="G576" s="69" t="str">
        <f t="shared" si="11"/>
        <v/>
      </c>
    </row>
    <row r="577" spans="7:7" x14ac:dyDescent="0.25">
      <c r="G577" s="69" t="str">
        <f t="shared" si="11"/>
        <v/>
      </c>
    </row>
    <row r="578" spans="7:7" x14ac:dyDescent="0.25">
      <c r="G578" s="69" t="str">
        <f t="shared" si="11"/>
        <v/>
      </c>
    </row>
    <row r="579" spans="7:7" x14ac:dyDescent="0.25">
      <c r="G579" s="69" t="str">
        <f t="shared" si="11"/>
        <v/>
      </c>
    </row>
    <row r="580" spans="7:7" x14ac:dyDescent="0.25">
      <c r="G580" s="69" t="str">
        <f t="shared" si="11"/>
        <v/>
      </c>
    </row>
    <row r="581" spans="7:7" x14ac:dyDescent="0.25">
      <c r="G581" s="69" t="str">
        <f t="shared" si="11"/>
        <v/>
      </c>
    </row>
    <row r="582" spans="7:7" x14ac:dyDescent="0.25">
      <c r="G582" s="69" t="str">
        <f t="shared" si="11"/>
        <v/>
      </c>
    </row>
    <row r="583" spans="7:7" x14ac:dyDescent="0.25">
      <c r="G583" s="69" t="str">
        <f t="shared" si="11"/>
        <v/>
      </c>
    </row>
    <row r="584" spans="7:7" x14ac:dyDescent="0.25">
      <c r="G584" s="69" t="str">
        <f t="shared" si="11"/>
        <v/>
      </c>
    </row>
    <row r="585" spans="7:7" x14ac:dyDescent="0.25">
      <c r="G585" s="69" t="str">
        <f t="shared" si="11"/>
        <v/>
      </c>
    </row>
    <row r="586" spans="7:7" x14ac:dyDescent="0.25">
      <c r="G586" s="69" t="str">
        <f t="shared" ref="G586:G649" si="12">IF(NOT(ISBLANK(H586)),"Yes","")</f>
        <v/>
      </c>
    </row>
    <row r="587" spans="7:7" x14ac:dyDescent="0.25">
      <c r="G587" s="69" t="str">
        <f t="shared" si="12"/>
        <v/>
      </c>
    </row>
    <row r="588" spans="7:7" x14ac:dyDescent="0.25">
      <c r="G588" s="69" t="str">
        <f t="shared" si="12"/>
        <v/>
      </c>
    </row>
    <row r="589" spans="7:7" x14ac:dyDescent="0.25">
      <c r="G589" s="69" t="str">
        <f t="shared" si="12"/>
        <v/>
      </c>
    </row>
    <row r="590" spans="7:7" x14ac:dyDescent="0.25">
      <c r="G590" s="69" t="str">
        <f t="shared" si="12"/>
        <v/>
      </c>
    </row>
    <row r="591" spans="7:7" x14ac:dyDescent="0.25">
      <c r="G591" s="69" t="str">
        <f t="shared" si="12"/>
        <v/>
      </c>
    </row>
    <row r="592" spans="7:7" x14ac:dyDescent="0.25">
      <c r="G592" s="69" t="str">
        <f t="shared" si="12"/>
        <v/>
      </c>
    </row>
    <row r="593" spans="7:7" x14ac:dyDescent="0.25">
      <c r="G593" s="69" t="str">
        <f t="shared" si="12"/>
        <v/>
      </c>
    </row>
    <row r="594" spans="7:7" x14ac:dyDescent="0.25">
      <c r="G594" s="69" t="str">
        <f t="shared" si="12"/>
        <v/>
      </c>
    </row>
    <row r="595" spans="7:7" x14ac:dyDescent="0.25">
      <c r="G595" s="69" t="str">
        <f t="shared" si="12"/>
        <v/>
      </c>
    </row>
    <row r="596" spans="7:7" x14ac:dyDescent="0.25">
      <c r="G596" s="69" t="str">
        <f t="shared" si="12"/>
        <v/>
      </c>
    </row>
    <row r="597" spans="7:7" x14ac:dyDescent="0.25">
      <c r="G597" s="69" t="str">
        <f t="shared" si="12"/>
        <v/>
      </c>
    </row>
    <row r="598" spans="7:7" x14ac:dyDescent="0.25">
      <c r="G598" s="69" t="str">
        <f t="shared" si="12"/>
        <v/>
      </c>
    </row>
    <row r="599" spans="7:7" x14ac:dyDescent="0.25">
      <c r="G599" s="69" t="str">
        <f t="shared" si="12"/>
        <v/>
      </c>
    </row>
    <row r="600" spans="7:7" x14ac:dyDescent="0.25">
      <c r="G600" s="69" t="str">
        <f t="shared" si="12"/>
        <v/>
      </c>
    </row>
    <row r="601" spans="7:7" x14ac:dyDescent="0.25">
      <c r="G601" s="69" t="str">
        <f t="shared" si="12"/>
        <v/>
      </c>
    </row>
    <row r="602" spans="7:7" x14ac:dyDescent="0.25">
      <c r="G602" s="69" t="str">
        <f t="shared" si="12"/>
        <v/>
      </c>
    </row>
    <row r="603" spans="7:7" x14ac:dyDescent="0.25">
      <c r="G603" s="69" t="str">
        <f t="shared" si="12"/>
        <v/>
      </c>
    </row>
    <row r="604" spans="7:7" x14ac:dyDescent="0.25">
      <c r="G604" s="69" t="str">
        <f t="shared" si="12"/>
        <v/>
      </c>
    </row>
    <row r="605" spans="7:7" x14ac:dyDescent="0.25">
      <c r="G605" s="69" t="str">
        <f t="shared" si="12"/>
        <v/>
      </c>
    </row>
    <row r="606" spans="7:7" x14ac:dyDescent="0.25">
      <c r="G606" s="69" t="str">
        <f t="shared" si="12"/>
        <v/>
      </c>
    </row>
    <row r="607" spans="7:7" x14ac:dyDescent="0.25">
      <c r="G607" s="69" t="str">
        <f t="shared" si="12"/>
        <v/>
      </c>
    </row>
    <row r="608" spans="7:7" x14ac:dyDescent="0.25">
      <c r="G608" s="69" t="str">
        <f t="shared" si="12"/>
        <v/>
      </c>
    </row>
    <row r="609" spans="7:7" x14ac:dyDescent="0.25">
      <c r="G609" s="69" t="str">
        <f t="shared" si="12"/>
        <v/>
      </c>
    </row>
    <row r="610" spans="7:7" x14ac:dyDescent="0.25">
      <c r="G610" s="69" t="str">
        <f t="shared" si="12"/>
        <v/>
      </c>
    </row>
    <row r="611" spans="7:7" x14ac:dyDescent="0.25">
      <c r="G611" s="69" t="str">
        <f t="shared" si="12"/>
        <v/>
      </c>
    </row>
    <row r="612" spans="7:7" x14ac:dyDescent="0.25">
      <c r="G612" s="69" t="str">
        <f t="shared" si="12"/>
        <v/>
      </c>
    </row>
    <row r="613" spans="7:7" x14ac:dyDescent="0.25">
      <c r="G613" s="69" t="str">
        <f t="shared" si="12"/>
        <v/>
      </c>
    </row>
    <row r="614" spans="7:7" x14ac:dyDescent="0.25">
      <c r="G614" s="69" t="str">
        <f t="shared" si="12"/>
        <v/>
      </c>
    </row>
    <row r="615" spans="7:7" x14ac:dyDescent="0.25">
      <c r="G615" s="69" t="str">
        <f t="shared" si="12"/>
        <v/>
      </c>
    </row>
    <row r="616" spans="7:7" x14ac:dyDescent="0.25">
      <c r="G616" s="69" t="str">
        <f t="shared" si="12"/>
        <v/>
      </c>
    </row>
    <row r="617" spans="7:7" x14ac:dyDescent="0.25">
      <c r="G617" s="69" t="str">
        <f t="shared" si="12"/>
        <v/>
      </c>
    </row>
    <row r="618" spans="7:7" x14ac:dyDescent="0.25">
      <c r="G618" s="69" t="str">
        <f t="shared" si="12"/>
        <v/>
      </c>
    </row>
    <row r="619" spans="7:7" x14ac:dyDescent="0.25">
      <c r="G619" s="69" t="str">
        <f t="shared" si="12"/>
        <v/>
      </c>
    </row>
    <row r="620" spans="7:7" x14ac:dyDescent="0.25">
      <c r="G620" s="69" t="str">
        <f t="shared" si="12"/>
        <v/>
      </c>
    </row>
    <row r="621" spans="7:7" x14ac:dyDescent="0.25">
      <c r="G621" s="69" t="str">
        <f t="shared" si="12"/>
        <v/>
      </c>
    </row>
    <row r="622" spans="7:7" x14ac:dyDescent="0.25">
      <c r="G622" s="69" t="str">
        <f t="shared" si="12"/>
        <v/>
      </c>
    </row>
    <row r="623" spans="7:7" x14ac:dyDescent="0.25">
      <c r="G623" s="69" t="str">
        <f t="shared" si="12"/>
        <v/>
      </c>
    </row>
    <row r="624" spans="7:7" x14ac:dyDescent="0.25">
      <c r="G624" s="69" t="str">
        <f t="shared" si="12"/>
        <v/>
      </c>
    </row>
    <row r="625" spans="7:7" x14ac:dyDescent="0.25">
      <c r="G625" s="69" t="str">
        <f t="shared" si="12"/>
        <v/>
      </c>
    </row>
    <row r="626" spans="7:7" x14ac:dyDescent="0.25">
      <c r="G626" s="69" t="str">
        <f t="shared" si="12"/>
        <v/>
      </c>
    </row>
    <row r="627" spans="7:7" x14ac:dyDescent="0.25">
      <c r="G627" s="69" t="str">
        <f t="shared" si="12"/>
        <v/>
      </c>
    </row>
    <row r="628" spans="7:7" x14ac:dyDescent="0.25">
      <c r="G628" s="69" t="str">
        <f t="shared" si="12"/>
        <v/>
      </c>
    </row>
    <row r="629" spans="7:7" x14ac:dyDescent="0.25">
      <c r="G629" s="69" t="str">
        <f t="shared" si="12"/>
        <v/>
      </c>
    </row>
    <row r="630" spans="7:7" x14ac:dyDescent="0.25">
      <c r="G630" s="69" t="str">
        <f t="shared" si="12"/>
        <v/>
      </c>
    </row>
    <row r="631" spans="7:7" x14ac:dyDescent="0.25">
      <c r="G631" s="69" t="str">
        <f t="shared" si="12"/>
        <v/>
      </c>
    </row>
    <row r="632" spans="7:7" x14ac:dyDescent="0.25">
      <c r="G632" s="69" t="str">
        <f t="shared" si="12"/>
        <v/>
      </c>
    </row>
    <row r="633" spans="7:7" x14ac:dyDescent="0.25">
      <c r="G633" s="69" t="str">
        <f t="shared" si="12"/>
        <v/>
      </c>
    </row>
    <row r="634" spans="7:7" x14ac:dyDescent="0.25">
      <c r="G634" s="69" t="str">
        <f t="shared" si="12"/>
        <v/>
      </c>
    </row>
    <row r="635" spans="7:7" x14ac:dyDescent="0.25">
      <c r="G635" s="69" t="str">
        <f t="shared" si="12"/>
        <v/>
      </c>
    </row>
    <row r="636" spans="7:7" x14ac:dyDescent="0.25">
      <c r="G636" s="69" t="str">
        <f t="shared" si="12"/>
        <v/>
      </c>
    </row>
    <row r="637" spans="7:7" x14ac:dyDescent="0.25">
      <c r="G637" s="69" t="str">
        <f t="shared" si="12"/>
        <v/>
      </c>
    </row>
    <row r="638" spans="7:7" x14ac:dyDescent="0.25">
      <c r="G638" s="69" t="str">
        <f t="shared" si="12"/>
        <v/>
      </c>
    </row>
    <row r="639" spans="7:7" x14ac:dyDescent="0.25">
      <c r="G639" s="69" t="str">
        <f t="shared" si="12"/>
        <v/>
      </c>
    </row>
    <row r="640" spans="7:7" x14ac:dyDescent="0.25">
      <c r="G640" s="69" t="str">
        <f t="shared" si="12"/>
        <v/>
      </c>
    </row>
    <row r="641" spans="7:7" x14ac:dyDescent="0.25">
      <c r="G641" s="69" t="str">
        <f t="shared" si="12"/>
        <v/>
      </c>
    </row>
    <row r="642" spans="7:7" x14ac:dyDescent="0.25">
      <c r="G642" s="69" t="str">
        <f t="shared" si="12"/>
        <v/>
      </c>
    </row>
    <row r="643" spans="7:7" x14ac:dyDescent="0.25">
      <c r="G643" s="69" t="str">
        <f t="shared" si="12"/>
        <v/>
      </c>
    </row>
    <row r="644" spans="7:7" x14ac:dyDescent="0.25">
      <c r="G644" s="69" t="str">
        <f t="shared" si="12"/>
        <v/>
      </c>
    </row>
    <row r="645" spans="7:7" x14ac:dyDescent="0.25">
      <c r="G645" s="69" t="str">
        <f t="shared" si="12"/>
        <v/>
      </c>
    </row>
    <row r="646" spans="7:7" x14ac:dyDescent="0.25">
      <c r="G646" s="69" t="str">
        <f t="shared" si="12"/>
        <v/>
      </c>
    </row>
    <row r="647" spans="7:7" x14ac:dyDescent="0.25">
      <c r="G647" s="69" t="str">
        <f t="shared" si="12"/>
        <v/>
      </c>
    </row>
    <row r="648" spans="7:7" x14ac:dyDescent="0.25">
      <c r="G648" s="69" t="str">
        <f t="shared" si="12"/>
        <v/>
      </c>
    </row>
    <row r="649" spans="7:7" x14ac:dyDescent="0.25">
      <c r="G649" s="69" t="str">
        <f t="shared" si="12"/>
        <v/>
      </c>
    </row>
    <row r="650" spans="7:7" x14ac:dyDescent="0.25">
      <c r="G650" s="69" t="str">
        <f t="shared" ref="G650:G713" si="13">IF(NOT(ISBLANK(H650)),"Yes","")</f>
        <v/>
      </c>
    </row>
    <row r="651" spans="7:7" x14ac:dyDescent="0.25">
      <c r="G651" s="69" t="str">
        <f t="shared" si="13"/>
        <v/>
      </c>
    </row>
    <row r="652" spans="7:7" x14ac:dyDescent="0.25">
      <c r="G652" s="69" t="str">
        <f t="shared" si="13"/>
        <v/>
      </c>
    </row>
    <row r="653" spans="7:7" x14ac:dyDescent="0.25">
      <c r="G653" s="69" t="str">
        <f t="shared" si="13"/>
        <v/>
      </c>
    </row>
    <row r="654" spans="7:7" x14ac:dyDescent="0.25">
      <c r="G654" s="69" t="str">
        <f t="shared" si="13"/>
        <v/>
      </c>
    </row>
    <row r="655" spans="7:7" x14ac:dyDescent="0.25">
      <c r="G655" s="69" t="str">
        <f t="shared" si="13"/>
        <v/>
      </c>
    </row>
    <row r="656" spans="7:7" x14ac:dyDescent="0.25">
      <c r="G656" s="69" t="str">
        <f t="shared" si="13"/>
        <v/>
      </c>
    </row>
    <row r="657" spans="7:7" x14ac:dyDescent="0.25">
      <c r="G657" s="69" t="str">
        <f t="shared" si="13"/>
        <v/>
      </c>
    </row>
    <row r="658" spans="7:7" x14ac:dyDescent="0.25">
      <c r="G658" s="69" t="str">
        <f t="shared" si="13"/>
        <v/>
      </c>
    </row>
    <row r="659" spans="7:7" x14ac:dyDescent="0.25">
      <c r="G659" s="69" t="str">
        <f t="shared" si="13"/>
        <v/>
      </c>
    </row>
    <row r="660" spans="7:7" x14ac:dyDescent="0.25">
      <c r="G660" s="69" t="str">
        <f t="shared" si="13"/>
        <v/>
      </c>
    </row>
    <row r="661" spans="7:7" x14ac:dyDescent="0.25">
      <c r="G661" s="69" t="str">
        <f t="shared" si="13"/>
        <v/>
      </c>
    </row>
    <row r="662" spans="7:7" x14ac:dyDescent="0.25">
      <c r="G662" s="69" t="str">
        <f t="shared" si="13"/>
        <v/>
      </c>
    </row>
    <row r="663" spans="7:7" x14ac:dyDescent="0.25">
      <c r="G663" s="69" t="str">
        <f t="shared" si="13"/>
        <v/>
      </c>
    </row>
    <row r="664" spans="7:7" x14ac:dyDescent="0.25">
      <c r="G664" s="69" t="str">
        <f t="shared" si="13"/>
        <v/>
      </c>
    </row>
    <row r="665" spans="7:7" x14ac:dyDescent="0.25">
      <c r="G665" s="69" t="str">
        <f t="shared" si="13"/>
        <v/>
      </c>
    </row>
    <row r="666" spans="7:7" x14ac:dyDescent="0.25">
      <c r="G666" s="69" t="str">
        <f t="shared" si="13"/>
        <v/>
      </c>
    </row>
    <row r="667" spans="7:7" x14ac:dyDescent="0.25">
      <c r="G667" s="69" t="str">
        <f t="shared" si="13"/>
        <v/>
      </c>
    </row>
    <row r="668" spans="7:7" x14ac:dyDescent="0.25">
      <c r="G668" s="69" t="str">
        <f t="shared" si="13"/>
        <v/>
      </c>
    </row>
    <row r="669" spans="7:7" x14ac:dyDescent="0.25">
      <c r="G669" s="69" t="str">
        <f t="shared" si="13"/>
        <v/>
      </c>
    </row>
    <row r="670" spans="7:7" x14ac:dyDescent="0.25">
      <c r="G670" s="69" t="str">
        <f t="shared" si="13"/>
        <v/>
      </c>
    </row>
    <row r="671" spans="7:7" x14ac:dyDescent="0.25">
      <c r="G671" s="69" t="str">
        <f t="shared" si="13"/>
        <v/>
      </c>
    </row>
    <row r="672" spans="7:7" x14ac:dyDescent="0.25">
      <c r="G672" s="69" t="str">
        <f t="shared" si="13"/>
        <v/>
      </c>
    </row>
    <row r="673" spans="7:7" x14ac:dyDescent="0.25">
      <c r="G673" s="69" t="str">
        <f t="shared" si="13"/>
        <v/>
      </c>
    </row>
    <row r="674" spans="7:7" x14ac:dyDescent="0.25">
      <c r="G674" s="69" t="str">
        <f t="shared" si="13"/>
        <v/>
      </c>
    </row>
    <row r="675" spans="7:7" x14ac:dyDescent="0.25">
      <c r="G675" s="69" t="str">
        <f t="shared" si="13"/>
        <v/>
      </c>
    </row>
    <row r="676" spans="7:7" x14ac:dyDescent="0.25">
      <c r="G676" s="69" t="str">
        <f t="shared" si="13"/>
        <v/>
      </c>
    </row>
    <row r="677" spans="7:7" x14ac:dyDescent="0.25">
      <c r="G677" s="69" t="str">
        <f t="shared" si="13"/>
        <v/>
      </c>
    </row>
    <row r="678" spans="7:7" x14ac:dyDescent="0.25">
      <c r="G678" s="69" t="str">
        <f t="shared" si="13"/>
        <v/>
      </c>
    </row>
    <row r="679" spans="7:7" x14ac:dyDescent="0.25">
      <c r="G679" s="69" t="str">
        <f t="shared" si="13"/>
        <v/>
      </c>
    </row>
    <row r="680" spans="7:7" x14ac:dyDescent="0.25">
      <c r="G680" s="69" t="str">
        <f t="shared" si="13"/>
        <v/>
      </c>
    </row>
    <row r="681" spans="7:7" x14ac:dyDescent="0.25">
      <c r="G681" s="69" t="str">
        <f t="shared" si="13"/>
        <v/>
      </c>
    </row>
    <row r="682" spans="7:7" x14ac:dyDescent="0.25">
      <c r="G682" s="69" t="str">
        <f t="shared" si="13"/>
        <v/>
      </c>
    </row>
    <row r="683" spans="7:7" x14ac:dyDescent="0.25">
      <c r="G683" s="69" t="str">
        <f t="shared" si="13"/>
        <v/>
      </c>
    </row>
    <row r="684" spans="7:7" x14ac:dyDescent="0.25">
      <c r="G684" s="69" t="str">
        <f t="shared" si="13"/>
        <v/>
      </c>
    </row>
    <row r="685" spans="7:7" x14ac:dyDescent="0.25">
      <c r="G685" s="69" t="str">
        <f t="shared" si="13"/>
        <v/>
      </c>
    </row>
    <row r="686" spans="7:7" x14ac:dyDescent="0.25">
      <c r="G686" s="69" t="str">
        <f t="shared" si="13"/>
        <v/>
      </c>
    </row>
    <row r="687" spans="7:7" x14ac:dyDescent="0.25">
      <c r="G687" s="69" t="str">
        <f t="shared" si="13"/>
        <v/>
      </c>
    </row>
    <row r="688" spans="7:7" x14ac:dyDescent="0.25">
      <c r="G688" s="69" t="str">
        <f t="shared" si="13"/>
        <v/>
      </c>
    </row>
    <row r="689" spans="7:7" x14ac:dyDescent="0.25">
      <c r="G689" s="69" t="str">
        <f t="shared" si="13"/>
        <v/>
      </c>
    </row>
    <row r="690" spans="7:7" x14ac:dyDescent="0.25">
      <c r="G690" s="69" t="str">
        <f t="shared" si="13"/>
        <v/>
      </c>
    </row>
    <row r="691" spans="7:7" x14ac:dyDescent="0.25">
      <c r="G691" s="69" t="str">
        <f t="shared" si="13"/>
        <v/>
      </c>
    </row>
    <row r="692" spans="7:7" x14ac:dyDescent="0.25">
      <c r="G692" s="69" t="str">
        <f t="shared" si="13"/>
        <v/>
      </c>
    </row>
    <row r="693" spans="7:7" x14ac:dyDescent="0.25">
      <c r="G693" s="69" t="str">
        <f t="shared" si="13"/>
        <v/>
      </c>
    </row>
    <row r="694" spans="7:7" x14ac:dyDescent="0.25">
      <c r="G694" s="69" t="str">
        <f t="shared" si="13"/>
        <v/>
      </c>
    </row>
    <row r="695" spans="7:7" x14ac:dyDescent="0.25">
      <c r="G695" s="69" t="str">
        <f t="shared" si="13"/>
        <v/>
      </c>
    </row>
    <row r="696" spans="7:7" x14ac:dyDescent="0.25">
      <c r="G696" s="69" t="str">
        <f t="shared" si="13"/>
        <v/>
      </c>
    </row>
    <row r="697" spans="7:7" x14ac:dyDescent="0.25">
      <c r="G697" s="69" t="str">
        <f t="shared" si="13"/>
        <v/>
      </c>
    </row>
    <row r="698" spans="7:7" x14ac:dyDescent="0.25">
      <c r="G698" s="69" t="str">
        <f t="shared" si="13"/>
        <v/>
      </c>
    </row>
    <row r="699" spans="7:7" x14ac:dyDescent="0.25">
      <c r="G699" s="69" t="str">
        <f t="shared" si="13"/>
        <v/>
      </c>
    </row>
    <row r="700" spans="7:7" x14ac:dyDescent="0.25">
      <c r="G700" s="69" t="str">
        <f t="shared" si="13"/>
        <v/>
      </c>
    </row>
    <row r="701" spans="7:7" x14ac:dyDescent="0.25">
      <c r="G701" s="69" t="str">
        <f t="shared" si="13"/>
        <v/>
      </c>
    </row>
    <row r="702" spans="7:7" x14ac:dyDescent="0.25">
      <c r="G702" s="69" t="str">
        <f t="shared" si="13"/>
        <v/>
      </c>
    </row>
    <row r="703" spans="7:7" x14ac:dyDescent="0.25">
      <c r="G703" s="69" t="str">
        <f t="shared" si="13"/>
        <v/>
      </c>
    </row>
    <row r="704" spans="7:7" x14ac:dyDescent="0.25">
      <c r="G704" s="69" t="str">
        <f t="shared" si="13"/>
        <v/>
      </c>
    </row>
    <row r="705" spans="7:7" x14ac:dyDescent="0.25">
      <c r="G705" s="69" t="str">
        <f t="shared" si="13"/>
        <v/>
      </c>
    </row>
    <row r="706" spans="7:7" x14ac:dyDescent="0.25">
      <c r="G706" s="69" t="str">
        <f t="shared" si="13"/>
        <v/>
      </c>
    </row>
    <row r="707" spans="7:7" x14ac:dyDescent="0.25">
      <c r="G707" s="69" t="str">
        <f t="shared" si="13"/>
        <v/>
      </c>
    </row>
    <row r="708" spans="7:7" x14ac:dyDescent="0.25">
      <c r="G708" s="69" t="str">
        <f t="shared" si="13"/>
        <v/>
      </c>
    </row>
    <row r="709" spans="7:7" x14ac:dyDescent="0.25">
      <c r="G709" s="69" t="str">
        <f t="shared" si="13"/>
        <v/>
      </c>
    </row>
    <row r="710" spans="7:7" x14ac:dyDescent="0.25">
      <c r="G710" s="69" t="str">
        <f t="shared" si="13"/>
        <v/>
      </c>
    </row>
    <row r="711" spans="7:7" x14ac:dyDescent="0.25">
      <c r="G711" s="69" t="str">
        <f t="shared" si="13"/>
        <v/>
      </c>
    </row>
    <row r="712" spans="7:7" x14ac:dyDescent="0.25">
      <c r="G712" s="69" t="str">
        <f t="shared" si="13"/>
        <v/>
      </c>
    </row>
    <row r="713" spans="7:7" x14ac:dyDescent="0.25">
      <c r="G713" s="69" t="str">
        <f t="shared" si="13"/>
        <v/>
      </c>
    </row>
    <row r="714" spans="7:7" x14ac:dyDescent="0.25">
      <c r="G714" s="69" t="str">
        <f t="shared" ref="G714:G747" si="14">IF(NOT(ISBLANK(H714)),"Yes","")</f>
        <v/>
      </c>
    </row>
    <row r="715" spans="7:7" x14ac:dyDescent="0.25">
      <c r="G715" s="69" t="str">
        <f t="shared" si="14"/>
        <v/>
      </c>
    </row>
    <row r="716" spans="7:7" x14ac:dyDescent="0.25">
      <c r="G716" s="69" t="str">
        <f t="shared" si="14"/>
        <v/>
      </c>
    </row>
    <row r="717" spans="7:7" x14ac:dyDescent="0.25">
      <c r="G717" s="69" t="str">
        <f t="shared" si="14"/>
        <v/>
      </c>
    </row>
    <row r="718" spans="7:7" x14ac:dyDescent="0.25">
      <c r="G718" s="69" t="str">
        <f t="shared" si="14"/>
        <v/>
      </c>
    </row>
    <row r="719" spans="7:7" x14ac:dyDescent="0.25">
      <c r="G719" s="69" t="str">
        <f t="shared" si="14"/>
        <v/>
      </c>
    </row>
    <row r="720" spans="7:7" x14ac:dyDescent="0.25">
      <c r="G720" s="69" t="str">
        <f t="shared" si="14"/>
        <v/>
      </c>
    </row>
    <row r="721" spans="7:7" x14ac:dyDescent="0.25">
      <c r="G721" s="69" t="str">
        <f t="shared" si="14"/>
        <v/>
      </c>
    </row>
    <row r="722" spans="7:7" x14ac:dyDescent="0.25">
      <c r="G722" s="69" t="str">
        <f t="shared" si="14"/>
        <v/>
      </c>
    </row>
    <row r="723" spans="7:7" x14ac:dyDescent="0.25">
      <c r="G723" s="69" t="str">
        <f t="shared" si="14"/>
        <v/>
      </c>
    </row>
    <row r="724" spans="7:7" x14ac:dyDescent="0.25">
      <c r="G724" s="69" t="str">
        <f t="shared" si="14"/>
        <v/>
      </c>
    </row>
    <row r="725" spans="7:7" x14ac:dyDescent="0.25">
      <c r="G725" s="69" t="str">
        <f t="shared" si="14"/>
        <v/>
      </c>
    </row>
    <row r="726" spans="7:7" x14ac:dyDescent="0.25">
      <c r="G726" s="69" t="str">
        <f t="shared" si="14"/>
        <v/>
      </c>
    </row>
    <row r="727" spans="7:7" x14ac:dyDescent="0.25">
      <c r="G727" s="69" t="str">
        <f t="shared" si="14"/>
        <v/>
      </c>
    </row>
    <row r="728" spans="7:7" x14ac:dyDescent="0.25">
      <c r="G728" s="69" t="str">
        <f t="shared" si="14"/>
        <v/>
      </c>
    </row>
    <row r="729" spans="7:7" x14ac:dyDescent="0.25">
      <c r="G729" s="69" t="str">
        <f t="shared" si="14"/>
        <v/>
      </c>
    </row>
    <row r="730" spans="7:7" x14ac:dyDescent="0.25">
      <c r="G730" s="69" t="str">
        <f t="shared" si="14"/>
        <v/>
      </c>
    </row>
    <row r="731" spans="7:7" x14ac:dyDescent="0.25">
      <c r="G731" s="69" t="str">
        <f t="shared" si="14"/>
        <v/>
      </c>
    </row>
    <row r="732" spans="7:7" x14ac:dyDescent="0.25">
      <c r="G732" s="69" t="str">
        <f t="shared" si="14"/>
        <v/>
      </c>
    </row>
    <row r="733" spans="7:7" x14ac:dyDescent="0.25">
      <c r="G733" s="69" t="str">
        <f t="shared" si="14"/>
        <v/>
      </c>
    </row>
    <row r="734" spans="7:7" x14ac:dyDescent="0.25">
      <c r="G734" s="69" t="str">
        <f t="shared" si="14"/>
        <v/>
      </c>
    </row>
    <row r="735" spans="7:7" x14ac:dyDescent="0.25">
      <c r="G735" s="69" t="str">
        <f t="shared" si="14"/>
        <v/>
      </c>
    </row>
    <row r="736" spans="7:7" x14ac:dyDescent="0.25">
      <c r="G736" s="69" t="str">
        <f t="shared" si="14"/>
        <v/>
      </c>
    </row>
    <row r="737" spans="7:7" x14ac:dyDescent="0.25">
      <c r="G737" s="69" t="str">
        <f t="shared" si="14"/>
        <v/>
      </c>
    </row>
    <row r="738" spans="7:7" x14ac:dyDescent="0.25">
      <c r="G738" s="69" t="str">
        <f t="shared" si="14"/>
        <v/>
      </c>
    </row>
    <row r="739" spans="7:7" x14ac:dyDescent="0.25">
      <c r="G739" s="69" t="str">
        <f t="shared" si="14"/>
        <v/>
      </c>
    </row>
    <row r="740" spans="7:7" x14ac:dyDescent="0.25">
      <c r="G740" s="69" t="str">
        <f t="shared" si="14"/>
        <v/>
      </c>
    </row>
    <row r="741" spans="7:7" x14ac:dyDescent="0.25">
      <c r="G741" s="69" t="str">
        <f t="shared" si="14"/>
        <v/>
      </c>
    </row>
    <row r="742" spans="7:7" x14ac:dyDescent="0.25">
      <c r="G742" s="69" t="str">
        <f t="shared" si="14"/>
        <v/>
      </c>
    </row>
    <row r="743" spans="7:7" x14ac:dyDescent="0.25">
      <c r="G743" s="69" t="str">
        <f t="shared" si="14"/>
        <v/>
      </c>
    </row>
    <row r="744" spans="7:7" x14ac:dyDescent="0.25">
      <c r="G744" s="69" t="str">
        <f t="shared" si="14"/>
        <v/>
      </c>
    </row>
    <row r="745" spans="7:7" x14ac:dyDescent="0.25">
      <c r="G745" s="69" t="str">
        <f t="shared" si="14"/>
        <v/>
      </c>
    </row>
    <row r="746" spans="7:7" x14ac:dyDescent="0.25">
      <c r="G746" s="69" t="str">
        <f t="shared" si="14"/>
        <v/>
      </c>
    </row>
    <row r="747" spans="7:7" x14ac:dyDescent="0.25">
      <c r="G747" s="69" t="str">
        <f t="shared" si="14"/>
        <v/>
      </c>
    </row>
  </sheetData>
  <sheetProtection password="DE5B" sheet="1" objects="1" scenarios="1" selectLockedCells="1"/>
  <mergeCells count="8">
    <mergeCell ref="A1:J1"/>
    <mergeCell ref="A2:J2"/>
    <mergeCell ref="A4:C4"/>
    <mergeCell ref="D4:E4"/>
    <mergeCell ref="B18:E18"/>
    <mergeCell ref="G4:H4"/>
    <mergeCell ref="I4:J4"/>
    <mergeCell ref="G18:J18"/>
  </mergeCells>
  <pageMargins left="0.70866141732283472" right="0.70866141732283472" top="0.74803149606299213" bottom="0.74803149606299213" header="0.31496062992125984" footer="0.31496062992125984"/>
  <pageSetup paperSize="9" scale="80" orientation="landscape" verticalDpi="0" r:id="rId1"/>
  <ignoredErrors>
    <ignoredError sqref="I17 G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4</xdr:col>
                    <xdr:colOff>904875</xdr:colOff>
                    <xdr:row>21</xdr:row>
                    <xdr:rowOff>9525</xdr:rowOff>
                  </from>
                  <to>
                    <xdr:col>6</xdr:col>
                    <xdr:colOff>781050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F14:H14"/>
  <sheetViews>
    <sheetView workbookViewId="0">
      <selection activeCell="I33" sqref="I33"/>
    </sheetView>
  </sheetViews>
  <sheetFormatPr defaultRowHeight="15" x14ac:dyDescent="0.25"/>
  <sheetData>
    <row r="14" spans="6:8" ht="31.5" x14ac:dyDescent="0.5">
      <c r="F14" s="34" t="s">
        <v>131</v>
      </c>
      <c r="G14" s="34"/>
      <c r="H14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F14:H14"/>
  <sheetViews>
    <sheetView workbookViewId="0">
      <selection activeCell="H19" sqref="H19"/>
    </sheetView>
  </sheetViews>
  <sheetFormatPr defaultRowHeight="15" x14ac:dyDescent="0.25"/>
  <sheetData>
    <row r="14" spans="6:8" ht="31.5" x14ac:dyDescent="0.5">
      <c r="F14" s="34" t="s">
        <v>131</v>
      </c>
      <c r="G14" s="34"/>
      <c r="H14" s="3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F14:H14"/>
  <sheetViews>
    <sheetView workbookViewId="0">
      <selection activeCell="I36" sqref="I36"/>
    </sheetView>
  </sheetViews>
  <sheetFormatPr defaultRowHeight="15" x14ac:dyDescent="0.25"/>
  <sheetData>
    <row r="14" spans="6:8" ht="31.5" x14ac:dyDescent="0.5">
      <c r="F14" s="34" t="s">
        <v>131</v>
      </c>
      <c r="G14" s="34"/>
      <c r="H14" s="3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F13:H13"/>
  <sheetViews>
    <sheetView workbookViewId="0">
      <selection activeCell="H31" sqref="H31"/>
    </sheetView>
  </sheetViews>
  <sheetFormatPr defaultRowHeight="15" x14ac:dyDescent="0.25"/>
  <sheetData>
    <row r="13" spans="6:8" ht="31.5" x14ac:dyDescent="0.5">
      <c r="F13" s="34" t="s">
        <v>131</v>
      </c>
      <c r="G13" s="34"/>
      <c r="H13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4"/>
  <sheetViews>
    <sheetView workbookViewId="0">
      <selection activeCell="E12" sqref="E12:E13"/>
    </sheetView>
  </sheetViews>
  <sheetFormatPr defaultRowHeight="15" x14ac:dyDescent="0.25"/>
  <cols>
    <col min="1" max="1" width="20.7109375" customWidth="1"/>
    <col min="2" max="2" width="23.5703125" customWidth="1"/>
    <col min="8" max="8" width="19.42578125" customWidth="1"/>
    <col min="12" max="12" width="15.42578125" customWidth="1"/>
    <col min="13" max="13" width="13.5703125" bestFit="1" customWidth="1"/>
    <col min="14" max="14" width="18.5703125" customWidth="1"/>
  </cols>
  <sheetData>
    <row r="1" spans="1:14" x14ac:dyDescent="0.25">
      <c r="A1">
        <v>15153</v>
      </c>
      <c r="B1" t="s">
        <v>76</v>
      </c>
      <c r="D1" t="s">
        <v>80</v>
      </c>
      <c r="F1" t="s">
        <v>15</v>
      </c>
      <c r="H1" t="s">
        <v>24</v>
      </c>
      <c r="J1" t="s">
        <v>36</v>
      </c>
      <c r="L1" t="s">
        <v>38</v>
      </c>
      <c r="M1" t="s">
        <v>113</v>
      </c>
      <c r="N1" t="s">
        <v>125</v>
      </c>
    </row>
    <row r="2" spans="1:14" x14ac:dyDescent="0.25">
      <c r="A2">
        <v>15337</v>
      </c>
      <c r="B2" t="s">
        <v>73</v>
      </c>
      <c r="D2" t="s">
        <v>81</v>
      </c>
      <c r="F2" t="s">
        <v>16</v>
      </c>
      <c r="H2" t="s">
        <v>27</v>
      </c>
      <c r="J2" t="s">
        <v>37</v>
      </c>
      <c r="L2" t="s">
        <v>39</v>
      </c>
      <c r="M2" t="s">
        <v>114</v>
      </c>
      <c r="N2" t="s">
        <v>126</v>
      </c>
    </row>
    <row r="3" spans="1:14" x14ac:dyDescent="0.25">
      <c r="A3">
        <v>15338</v>
      </c>
      <c r="B3" t="s">
        <v>48</v>
      </c>
      <c r="D3" t="s">
        <v>12</v>
      </c>
      <c r="F3" t="s">
        <v>17</v>
      </c>
      <c r="H3" t="s">
        <v>29</v>
      </c>
      <c r="L3" t="s">
        <v>40</v>
      </c>
      <c r="M3" t="s">
        <v>167</v>
      </c>
      <c r="N3" t="s">
        <v>127</v>
      </c>
    </row>
    <row r="4" spans="1:14" x14ac:dyDescent="0.25">
      <c r="A4">
        <v>15339</v>
      </c>
      <c r="B4" t="s">
        <v>2</v>
      </c>
      <c r="D4" t="s">
        <v>13</v>
      </c>
      <c r="H4" t="s">
        <v>32</v>
      </c>
      <c r="N4" t="s">
        <v>128</v>
      </c>
    </row>
    <row r="5" spans="1:14" x14ac:dyDescent="0.25">
      <c r="A5">
        <v>15340</v>
      </c>
      <c r="B5" t="s">
        <v>11</v>
      </c>
      <c r="D5" t="s">
        <v>173</v>
      </c>
      <c r="H5" t="s">
        <v>31</v>
      </c>
    </row>
    <row r="6" spans="1:14" x14ac:dyDescent="0.25">
      <c r="A6">
        <v>15352</v>
      </c>
      <c r="B6" t="s">
        <v>9</v>
      </c>
      <c r="D6" t="s">
        <v>20</v>
      </c>
      <c r="H6" t="s">
        <v>25</v>
      </c>
    </row>
    <row r="7" spans="1:14" x14ac:dyDescent="0.25">
      <c r="A7">
        <v>15354</v>
      </c>
      <c r="B7" t="s">
        <v>67</v>
      </c>
      <c r="D7" t="s">
        <v>21</v>
      </c>
      <c r="H7" t="s">
        <v>28</v>
      </c>
    </row>
    <row r="8" spans="1:14" x14ac:dyDescent="0.25">
      <c r="A8">
        <v>15356</v>
      </c>
      <c r="B8" t="s">
        <v>8</v>
      </c>
      <c r="D8" t="s">
        <v>22</v>
      </c>
      <c r="H8" t="s">
        <v>26</v>
      </c>
    </row>
    <row r="9" spans="1:14" x14ac:dyDescent="0.25">
      <c r="A9">
        <v>15362</v>
      </c>
      <c r="B9" t="s">
        <v>57</v>
      </c>
      <c r="H9" t="s">
        <v>30</v>
      </c>
    </row>
    <row r="10" spans="1:14" x14ac:dyDescent="0.25">
      <c r="A10">
        <v>15593</v>
      </c>
      <c r="B10" t="s">
        <v>63</v>
      </c>
    </row>
    <row r="11" spans="1:14" x14ac:dyDescent="0.25">
      <c r="A11">
        <v>15594</v>
      </c>
      <c r="B11" t="s">
        <v>10</v>
      </c>
    </row>
    <row r="12" spans="1:14" x14ac:dyDescent="0.25">
      <c r="A12">
        <v>15596</v>
      </c>
      <c r="B12" t="s">
        <v>4</v>
      </c>
    </row>
    <row r="13" spans="1:14" x14ac:dyDescent="0.25">
      <c r="A13">
        <v>15600</v>
      </c>
      <c r="B13" t="s">
        <v>58</v>
      </c>
    </row>
    <row r="14" spans="1:14" x14ac:dyDescent="0.25">
      <c r="A14">
        <v>15601</v>
      </c>
      <c r="B14" t="s">
        <v>70</v>
      </c>
    </row>
    <row r="15" spans="1:14" x14ac:dyDescent="0.25">
      <c r="A15">
        <v>15606</v>
      </c>
      <c r="B15" t="s">
        <v>49</v>
      </c>
    </row>
    <row r="16" spans="1:14" x14ac:dyDescent="0.25">
      <c r="A16">
        <v>15608</v>
      </c>
      <c r="B16" t="s">
        <v>53</v>
      </c>
    </row>
    <row r="17" spans="1:2" x14ac:dyDescent="0.25">
      <c r="A17">
        <v>15609</v>
      </c>
      <c r="B17" t="s">
        <v>71</v>
      </c>
    </row>
    <row r="18" spans="1:2" x14ac:dyDescent="0.25">
      <c r="A18">
        <v>15783</v>
      </c>
      <c r="B18" t="s">
        <v>69</v>
      </c>
    </row>
    <row r="19" spans="1:2" x14ac:dyDescent="0.25">
      <c r="A19">
        <v>15786</v>
      </c>
      <c r="B19" t="s">
        <v>61</v>
      </c>
    </row>
    <row r="20" spans="1:2" x14ac:dyDescent="0.25">
      <c r="A20">
        <v>15791</v>
      </c>
      <c r="B20" t="s">
        <v>56</v>
      </c>
    </row>
    <row r="21" spans="1:2" x14ac:dyDescent="0.25">
      <c r="A21">
        <v>15853</v>
      </c>
      <c r="B21" t="s">
        <v>52</v>
      </c>
    </row>
    <row r="22" spans="1:2" x14ac:dyDescent="0.25">
      <c r="A22">
        <v>15859</v>
      </c>
      <c r="B22" t="s">
        <v>64</v>
      </c>
    </row>
    <row r="23" spans="1:2" x14ac:dyDescent="0.25">
      <c r="A23">
        <v>15872</v>
      </c>
      <c r="B23" t="s">
        <v>0</v>
      </c>
    </row>
    <row r="24" spans="1:2" x14ac:dyDescent="0.25">
      <c r="A24">
        <v>15960</v>
      </c>
      <c r="B24" t="s">
        <v>68</v>
      </c>
    </row>
    <row r="25" spans="1:2" x14ac:dyDescent="0.25">
      <c r="A25">
        <v>15965</v>
      </c>
      <c r="B25" t="s">
        <v>72</v>
      </c>
    </row>
    <row r="26" spans="1:2" x14ac:dyDescent="0.25">
      <c r="A26">
        <v>15973</v>
      </c>
      <c r="B26" t="s">
        <v>50</v>
      </c>
    </row>
    <row r="27" spans="1:2" x14ac:dyDescent="0.25">
      <c r="A27">
        <v>15974</v>
      </c>
      <c r="B27" t="s">
        <v>54</v>
      </c>
    </row>
    <row r="28" spans="1:2" x14ac:dyDescent="0.25">
      <c r="A28">
        <v>16042</v>
      </c>
      <c r="B28" t="s">
        <v>7</v>
      </c>
    </row>
    <row r="29" spans="1:2" x14ac:dyDescent="0.25">
      <c r="A29">
        <v>16046</v>
      </c>
      <c r="B29" t="s">
        <v>55</v>
      </c>
    </row>
    <row r="30" spans="1:2" x14ac:dyDescent="0.25">
      <c r="A30">
        <v>16056</v>
      </c>
      <c r="B30" t="s">
        <v>3</v>
      </c>
    </row>
    <row r="31" spans="1:2" x14ac:dyDescent="0.25">
      <c r="A31">
        <v>16132</v>
      </c>
      <c r="B31" t="s">
        <v>59</v>
      </c>
    </row>
    <row r="32" spans="1:2" x14ac:dyDescent="0.25">
      <c r="A32">
        <v>16208</v>
      </c>
      <c r="B32" t="s">
        <v>62</v>
      </c>
    </row>
    <row r="33" spans="1:2" x14ac:dyDescent="0.25">
      <c r="A33">
        <v>16223</v>
      </c>
      <c r="B33" t="s">
        <v>51</v>
      </c>
    </row>
    <row r="34" spans="1:2" x14ac:dyDescent="0.25">
      <c r="A34">
        <v>16244</v>
      </c>
      <c r="B34" t="s">
        <v>1</v>
      </c>
    </row>
    <row r="35" spans="1:2" x14ac:dyDescent="0.25">
      <c r="A35">
        <v>16247</v>
      </c>
      <c r="B35" t="s">
        <v>65</v>
      </c>
    </row>
    <row r="36" spans="1:2" x14ac:dyDescent="0.25">
      <c r="A36">
        <v>16295</v>
      </c>
      <c r="B36" t="s">
        <v>5</v>
      </c>
    </row>
    <row r="37" spans="1:2" x14ac:dyDescent="0.25">
      <c r="A37">
        <v>16297</v>
      </c>
      <c r="B37" t="s">
        <v>66</v>
      </c>
    </row>
    <row r="38" spans="1:2" x14ac:dyDescent="0.25">
      <c r="A38">
        <v>16300</v>
      </c>
      <c r="B38" t="s">
        <v>6</v>
      </c>
    </row>
    <row r="39" spans="1:2" x14ac:dyDescent="0.25">
      <c r="A39">
        <v>16307</v>
      </c>
      <c r="B39" t="s">
        <v>60</v>
      </c>
    </row>
    <row r="40" spans="1:2" x14ac:dyDescent="0.25">
      <c r="A40">
        <v>16333</v>
      </c>
      <c r="B40" t="s">
        <v>74</v>
      </c>
    </row>
    <row r="41" spans="1:2" x14ac:dyDescent="0.25">
      <c r="A41">
        <v>16346</v>
      </c>
      <c r="B41" t="s">
        <v>47</v>
      </c>
    </row>
    <row r="42" spans="1:2" x14ac:dyDescent="0.25">
      <c r="A42">
        <v>16363</v>
      </c>
      <c r="B42" t="s">
        <v>77</v>
      </c>
    </row>
    <row r="43" spans="1:2" x14ac:dyDescent="0.25">
      <c r="A43">
        <v>16381</v>
      </c>
      <c r="B43" t="s">
        <v>75</v>
      </c>
    </row>
    <row r="44" spans="1:2" x14ac:dyDescent="0.25">
      <c r="A44">
        <v>16390</v>
      </c>
      <c r="B44" t="s">
        <v>135</v>
      </c>
    </row>
  </sheetData>
  <sheetProtection password="DE5B" sheet="1" objects="1" scenarios="1" selectLockedCells="1" selectUnlockedCells="1"/>
  <sortState ref="A1:B44">
    <sortCondition ref="A1:A44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J26"/>
  <sheetViews>
    <sheetView tabSelected="1" workbookViewId="0">
      <selection activeCell="H30" sqref="H30"/>
    </sheetView>
  </sheetViews>
  <sheetFormatPr defaultRowHeight="15" x14ac:dyDescent="0.25"/>
  <cols>
    <col min="1" max="1" width="6.42578125" bestFit="1" customWidth="1"/>
    <col min="2" max="2" width="17.7109375" customWidth="1"/>
    <col min="3" max="3" width="19.7109375" bestFit="1" customWidth="1"/>
    <col min="4" max="4" width="8" bestFit="1" customWidth="1"/>
    <col min="5" max="5" width="20" customWidth="1"/>
    <col min="6" max="6" width="15" bestFit="1" customWidth="1"/>
    <col min="7" max="7" width="16.28515625" customWidth="1"/>
    <col min="8" max="8" width="18.7109375" bestFit="1" customWidth="1"/>
    <col min="9" max="9" width="20" bestFit="1" customWidth="1"/>
    <col min="10" max="10" width="19.140625" bestFit="1" customWidth="1"/>
  </cols>
  <sheetData>
    <row r="1" spans="1:10" ht="23.25" x14ac:dyDescent="0.25">
      <c r="A1" s="128" t="s">
        <v>109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ht="18.75" x14ac:dyDescent="0.25">
      <c r="A2" s="129" t="s">
        <v>174</v>
      </c>
      <c r="B2" s="129"/>
      <c r="C2" s="129"/>
      <c r="D2" s="129"/>
      <c r="E2" s="129"/>
      <c r="F2" s="129"/>
      <c r="G2" s="129"/>
      <c r="H2" s="129"/>
      <c r="I2" s="129"/>
      <c r="J2" s="129"/>
    </row>
    <row r="3" spans="1:10" x14ac:dyDescent="0.25">
      <c r="A3" s="69"/>
      <c r="E3" s="74"/>
      <c r="F3" s="67"/>
      <c r="G3" s="69"/>
      <c r="H3" s="68"/>
    </row>
    <row r="4" spans="1:10" ht="21" x14ac:dyDescent="0.35">
      <c r="A4" s="130" t="s">
        <v>161</v>
      </c>
      <c r="B4" s="130"/>
      <c r="C4" s="130"/>
      <c r="D4" s="131">
        <v>2000000</v>
      </c>
      <c r="E4" s="132"/>
      <c r="F4" s="67"/>
      <c r="G4" s="136" t="s">
        <v>163</v>
      </c>
      <c r="H4" s="136"/>
      <c r="I4" s="137">
        <f>D4-SUM(F7:F17)</f>
        <v>1500000</v>
      </c>
      <c r="J4" s="138"/>
    </row>
    <row r="5" spans="1:10" x14ac:dyDescent="0.25">
      <c r="A5" s="69"/>
      <c r="E5" s="74"/>
      <c r="F5" s="67"/>
      <c r="G5" s="69"/>
      <c r="H5" s="68"/>
    </row>
    <row r="6" spans="1:10" ht="57" customHeight="1" x14ac:dyDescent="0.25">
      <c r="A6" s="70" t="s">
        <v>14</v>
      </c>
      <c r="B6" s="70" t="s">
        <v>155</v>
      </c>
      <c r="C6" s="70" t="s">
        <v>19</v>
      </c>
      <c r="D6" s="70" t="s">
        <v>156</v>
      </c>
      <c r="E6" s="71" t="s">
        <v>157</v>
      </c>
      <c r="F6" s="73" t="s">
        <v>158</v>
      </c>
      <c r="G6" s="70" t="s">
        <v>168</v>
      </c>
      <c r="H6" s="71" t="s">
        <v>159</v>
      </c>
      <c r="I6" s="70" t="s">
        <v>169</v>
      </c>
      <c r="J6" s="70" t="s">
        <v>160</v>
      </c>
    </row>
    <row r="7" spans="1:10" ht="15.75" x14ac:dyDescent="0.25">
      <c r="A7" s="77">
        <v>1</v>
      </c>
      <c r="B7" s="78">
        <v>16390</v>
      </c>
      <c r="C7" s="79" t="s">
        <v>135</v>
      </c>
      <c r="D7" s="77">
        <v>19087</v>
      </c>
      <c r="E7" s="80">
        <v>41192</v>
      </c>
      <c r="F7" s="81">
        <v>500000</v>
      </c>
      <c r="G7" s="77" t="s">
        <v>175</v>
      </c>
      <c r="H7" s="82">
        <v>41223</v>
      </c>
      <c r="I7" s="77" t="s">
        <v>176</v>
      </c>
      <c r="J7" s="82"/>
    </row>
    <row r="8" spans="1:10" ht="15.75" x14ac:dyDescent="0.25">
      <c r="A8" s="77"/>
      <c r="B8" s="78"/>
      <c r="C8" s="79"/>
      <c r="D8" s="77"/>
      <c r="E8" s="80"/>
      <c r="F8" s="81"/>
      <c r="G8" s="77"/>
      <c r="H8" s="82"/>
      <c r="I8" s="77"/>
      <c r="J8" s="82"/>
    </row>
    <row r="9" spans="1:10" ht="15.75" x14ac:dyDescent="0.25">
      <c r="A9" s="77"/>
      <c r="B9" s="78"/>
      <c r="C9" s="79"/>
      <c r="D9" s="77"/>
      <c r="E9" s="80"/>
      <c r="F9" s="81"/>
      <c r="G9" s="77"/>
      <c r="H9" s="82"/>
      <c r="I9" s="77"/>
      <c r="J9" s="82"/>
    </row>
    <row r="10" spans="1:10" ht="15.75" x14ac:dyDescent="0.25">
      <c r="A10" s="77"/>
      <c r="B10" s="78"/>
      <c r="C10" s="79"/>
      <c r="D10" s="77"/>
      <c r="E10" s="80"/>
      <c r="F10" s="81"/>
      <c r="G10" s="77"/>
      <c r="H10" s="82"/>
      <c r="I10" s="77"/>
      <c r="J10" s="82"/>
    </row>
    <row r="11" spans="1:10" ht="15.75" x14ac:dyDescent="0.25">
      <c r="A11" s="77"/>
      <c r="B11" s="79"/>
      <c r="C11" s="79"/>
      <c r="D11" s="77"/>
      <c r="E11" s="80"/>
      <c r="F11" s="81"/>
      <c r="G11" s="77"/>
      <c r="H11" s="82"/>
      <c r="I11" s="77"/>
      <c r="J11" s="82"/>
    </row>
    <row r="12" spans="1:10" ht="15.75" x14ac:dyDescent="0.25">
      <c r="A12" s="77"/>
      <c r="B12" s="79"/>
      <c r="C12" s="79"/>
      <c r="D12" s="77"/>
      <c r="E12" s="80"/>
      <c r="F12" s="81"/>
      <c r="G12" s="77"/>
      <c r="H12" s="82"/>
      <c r="I12" s="77"/>
      <c r="J12" s="82"/>
    </row>
    <row r="13" spans="1:10" ht="15.75" x14ac:dyDescent="0.25">
      <c r="A13" s="77"/>
      <c r="B13" s="79"/>
      <c r="C13" s="79"/>
      <c r="D13" s="77"/>
      <c r="E13" s="80"/>
      <c r="F13" s="81"/>
      <c r="G13" s="77"/>
      <c r="H13" s="82"/>
      <c r="I13" s="77"/>
      <c r="J13" s="82"/>
    </row>
    <row r="14" spans="1:10" ht="15.75" x14ac:dyDescent="0.25">
      <c r="A14" s="77"/>
      <c r="B14" s="79"/>
      <c r="C14" s="79"/>
      <c r="D14" s="77"/>
      <c r="E14" s="80"/>
      <c r="F14" s="83"/>
      <c r="G14" s="77"/>
      <c r="H14" s="84"/>
      <c r="I14" s="77"/>
      <c r="J14" s="82"/>
    </row>
    <row r="15" spans="1:10" ht="15.75" x14ac:dyDescent="0.25">
      <c r="A15" s="77"/>
      <c r="B15" s="79"/>
      <c r="C15" s="79"/>
      <c r="D15" s="77"/>
      <c r="E15" s="80"/>
      <c r="F15" s="83"/>
      <c r="G15" s="77"/>
      <c r="H15" s="84"/>
      <c r="I15" s="77"/>
      <c r="J15" s="82"/>
    </row>
    <row r="16" spans="1:10" ht="15.75" x14ac:dyDescent="0.25">
      <c r="A16" s="77"/>
      <c r="B16" s="79"/>
      <c r="C16" s="79"/>
      <c r="D16" s="77"/>
      <c r="E16" s="80"/>
      <c r="F16" s="83"/>
      <c r="G16" s="77"/>
      <c r="H16" s="84"/>
      <c r="I16" s="77"/>
      <c r="J16" s="82"/>
    </row>
    <row r="17" spans="1:10" ht="15.75" x14ac:dyDescent="0.25">
      <c r="A17" s="77"/>
      <c r="B17" s="79"/>
      <c r="C17" s="79"/>
      <c r="D17" s="77"/>
      <c r="E17" s="80"/>
      <c r="F17" s="81"/>
      <c r="G17" s="77" t="str">
        <f t="shared" ref="G17" si="0">IF(NOT(ISBLANK(H17)),"Yes",IF(NOT(ISBLANK(D17)),"No",""))</f>
        <v/>
      </c>
      <c r="H17" s="82"/>
      <c r="I17" s="77" t="str">
        <f t="shared" ref="I17" si="1">IF(NOT(ISBLANK(J17)),"Yes",IF(NOT(ISBLANK(D17)),"No",""))</f>
        <v/>
      </c>
      <c r="J17" s="82"/>
    </row>
    <row r="18" spans="1:10" ht="18.75" x14ac:dyDescent="0.3">
      <c r="A18" s="72"/>
      <c r="B18" s="133" t="s">
        <v>164</v>
      </c>
      <c r="C18" s="134"/>
      <c r="D18" s="134"/>
      <c r="E18" s="135"/>
      <c r="F18" s="76">
        <f>SUM(F7:F17)</f>
        <v>500000</v>
      </c>
      <c r="G18" s="139" t="str">
        <f t="shared" ref="G18" si="2">IF(NOT(ISBLANK(H18)),"Yes","")</f>
        <v/>
      </c>
      <c r="H18" s="140"/>
      <c r="I18" s="140"/>
      <c r="J18" s="141"/>
    </row>
    <row r="26" spans="1:10" x14ac:dyDescent="0.25">
      <c r="H26" t="s">
        <v>179</v>
      </c>
    </row>
  </sheetData>
  <sheetProtection password="DE5B" sheet="1" objects="1" scenarios="1"/>
  <mergeCells count="8">
    <mergeCell ref="B18:E18"/>
    <mergeCell ref="G18:J18"/>
    <mergeCell ref="A1:J1"/>
    <mergeCell ref="A2:J2"/>
    <mergeCell ref="A4:C4"/>
    <mergeCell ref="D4:E4"/>
    <mergeCell ref="G4:H4"/>
    <mergeCell ref="I4:J4"/>
  </mergeCells>
  <pageMargins left="0.7" right="0.7" top="0.75" bottom="0.75" header="0.3" footer="0.3"/>
  <pageSetup paperSize="9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1">
                <anchor moveWithCells="1" sizeWithCells="1">
                  <from>
                    <xdr:col>4</xdr:col>
                    <xdr:colOff>781050</xdr:colOff>
                    <xdr:row>21</xdr:row>
                    <xdr:rowOff>66675</xdr:rowOff>
                  </from>
                  <to>
                    <xdr:col>6</xdr:col>
                    <xdr:colOff>666750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Purchase Entry</vt:lpstr>
      <vt:lpstr>PLN 03</vt:lpstr>
      <vt:lpstr>NPN 05</vt:lpstr>
      <vt:lpstr>PLN 03F</vt:lpstr>
      <vt:lpstr>DDF</vt:lpstr>
      <vt:lpstr>PLN 05</vt:lpstr>
      <vt:lpstr>PDF</vt:lpstr>
      <vt:lpstr>PDA</vt:lpstr>
      <vt:lpstr>Master</vt:lpstr>
      <vt:lpstr>PLN 06R</vt:lpstr>
      <vt:lpstr>ECODE</vt:lpstr>
      <vt:lpstr>'NPN 05'!Print_Area</vt:lpstr>
      <vt:lpstr>'PLN 03'!Print_Area</vt:lpstr>
      <vt:lpstr>'PLN 03F'!Print_Area</vt:lpstr>
      <vt:lpstr>'PLN 06R'!Print_Area</vt:lpstr>
    </vt:vector>
  </TitlesOfParts>
  <Company>IIT Delhi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Bundela</dc:creator>
  <cp:lastModifiedBy>Amit Bundela</cp:lastModifiedBy>
  <cp:lastPrinted>2012-10-05T08:30:08Z</cp:lastPrinted>
  <dcterms:created xsi:type="dcterms:W3CDTF">2012-09-26T07:10:25Z</dcterms:created>
  <dcterms:modified xsi:type="dcterms:W3CDTF">2012-10-11T04:54:39Z</dcterms:modified>
</cp:coreProperties>
</file>